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20730" windowHeight="11760" tabRatio="930" activeTab="5"/>
  </bookViews>
  <sheets>
    <sheet name="eff all" sheetId="59" r:id="rId1"/>
    <sheet name="Report1" sheetId="48" r:id="rId2"/>
    <sheet name="GRAFIK" sheetId="50" r:id="rId3"/>
    <sheet name="Listrik" sheetId="45" r:id="rId4"/>
    <sheet name="Trim Rwd" sheetId="47" r:id="rId5"/>
    <sheet name="Efficiency1" sheetId="46" r:id="rId6"/>
    <sheet name="Efficiency2" sheetId="58" r:id="rId7"/>
    <sheet name="BB" sheetId="2" r:id="rId8"/>
    <sheet name="Chem" sheetId="1" r:id="rId9"/>
    <sheet name="RBP" sheetId="55" r:id="rId10"/>
    <sheet name="Sheet1" sheetId="54" r:id="rId11"/>
    <sheet name="summary" sheetId="53" r:id="rId12"/>
    <sheet name="31" sheetId="43" r:id="rId13"/>
    <sheet name="30" sheetId="4" r:id="rId14"/>
    <sheet name="29" sheetId="37" r:id="rId15"/>
    <sheet name="28" sheetId="6" r:id="rId16"/>
    <sheet name="27" sheetId="7" r:id="rId17"/>
    <sheet name="26" sheetId="8" r:id="rId18"/>
    <sheet name="25" sheetId="9" r:id="rId19"/>
    <sheet name="24" sheetId="10" r:id="rId20"/>
    <sheet name="23" sheetId="11" r:id="rId21"/>
    <sheet name="22" sheetId="12" r:id="rId22"/>
    <sheet name="21" sheetId="13" r:id="rId23"/>
    <sheet name="20" sheetId="14" r:id="rId24"/>
    <sheet name="19" sheetId="15" r:id="rId25"/>
    <sheet name="18" sheetId="16" r:id="rId26"/>
    <sheet name="17" sheetId="17" r:id="rId27"/>
    <sheet name="16" sheetId="18" r:id="rId28"/>
    <sheet name="15" sheetId="19" r:id="rId29"/>
    <sheet name="14" sheetId="20" r:id="rId30"/>
    <sheet name="13" sheetId="22" r:id="rId31"/>
    <sheet name="12" sheetId="21" r:id="rId32"/>
    <sheet name="11" sheetId="23" r:id="rId33"/>
    <sheet name="10" sheetId="24" r:id="rId34"/>
    <sheet name="9" sheetId="25" r:id="rId35"/>
    <sheet name="8" sheetId="26" r:id="rId36"/>
    <sheet name="7" sheetId="28" r:id="rId37"/>
    <sheet name="6" sheetId="27" r:id="rId38"/>
    <sheet name="5" sheetId="29" r:id="rId39"/>
    <sheet name="4" sheetId="30" r:id="rId40"/>
    <sheet name="3" sheetId="31" r:id="rId41"/>
    <sheet name="2" sheetId="32" r:id="rId42"/>
    <sheet name="1" sheetId="33" r:id="rId43"/>
  </sheets>
  <externalReferences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_xlnm._FilterDatabase" localSheetId="10" hidden="1">Sheet1!$C$1:$F$118</definedName>
    <definedName name="_xlnm.Print_Area" localSheetId="42">'1'!$A$2:$M$61</definedName>
    <definedName name="_xlnm.Print_Area" localSheetId="33">'10'!$A$2:$M$61</definedName>
    <definedName name="_xlnm.Print_Area" localSheetId="32">'11'!$A$2:$M$61</definedName>
    <definedName name="_xlnm.Print_Area" localSheetId="31">'12'!$A$2:$M$61</definedName>
    <definedName name="_xlnm.Print_Area" localSheetId="30">'13'!$A$1:$M$62</definedName>
    <definedName name="_xlnm.Print_Area" localSheetId="29">'14'!$A$1:$M$61</definedName>
    <definedName name="_xlnm.Print_Area" localSheetId="28">'15'!$A$1:$M$61</definedName>
    <definedName name="_xlnm.Print_Area" localSheetId="26">'17'!$A$1:$M$61</definedName>
    <definedName name="_xlnm.Print_Area" localSheetId="25">'18'!$A$1:$M$61</definedName>
    <definedName name="_xlnm.Print_Area" localSheetId="24">'19'!$A$1:$M$61</definedName>
    <definedName name="_xlnm.Print_Area" localSheetId="41">'2'!$A$2:$M$61</definedName>
    <definedName name="_xlnm.Print_Area" localSheetId="23">'20'!$A$1:$M$62</definedName>
    <definedName name="_xlnm.Print_Area" localSheetId="22">'21'!$A$1:$M$61</definedName>
    <definedName name="_xlnm.Print_Area" localSheetId="21">'22'!$A$1:$M$61</definedName>
    <definedName name="_xlnm.Print_Area" localSheetId="20">'23'!$A$1:$M$61</definedName>
    <definedName name="_xlnm.Print_Area" localSheetId="19">'24'!$A$1:$M$61</definedName>
    <definedName name="_xlnm.Print_Area" localSheetId="18">'25'!$A$1:$M$61</definedName>
    <definedName name="_xlnm.Print_Area" localSheetId="17">'26'!$A$1:$M$61</definedName>
    <definedName name="_xlnm.Print_Area" localSheetId="16">'27'!$A$1:$M$61</definedName>
    <definedName name="_xlnm.Print_Area" localSheetId="15">'28'!$A$1:$M$61</definedName>
    <definedName name="_xlnm.Print_Area" localSheetId="14">'29'!$A$1:$M$61</definedName>
    <definedName name="_xlnm.Print_Area" localSheetId="40">'3'!$A$1:$M$61</definedName>
    <definedName name="_xlnm.Print_Area" localSheetId="13">'30'!$A$1:$M$61</definedName>
    <definedName name="_xlnm.Print_Area" localSheetId="12">'31'!$A$1:$L$63</definedName>
    <definedName name="_xlnm.Print_Area" localSheetId="39">'4'!$A$1:$M$61</definedName>
    <definedName name="_xlnm.Print_Area" localSheetId="38">'5'!$A$1:$M$61</definedName>
    <definedName name="_xlnm.Print_Area" localSheetId="37">'6'!$A$2:$M$61</definedName>
    <definedName name="_xlnm.Print_Area" localSheetId="36">'7'!$A$2:$M$61</definedName>
    <definedName name="_xlnm.Print_Area" localSheetId="35">'8'!$A$2:$M$61</definedName>
    <definedName name="_xlnm.Print_Area" localSheetId="34">'9'!$A$1:$M$62</definedName>
    <definedName name="_xlnm.Print_Area" localSheetId="8">Chem!$CE$7:$CQ$16</definedName>
    <definedName name="_xlnm.Print_Area" localSheetId="0">'eff all'!$A$1:$Q$46</definedName>
    <definedName name="_xlnm.Print_Area" localSheetId="5">Efficiency1!$A$1:$AD$156</definedName>
    <definedName name="_xlnm.Print_Area" localSheetId="6">Efficiency2!$A$1:$AD$156</definedName>
    <definedName name="_xlnm.Print_Area" localSheetId="3">Listrik!$A$2:$AT$40</definedName>
    <definedName name="_xlnm.Print_Area" localSheetId="1">Report1!$A$3:$AE$41</definedName>
  </definedNames>
  <calcPr calcId="144525" iterateDelta="1E-4"/>
</workbook>
</file>

<file path=xl/calcChain.xml><?xml version="1.0" encoding="utf-8"?>
<calcChain xmlns="http://schemas.openxmlformats.org/spreadsheetml/2006/main">
  <c r="O34" i="59" l="1"/>
  <c r="CH42" i="59" l="1"/>
  <c r="CF42" i="59"/>
  <c r="CD42" i="59"/>
  <c r="CB42" i="59"/>
  <c r="BZ42" i="59"/>
  <c r="BX42" i="59"/>
  <c r="BV42" i="59"/>
  <c r="BT42" i="59"/>
  <c r="BR42" i="59"/>
  <c r="BP42" i="59"/>
  <c r="BN42" i="59"/>
  <c r="BL42" i="59"/>
  <c r="BJ42" i="59"/>
  <c r="BH42" i="59"/>
  <c r="BF42" i="59"/>
  <c r="BD42" i="59"/>
  <c r="BB42" i="59"/>
  <c r="AZ42" i="59"/>
  <c r="AX42" i="59"/>
  <c r="AV42" i="59"/>
  <c r="AT42" i="59"/>
  <c r="AR42" i="59"/>
  <c r="AP42" i="59"/>
  <c r="AN42" i="59"/>
  <c r="AL42" i="59"/>
  <c r="AJ42" i="59"/>
  <c r="AH42" i="59"/>
  <c r="AF42" i="59"/>
  <c r="AD42" i="59"/>
  <c r="AB42" i="59"/>
  <c r="Z42" i="59"/>
  <c r="X42" i="59"/>
  <c r="V42" i="59"/>
  <c r="T42" i="59"/>
  <c r="R42" i="59"/>
  <c r="P42" i="59"/>
  <c r="N42" i="59"/>
  <c r="L42" i="59"/>
  <c r="J42" i="59"/>
  <c r="H42" i="59"/>
  <c r="F42" i="59"/>
  <c r="D42" i="59"/>
  <c r="B42" i="59"/>
  <c r="AF23" i="48" l="1"/>
  <c r="T23" i="48"/>
  <c r="AF6" i="55" l="1"/>
  <c r="AG4" i="55"/>
  <c r="AG3" i="55"/>
  <c r="AE6" i="55"/>
  <c r="AD6" i="55" l="1"/>
  <c r="AC6" i="55"/>
  <c r="AC7" i="55"/>
  <c r="AB6" i="55"/>
  <c r="AA6" i="55"/>
  <c r="BG40" i="2" l="1"/>
  <c r="S40" i="2"/>
  <c r="Z147" i="58" l="1"/>
  <c r="Y147" i="58"/>
  <c r="Y154" i="58" s="1"/>
  <c r="Y156" i="58" s="1"/>
  <c r="Z143" i="58"/>
  <c r="Z134" i="58"/>
  <c r="Z133" i="58"/>
  <c r="Z126" i="58"/>
  <c r="Z116" i="58"/>
  <c r="Z108" i="58"/>
  <c r="Z99" i="58"/>
  <c r="Z96" i="58"/>
  <c r="Z95" i="58"/>
  <c r="W87" i="58"/>
  <c r="Z52" i="58"/>
  <c r="Z18" i="58"/>
  <c r="Z143" i="46"/>
  <c r="E107" i="47"/>
  <c r="G107" i="47" s="1"/>
  <c r="H107" i="47" s="1"/>
  <c r="F106" i="47"/>
  <c r="E106" i="47"/>
  <c r="G106" i="47" s="1"/>
  <c r="H106" i="47" s="1"/>
  <c r="O147" i="58" s="1"/>
  <c r="U147" i="58" s="1"/>
  <c r="Z147" i="46"/>
  <c r="K19" i="43"/>
  <c r="W148" i="58" s="1"/>
  <c r="C25" i="43"/>
  <c r="K13" i="43" s="1"/>
  <c r="W147" i="58" s="1"/>
  <c r="O148" i="58" l="1"/>
  <c r="T148" i="58" s="1"/>
  <c r="O148" i="46"/>
  <c r="O147" i="46"/>
  <c r="P147" i="58"/>
  <c r="T147" i="58"/>
  <c r="AF39" i="48"/>
  <c r="P148" i="58" l="1"/>
  <c r="U148" i="58"/>
  <c r="AR151" i="58"/>
  <c r="BA151" i="58" s="1"/>
  <c r="AM151" i="58"/>
  <c r="AR150" i="58"/>
  <c r="BA150" i="58" s="1"/>
  <c r="AM150" i="58"/>
  <c r="AR149" i="58"/>
  <c r="BA149" i="58" s="1"/>
  <c r="AM149" i="58"/>
  <c r="AR148" i="58"/>
  <c r="BA148" i="58" s="1"/>
  <c r="AM148" i="58"/>
  <c r="C148" i="58"/>
  <c r="N148" i="58"/>
  <c r="V148" i="58" s="1"/>
  <c r="K148" i="58"/>
  <c r="J148" i="58"/>
  <c r="AR147" i="58"/>
  <c r="BA147" i="58" s="1"/>
  <c r="AM147" i="58"/>
  <c r="N147" i="58"/>
  <c r="V147" i="58" s="1"/>
  <c r="J147" i="58"/>
  <c r="AM150" i="46"/>
  <c r="AR150" i="46"/>
  <c r="BA150" i="46" s="1"/>
  <c r="AM151" i="46"/>
  <c r="AR151" i="46"/>
  <c r="BA151" i="46" s="1"/>
  <c r="W148" i="46"/>
  <c r="W147" i="46"/>
  <c r="T148" i="46"/>
  <c r="U148" i="46"/>
  <c r="P148" i="46"/>
  <c r="N148" i="46"/>
  <c r="V148" i="46" s="1"/>
  <c r="J148" i="46"/>
  <c r="C148" i="46"/>
  <c r="AR149" i="46"/>
  <c r="BA149" i="46" s="1"/>
  <c r="AM149" i="46"/>
  <c r="AR148" i="46"/>
  <c r="BA148" i="46" s="1"/>
  <c r="AM148" i="46"/>
  <c r="BA147" i="46"/>
  <c r="AR147" i="46"/>
  <c r="AM147" i="46"/>
  <c r="Y147" i="46"/>
  <c r="C147" i="46"/>
  <c r="N147" i="46"/>
  <c r="V147" i="46" s="1"/>
  <c r="K147" i="46"/>
  <c r="J147" i="46"/>
  <c r="AD149" i="58" l="1"/>
  <c r="K148" i="46"/>
  <c r="AC148" i="46" s="1"/>
  <c r="AD147" i="58"/>
  <c r="K147" i="58"/>
  <c r="X147" i="58" s="1"/>
  <c r="AD149" i="46"/>
  <c r="AD150" i="58"/>
  <c r="AD147" i="46"/>
  <c r="AD148" i="58"/>
  <c r="L39" i="48"/>
  <c r="N39" i="48"/>
  <c r="C147" i="58"/>
  <c r="AD151" i="58"/>
  <c r="AC148" i="58"/>
  <c r="AC147" i="58"/>
  <c r="AA147" i="58"/>
  <c r="AH39" i="48"/>
  <c r="AD151" i="46"/>
  <c r="AD150" i="46"/>
  <c r="AD148" i="46"/>
  <c r="X147" i="46"/>
  <c r="U147" i="46"/>
  <c r="AA147" i="46" s="1"/>
  <c r="P147" i="46"/>
  <c r="T147" i="46"/>
  <c r="AC147" i="46" s="1"/>
  <c r="AB147" i="58" l="1"/>
  <c r="AB147" i="46"/>
  <c r="L38" i="43" l="1"/>
  <c r="I107" i="47" s="1"/>
  <c r="P25" i="43"/>
  <c r="Q25" i="43" s="1"/>
  <c r="P24" i="43"/>
  <c r="P26" i="43" s="1"/>
  <c r="O25" i="43"/>
  <c r="R25" i="43" s="1"/>
  <c r="O24" i="43"/>
  <c r="Q24" i="43" l="1"/>
  <c r="R24" i="43"/>
  <c r="Q26" i="43"/>
  <c r="Q27" i="43" s="1"/>
  <c r="R26" i="43"/>
  <c r="R27" i="43" s="1"/>
  <c r="I38" i="43"/>
  <c r="L37" i="43" s="1"/>
  <c r="I106" i="47" s="1"/>
  <c r="F42" i="43"/>
  <c r="P11" i="43"/>
  <c r="G39" i="43" l="1"/>
  <c r="G38" i="43"/>
  <c r="O10" i="43"/>
  <c r="O9" i="43"/>
  <c r="O8" i="43"/>
  <c r="G42" i="43" l="1"/>
  <c r="I37" i="43" s="1"/>
  <c r="N6" i="43"/>
  <c r="Z7" i="55" l="1"/>
  <c r="Z6" i="55"/>
  <c r="Y7" i="55"/>
  <c r="Y6" i="55"/>
  <c r="X7" i="55"/>
  <c r="X6" i="55"/>
  <c r="W6" i="55"/>
  <c r="W7" i="55"/>
  <c r="V7" i="55"/>
  <c r="V6" i="55"/>
  <c r="U7" i="55"/>
  <c r="U6" i="55"/>
  <c r="T7" i="55"/>
  <c r="T6" i="55"/>
  <c r="S18" i="55"/>
  <c r="R6" i="55"/>
  <c r="R3" i="55"/>
  <c r="Q3" i="55"/>
  <c r="Q27" i="55"/>
  <c r="Q18" i="55"/>
  <c r="Q6" i="55"/>
  <c r="L33" i="59" l="1"/>
  <c r="M33" i="59"/>
  <c r="N33" i="59"/>
  <c r="O33" i="59"/>
  <c r="P33" i="59"/>
  <c r="Q33" i="59"/>
  <c r="R33" i="59"/>
  <c r="S33" i="59"/>
  <c r="T33" i="59"/>
  <c r="U33" i="59"/>
  <c r="U32" i="59"/>
  <c r="T32" i="59"/>
  <c r="S32" i="59"/>
  <c r="R32" i="59"/>
  <c r="Q32" i="59"/>
  <c r="P32" i="59"/>
  <c r="O32" i="59"/>
  <c r="N32" i="59"/>
  <c r="M32" i="59"/>
  <c r="L32" i="59"/>
  <c r="U31" i="59"/>
  <c r="T31" i="59"/>
  <c r="S31" i="59"/>
  <c r="R31" i="59"/>
  <c r="Q31" i="59"/>
  <c r="P31" i="59"/>
  <c r="O31" i="59"/>
  <c r="N31" i="59"/>
  <c r="M31" i="59"/>
  <c r="L31" i="59"/>
  <c r="U30" i="59"/>
  <c r="T30" i="59"/>
  <c r="S30" i="59"/>
  <c r="R30" i="59"/>
  <c r="Q30" i="59"/>
  <c r="P30" i="59"/>
  <c r="O30" i="59"/>
  <c r="N30" i="59"/>
  <c r="M30" i="59"/>
  <c r="L30" i="59"/>
  <c r="U29" i="59"/>
  <c r="T29" i="59"/>
  <c r="S29" i="59"/>
  <c r="R29" i="59"/>
  <c r="Q29" i="59"/>
  <c r="P29" i="59"/>
  <c r="O29" i="59"/>
  <c r="N29" i="59"/>
  <c r="M29" i="59"/>
  <c r="L29" i="59"/>
  <c r="U28" i="59"/>
  <c r="T28" i="59"/>
  <c r="S28" i="59"/>
  <c r="R28" i="59"/>
  <c r="Q28" i="59"/>
  <c r="P28" i="59"/>
  <c r="O28" i="59"/>
  <c r="N28" i="59"/>
  <c r="M28" i="59"/>
  <c r="L28" i="59"/>
  <c r="U27" i="59"/>
  <c r="T27" i="59"/>
  <c r="S27" i="59"/>
  <c r="R27" i="59"/>
  <c r="Q27" i="59"/>
  <c r="P27" i="59"/>
  <c r="O27" i="59"/>
  <c r="N27" i="59"/>
  <c r="M27" i="59"/>
  <c r="L27" i="59"/>
  <c r="U26" i="59"/>
  <c r="T26" i="59"/>
  <c r="S26" i="59"/>
  <c r="R26" i="59"/>
  <c r="Q26" i="59"/>
  <c r="P26" i="59"/>
  <c r="O26" i="59"/>
  <c r="N26" i="59"/>
  <c r="M26" i="59"/>
  <c r="L26" i="59"/>
  <c r="U25" i="59"/>
  <c r="T25" i="59"/>
  <c r="S25" i="59"/>
  <c r="R25" i="59"/>
  <c r="Q25" i="59"/>
  <c r="P25" i="59"/>
  <c r="O25" i="59"/>
  <c r="N25" i="59"/>
  <c r="M25" i="59"/>
  <c r="L25" i="59"/>
  <c r="U24" i="59"/>
  <c r="T24" i="59"/>
  <c r="S24" i="59"/>
  <c r="R24" i="59"/>
  <c r="Q24" i="59"/>
  <c r="P24" i="59"/>
  <c r="O24" i="59"/>
  <c r="N24" i="59"/>
  <c r="M24" i="59"/>
  <c r="L24" i="59"/>
  <c r="U23" i="59"/>
  <c r="T23" i="59"/>
  <c r="S23" i="59"/>
  <c r="R23" i="59"/>
  <c r="Q23" i="59"/>
  <c r="P23" i="59"/>
  <c r="O23" i="59"/>
  <c r="N23" i="59"/>
  <c r="M23" i="59"/>
  <c r="L23" i="59"/>
  <c r="U22" i="59"/>
  <c r="T22" i="59"/>
  <c r="S22" i="59"/>
  <c r="R22" i="59"/>
  <c r="Q22" i="59"/>
  <c r="P22" i="59"/>
  <c r="O22" i="59"/>
  <c r="N22" i="59"/>
  <c r="M22" i="59"/>
  <c r="L22" i="59"/>
  <c r="U21" i="59"/>
  <c r="T21" i="59"/>
  <c r="S21" i="59"/>
  <c r="R21" i="59"/>
  <c r="Q21" i="59"/>
  <c r="P21" i="59"/>
  <c r="O21" i="59"/>
  <c r="N21" i="59"/>
  <c r="M21" i="59"/>
  <c r="L21" i="59"/>
  <c r="U20" i="59"/>
  <c r="T20" i="59"/>
  <c r="S20" i="59"/>
  <c r="R20" i="59"/>
  <c r="Q20" i="59"/>
  <c r="P20" i="59"/>
  <c r="O20" i="59"/>
  <c r="N20" i="59"/>
  <c r="M20" i="59"/>
  <c r="L20" i="59"/>
  <c r="U19" i="59"/>
  <c r="T19" i="59"/>
  <c r="S19" i="59"/>
  <c r="R19" i="59"/>
  <c r="Q19" i="59"/>
  <c r="P19" i="59"/>
  <c r="O19" i="59"/>
  <c r="N19" i="59"/>
  <c r="M19" i="59"/>
  <c r="L19" i="59"/>
  <c r="U18" i="59"/>
  <c r="T18" i="59"/>
  <c r="S18" i="59"/>
  <c r="R18" i="59"/>
  <c r="Q18" i="59"/>
  <c r="P18" i="59"/>
  <c r="O18" i="59"/>
  <c r="N18" i="59"/>
  <c r="M18" i="59"/>
  <c r="L18" i="59"/>
  <c r="U17" i="59"/>
  <c r="T17" i="59"/>
  <c r="S17" i="59"/>
  <c r="R17" i="59"/>
  <c r="Q17" i="59"/>
  <c r="P17" i="59"/>
  <c r="O17" i="59"/>
  <c r="N17" i="59"/>
  <c r="M17" i="59"/>
  <c r="L17" i="59"/>
  <c r="U16" i="59"/>
  <c r="T16" i="59"/>
  <c r="S16" i="59"/>
  <c r="R16" i="59"/>
  <c r="Q16" i="59"/>
  <c r="P16" i="59"/>
  <c r="O16" i="59"/>
  <c r="N16" i="59"/>
  <c r="M16" i="59"/>
  <c r="L16" i="59"/>
  <c r="U15" i="59"/>
  <c r="T15" i="59"/>
  <c r="S15" i="59"/>
  <c r="R15" i="59"/>
  <c r="Q15" i="59"/>
  <c r="P15" i="59"/>
  <c r="O15" i="59"/>
  <c r="N15" i="59"/>
  <c r="M15" i="59"/>
  <c r="L15" i="59"/>
  <c r="U14" i="59"/>
  <c r="T14" i="59"/>
  <c r="S14" i="59"/>
  <c r="R14" i="59"/>
  <c r="Q14" i="59"/>
  <c r="P14" i="59"/>
  <c r="O14" i="59"/>
  <c r="N14" i="59"/>
  <c r="M14" i="59"/>
  <c r="L14" i="59"/>
  <c r="U13" i="59"/>
  <c r="T13" i="59"/>
  <c r="S13" i="59"/>
  <c r="R13" i="59"/>
  <c r="Q13" i="59"/>
  <c r="P13" i="59"/>
  <c r="O13" i="59"/>
  <c r="N13" i="59"/>
  <c r="M13" i="59"/>
  <c r="L13" i="59"/>
  <c r="U12" i="59"/>
  <c r="T12" i="59"/>
  <c r="S12" i="59"/>
  <c r="R12" i="59"/>
  <c r="Q12" i="59"/>
  <c r="P12" i="59"/>
  <c r="O12" i="59"/>
  <c r="N12" i="59"/>
  <c r="M12" i="59"/>
  <c r="L12" i="59"/>
  <c r="U11" i="59"/>
  <c r="T11" i="59"/>
  <c r="S11" i="59"/>
  <c r="R11" i="59"/>
  <c r="Q11" i="59"/>
  <c r="P11" i="59"/>
  <c r="O11" i="59"/>
  <c r="N11" i="59"/>
  <c r="M11" i="59"/>
  <c r="L11" i="59"/>
  <c r="U10" i="59"/>
  <c r="T10" i="59"/>
  <c r="S10" i="59"/>
  <c r="R10" i="59"/>
  <c r="Q10" i="59"/>
  <c r="P10" i="59"/>
  <c r="O10" i="59"/>
  <c r="N10" i="59"/>
  <c r="M10" i="59"/>
  <c r="L10" i="59"/>
  <c r="U9" i="59"/>
  <c r="T9" i="59"/>
  <c r="S9" i="59"/>
  <c r="R9" i="59"/>
  <c r="Q9" i="59"/>
  <c r="P9" i="59"/>
  <c r="O9" i="59"/>
  <c r="N9" i="59"/>
  <c r="M9" i="59"/>
  <c r="L9" i="59"/>
  <c r="U8" i="59"/>
  <c r="T8" i="59"/>
  <c r="S8" i="59"/>
  <c r="R8" i="59"/>
  <c r="Q8" i="59"/>
  <c r="P8" i="59"/>
  <c r="O8" i="59"/>
  <c r="N8" i="59"/>
  <c r="M8" i="59"/>
  <c r="L8" i="59"/>
  <c r="U7" i="59"/>
  <c r="T7" i="59"/>
  <c r="S7" i="59"/>
  <c r="R7" i="59"/>
  <c r="Q7" i="59"/>
  <c r="P7" i="59"/>
  <c r="O7" i="59"/>
  <c r="N7" i="59"/>
  <c r="M7" i="59"/>
  <c r="L7" i="59"/>
  <c r="U6" i="59"/>
  <c r="T6" i="59"/>
  <c r="S6" i="59"/>
  <c r="R6" i="59"/>
  <c r="Q6" i="59"/>
  <c r="P6" i="59"/>
  <c r="O6" i="59"/>
  <c r="N6" i="59"/>
  <c r="M6" i="59"/>
  <c r="L6" i="59"/>
  <c r="U5" i="59"/>
  <c r="T5" i="59"/>
  <c r="S5" i="59"/>
  <c r="R5" i="59"/>
  <c r="Q5" i="59"/>
  <c r="P5" i="59"/>
  <c r="O5" i="59"/>
  <c r="N5" i="59"/>
  <c r="M5" i="59"/>
  <c r="L5" i="59"/>
  <c r="U4" i="59"/>
  <c r="T4" i="59"/>
  <c r="S4" i="59"/>
  <c r="R4" i="59"/>
  <c r="Q4" i="59"/>
  <c r="P4" i="59"/>
  <c r="O4" i="59"/>
  <c r="N4" i="59"/>
  <c r="M4" i="59"/>
  <c r="L4" i="59"/>
  <c r="F104" i="47" l="1"/>
  <c r="E104" i="47"/>
  <c r="G104" i="47" l="1"/>
  <c r="H104" i="47" s="1"/>
  <c r="O143" i="58" l="1"/>
  <c r="O143" i="46"/>
  <c r="G39" i="2"/>
  <c r="S39" i="2"/>
  <c r="BG39" i="2"/>
  <c r="BG37" i="2"/>
  <c r="AI37" i="2"/>
  <c r="AF38" i="48" l="1"/>
  <c r="AR145" i="58"/>
  <c r="BA145" i="58" s="1"/>
  <c r="AM145" i="58"/>
  <c r="AR144" i="58"/>
  <c r="BA144" i="58" s="1"/>
  <c r="AM144" i="58"/>
  <c r="AR143" i="58"/>
  <c r="BA143" i="58" s="1"/>
  <c r="AM143" i="58"/>
  <c r="C143" i="58"/>
  <c r="N143" i="58"/>
  <c r="K143" i="58" s="1"/>
  <c r="J143" i="58"/>
  <c r="C143" i="46"/>
  <c r="N38" i="48" s="1"/>
  <c r="N143" i="46"/>
  <c r="J143" i="46"/>
  <c r="AR145" i="46"/>
  <c r="BA145" i="46" s="1"/>
  <c r="AM145" i="46"/>
  <c r="AR144" i="46"/>
  <c r="BA144" i="46" s="1"/>
  <c r="AM144" i="46"/>
  <c r="AR143" i="46"/>
  <c r="BA143" i="46" s="1"/>
  <c r="AM143" i="46"/>
  <c r="I38" i="4"/>
  <c r="I104" i="47" s="1"/>
  <c r="G40" i="4"/>
  <c r="G39" i="4"/>
  <c r="G38" i="4"/>
  <c r="O10" i="4"/>
  <c r="O9" i="4"/>
  <c r="O8" i="4"/>
  <c r="N6" i="4"/>
  <c r="AD144" i="58" l="1"/>
  <c r="AD144" i="46"/>
  <c r="AD143" i="58"/>
  <c r="AD145" i="58"/>
  <c r="V143" i="58"/>
  <c r="P143" i="58"/>
  <c r="V143" i="46"/>
  <c r="U143" i="58"/>
  <c r="K143" i="46"/>
  <c r="L38" i="48" s="1"/>
  <c r="AD143" i="46"/>
  <c r="T143" i="58"/>
  <c r="AC143" i="58" s="1"/>
  <c r="AD145" i="46"/>
  <c r="AH38" i="48"/>
  <c r="T143" i="46"/>
  <c r="U143" i="46"/>
  <c r="P143" i="46"/>
  <c r="AC143" i="46" l="1"/>
  <c r="N140" i="58" l="1"/>
  <c r="J140" i="58"/>
  <c r="N139" i="58"/>
  <c r="J139" i="58"/>
  <c r="N138" i="58"/>
  <c r="J138" i="58"/>
  <c r="L39" i="37"/>
  <c r="I102" i="47" s="1"/>
  <c r="L38" i="37"/>
  <c r="I38" i="37"/>
  <c r="E102" i="47"/>
  <c r="G102" i="47" s="1"/>
  <c r="H102" i="47" s="1"/>
  <c r="F101" i="47"/>
  <c r="E101" i="47"/>
  <c r="F100" i="47"/>
  <c r="E100" i="47"/>
  <c r="K16" i="37"/>
  <c r="W138" i="58" s="1"/>
  <c r="K18" i="37"/>
  <c r="W139" i="58" s="1"/>
  <c r="C26" i="37"/>
  <c r="K13" i="37" s="1"/>
  <c r="W140" i="58" s="1"/>
  <c r="L37" i="37" l="1"/>
  <c r="I100" i="47" s="1"/>
  <c r="I101" i="47"/>
  <c r="O140" i="58"/>
  <c r="K140" i="58" s="1"/>
  <c r="O140" i="46"/>
  <c r="G101" i="47"/>
  <c r="H101" i="47" s="1"/>
  <c r="G100" i="47"/>
  <c r="H100" i="47" s="1"/>
  <c r="O139" i="58" l="1"/>
  <c r="O139" i="46"/>
  <c r="O138" i="46"/>
  <c r="O138" i="58"/>
  <c r="C140" i="58"/>
  <c r="BG38" i="2"/>
  <c r="AI38" i="2"/>
  <c r="G38" i="2"/>
  <c r="C139" i="58" l="1"/>
  <c r="K139" i="58"/>
  <c r="K138" i="58"/>
  <c r="X138" i="58" s="1"/>
  <c r="C138" i="58"/>
  <c r="AF37" i="48"/>
  <c r="AR141" i="58"/>
  <c r="BA141" i="58" s="1"/>
  <c r="AM141" i="58"/>
  <c r="AR140" i="58"/>
  <c r="BA140" i="58" s="1"/>
  <c r="AM140" i="58"/>
  <c r="AR139" i="58"/>
  <c r="BA139" i="58" s="1"/>
  <c r="AM139" i="58"/>
  <c r="V139" i="58"/>
  <c r="AR138" i="58"/>
  <c r="BA138" i="58" s="1"/>
  <c r="AM138" i="58"/>
  <c r="W138" i="46"/>
  <c r="W140" i="46"/>
  <c r="W139" i="46"/>
  <c r="U140" i="46"/>
  <c r="N140" i="46"/>
  <c r="J140" i="46"/>
  <c r="T138" i="46"/>
  <c r="N138" i="46"/>
  <c r="J138" i="46"/>
  <c r="AR141" i="46"/>
  <c r="BA141" i="46" s="1"/>
  <c r="AM141" i="46"/>
  <c r="AR140" i="46"/>
  <c r="BA140" i="46" s="1"/>
  <c r="AM140" i="46"/>
  <c r="AR139" i="46"/>
  <c r="BA139" i="46" s="1"/>
  <c r="AM139" i="46"/>
  <c r="U139" i="46"/>
  <c r="N139" i="46"/>
  <c r="K139" i="46" s="1"/>
  <c r="J139" i="46"/>
  <c r="AR138" i="46"/>
  <c r="BA138" i="46" s="1"/>
  <c r="AM138" i="46"/>
  <c r="P20" i="37"/>
  <c r="Q19" i="37"/>
  <c r="Q18" i="37"/>
  <c r="O19" i="37"/>
  <c r="R19" i="37" s="1"/>
  <c r="O18" i="37"/>
  <c r="R18" i="37" s="1"/>
  <c r="Q9" i="37"/>
  <c r="Q8" i="37"/>
  <c r="P10" i="37"/>
  <c r="Q26" i="37"/>
  <c r="Q25" i="37"/>
  <c r="P27" i="37"/>
  <c r="O26" i="37"/>
  <c r="R26" i="37" s="1"/>
  <c r="O25" i="37"/>
  <c r="R25" i="37" s="1"/>
  <c r="O9" i="37"/>
  <c r="R9" i="37" s="1"/>
  <c r="O8" i="37"/>
  <c r="R8" i="37" s="1"/>
  <c r="N6" i="37"/>
  <c r="AD139" i="58" l="1"/>
  <c r="AD141" i="58"/>
  <c r="R20" i="37"/>
  <c r="R21" i="37" s="1"/>
  <c r="AD138" i="58"/>
  <c r="AD140" i="58"/>
  <c r="AD138" i="46"/>
  <c r="AD139" i="46"/>
  <c r="Q20" i="37"/>
  <c r="Q21" i="37" s="1"/>
  <c r="AD140" i="46"/>
  <c r="C140" i="46"/>
  <c r="V140" i="46"/>
  <c r="K140" i="46"/>
  <c r="P140" i="58"/>
  <c r="T140" i="58"/>
  <c r="U140" i="58"/>
  <c r="P140" i="46"/>
  <c r="V140" i="58"/>
  <c r="T140" i="46"/>
  <c r="P139" i="58"/>
  <c r="T139" i="58"/>
  <c r="U139" i="58"/>
  <c r="AH37" i="48"/>
  <c r="U138" i="46"/>
  <c r="C138" i="46"/>
  <c r="P138" i="58"/>
  <c r="K138" i="46"/>
  <c r="T138" i="58"/>
  <c r="AC138" i="58" s="1"/>
  <c r="V138" i="46"/>
  <c r="U138" i="58"/>
  <c r="V138" i="58"/>
  <c r="P138" i="46"/>
  <c r="AD141" i="46"/>
  <c r="P139" i="46"/>
  <c r="T139" i="46"/>
  <c r="C139" i="46"/>
  <c r="V139" i="46"/>
  <c r="Q10" i="37"/>
  <c r="Q11" i="37" s="1"/>
  <c r="R10" i="37"/>
  <c r="R11" i="37" s="1"/>
  <c r="Q27" i="37"/>
  <c r="Q28" i="37" s="1"/>
  <c r="R27" i="37"/>
  <c r="R28" i="37" s="1"/>
  <c r="N37" i="48" l="1"/>
  <c r="X138" i="46"/>
  <c r="AC138" i="46"/>
  <c r="L37" i="48"/>
  <c r="Z134" i="46" l="1"/>
  <c r="Z133" i="46"/>
  <c r="K16" i="6"/>
  <c r="W135" i="58" s="1"/>
  <c r="C17" i="6"/>
  <c r="C16" i="6"/>
  <c r="K15" i="6" s="1"/>
  <c r="W134" i="58" s="1"/>
  <c r="I97" i="47"/>
  <c r="I96" i="47"/>
  <c r="F98" i="47"/>
  <c r="E98" i="47"/>
  <c r="F97" i="47"/>
  <c r="F96" i="47"/>
  <c r="E97" i="47"/>
  <c r="G97" i="47" s="1"/>
  <c r="H97" i="47" s="1"/>
  <c r="E96" i="47"/>
  <c r="C7" i="6"/>
  <c r="G37" i="2"/>
  <c r="G98" i="47" l="1"/>
  <c r="H98" i="47" s="1"/>
  <c r="K13" i="6"/>
  <c r="W133" i="58" s="1"/>
  <c r="O134" i="58"/>
  <c r="O134" i="46"/>
  <c r="O135" i="58"/>
  <c r="O135" i="46"/>
  <c r="G96" i="47"/>
  <c r="H96" i="47" s="1"/>
  <c r="O133" i="46" l="1"/>
  <c r="O133" i="58"/>
  <c r="AF36" i="48"/>
  <c r="AR136" i="58"/>
  <c r="BA136" i="58" s="1"/>
  <c r="AM136" i="58"/>
  <c r="AR135" i="58"/>
  <c r="BA135" i="58" s="1"/>
  <c r="AM135" i="58"/>
  <c r="AD135" i="58" s="1"/>
  <c r="U135" i="58"/>
  <c r="T135" i="58"/>
  <c r="P135" i="58"/>
  <c r="N135" i="58"/>
  <c r="K135" i="58" s="1"/>
  <c r="AC135" i="58" s="1"/>
  <c r="J135" i="58"/>
  <c r="C135" i="58"/>
  <c r="AR134" i="58"/>
  <c r="BA134" i="58" s="1"/>
  <c r="AM134" i="58"/>
  <c r="S134" i="58"/>
  <c r="N134" i="58"/>
  <c r="K134" i="58" s="1"/>
  <c r="J134" i="58"/>
  <c r="AR133" i="58"/>
  <c r="BA133" i="58" s="1"/>
  <c r="AM133" i="58"/>
  <c r="U133" i="58"/>
  <c r="N133" i="58"/>
  <c r="J133" i="58"/>
  <c r="AM136" i="46"/>
  <c r="AR136" i="46"/>
  <c r="BA136" i="46" s="1"/>
  <c r="W135" i="46"/>
  <c r="W134" i="46"/>
  <c r="W133" i="46"/>
  <c r="S134" i="46"/>
  <c r="P134" i="46" s="1"/>
  <c r="J134" i="46"/>
  <c r="N134" i="46"/>
  <c r="J135" i="46"/>
  <c r="N135" i="46"/>
  <c r="V135" i="46" s="1"/>
  <c r="C135" i="46"/>
  <c r="U135" i="46"/>
  <c r="AR135" i="46"/>
  <c r="BA135" i="46" s="1"/>
  <c r="AM135" i="46"/>
  <c r="AR134" i="46"/>
  <c r="BA134" i="46" s="1"/>
  <c r="AM134" i="46"/>
  <c r="AR133" i="46"/>
  <c r="BA133" i="46" s="1"/>
  <c r="AM133" i="46"/>
  <c r="T133" i="46"/>
  <c r="P133" i="46"/>
  <c r="N133" i="46"/>
  <c r="V133" i="46" s="1"/>
  <c r="J133" i="46"/>
  <c r="L39" i="6"/>
  <c r="I98" i="47" s="1"/>
  <c r="I38" i="6"/>
  <c r="P15" i="6"/>
  <c r="Q15" i="6" s="1"/>
  <c r="P16" i="6"/>
  <c r="Q16" i="6" s="1"/>
  <c r="O16" i="6"/>
  <c r="O15" i="6"/>
  <c r="Q8" i="6"/>
  <c r="P9" i="6"/>
  <c r="P10" i="6" s="1"/>
  <c r="O9" i="6"/>
  <c r="R9" i="6" s="1"/>
  <c r="O8" i="6"/>
  <c r="R8" i="6" s="1"/>
  <c r="N6" i="6"/>
  <c r="AD133" i="58" l="1"/>
  <c r="Q9" i="6"/>
  <c r="AD136" i="58"/>
  <c r="AD136" i="46"/>
  <c r="V135" i="58"/>
  <c r="AD134" i="58"/>
  <c r="AD133" i="46"/>
  <c r="K133" i="46"/>
  <c r="AC133" i="46" s="1"/>
  <c r="AD135" i="46"/>
  <c r="K135" i="46"/>
  <c r="AD134" i="46"/>
  <c r="P134" i="58"/>
  <c r="T134" i="58"/>
  <c r="AC134" i="58" s="1"/>
  <c r="C134" i="58"/>
  <c r="U134" i="58"/>
  <c r="V134" i="58"/>
  <c r="K134" i="46"/>
  <c r="C133" i="58"/>
  <c r="V133" i="58"/>
  <c r="U133" i="46"/>
  <c r="K133" i="58"/>
  <c r="X133" i="58" s="1"/>
  <c r="C133" i="46"/>
  <c r="P133" i="58"/>
  <c r="T133" i="58"/>
  <c r="T135" i="46"/>
  <c r="V134" i="46"/>
  <c r="C134" i="46"/>
  <c r="P135" i="46"/>
  <c r="U134" i="46"/>
  <c r="T134" i="46"/>
  <c r="R15" i="6"/>
  <c r="P17" i="6"/>
  <c r="Q17" i="6"/>
  <c r="R16" i="6"/>
  <c r="Q10" i="6"/>
  <c r="Q11" i="6" s="1"/>
  <c r="R10" i="6"/>
  <c r="R11" i="6" s="1"/>
  <c r="Z126" i="46"/>
  <c r="E94" i="47"/>
  <c r="G94" i="47" s="1"/>
  <c r="H94" i="47" s="1"/>
  <c r="O129" i="58" s="1"/>
  <c r="F92" i="47"/>
  <c r="E92" i="47"/>
  <c r="E91" i="47"/>
  <c r="G91" i="47" s="1"/>
  <c r="H91" i="47" s="1"/>
  <c r="O125" i="46" s="1"/>
  <c r="C8" i="8"/>
  <c r="K13" i="8" s="1"/>
  <c r="W126" i="58" s="1"/>
  <c r="C7" i="8"/>
  <c r="K17" i="8" s="1"/>
  <c r="W125" i="58" s="1"/>
  <c r="Q18" i="6" l="1"/>
  <c r="AC134" i="46"/>
  <c r="R17" i="6"/>
  <c r="R18" i="6" s="1"/>
  <c r="AC135" i="46"/>
  <c r="N36" i="48"/>
  <c r="X133" i="46"/>
  <c r="L36" i="48"/>
  <c r="AH36" i="48"/>
  <c r="AC133" i="58"/>
  <c r="O129" i="46"/>
  <c r="G92" i="47"/>
  <c r="H92" i="47" s="1"/>
  <c r="O125" i="58"/>
  <c r="BG35" i="2"/>
  <c r="BG36" i="2"/>
  <c r="G36" i="2"/>
  <c r="G35" i="2"/>
  <c r="O126" i="58" l="1"/>
  <c r="O126" i="46"/>
  <c r="AF35" i="48"/>
  <c r="AF34" i="48"/>
  <c r="AR131" i="58"/>
  <c r="BA131" i="58" s="1"/>
  <c r="AM131" i="58"/>
  <c r="AR130" i="58"/>
  <c r="BA130" i="58" s="1"/>
  <c r="AM130" i="58"/>
  <c r="AR129" i="58"/>
  <c r="BA129" i="58" s="1"/>
  <c r="AM129" i="58"/>
  <c r="P129" i="58"/>
  <c r="C129" i="58"/>
  <c r="N129" i="58"/>
  <c r="K129" i="58" s="1"/>
  <c r="AH35" i="48" s="1"/>
  <c r="J129" i="58"/>
  <c r="AR127" i="58"/>
  <c r="BA127" i="58" s="1"/>
  <c r="AM127" i="58"/>
  <c r="AR126" i="58"/>
  <c r="BA126" i="58" s="1"/>
  <c r="AM126" i="58"/>
  <c r="N126" i="58"/>
  <c r="K126" i="58" s="1"/>
  <c r="J126" i="58"/>
  <c r="AR125" i="58"/>
  <c r="BA125" i="58" s="1"/>
  <c r="AM125" i="58"/>
  <c r="T125" i="58"/>
  <c r="N125" i="58"/>
  <c r="J125" i="58"/>
  <c r="U129" i="46"/>
  <c r="T129" i="46"/>
  <c r="P129" i="46"/>
  <c r="N129" i="46"/>
  <c r="K129" i="46" s="1"/>
  <c r="L35" i="48" s="1"/>
  <c r="J129" i="46"/>
  <c r="C129" i="46"/>
  <c r="N35" i="48" s="1"/>
  <c r="AR131" i="46"/>
  <c r="BA131" i="46" s="1"/>
  <c r="AM131" i="46"/>
  <c r="AR130" i="46"/>
  <c r="BA130" i="46" s="1"/>
  <c r="AM130" i="46"/>
  <c r="AR129" i="46"/>
  <c r="BA129" i="46" s="1"/>
  <c r="AM129" i="46"/>
  <c r="W126" i="46"/>
  <c r="W125" i="46"/>
  <c r="N126" i="46"/>
  <c r="V126" i="46" s="1"/>
  <c r="J126" i="46"/>
  <c r="AR127" i="46"/>
  <c r="BA127" i="46" s="1"/>
  <c r="AM127" i="46"/>
  <c r="AR126" i="46"/>
  <c r="BA126" i="46" s="1"/>
  <c r="AM126" i="46"/>
  <c r="AR125" i="46"/>
  <c r="BA125" i="46" s="1"/>
  <c r="AM125" i="46"/>
  <c r="P125" i="46"/>
  <c r="N125" i="46"/>
  <c r="V125" i="46" s="1"/>
  <c r="J125" i="46"/>
  <c r="I38" i="7"/>
  <c r="I94" i="47" s="1"/>
  <c r="F42" i="7"/>
  <c r="G40" i="7"/>
  <c r="G39" i="7"/>
  <c r="G38" i="7"/>
  <c r="O8" i="7"/>
  <c r="N6" i="7"/>
  <c r="AD130" i="58" l="1"/>
  <c r="V129" i="46"/>
  <c r="G42" i="7"/>
  <c r="I37" i="7" s="1"/>
  <c r="AD130" i="46"/>
  <c r="AD127" i="46"/>
  <c r="AD129" i="46"/>
  <c r="AD131" i="46"/>
  <c r="AD125" i="46"/>
  <c r="AD126" i="46"/>
  <c r="K125" i="46"/>
  <c r="T126" i="58"/>
  <c r="AC126" i="58" s="1"/>
  <c r="P126" i="58"/>
  <c r="C126" i="58"/>
  <c r="T126" i="46"/>
  <c r="U126" i="46"/>
  <c r="C126" i="46"/>
  <c r="K126" i="46"/>
  <c r="P126" i="46"/>
  <c r="K125" i="58"/>
  <c r="X125" i="58" s="1"/>
  <c r="U125" i="58"/>
  <c r="C125" i="46"/>
  <c r="T125" i="46"/>
  <c r="U125" i="46"/>
  <c r="V125" i="58"/>
  <c r="C125" i="58"/>
  <c r="AD129" i="58"/>
  <c r="AD125" i="58"/>
  <c r="AD131" i="58"/>
  <c r="AD127" i="58"/>
  <c r="AD126" i="58"/>
  <c r="U126" i="58"/>
  <c r="AA125" i="58" s="1"/>
  <c r="V126" i="58"/>
  <c r="T129" i="58"/>
  <c r="AC129" i="58" s="1"/>
  <c r="U129" i="58"/>
  <c r="P125" i="58"/>
  <c r="V129" i="58"/>
  <c r="AC129" i="46"/>
  <c r="L37" i="8"/>
  <c r="I91" i="47" s="1"/>
  <c r="AC126" i="46" l="1"/>
  <c r="AC125" i="46"/>
  <c r="X125" i="46"/>
  <c r="AA125" i="46"/>
  <c r="L34" i="48"/>
  <c r="N34" i="48"/>
  <c r="AC125" i="58"/>
  <c r="AB125" i="58" s="1"/>
  <c r="AH34" i="48"/>
  <c r="AB125" i="46" l="1"/>
  <c r="I38" i="8"/>
  <c r="L38" i="8" s="1"/>
  <c r="I92" i="47" s="1"/>
  <c r="F42" i="8"/>
  <c r="G40" i="8"/>
  <c r="G39" i="8"/>
  <c r="G38" i="8"/>
  <c r="Q10" i="8"/>
  <c r="O9" i="8"/>
  <c r="O8" i="8"/>
  <c r="N6" i="8"/>
  <c r="G42" i="8" l="1"/>
  <c r="I37" i="8" s="1"/>
  <c r="BG34" i="2"/>
  <c r="G34" i="2"/>
  <c r="F89" i="47"/>
  <c r="E89" i="47"/>
  <c r="G89" i="47" l="1"/>
  <c r="H89" i="47" s="1"/>
  <c r="O121" i="46" s="1"/>
  <c r="P121" i="46" s="1"/>
  <c r="AF33" i="48"/>
  <c r="AR123" i="58"/>
  <c r="BA123" i="58" s="1"/>
  <c r="AM123" i="58"/>
  <c r="AR122" i="58"/>
  <c r="BA122" i="58" s="1"/>
  <c r="AM122" i="58"/>
  <c r="AR121" i="58"/>
  <c r="BA121" i="58" s="1"/>
  <c r="AM121" i="58"/>
  <c r="N121" i="58"/>
  <c r="J121" i="58"/>
  <c r="N121" i="46"/>
  <c r="J121" i="46"/>
  <c r="AM121" i="46"/>
  <c r="AR121" i="46"/>
  <c r="BA121" i="46" s="1"/>
  <c r="AM122" i="46"/>
  <c r="AR122" i="46"/>
  <c r="BA122" i="46" s="1"/>
  <c r="AM123" i="46"/>
  <c r="AR123" i="46"/>
  <c r="BA123" i="46"/>
  <c r="T121" i="46" l="1"/>
  <c r="AD121" i="58"/>
  <c r="C121" i="46"/>
  <c r="N33" i="48" s="1"/>
  <c r="U121" i="46"/>
  <c r="V121" i="46"/>
  <c r="O121" i="58"/>
  <c r="AD123" i="58"/>
  <c r="AD122" i="58"/>
  <c r="K121" i="46"/>
  <c r="L33" i="48" s="1"/>
  <c r="AD123" i="46"/>
  <c r="AD122" i="46"/>
  <c r="AD121" i="46"/>
  <c r="AC121" i="46"/>
  <c r="G40" i="9"/>
  <c r="G39" i="9"/>
  <c r="I38" i="9"/>
  <c r="I89" i="47" s="1"/>
  <c r="P9" i="9"/>
  <c r="P8" i="9"/>
  <c r="Q8" i="9" s="1"/>
  <c r="O9" i="9"/>
  <c r="O8" i="9"/>
  <c r="R8" i="9" s="1"/>
  <c r="N6" i="9"/>
  <c r="T121" i="58" l="1"/>
  <c r="U121" i="58"/>
  <c r="P121" i="58"/>
  <c r="K121" i="58"/>
  <c r="C121" i="58"/>
  <c r="V121" i="58"/>
  <c r="P10" i="9"/>
  <c r="R9" i="9"/>
  <c r="R10" i="9" s="1"/>
  <c r="R11" i="9" s="1"/>
  <c r="Q9" i="9"/>
  <c r="Q10" i="9" s="1"/>
  <c r="Q11" i="9" l="1"/>
  <c r="AH33" i="48"/>
  <c r="AC121" i="58"/>
  <c r="CD34" i="59"/>
  <c r="AF32" i="48" l="1"/>
  <c r="BG33" i="2" l="1"/>
  <c r="G33" i="2"/>
  <c r="Z116" i="46"/>
  <c r="F87" i="47"/>
  <c r="E87" i="47"/>
  <c r="G87" i="47" s="1"/>
  <c r="H87" i="47" s="1"/>
  <c r="O117" i="58" s="1"/>
  <c r="F85" i="47"/>
  <c r="E86" i="47"/>
  <c r="G86" i="47" s="1"/>
  <c r="E85" i="47"/>
  <c r="C25" i="10"/>
  <c r="C26" i="10" s="1"/>
  <c r="H85" i="47" l="1"/>
  <c r="O116" i="46" s="1"/>
  <c r="O117" i="46"/>
  <c r="O116" i="58"/>
  <c r="G85" i="47"/>
  <c r="M35" i="53" l="1"/>
  <c r="D35" i="53"/>
  <c r="AR119" i="58"/>
  <c r="BA119" i="58" s="1"/>
  <c r="AM119" i="58"/>
  <c r="AR118" i="58"/>
  <c r="BA118" i="58" s="1"/>
  <c r="AM118" i="58"/>
  <c r="AR117" i="58"/>
  <c r="BA117" i="58" s="1"/>
  <c r="AM117" i="58"/>
  <c r="S117" i="58"/>
  <c r="T117" i="58"/>
  <c r="N117" i="58"/>
  <c r="K117" i="58" s="1"/>
  <c r="J117" i="58"/>
  <c r="AR116" i="58"/>
  <c r="BA116" i="58" s="1"/>
  <c r="AM116" i="58"/>
  <c r="V116" i="58"/>
  <c r="U116" i="58"/>
  <c r="T116" i="58"/>
  <c r="P116" i="58"/>
  <c r="N116" i="58"/>
  <c r="K116" i="58" s="1"/>
  <c r="AH32" i="48" s="1"/>
  <c r="J116" i="58"/>
  <c r="C116" i="58"/>
  <c r="S117" i="46"/>
  <c r="C117" i="46"/>
  <c r="N117" i="46"/>
  <c r="K117" i="46"/>
  <c r="J117" i="46"/>
  <c r="AR119" i="46"/>
  <c r="BA119" i="46" s="1"/>
  <c r="AM119" i="46"/>
  <c r="AR118" i="46"/>
  <c r="BA118" i="46" s="1"/>
  <c r="AM118" i="46"/>
  <c r="AR117" i="46"/>
  <c r="BA117" i="46" s="1"/>
  <c r="AM117" i="46"/>
  <c r="AR116" i="46"/>
  <c r="BA116" i="46" s="1"/>
  <c r="AM116" i="46"/>
  <c r="U116" i="46"/>
  <c r="T116" i="46"/>
  <c r="P116" i="46"/>
  <c r="N116" i="46"/>
  <c r="V116" i="46" s="1"/>
  <c r="J116" i="46"/>
  <c r="C116" i="46"/>
  <c r="K17" i="10"/>
  <c r="W117" i="58" s="1"/>
  <c r="K13" i="10"/>
  <c r="W116" i="58" s="1"/>
  <c r="X116" i="58" s="1"/>
  <c r="L37" i="10"/>
  <c r="I85" i="47" s="1"/>
  <c r="I38" i="10"/>
  <c r="G39" i="10"/>
  <c r="G38" i="10"/>
  <c r="P25" i="10"/>
  <c r="Q25" i="10" s="1"/>
  <c r="P24" i="10"/>
  <c r="Q24" i="10" s="1"/>
  <c r="O25" i="10"/>
  <c r="O24" i="10"/>
  <c r="O15" i="10"/>
  <c r="O8" i="10"/>
  <c r="N6" i="10"/>
  <c r="L38" i="10" l="1"/>
  <c r="I87" i="47" s="1"/>
  <c r="K116" i="46"/>
  <c r="AC116" i="46" s="1"/>
  <c r="AD118" i="46"/>
  <c r="R24" i="10"/>
  <c r="R25" i="10"/>
  <c r="R26" i="10" s="1"/>
  <c r="AD117" i="58"/>
  <c r="P26" i="10"/>
  <c r="AD116" i="58"/>
  <c r="AD118" i="58"/>
  <c r="AD119" i="58"/>
  <c r="AD117" i="46"/>
  <c r="V117" i="58"/>
  <c r="AD119" i="46"/>
  <c r="Q26" i="10"/>
  <c r="AD116" i="46"/>
  <c r="C117" i="58"/>
  <c r="U117" i="58"/>
  <c r="AC117" i="58"/>
  <c r="P117" i="58"/>
  <c r="N32" i="48"/>
  <c r="T117" i="46"/>
  <c r="AC117" i="46" s="1"/>
  <c r="P117" i="46"/>
  <c r="U117" i="46"/>
  <c r="V117" i="46"/>
  <c r="W117" i="46"/>
  <c r="W116" i="46"/>
  <c r="AC116" i="58"/>
  <c r="BG32" i="2"/>
  <c r="G32" i="2"/>
  <c r="F83" i="47"/>
  <c r="E83" i="47"/>
  <c r="Q27" i="10" l="1"/>
  <c r="R27" i="10"/>
  <c r="L32" i="48"/>
  <c r="G83" i="47"/>
  <c r="H83" i="47" s="1"/>
  <c r="O111" i="58" s="1"/>
  <c r="X116" i="46"/>
  <c r="O111" i="46"/>
  <c r="AR114" i="58"/>
  <c r="BA114" i="58" s="1"/>
  <c r="AM114" i="58"/>
  <c r="AM114" i="46"/>
  <c r="AR114" i="46"/>
  <c r="BA114" i="46" s="1"/>
  <c r="Q28" i="11"/>
  <c r="R28" i="11" s="1"/>
  <c r="AD114" i="58" l="1"/>
  <c r="AD114" i="46"/>
  <c r="AF31" i="48"/>
  <c r="AR113" i="58" l="1"/>
  <c r="BA113" i="58" s="1"/>
  <c r="AM113" i="58"/>
  <c r="AD113" i="58" s="1"/>
  <c r="AR112" i="58"/>
  <c r="BA112" i="58" s="1"/>
  <c r="AM112" i="58"/>
  <c r="AR111" i="58"/>
  <c r="BA111" i="58" s="1"/>
  <c r="AM111" i="58"/>
  <c r="N111" i="58"/>
  <c r="V111" i="58" s="1"/>
  <c r="J111" i="58"/>
  <c r="N111" i="46"/>
  <c r="V111" i="46" s="1"/>
  <c r="J111" i="46"/>
  <c r="AR113" i="46"/>
  <c r="BA113" i="46" s="1"/>
  <c r="AM113" i="46"/>
  <c r="AR112" i="46"/>
  <c r="BA112" i="46" s="1"/>
  <c r="AM112" i="46"/>
  <c r="AR111" i="46"/>
  <c r="BA111" i="46" s="1"/>
  <c r="AM111" i="46"/>
  <c r="I38" i="11"/>
  <c r="I83" i="47" s="1"/>
  <c r="F42" i="11"/>
  <c r="G40" i="11"/>
  <c r="G39" i="11"/>
  <c r="G38" i="11"/>
  <c r="O9" i="11"/>
  <c r="O8" i="11"/>
  <c r="O10" i="11"/>
  <c r="N6" i="11"/>
  <c r="AD111" i="58" l="1"/>
  <c r="K111" i="58"/>
  <c r="AH31" i="48" s="1"/>
  <c r="AD112" i="58"/>
  <c r="AD111" i="46"/>
  <c r="AD113" i="46"/>
  <c r="AD112" i="46"/>
  <c r="K111" i="46"/>
  <c r="L31" i="48" s="1"/>
  <c r="P111" i="46"/>
  <c r="T111" i="46"/>
  <c r="P111" i="58"/>
  <c r="C111" i="46"/>
  <c r="N31" i="48" s="1"/>
  <c r="U111" i="58"/>
  <c r="T111" i="58"/>
  <c r="AC111" i="58" s="1"/>
  <c r="C111" i="58"/>
  <c r="U111" i="46"/>
  <c r="AC111" i="46" l="1"/>
  <c r="Z108" i="46"/>
  <c r="L37" i="12"/>
  <c r="I80" i="47" s="1"/>
  <c r="F81" i="47"/>
  <c r="F80" i="47"/>
  <c r="E81" i="47"/>
  <c r="G81" i="47" s="1"/>
  <c r="H81" i="47" s="1"/>
  <c r="E80" i="47"/>
  <c r="C8" i="12"/>
  <c r="K13" i="12" s="1"/>
  <c r="W108" i="58" s="1"/>
  <c r="C7" i="12"/>
  <c r="K14" i="12" s="1"/>
  <c r="W107" i="58" s="1"/>
  <c r="BG31" i="2"/>
  <c r="G31" i="2"/>
  <c r="G80" i="47" l="1"/>
  <c r="H80" i="47" s="1"/>
  <c r="T28" i="11"/>
  <c r="U28" i="11" s="1"/>
  <c r="O108" i="46"/>
  <c r="U108" i="46" s="1"/>
  <c r="O108" i="58"/>
  <c r="T108" i="58" s="1"/>
  <c r="O107" i="58"/>
  <c r="T107" i="58" s="1"/>
  <c r="O107" i="46"/>
  <c r="C107" i="46" s="1"/>
  <c r="AF30" i="48"/>
  <c r="AR109" i="58"/>
  <c r="BA109" i="58" s="1"/>
  <c r="AM109" i="58"/>
  <c r="AR108" i="58"/>
  <c r="BA108" i="58" s="1"/>
  <c r="AM108" i="58"/>
  <c r="N108" i="58"/>
  <c r="J108" i="58"/>
  <c r="AR107" i="58"/>
  <c r="BA107" i="58" s="1"/>
  <c r="AM107" i="58"/>
  <c r="N107" i="58"/>
  <c r="J107" i="58"/>
  <c r="W108" i="46"/>
  <c r="W107" i="46"/>
  <c r="J108" i="46"/>
  <c r="N108" i="46"/>
  <c r="K108" i="46" s="1"/>
  <c r="AR109" i="46"/>
  <c r="BA109" i="46" s="1"/>
  <c r="AM109" i="46"/>
  <c r="AR108" i="46"/>
  <c r="BA108" i="46" s="1"/>
  <c r="AM108" i="46"/>
  <c r="AR107" i="46"/>
  <c r="BA107" i="46" s="1"/>
  <c r="AM107" i="46"/>
  <c r="N107" i="46"/>
  <c r="J107" i="46"/>
  <c r="P11" i="12"/>
  <c r="Q10" i="12"/>
  <c r="Q9" i="12"/>
  <c r="I38" i="12"/>
  <c r="L38" i="12" s="1"/>
  <c r="I81" i="47" s="1"/>
  <c r="G40" i="12"/>
  <c r="G39" i="12"/>
  <c r="G38" i="12"/>
  <c r="O10" i="12"/>
  <c r="R10" i="12" s="1"/>
  <c r="O9" i="12"/>
  <c r="R9" i="12" s="1"/>
  <c r="O8" i="12"/>
  <c r="N6" i="12"/>
  <c r="AD109" i="58" l="1"/>
  <c r="AD108" i="58"/>
  <c r="K107" i="58"/>
  <c r="R11" i="12"/>
  <c r="R12" i="12" s="1"/>
  <c r="AD108" i="46"/>
  <c r="Q11" i="12"/>
  <c r="Q12" i="12" s="1"/>
  <c r="V107" i="46"/>
  <c r="T108" i="46"/>
  <c r="AC108" i="46" s="1"/>
  <c r="AD107" i="58"/>
  <c r="K107" i="46"/>
  <c r="L30" i="48" s="1"/>
  <c r="U107" i="46"/>
  <c r="AA107" i="46" s="1"/>
  <c r="AD109" i="46"/>
  <c r="AD107" i="46"/>
  <c r="U108" i="58"/>
  <c r="P107" i="58"/>
  <c r="P108" i="58"/>
  <c r="U107" i="58"/>
  <c r="C108" i="58"/>
  <c r="V108" i="58"/>
  <c r="P107" i="46"/>
  <c r="P108" i="46"/>
  <c r="C107" i="58"/>
  <c r="V107" i="58"/>
  <c r="K108" i="58"/>
  <c r="AC108" i="58" s="1"/>
  <c r="T107" i="46"/>
  <c r="V108" i="46"/>
  <c r="C108" i="46"/>
  <c r="N30" i="48" s="1"/>
  <c r="BG30" i="2"/>
  <c r="G30" i="2"/>
  <c r="E78" i="47"/>
  <c r="G78" i="47" s="1"/>
  <c r="H78" i="47" s="1"/>
  <c r="X107" i="58" l="1"/>
  <c r="AC107" i="58"/>
  <c r="AC107" i="46"/>
  <c r="AA107" i="58"/>
  <c r="AB107" i="58" s="1"/>
  <c r="X107" i="46"/>
  <c r="AH30" i="48"/>
  <c r="AB107" i="46"/>
  <c r="O103" i="58"/>
  <c r="O103" i="46"/>
  <c r="P103" i="46" s="1"/>
  <c r="AF29" i="48"/>
  <c r="AR105" i="58"/>
  <c r="BA105" i="58" s="1"/>
  <c r="AM105" i="58"/>
  <c r="AD105" i="58" s="1"/>
  <c r="AR104" i="58"/>
  <c r="BA104" i="58" s="1"/>
  <c r="AM104" i="58"/>
  <c r="AR103" i="58"/>
  <c r="BA103" i="58" s="1"/>
  <c r="AM103" i="58"/>
  <c r="AD103" i="58" s="1"/>
  <c r="N103" i="58"/>
  <c r="J103" i="58"/>
  <c r="J103" i="46"/>
  <c r="N103" i="46"/>
  <c r="AM103" i="46"/>
  <c r="AR103" i="46"/>
  <c r="BA103" i="46" s="1"/>
  <c r="AM104" i="46"/>
  <c r="AR104" i="46"/>
  <c r="BA104" i="46" s="1"/>
  <c r="AM105" i="46"/>
  <c r="AR105" i="46"/>
  <c r="BA105" i="46" s="1"/>
  <c r="I38" i="13"/>
  <c r="I78" i="47" s="1"/>
  <c r="G40" i="13"/>
  <c r="G39" i="13"/>
  <c r="G38" i="13"/>
  <c r="O11" i="13"/>
  <c r="O10" i="13"/>
  <c r="O9" i="13"/>
  <c r="N6" i="13"/>
  <c r="K103" i="58" l="1"/>
  <c r="AH29" i="48" s="1"/>
  <c r="AD104" i="58"/>
  <c r="AD105" i="46"/>
  <c r="K103" i="46"/>
  <c r="L29" i="48" s="1"/>
  <c r="P103" i="58"/>
  <c r="T103" i="58"/>
  <c r="V103" i="46"/>
  <c r="C103" i="46"/>
  <c r="N29" i="48" s="1"/>
  <c r="U103" i="58"/>
  <c r="C103" i="58"/>
  <c r="V103" i="58"/>
  <c r="U103" i="46"/>
  <c r="T103" i="46"/>
  <c r="AD104" i="46"/>
  <c r="AD103" i="46"/>
  <c r="AC103" i="58" l="1"/>
  <c r="AC103" i="46"/>
  <c r="BG29" i="2"/>
  <c r="AY29" i="2"/>
  <c r="AY28" i="2"/>
  <c r="G29" i="2"/>
  <c r="G28" i="2"/>
  <c r="Z99" i="46"/>
  <c r="Z96" i="46"/>
  <c r="Z95" i="46"/>
  <c r="F76" i="47"/>
  <c r="E76" i="47"/>
  <c r="F75" i="47"/>
  <c r="E75" i="47"/>
  <c r="F70" i="47"/>
  <c r="F69" i="47"/>
  <c r="F72" i="47"/>
  <c r="F71" i="47"/>
  <c r="E71" i="47"/>
  <c r="E73" i="47"/>
  <c r="G73" i="47" s="1"/>
  <c r="E72" i="47"/>
  <c r="E70" i="47"/>
  <c r="E69" i="47"/>
  <c r="C25" i="15"/>
  <c r="K14" i="15" s="1"/>
  <c r="W95" i="58" s="1"/>
  <c r="C17" i="15"/>
  <c r="K16" i="15" s="1"/>
  <c r="W96" i="58" s="1"/>
  <c r="G71" i="47" l="1"/>
  <c r="G75" i="47"/>
  <c r="G69" i="47"/>
  <c r="H72" i="47"/>
  <c r="O96" i="58" s="1"/>
  <c r="G72" i="47"/>
  <c r="H69" i="47"/>
  <c r="G76" i="47"/>
  <c r="H75" i="47"/>
  <c r="G70" i="47"/>
  <c r="O96" i="46" l="1"/>
  <c r="O99" i="58"/>
  <c r="O99" i="46"/>
  <c r="O95" i="58"/>
  <c r="T95" i="58" s="1"/>
  <c r="O95" i="46"/>
  <c r="C95" i="46" s="1"/>
  <c r="AF28" i="48"/>
  <c r="AF27" i="48"/>
  <c r="AR101" i="58"/>
  <c r="BA101" i="58" s="1"/>
  <c r="AM101" i="58"/>
  <c r="AR100" i="58"/>
  <c r="BA100" i="58" s="1"/>
  <c r="AM100" i="58"/>
  <c r="AR99" i="58"/>
  <c r="BA99" i="58" s="1"/>
  <c r="AM99" i="58"/>
  <c r="U99" i="58"/>
  <c r="N99" i="58"/>
  <c r="K99" i="58" s="1"/>
  <c r="J99" i="58"/>
  <c r="AR97" i="58"/>
  <c r="BA97" i="58" s="1"/>
  <c r="AM97" i="58"/>
  <c r="AR96" i="58"/>
  <c r="BA96" i="58" s="1"/>
  <c r="AM96" i="58"/>
  <c r="N96" i="58"/>
  <c r="V96" i="58" s="1"/>
  <c r="J96" i="58"/>
  <c r="AR95" i="58"/>
  <c r="BA95" i="58" s="1"/>
  <c r="AM95" i="58"/>
  <c r="N95" i="58"/>
  <c r="J95" i="58"/>
  <c r="W96" i="46"/>
  <c r="W95" i="46"/>
  <c r="C96" i="46"/>
  <c r="N96" i="46"/>
  <c r="J96" i="46"/>
  <c r="AR101" i="46"/>
  <c r="BA101" i="46" s="1"/>
  <c r="AM101" i="46"/>
  <c r="AR100" i="46"/>
  <c r="BA100" i="46" s="1"/>
  <c r="AM100" i="46"/>
  <c r="AR99" i="46"/>
  <c r="BA99" i="46" s="1"/>
  <c r="AM99" i="46"/>
  <c r="AD99" i="46" s="1"/>
  <c r="U99" i="46"/>
  <c r="N99" i="46"/>
  <c r="J99" i="46"/>
  <c r="AR97" i="46"/>
  <c r="BA97" i="46" s="1"/>
  <c r="AM97" i="46"/>
  <c r="AR96" i="46"/>
  <c r="BA96" i="46" s="1"/>
  <c r="AM96" i="46"/>
  <c r="AR95" i="46"/>
  <c r="BA95" i="46" s="1"/>
  <c r="AM95" i="46"/>
  <c r="N95" i="46"/>
  <c r="J95" i="46"/>
  <c r="I38" i="14"/>
  <c r="I75" i="47" s="1"/>
  <c r="G40" i="14"/>
  <c r="G39" i="14"/>
  <c r="P8" i="14"/>
  <c r="Q8" i="14" s="1"/>
  <c r="O9" i="14"/>
  <c r="O8" i="14"/>
  <c r="N6" i="14"/>
  <c r="L38" i="15"/>
  <c r="I72" i="47" s="1"/>
  <c r="L37" i="15"/>
  <c r="I69" i="47" s="1"/>
  <c r="I38" i="15"/>
  <c r="G42" i="15"/>
  <c r="I37" i="15" s="1"/>
  <c r="F42" i="15"/>
  <c r="P18" i="15"/>
  <c r="Q18" i="15" s="1"/>
  <c r="O18" i="15"/>
  <c r="O17" i="15"/>
  <c r="R17" i="15" s="1"/>
  <c r="Q17" i="15"/>
  <c r="Q8" i="15"/>
  <c r="P9" i="15"/>
  <c r="Q9" i="15" s="1"/>
  <c r="O9" i="15"/>
  <c r="O8" i="15"/>
  <c r="R8" i="15" s="1"/>
  <c r="N6" i="15"/>
  <c r="R8" i="14" l="1"/>
  <c r="AD99" i="58"/>
  <c r="AD96" i="46"/>
  <c r="AD97" i="46"/>
  <c r="AD97" i="58"/>
  <c r="AD95" i="58"/>
  <c r="AD96" i="58"/>
  <c r="P9" i="14"/>
  <c r="AD100" i="58"/>
  <c r="AD101" i="58"/>
  <c r="AD95" i="46"/>
  <c r="P10" i="15"/>
  <c r="Q19" i="15"/>
  <c r="AD101" i="46"/>
  <c r="R9" i="15"/>
  <c r="R10" i="15" s="1"/>
  <c r="R11" i="15" s="1"/>
  <c r="C99" i="58"/>
  <c r="T95" i="46"/>
  <c r="K95" i="46"/>
  <c r="P99" i="58"/>
  <c r="V95" i="46"/>
  <c r="V99" i="58"/>
  <c r="K96" i="46"/>
  <c r="T99" i="58"/>
  <c r="AC99" i="58" s="1"/>
  <c r="U95" i="58"/>
  <c r="AH28" i="48"/>
  <c r="C99" i="46"/>
  <c r="N28" i="48" s="1"/>
  <c r="P95" i="46"/>
  <c r="K99" i="46"/>
  <c r="L28" i="48" s="1"/>
  <c r="N27" i="48"/>
  <c r="K96" i="58"/>
  <c r="V96" i="46"/>
  <c r="C95" i="58"/>
  <c r="V95" i="58"/>
  <c r="P96" i="46"/>
  <c r="K95" i="58"/>
  <c r="P96" i="58"/>
  <c r="T96" i="46"/>
  <c r="T96" i="58"/>
  <c r="U96" i="46"/>
  <c r="U96" i="58"/>
  <c r="U95" i="46"/>
  <c r="P95" i="58"/>
  <c r="C96" i="58"/>
  <c r="V99" i="46"/>
  <c r="AD100" i="46"/>
  <c r="T99" i="46"/>
  <c r="P99" i="46"/>
  <c r="R18" i="15"/>
  <c r="R19" i="15" s="1"/>
  <c r="P19" i="15"/>
  <c r="Q10" i="15"/>
  <c r="G67" i="47"/>
  <c r="F66" i="47"/>
  <c r="E66" i="47"/>
  <c r="X95" i="58" l="1"/>
  <c r="Q20" i="15"/>
  <c r="Q11" i="15"/>
  <c r="H66" i="47"/>
  <c r="O91" i="58" s="1"/>
  <c r="Q9" i="14"/>
  <c r="Q10" i="14" s="1"/>
  <c r="R9" i="14"/>
  <c r="R10" i="14" s="1"/>
  <c r="P10" i="14"/>
  <c r="AC95" i="46"/>
  <c r="X95" i="46"/>
  <c r="L27" i="48"/>
  <c r="AC96" i="46"/>
  <c r="AC99" i="46"/>
  <c r="AA95" i="46"/>
  <c r="AA95" i="58"/>
  <c r="AC96" i="58"/>
  <c r="AC95" i="58"/>
  <c r="AH27" i="48"/>
  <c r="R20" i="15"/>
  <c r="G66" i="47"/>
  <c r="O91" i="46" l="1"/>
  <c r="R11" i="14"/>
  <c r="AB95" i="46"/>
  <c r="Q11" i="14"/>
  <c r="AB95" i="58"/>
  <c r="AY27" i="2"/>
  <c r="G27" i="2"/>
  <c r="AF26" i="48" l="1"/>
  <c r="AR93" i="58"/>
  <c r="BA93" i="58" s="1"/>
  <c r="AM93" i="58"/>
  <c r="AR92" i="58"/>
  <c r="BA92" i="58" s="1"/>
  <c r="AM92" i="58"/>
  <c r="AR91" i="58"/>
  <c r="BA91" i="58" s="1"/>
  <c r="AM91" i="58"/>
  <c r="U91" i="58"/>
  <c r="N91" i="58"/>
  <c r="J91" i="58"/>
  <c r="T91" i="46"/>
  <c r="N91" i="46"/>
  <c r="J91" i="46"/>
  <c r="AR93" i="46"/>
  <c r="BA93" i="46" s="1"/>
  <c r="AM93" i="46"/>
  <c r="AR92" i="46"/>
  <c r="BA92" i="46" s="1"/>
  <c r="AM92" i="46"/>
  <c r="AR91" i="46"/>
  <c r="BA91" i="46" s="1"/>
  <c r="AM91" i="46"/>
  <c r="I38" i="16"/>
  <c r="I66" i="47" s="1"/>
  <c r="G40" i="16"/>
  <c r="G39" i="16"/>
  <c r="G38" i="16"/>
  <c r="O10" i="16"/>
  <c r="O9" i="16"/>
  <c r="O8" i="16"/>
  <c r="N6" i="16"/>
  <c r="AD91" i="58" l="1"/>
  <c r="AD93" i="58"/>
  <c r="AD92" i="58"/>
  <c r="AD92" i="46"/>
  <c r="K91" i="58"/>
  <c r="AH26" i="48" s="1"/>
  <c r="V91" i="46"/>
  <c r="P91" i="46"/>
  <c r="P91" i="58"/>
  <c r="V91" i="58"/>
  <c r="U91" i="46"/>
  <c r="K91" i="46"/>
  <c r="C91" i="46"/>
  <c r="N26" i="48" s="1"/>
  <c r="C91" i="58"/>
  <c r="T91" i="58"/>
  <c r="AD91" i="46"/>
  <c r="AD93" i="46"/>
  <c r="AY26" i="2"/>
  <c r="G26" i="2"/>
  <c r="E64" i="47"/>
  <c r="G64" i="47" s="1"/>
  <c r="F63" i="47"/>
  <c r="F62" i="47"/>
  <c r="E62" i="47"/>
  <c r="E63" i="47"/>
  <c r="G63" i="47" s="1"/>
  <c r="K14" i="17"/>
  <c r="K16" i="17"/>
  <c r="W86" i="58" s="1"/>
  <c r="H64" i="47" l="1"/>
  <c r="AC91" i="46"/>
  <c r="L26" i="48"/>
  <c r="AC91" i="58"/>
  <c r="H62" i="47"/>
  <c r="G62" i="47"/>
  <c r="O86" i="58" l="1"/>
  <c r="O86" i="46"/>
  <c r="O87" i="58"/>
  <c r="O87" i="46"/>
  <c r="AF25" i="48"/>
  <c r="AR89" i="58" l="1"/>
  <c r="BA89" i="58" s="1"/>
  <c r="AM89" i="58"/>
  <c r="AR88" i="58"/>
  <c r="BA88" i="58" s="1"/>
  <c r="AM88" i="58"/>
  <c r="AR87" i="58"/>
  <c r="BA87" i="58" s="1"/>
  <c r="AM87" i="58"/>
  <c r="C87" i="58"/>
  <c r="N87" i="58"/>
  <c r="J87" i="58"/>
  <c r="AR86" i="58"/>
  <c r="BA86" i="58" s="1"/>
  <c r="AM86" i="58"/>
  <c r="T86" i="58"/>
  <c r="U86" i="58"/>
  <c r="N86" i="58"/>
  <c r="J86" i="58"/>
  <c r="AM89" i="46"/>
  <c r="AR89" i="46"/>
  <c r="BA89" i="46" s="1"/>
  <c r="W87" i="46"/>
  <c r="W86" i="46"/>
  <c r="J87" i="46"/>
  <c r="N87" i="46"/>
  <c r="C87" i="46"/>
  <c r="J86" i="46"/>
  <c r="N86" i="46"/>
  <c r="P86" i="46"/>
  <c r="AM86" i="46"/>
  <c r="AR86" i="46"/>
  <c r="BA86" i="46" s="1"/>
  <c r="AM87" i="46"/>
  <c r="AR87" i="46"/>
  <c r="BA87" i="46" s="1"/>
  <c r="AM88" i="46"/>
  <c r="AR88" i="46"/>
  <c r="BA88" i="46"/>
  <c r="L38" i="17"/>
  <c r="I64" i="47" s="1"/>
  <c r="I38" i="17"/>
  <c r="F42" i="17"/>
  <c r="G39" i="17"/>
  <c r="G38" i="17"/>
  <c r="P11" i="17"/>
  <c r="Q10" i="17"/>
  <c r="Q9" i="17"/>
  <c r="Q8" i="17"/>
  <c r="Q26" i="17"/>
  <c r="P27" i="17"/>
  <c r="Q27" i="17" s="1"/>
  <c r="O10" i="17"/>
  <c r="R10" i="17" s="1"/>
  <c r="O9" i="17"/>
  <c r="R9" i="17" s="1"/>
  <c r="O8" i="17"/>
  <c r="R8" i="17" s="1"/>
  <c r="O26" i="17"/>
  <c r="R26" i="17" s="1"/>
  <c r="O27" i="17"/>
  <c r="N6" i="17"/>
  <c r="Q11" i="17" l="1"/>
  <c r="Q12" i="17" s="1"/>
  <c r="R11" i="17"/>
  <c r="R12" i="17" s="1"/>
  <c r="AD88" i="58"/>
  <c r="G42" i="17"/>
  <c r="I37" i="17" s="1"/>
  <c r="AD87" i="58"/>
  <c r="P28" i="17"/>
  <c r="AD86" i="58"/>
  <c r="R27" i="17"/>
  <c r="R28" i="17" s="1"/>
  <c r="R29" i="17" s="1"/>
  <c r="L37" i="17"/>
  <c r="I62" i="47" s="1"/>
  <c r="AD86" i="46"/>
  <c r="AD88" i="46"/>
  <c r="AD89" i="46"/>
  <c r="AD87" i="46"/>
  <c r="AD89" i="58"/>
  <c r="C86" i="58"/>
  <c r="V87" i="58"/>
  <c r="V86" i="58"/>
  <c r="P87" i="58"/>
  <c r="T87" i="58"/>
  <c r="K86" i="58"/>
  <c r="X86" i="58" s="1"/>
  <c r="U87" i="58"/>
  <c r="AA86" i="58" s="1"/>
  <c r="V87" i="46"/>
  <c r="V86" i="46"/>
  <c r="P86" i="58"/>
  <c r="K87" i="58"/>
  <c r="U87" i="46"/>
  <c r="P87" i="46"/>
  <c r="T87" i="46"/>
  <c r="K87" i="46"/>
  <c r="K86" i="46"/>
  <c r="C86" i="46"/>
  <c r="N25" i="48" s="1"/>
  <c r="U86" i="46"/>
  <c r="T86" i="46"/>
  <c r="Q28" i="17"/>
  <c r="F60" i="47"/>
  <c r="F59" i="47"/>
  <c r="E60" i="47"/>
  <c r="E59" i="47"/>
  <c r="K16" i="18"/>
  <c r="C25" i="18"/>
  <c r="C16" i="18"/>
  <c r="C7" i="18"/>
  <c r="Q29" i="17" l="1"/>
  <c r="K15" i="18"/>
  <c r="H59" i="47"/>
  <c r="G60" i="47"/>
  <c r="AC87" i="46"/>
  <c r="O82" i="46"/>
  <c r="O82" i="58"/>
  <c r="AC87" i="58"/>
  <c r="L25" i="48"/>
  <c r="AC86" i="58"/>
  <c r="AH25" i="48"/>
  <c r="AA86" i="46"/>
  <c r="AC86" i="46"/>
  <c r="X86" i="46"/>
  <c r="G59" i="47"/>
  <c r="AB86" i="58" l="1"/>
  <c r="AB86" i="46"/>
  <c r="AY25" i="2"/>
  <c r="G25" i="2"/>
  <c r="AF24" i="48" l="1"/>
  <c r="AR84" i="58"/>
  <c r="BA84" i="58" s="1"/>
  <c r="AM84" i="58"/>
  <c r="AR83" i="58"/>
  <c r="BA83" i="58" s="1"/>
  <c r="AM83" i="58"/>
  <c r="AR82" i="58"/>
  <c r="BA82" i="58" s="1"/>
  <c r="AM82" i="58"/>
  <c r="N82" i="58"/>
  <c r="V82" i="58" s="1"/>
  <c r="J82" i="58"/>
  <c r="AD82" i="58" l="1"/>
  <c r="AD83" i="58"/>
  <c r="AD84" i="58"/>
  <c r="K82" i="58"/>
  <c r="AH24" i="48" s="1"/>
  <c r="P82" i="58"/>
  <c r="T82" i="58"/>
  <c r="U82" i="58"/>
  <c r="C82" i="58"/>
  <c r="AR84" i="46"/>
  <c r="BA84" i="46" s="1"/>
  <c r="AM84" i="46"/>
  <c r="AR83" i="46"/>
  <c r="BA83" i="46" s="1"/>
  <c r="AM83" i="46"/>
  <c r="AR82" i="46"/>
  <c r="BA82" i="46" s="1"/>
  <c r="AM82" i="46"/>
  <c r="C82" i="46"/>
  <c r="N24" i="48" s="1"/>
  <c r="N82" i="46"/>
  <c r="K82" i="46" s="1"/>
  <c r="L24" i="48" s="1"/>
  <c r="J82" i="46"/>
  <c r="AC82" i="58" l="1"/>
  <c r="V82" i="46"/>
  <c r="AD83" i="46"/>
  <c r="AD82" i="46"/>
  <c r="AD84" i="46"/>
  <c r="P82" i="46"/>
  <c r="T82" i="46"/>
  <c r="AC82" i="46" s="1"/>
  <c r="U82" i="46"/>
  <c r="I38" i="18"/>
  <c r="I59" i="47" s="1"/>
  <c r="G40" i="18"/>
  <c r="G39" i="18"/>
  <c r="G38" i="18"/>
  <c r="O10" i="18" l="1"/>
  <c r="O9" i="18"/>
  <c r="O8" i="18"/>
  <c r="N6" i="18"/>
  <c r="BV34" i="59" l="1"/>
  <c r="Q37" i="58" l="1"/>
  <c r="Q36" i="58"/>
  <c r="Q37" i="46"/>
  <c r="Q36" i="46"/>
  <c r="P7" i="55" l="1"/>
  <c r="P6" i="55"/>
  <c r="P3" i="55"/>
  <c r="O7" i="55"/>
  <c r="O6" i="55"/>
  <c r="O3" i="55"/>
  <c r="AA138" i="58" l="1"/>
  <c r="AB138" i="58" s="1"/>
  <c r="AA138" i="46"/>
  <c r="AB138" i="46" s="1"/>
  <c r="AA133" i="46"/>
  <c r="AB133" i="46" s="1"/>
  <c r="AA133" i="58"/>
  <c r="AB133" i="58" s="1"/>
  <c r="AA116" i="46"/>
  <c r="AB116" i="46" s="1"/>
  <c r="AA116" i="58"/>
  <c r="AB116" i="58" s="1"/>
  <c r="F57" i="47"/>
  <c r="F56" i="47"/>
  <c r="E57" i="47"/>
  <c r="E56" i="47"/>
  <c r="H56" i="47" l="1"/>
  <c r="G57" i="47"/>
  <c r="G56" i="47"/>
  <c r="O77" i="46" l="1"/>
  <c r="O77" i="58"/>
  <c r="AY24" i="2"/>
  <c r="G24" i="2"/>
  <c r="AR80" i="58" l="1"/>
  <c r="BA80" i="58" s="1"/>
  <c r="AM80" i="58"/>
  <c r="AR79" i="58"/>
  <c r="BA79" i="58" s="1"/>
  <c r="AM79" i="58"/>
  <c r="AR78" i="58"/>
  <c r="BA78" i="58" s="1"/>
  <c r="AM78" i="58"/>
  <c r="AR77" i="58"/>
  <c r="BA77" i="58" s="1"/>
  <c r="AM77" i="58"/>
  <c r="T77" i="58"/>
  <c r="U77" i="58"/>
  <c r="N77" i="58"/>
  <c r="V77" i="58" s="1"/>
  <c r="J77" i="58"/>
  <c r="C77" i="58"/>
  <c r="AR80" i="46"/>
  <c r="BA80" i="46" s="1"/>
  <c r="AM80" i="46"/>
  <c r="AR79" i="46"/>
  <c r="BA79" i="46" s="1"/>
  <c r="AM79" i="46"/>
  <c r="AR78" i="46"/>
  <c r="BA78" i="46" s="1"/>
  <c r="AM78" i="46"/>
  <c r="AR77" i="46"/>
  <c r="BA77" i="46" s="1"/>
  <c r="AM77" i="46"/>
  <c r="C77" i="46"/>
  <c r="N23" i="48" s="1"/>
  <c r="N77" i="46"/>
  <c r="J77" i="46"/>
  <c r="AD78" i="46" l="1"/>
  <c r="K77" i="58"/>
  <c r="AC77" i="58" s="1"/>
  <c r="AD80" i="58"/>
  <c r="AD80" i="46"/>
  <c r="AD78" i="58"/>
  <c r="K77" i="46"/>
  <c r="AH23" i="48"/>
  <c r="V77" i="46"/>
  <c r="P77" i="46"/>
  <c r="T77" i="46"/>
  <c r="P77" i="58"/>
  <c r="AD77" i="58"/>
  <c r="AD79" i="58"/>
  <c r="AD77" i="46"/>
  <c r="AD79" i="46"/>
  <c r="U77" i="46"/>
  <c r="I38" i="19"/>
  <c r="I56" i="47" s="1"/>
  <c r="F42" i="19"/>
  <c r="G40" i="19"/>
  <c r="G39" i="19"/>
  <c r="G38" i="19"/>
  <c r="G42" i="19" s="1"/>
  <c r="I37" i="19" s="1"/>
  <c r="O10" i="19"/>
  <c r="O9" i="19"/>
  <c r="O8" i="19"/>
  <c r="AC77" i="46" l="1"/>
  <c r="L23" i="48"/>
  <c r="N6" i="19"/>
  <c r="AY23" i="2" l="1"/>
  <c r="G23" i="2"/>
  <c r="I38" i="20"/>
  <c r="I53" i="47"/>
  <c r="F54" i="47"/>
  <c r="F53" i="47"/>
  <c r="E54" i="47"/>
  <c r="G54" i="47" s="1"/>
  <c r="E53" i="47"/>
  <c r="H53" i="47" l="1"/>
  <c r="G53" i="47"/>
  <c r="O72" i="58" l="1"/>
  <c r="O72" i="46"/>
  <c r="AF22" i="48"/>
  <c r="AR75" i="58" l="1"/>
  <c r="BA75" i="58" s="1"/>
  <c r="AM75" i="58"/>
  <c r="AR74" i="58"/>
  <c r="BA74" i="58" s="1"/>
  <c r="AM74" i="58"/>
  <c r="AR73" i="58"/>
  <c r="BA73" i="58" s="1"/>
  <c r="AM73" i="58"/>
  <c r="AR72" i="58"/>
  <c r="BA72" i="58" s="1"/>
  <c r="AM72" i="58"/>
  <c r="U72" i="58"/>
  <c r="T72" i="58"/>
  <c r="P72" i="58"/>
  <c r="N72" i="58"/>
  <c r="V72" i="58" s="1"/>
  <c r="J72" i="58"/>
  <c r="C72" i="58"/>
  <c r="AM75" i="46"/>
  <c r="AR75" i="46"/>
  <c r="BA75" i="46" s="1"/>
  <c r="AR74" i="46"/>
  <c r="BA74" i="46" s="1"/>
  <c r="AM74" i="46"/>
  <c r="AR73" i="46"/>
  <c r="BA73" i="46" s="1"/>
  <c r="AM73" i="46"/>
  <c r="AR72" i="46"/>
  <c r="BA72" i="46" s="1"/>
  <c r="AM72" i="46"/>
  <c r="N72" i="46"/>
  <c r="K72" i="46" s="1"/>
  <c r="L22" i="48" s="1"/>
  <c r="J72" i="46"/>
  <c r="C72" i="46"/>
  <c r="N22" i="48" s="1"/>
  <c r="F42" i="20"/>
  <c r="G40" i="20"/>
  <c r="G39" i="20"/>
  <c r="G38" i="20"/>
  <c r="G42" i="20" s="1"/>
  <c r="I37" i="20" s="1"/>
  <c r="AD72" i="58" l="1"/>
  <c r="K72" i="58"/>
  <c r="AH22" i="48" s="1"/>
  <c r="AD73" i="58"/>
  <c r="AD74" i="58"/>
  <c r="AD75" i="58"/>
  <c r="AD74" i="46"/>
  <c r="AD75" i="46"/>
  <c r="AD73" i="46"/>
  <c r="AD72" i="46"/>
  <c r="V72" i="46"/>
  <c r="P72" i="46"/>
  <c r="T72" i="46"/>
  <c r="AC72" i="46" s="1"/>
  <c r="U72" i="46"/>
  <c r="AC72" i="58" l="1"/>
  <c r="N6" i="20"/>
  <c r="N19" i="55" l="1"/>
  <c r="N6" i="55"/>
  <c r="N3" i="55"/>
  <c r="M6" i="55"/>
  <c r="M7" i="55"/>
  <c r="E48" i="47" l="1"/>
  <c r="K13" i="22"/>
  <c r="W68" i="58" s="1"/>
  <c r="C17" i="22"/>
  <c r="K15" i="22" s="1"/>
  <c r="W67" i="58" s="1"/>
  <c r="K16" i="21"/>
  <c r="W64" i="58" s="1"/>
  <c r="K14" i="21"/>
  <c r="W62" i="58" s="1"/>
  <c r="F51" i="47"/>
  <c r="F50" i="47"/>
  <c r="E51" i="47"/>
  <c r="E50" i="47"/>
  <c r="F47" i="47"/>
  <c r="F48" i="47"/>
  <c r="E47" i="47"/>
  <c r="E46" i="47"/>
  <c r="G46" i="47" s="1"/>
  <c r="H46" i="47" s="1"/>
  <c r="O62" i="46" s="1"/>
  <c r="C16" i="21"/>
  <c r="C8" i="21"/>
  <c r="K15" i="21" s="1"/>
  <c r="W63" i="58" s="1"/>
  <c r="AY22" i="2"/>
  <c r="AY21" i="2"/>
  <c r="AI21" i="2"/>
  <c r="G22" i="2"/>
  <c r="G21" i="2"/>
  <c r="G50" i="47" l="1"/>
  <c r="H50" i="47" s="1"/>
  <c r="O68" i="58" s="1"/>
  <c r="C68" i="58" s="1"/>
  <c r="G51" i="47"/>
  <c r="H51" i="47" s="1"/>
  <c r="O67" i="58" s="1"/>
  <c r="C67" i="58" s="1"/>
  <c r="G48" i="47"/>
  <c r="H48" i="47" s="1"/>
  <c r="O64" i="46" s="1"/>
  <c r="G47" i="47"/>
  <c r="H47" i="47" s="1"/>
  <c r="O67" i="46"/>
  <c r="O62" i="58"/>
  <c r="N37" i="22"/>
  <c r="I50" i="47" s="1"/>
  <c r="N68" i="58"/>
  <c r="J68" i="58"/>
  <c r="N67" i="58"/>
  <c r="K67" i="58" s="1"/>
  <c r="J67" i="58"/>
  <c r="P16" i="22"/>
  <c r="V68" i="58" l="1"/>
  <c r="O64" i="58"/>
  <c r="O68" i="46"/>
  <c r="U68" i="46" s="1"/>
  <c r="O63" i="46"/>
  <c r="C63" i="46" s="1"/>
  <c r="O63" i="58"/>
  <c r="K68" i="58"/>
  <c r="X67" i="58" s="1"/>
  <c r="U67" i="58"/>
  <c r="P68" i="58"/>
  <c r="P67" i="58"/>
  <c r="T67" i="58"/>
  <c r="AC67" i="58" s="1"/>
  <c r="V67" i="58"/>
  <c r="T68" i="58"/>
  <c r="U68" i="58"/>
  <c r="AF21" i="48"/>
  <c r="AF20" i="48"/>
  <c r="W68" i="46"/>
  <c r="W67" i="46"/>
  <c r="AR70" i="58"/>
  <c r="BA70" i="58" s="1"/>
  <c r="AM70" i="58"/>
  <c r="AR69" i="58"/>
  <c r="BA69" i="58" s="1"/>
  <c r="AM69" i="58"/>
  <c r="AR68" i="58"/>
  <c r="BA68" i="58" s="1"/>
  <c r="AM68" i="58"/>
  <c r="AR67" i="58"/>
  <c r="BA67" i="58" s="1"/>
  <c r="AM67" i="58"/>
  <c r="AR65" i="58"/>
  <c r="BA65" i="58" s="1"/>
  <c r="AM65" i="58"/>
  <c r="AR64" i="58"/>
  <c r="BA64" i="58" s="1"/>
  <c r="AM64" i="58"/>
  <c r="C64" i="58"/>
  <c r="N64" i="58"/>
  <c r="J64" i="58"/>
  <c r="AR63" i="58"/>
  <c r="BA63" i="58" s="1"/>
  <c r="AM63" i="58"/>
  <c r="S63" i="58"/>
  <c r="N63" i="58"/>
  <c r="K63" i="58" s="1"/>
  <c r="J63" i="58"/>
  <c r="AR62" i="58"/>
  <c r="BA62" i="58" s="1"/>
  <c r="AM62" i="58"/>
  <c r="U62" i="58"/>
  <c r="N62" i="58"/>
  <c r="V62" i="58" s="1"/>
  <c r="J62" i="58"/>
  <c r="C62" i="58"/>
  <c r="W64" i="46"/>
  <c r="W63" i="46"/>
  <c r="W62" i="46"/>
  <c r="S63" i="46"/>
  <c r="P68" i="46"/>
  <c r="N68" i="46"/>
  <c r="V68" i="46" s="1"/>
  <c r="J68" i="46"/>
  <c r="C68" i="46"/>
  <c r="U67" i="46"/>
  <c r="N67" i="46"/>
  <c r="V67" i="46" s="1"/>
  <c r="J67" i="46"/>
  <c r="C67" i="46"/>
  <c r="C64" i="46"/>
  <c r="N64" i="46"/>
  <c r="J64" i="46"/>
  <c r="N63" i="46"/>
  <c r="J63" i="46"/>
  <c r="AM67" i="46"/>
  <c r="AR67" i="46"/>
  <c r="BA67" i="46" s="1"/>
  <c r="AM68" i="46"/>
  <c r="AR68" i="46"/>
  <c r="BA68" i="46" s="1"/>
  <c r="AM69" i="46"/>
  <c r="AR69" i="46"/>
  <c r="BA69" i="46" s="1"/>
  <c r="AM70" i="46"/>
  <c r="AR70" i="46"/>
  <c r="BA70" i="46" s="1"/>
  <c r="J62" i="46"/>
  <c r="N62" i="46"/>
  <c r="C62" i="46"/>
  <c r="T62" i="46"/>
  <c r="AM62" i="46"/>
  <c r="AR62" i="46"/>
  <c r="BA62" i="46" s="1"/>
  <c r="AM63" i="46"/>
  <c r="AR63" i="46"/>
  <c r="BA63" i="46" s="1"/>
  <c r="AM64" i="46"/>
  <c r="AR64" i="46"/>
  <c r="BA64" i="46" s="1"/>
  <c r="AM65" i="46"/>
  <c r="AR65" i="46"/>
  <c r="BA65" i="46" s="1"/>
  <c r="G40" i="22"/>
  <c r="G39" i="22"/>
  <c r="Q16" i="22"/>
  <c r="P17" i="22"/>
  <c r="Q15" i="22"/>
  <c r="O15" i="22"/>
  <c r="R15" i="22" s="1"/>
  <c r="N38" i="22"/>
  <c r="I51" i="47" s="1"/>
  <c r="I38" i="22"/>
  <c r="T68" i="46" l="1"/>
  <c r="U63" i="58"/>
  <c r="K63" i="46"/>
  <c r="AC68" i="58"/>
  <c r="K68" i="46"/>
  <c r="AC68" i="46" s="1"/>
  <c r="AD64" i="58"/>
  <c r="AD70" i="58"/>
  <c r="AD67" i="46"/>
  <c r="AD63" i="58"/>
  <c r="AD62" i="58"/>
  <c r="AD68" i="58"/>
  <c r="Q17" i="22"/>
  <c r="Q18" i="22" s="1"/>
  <c r="N21" i="48"/>
  <c r="AD69" i="58"/>
  <c r="AD65" i="58"/>
  <c r="AD64" i="46"/>
  <c r="AH21" i="48"/>
  <c r="AD67" i="58"/>
  <c r="AD69" i="46"/>
  <c r="AD63" i="46"/>
  <c r="AD62" i="46"/>
  <c r="K64" i="58"/>
  <c r="V63" i="58"/>
  <c r="T64" i="58"/>
  <c r="V64" i="46"/>
  <c r="P64" i="58"/>
  <c r="U64" i="46"/>
  <c r="V64" i="58"/>
  <c r="T64" i="46"/>
  <c r="U64" i="58"/>
  <c r="P63" i="58"/>
  <c r="N20" i="48"/>
  <c r="V63" i="46"/>
  <c r="T63" i="58"/>
  <c r="AC63" i="58" s="1"/>
  <c r="C63" i="58"/>
  <c r="K62" i="46"/>
  <c r="K62" i="58"/>
  <c r="X62" i="58" s="1"/>
  <c r="P62" i="58"/>
  <c r="T62" i="58"/>
  <c r="U62" i="46"/>
  <c r="AD70" i="46"/>
  <c r="AD68" i="46"/>
  <c r="U63" i="46"/>
  <c r="K67" i="46"/>
  <c r="L21" i="48" s="1"/>
  <c r="P67" i="46"/>
  <c r="T67" i="46"/>
  <c r="K64" i="46"/>
  <c r="P63" i="46"/>
  <c r="T63" i="46"/>
  <c r="P64" i="46"/>
  <c r="AD65" i="46"/>
  <c r="P62" i="46"/>
  <c r="V62" i="46"/>
  <c r="O16" i="22"/>
  <c r="R16" i="22" s="1"/>
  <c r="R17" i="22" s="1"/>
  <c r="R18" i="22" s="1"/>
  <c r="Q10" i="22"/>
  <c r="Q9" i="22"/>
  <c r="P11" i="22"/>
  <c r="AC63" i="46" l="1"/>
  <c r="AC62" i="58"/>
  <c r="AC64" i="58"/>
  <c r="X62" i="46"/>
  <c r="AC64" i="46"/>
  <c r="AH20" i="48"/>
  <c r="AC62" i="46"/>
  <c r="L20" i="48"/>
  <c r="AC67" i="46"/>
  <c r="X67" i="46"/>
  <c r="Q11" i="22"/>
  <c r="Q12" i="22" s="1"/>
  <c r="O10" i="22"/>
  <c r="R10" i="22" s="1"/>
  <c r="O9" i="22"/>
  <c r="R9" i="22" s="1"/>
  <c r="R11" i="22" l="1"/>
  <c r="R12" i="22" s="1"/>
  <c r="L39" i="21"/>
  <c r="I48" i="47" s="1"/>
  <c r="L37" i="21"/>
  <c r="I46" i="47" s="1"/>
  <c r="I38" i="21"/>
  <c r="L38" i="21" s="1"/>
  <c r="I47" i="47" s="1"/>
  <c r="V19" i="21"/>
  <c r="Y25" i="21"/>
  <c r="X25" i="21"/>
  <c r="Y24" i="21"/>
  <c r="Y26" i="21" s="1"/>
  <c r="Y27" i="21" s="1"/>
  <c r="X24" i="21"/>
  <c r="W26" i="21"/>
  <c r="X21" i="21"/>
  <c r="V21" i="21"/>
  <c r="Y21" i="21" s="1"/>
  <c r="W20" i="21"/>
  <c r="X20" i="21" s="1"/>
  <c r="V20" i="21"/>
  <c r="Y20" i="21" s="1"/>
  <c r="W19" i="21"/>
  <c r="X19" i="21" s="1"/>
  <c r="W18" i="21"/>
  <c r="V18" i="21"/>
  <c r="O26" i="21"/>
  <c r="P18" i="21"/>
  <c r="Q18" i="21" s="1"/>
  <c r="P17" i="21"/>
  <c r="Q17" i="21" s="1"/>
  <c r="O18" i="21"/>
  <c r="R18" i="21" s="1"/>
  <c r="O17" i="21"/>
  <c r="Q8" i="21"/>
  <c r="P10" i="21"/>
  <c r="Q10" i="21" s="1"/>
  <c r="P9" i="21"/>
  <c r="Q9" i="21" s="1"/>
  <c r="P8" i="21"/>
  <c r="O9" i="21"/>
  <c r="O10" i="21"/>
  <c r="O8" i="21"/>
  <c r="R8" i="21" s="1"/>
  <c r="N6" i="21"/>
  <c r="N6" i="22"/>
  <c r="Y19" i="21" l="1"/>
  <c r="R9" i="21"/>
  <c r="R10" i="21"/>
  <c r="R11" i="21" s="1"/>
  <c r="R17" i="21"/>
  <c r="R19" i="21" s="1"/>
  <c r="Q19" i="21"/>
  <c r="P11" i="21"/>
  <c r="X26" i="21"/>
  <c r="X27" i="21" s="1"/>
  <c r="W22" i="21"/>
  <c r="P19" i="21"/>
  <c r="X22" i="21"/>
  <c r="Y22" i="21"/>
  <c r="Q11" i="21"/>
  <c r="R12" i="21" l="1"/>
  <c r="Q20" i="21"/>
  <c r="Q12" i="21"/>
  <c r="Y23" i="21"/>
  <c r="X23" i="21"/>
  <c r="R20" i="21"/>
  <c r="L6" i="55"/>
  <c r="K6" i="55"/>
  <c r="J6" i="55"/>
  <c r="J13" i="55"/>
  <c r="J3" i="55"/>
  <c r="I11" i="55"/>
  <c r="I18" i="55"/>
  <c r="I3" i="55"/>
  <c r="H11" i="55"/>
  <c r="G6" i="55"/>
  <c r="F6" i="55"/>
  <c r="E6" i="55"/>
  <c r="D6" i="55"/>
  <c r="AY20" i="2" l="1"/>
  <c r="AI20" i="2"/>
  <c r="G20" i="2"/>
  <c r="E44" i="47"/>
  <c r="G44" i="47" s="1"/>
  <c r="H44" i="47" s="1"/>
  <c r="O57" i="58" l="1"/>
  <c r="U57" i="58" s="1"/>
  <c r="O57" i="46"/>
  <c r="C57" i="46" s="1"/>
  <c r="N19" i="48" s="1"/>
  <c r="AF19" i="48"/>
  <c r="AR60" i="58"/>
  <c r="BA60" i="58" s="1"/>
  <c r="AM60" i="58"/>
  <c r="AR59" i="58"/>
  <c r="BA59" i="58" s="1"/>
  <c r="AM59" i="58"/>
  <c r="AR58" i="58"/>
  <c r="BA58" i="58" s="1"/>
  <c r="AM58" i="58"/>
  <c r="AR57" i="58"/>
  <c r="BA57" i="58" s="1"/>
  <c r="AM57" i="58"/>
  <c r="N57" i="58"/>
  <c r="J57" i="58"/>
  <c r="N57" i="46"/>
  <c r="J57" i="46"/>
  <c r="AR60" i="46"/>
  <c r="BA60" i="46" s="1"/>
  <c r="AM60" i="46"/>
  <c r="AR59" i="46"/>
  <c r="BA59" i="46" s="1"/>
  <c r="AM59" i="46"/>
  <c r="AR58" i="46"/>
  <c r="BA58" i="46" s="1"/>
  <c r="AM58" i="46"/>
  <c r="AR57" i="46"/>
  <c r="BA57" i="46" s="1"/>
  <c r="AM57" i="46"/>
  <c r="I38" i="23"/>
  <c r="I44" i="47" s="1"/>
  <c r="F42" i="23"/>
  <c r="G40" i="23"/>
  <c r="G39" i="23"/>
  <c r="G38" i="23"/>
  <c r="F32" i="21"/>
  <c r="F23" i="21"/>
  <c r="F14" i="21"/>
  <c r="F32" i="23"/>
  <c r="F23" i="23"/>
  <c r="F14" i="23"/>
  <c r="G42" i="21"/>
  <c r="I37" i="21" s="1"/>
  <c r="F42" i="21"/>
  <c r="C57" i="58" l="1"/>
  <c r="K57" i="58"/>
  <c r="T57" i="58"/>
  <c r="V57" i="46"/>
  <c r="AD59" i="58"/>
  <c r="AD57" i="58"/>
  <c r="G42" i="23"/>
  <c r="I37" i="23" s="1"/>
  <c r="AD59" i="46"/>
  <c r="AD58" i="46"/>
  <c r="K57" i="46"/>
  <c r="L19" i="48" s="1"/>
  <c r="AD60" i="58"/>
  <c r="AD58" i="58"/>
  <c r="AD60" i="46"/>
  <c r="AH19" i="48"/>
  <c r="V57" i="58"/>
  <c r="P57" i="58"/>
  <c r="T57" i="46"/>
  <c r="P57" i="46"/>
  <c r="U57" i="46"/>
  <c r="AD57" i="46"/>
  <c r="AC57" i="58" l="1"/>
  <c r="AC57" i="46"/>
  <c r="AY19" i="2"/>
  <c r="AI19" i="2"/>
  <c r="G19" i="2"/>
  <c r="Z52" i="46" l="1"/>
  <c r="F42" i="47"/>
  <c r="E42" i="47"/>
  <c r="F41" i="47"/>
  <c r="F40" i="47"/>
  <c r="E41" i="47"/>
  <c r="G41" i="47" s="1"/>
  <c r="E40" i="47"/>
  <c r="C16" i="24"/>
  <c r="H40" i="47" l="1"/>
  <c r="G42" i="47"/>
  <c r="H42" i="47" s="1"/>
  <c r="G40" i="47"/>
  <c r="AF18" i="48"/>
  <c r="O53" i="46" l="1"/>
  <c r="O53" i="58"/>
  <c r="O52" i="46"/>
  <c r="O52" i="58"/>
  <c r="C52" i="58" s="1"/>
  <c r="AR55" i="58"/>
  <c r="BA55" i="58" s="1"/>
  <c r="AM55" i="58"/>
  <c r="AR54" i="58"/>
  <c r="BA54" i="58" s="1"/>
  <c r="AM54" i="58"/>
  <c r="AR53" i="58"/>
  <c r="BA53" i="58" s="1"/>
  <c r="AM53" i="58"/>
  <c r="T53" i="58"/>
  <c r="N53" i="58"/>
  <c r="J53" i="58"/>
  <c r="AR52" i="58"/>
  <c r="BA52" i="58" s="1"/>
  <c r="AM52" i="58"/>
  <c r="N52" i="58"/>
  <c r="J52" i="58"/>
  <c r="AM55" i="46"/>
  <c r="AR55" i="46"/>
  <c r="BA55" i="46" s="1"/>
  <c r="C53" i="46"/>
  <c r="N53" i="46"/>
  <c r="J53" i="46"/>
  <c r="AD54" i="58" l="1"/>
  <c r="AD52" i="58"/>
  <c r="AD55" i="58"/>
  <c r="AD53" i="58"/>
  <c r="U53" i="58"/>
  <c r="V53" i="58"/>
  <c r="C53" i="58"/>
  <c r="K52" i="58"/>
  <c r="V52" i="58"/>
  <c r="K53" i="58"/>
  <c r="AC53" i="58" s="1"/>
  <c r="P52" i="58"/>
  <c r="T52" i="58"/>
  <c r="U52" i="58"/>
  <c r="P53" i="58"/>
  <c r="AD55" i="46"/>
  <c r="V53" i="46"/>
  <c r="K53" i="46"/>
  <c r="P53" i="46"/>
  <c r="T53" i="46"/>
  <c r="U53" i="46"/>
  <c r="AC52" i="58" l="1"/>
  <c r="AC53" i="46"/>
  <c r="AH18" i="48"/>
  <c r="J52" i="46"/>
  <c r="N52" i="46"/>
  <c r="P52" i="46"/>
  <c r="AM52" i="46"/>
  <c r="AR52" i="46"/>
  <c r="BA52" i="46" s="1"/>
  <c r="AM53" i="46"/>
  <c r="AR53" i="46"/>
  <c r="BA53" i="46" s="1"/>
  <c r="AM54" i="46"/>
  <c r="AR54" i="46"/>
  <c r="BA54" i="46" s="1"/>
  <c r="K9" i="24"/>
  <c r="W52" i="58" s="1"/>
  <c r="K13" i="24"/>
  <c r="W53" i="58" s="1"/>
  <c r="N37" i="24"/>
  <c r="I40" i="47" s="1"/>
  <c r="I38" i="24"/>
  <c r="G40" i="24"/>
  <c r="G39" i="24"/>
  <c r="P18" i="24"/>
  <c r="Q16" i="24"/>
  <c r="O16" i="24"/>
  <c r="R16" i="24" s="1"/>
  <c r="Q17" i="24"/>
  <c r="Q18" i="24" s="1"/>
  <c r="Q19" i="24" s="1"/>
  <c r="O17" i="24"/>
  <c r="R17" i="24" s="1"/>
  <c r="P9" i="24"/>
  <c r="Q9" i="24" s="1"/>
  <c r="Q10" i="24"/>
  <c r="O10" i="24"/>
  <c r="R10" i="24" s="1"/>
  <c r="O9" i="24"/>
  <c r="N6" i="24"/>
  <c r="X52" i="58" l="1"/>
  <c r="P11" i="24"/>
  <c r="R9" i="24"/>
  <c r="R11" i="24" s="1"/>
  <c r="R12" i="24" s="1"/>
  <c r="AA52" i="58"/>
  <c r="AB52" i="58" s="1"/>
  <c r="N38" i="24"/>
  <c r="I42" i="47" s="1"/>
  <c r="R18" i="24"/>
  <c r="R19" i="24" s="1"/>
  <c r="T52" i="46"/>
  <c r="K52" i="46"/>
  <c r="L18" i="48" s="1"/>
  <c r="W53" i="46"/>
  <c r="W52" i="46"/>
  <c r="AD53" i="46"/>
  <c r="AD54" i="46"/>
  <c r="AD52" i="46"/>
  <c r="V52" i="46"/>
  <c r="C52" i="46"/>
  <c r="N18" i="48" s="1"/>
  <c r="U52" i="46"/>
  <c r="Q11" i="24"/>
  <c r="Q12" i="24" l="1"/>
  <c r="AC52" i="46"/>
  <c r="X52" i="46"/>
  <c r="AP34" i="59" l="1"/>
  <c r="I38" i="25" l="1"/>
  <c r="I38" i="47" s="1"/>
  <c r="F38" i="47"/>
  <c r="E38" i="47"/>
  <c r="G38" i="47" l="1"/>
  <c r="H38" i="47" s="1"/>
  <c r="O48" i="58" l="1"/>
  <c r="O48" i="46"/>
  <c r="AI18" i="2"/>
  <c r="G18" i="2"/>
  <c r="AF17" i="48" l="1"/>
  <c r="AR50" i="58"/>
  <c r="BA50" i="58" s="1"/>
  <c r="AM50" i="58"/>
  <c r="AR49" i="58"/>
  <c r="BA49" i="58" s="1"/>
  <c r="AM49" i="58"/>
  <c r="AR48" i="58"/>
  <c r="BA48" i="58" s="1"/>
  <c r="AM48" i="58"/>
  <c r="U48" i="58"/>
  <c r="T48" i="58"/>
  <c r="P48" i="58"/>
  <c r="N48" i="58"/>
  <c r="K48" i="58" s="1"/>
  <c r="J48" i="58"/>
  <c r="C48" i="58"/>
  <c r="AR50" i="46"/>
  <c r="BA50" i="46" s="1"/>
  <c r="AM50" i="46"/>
  <c r="AR49" i="46"/>
  <c r="BA49" i="46" s="1"/>
  <c r="AM49" i="46"/>
  <c r="AR48" i="46"/>
  <c r="BA48" i="46" s="1"/>
  <c r="AM48" i="46"/>
  <c r="U48" i="46"/>
  <c r="N48" i="46"/>
  <c r="V48" i="46" s="1"/>
  <c r="K48" i="46"/>
  <c r="L17" i="48" s="1"/>
  <c r="J48" i="46"/>
  <c r="AD48" i="58" l="1"/>
  <c r="AH17" i="48"/>
  <c r="AC48" i="58"/>
  <c r="AD49" i="58"/>
  <c r="AD50" i="58"/>
  <c r="AD49" i="46"/>
  <c r="V48" i="58"/>
  <c r="AD48" i="46"/>
  <c r="AD50" i="46"/>
  <c r="P48" i="46"/>
  <c r="T48" i="46"/>
  <c r="AC48" i="46" s="1"/>
  <c r="C48" i="46"/>
  <c r="N17" i="48" s="1"/>
  <c r="G40" i="25" l="1"/>
  <c r="G39" i="25"/>
  <c r="G38" i="25"/>
  <c r="P11" i="25"/>
  <c r="O10" i="25"/>
  <c r="O9" i="25"/>
  <c r="O8" i="25"/>
  <c r="N6" i="25"/>
  <c r="F36" i="47" l="1"/>
  <c r="E35" i="47"/>
  <c r="E36" i="47" l="1"/>
  <c r="G36" i="47" s="1"/>
  <c r="H35" i="47" l="1"/>
  <c r="O42" i="58" s="1"/>
  <c r="G35" i="47"/>
  <c r="AI17" i="2"/>
  <c r="G17" i="2"/>
  <c r="O42" i="46" l="1"/>
  <c r="AF16" i="48"/>
  <c r="AR46" i="58" l="1"/>
  <c r="BA46" i="58" s="1"/>
  <c r="AM46" i="58"/>
  <c r="AD46" i="58" s="1"/>
  <c r="AR45" i="58"/>
  <c r="BA45" i="58" s="1"/>
  <c r="AM45" i="58"/>
  <c r="AD45" i="58" s="1"/>
  <c r="AR44" i="58"/>
  <c r="BA44" i="58" s="1"/>
  <c r="AM44" i="58"/>
  <c r="AD44" i="58" s="1"/>
  <c r="AR43" i="58"/>
  <c r="BA43" i="58" s="1"/>
  <c r="AM43" i="58"/>
  <c r="AR42" i="58"/>
  <c r="BA42" i="58" s="1"/>
  <c r="AM42" i="58"/>
  <c r="AD42" i="58" s="1"/>
  <c r="R42" i="58"/>
  <c r="U42" i="58"/>
  <c r="N42" i="58"/>
  <c r="K42" i="58" s="1"/>
  <c r="J42" i="58"/>
  <c r="R42" i="46"/>
  <c r="P42" i="46" s="1"/>
  <c r="AR46" i="46"/>
  <c r="BA46" i="46" s="1"/>
  <c r="AM46" i="46"/>
  <c r="AR45" i="46"/>
  <c r="BA45" i="46" s="1"/>
  <c r="AM45" i="46"/>
  <c r="AR44" i="46"/>
  <c r="BA44" i="46" s="1"/>
  <c r="AM44" i="46"/>
  <c r="AR43" i="46"/>
  <c r="BA43" i="46" s="1"/>
  <c r="AM43" i="46"/>
  <c r="BA42" i="46"/>
  <c r="AD42" i="46" s="1"/>
  <c r="AR42" i="46"/>
  <c r="AM42" i="46"/>
  <c r="N42" i="46"/>
  <c r="J42" i="46"/>
  <c r="I38" i="26"/>
  <c r="I35" i="47" s="1"/>
  <c r="G42" i="26"/>
  <c r="I37" i="26" s="1"/>
  <c r="F42" i="26"/>
  <c r="F27" i="26"/>
  <c r="P25" i="26"/>
  <c r="O25" i="26"/>
  <c r="N6" i="26"/>
  <c r="AD43" i="58" l="1"/>
  <c r="AH16" i="48"/>
  <c r="T42" i="58"/>
  <c r="AC42" i="58" s="1"/>
  <c r="K42" i="46"/>
  <c r="L16" i="48" s="1"/>
  <c r="P42" i="58"/>
  <c r="C42" i="58"/>
  <c r="V42" i="58"/>
  <c r="AD46" i="46"/>
  <c r="AD45" i="46"/>
  <c r="AD43" i="46"/>
  <c r="AD44" i="46"/>
  <c r="U42" i="46"/>
  <c r="V42" i="46"/>
  <c r="T42" i="46"/>
  <c r="C42" i="46"/>
  <c r="N16" i="48" s="1"/>
  <c r="P17" i="26"/>
  <c r="Q17" i="26" s="1"/>
  <c r="P16" i="26"/>
  <c r="O17" i="26"/>
  <c r="O16" i="26"/>
  <c r="R16" i="26" s="1"/>
  <c r="P9" i="26"/>
  <c r="O9" i="26"/>
  <c r="R17" i="26" l="1"/>
  <c r="R18" i="26" s="1"/>
  <c r="P18" i="26"/>
  <c r="Q16" i="26"/>
  <c r="Q18" i="26" s="1"/>
  <c r="AC42" i="46"/>
  <c r="AI16" i="2"/>
  <c r="G16" i="2"/>
  <c r="Q19" i="26" l="1"/>
  <c r="R19" i="26"/>
  <c r="F30" i="47"/>
  <c r="F33" i="47"/>
  <c r="F31" i="47"/>
  <c r="F29" i="47"/>
  <c r="E33" i="47"/>
  <c r="E32" i="47"/>
  <c r="G32" i="47" s="1"/>
  <c r="H32" i="47" s="1"/>
  <c r="E30" i="47"/>
  <c r="E31" i="47"/>
  <c r="E29" i="47"/>
  <c r="G33" i="47" l="1"/>
  <c r="H33" i="47" s="1"/>
  <c r="O38" i="58" s="1"/>
  <c r="O37" i="58"/>
  <c r="O37" i="46"/>
  <c r="H29" i="47"/>
  <c r="G30" i="47"/>
  <c r="G31" i="47"/>
  <c r="H31" i="47" s="1"/>
  <c r="G29" i="47"/>
  <c r="O38" i="46" l="1"/>
  <c r="O36" i="58"/>
  <c r="O36" i="46"/>
  <c r="O35" i="58"/>
  <c r="O35" i="46"/>
  <c r="C27" i="28"/>
  <c r="C26" i="28"/>
  <c r="K12" i="28" s="1"/>
  <c r="W38" i="58" s="1"/>
  <c r="C25" i="28"/>
  <c r="C18" i="28"/>
  <c r="K11" i="28" s="1"/>
  <c r="W37" i="58" s="1"/>
  <c r="C17" i="28"/>
  <c r="C16" i="28"/>
  <c r="K9" i="28" l="1"/>
  <c r="W35" i="58" s="1"/>
  <c r="K10" i="28"/>
  <c r="W36" i="58" s="1"/>
  <c r="AF15" i="48" l="1"/>
  <c r="AR40" i="58" l="1"/>
  <c r="BA40" i="58" s="1"/>
  <c r="AM40" i="58"/>
  <c r="AR39" i="58"/>
  <c r="BA39" i="58" s="1"/>
  <c r="AM39" i="58"/>
  <c r="AD39" i="58" s="1"/>
  <c r="AR38" i="58"/>
  <c r="BA38" i="58" s="1"/>
  <c r="AM38" i="58"/>
  <c r="U38" i="58"/>
  <c r="T38" i="58"/>
  <c r="N38" i="58"/>
  <c r="J38" i="58"/>
  <c r="C38" i="58"/>
  <c r="AR37" i="58"/>
  <c r="BA37" i="58" s="1"/>
  <c r="AM37" i="58"/>
  <c r="C37" i="58"/>
  <c r="N37" i="58"/>
  <c r="J37" i="58"/>
  <c r="AR36" i="58"/>
  <c r="BA36" i="58" s="1"/>
  <c r="AM36" i="58"/>
  <c r="C36" i="58"/>
  <c r="N36" i="58"/>
  <c r="J36" i="58"/>
  <c r="AR35" i="58"/>
  <c r="BA35" i="58" s="1"/>
  <c r="AM35" i="58"/>
  <c r="T35" i="58"/>
  <c r="N35" i="58"/>
  <c r="J35" i="58"/>
  <c r="AM39" i="46"/>
  <c r="AR39" i="46"/>
  <c r="BA39" i="46" s="1"/>
  <c r="AD39" i="46" s="1"/>
  <c r="AM40" i="46"/>
  <c r="AR40" i="46"/>
  <c r="BA40" i="46" s="1"/>
  <c r="W38" i="46"/>
  <c r="W37" i="46"/>
  <c r="W36" i="46"/>
  <c r="U38" i="46"/>
  <c r="N38" i="46"/>
  <c r="J38" i="46"/>
  <c r="T37" i="46"/>
  <c r="C37" i="46"/>
  <c r="N37" i="46"/>
  <c r="J37" i="46"/>
  <c r="U36" i="46"/>
  <c r="N36" i="46"/>
  <c r="J36" i="46"/>
  <c r="AR38" i="46"/>
  <c r="BA38" i="46" s="1"/>
  <c r="AM38" i="46"/>
  <c r="AR37" i="46"/>
  <c r="BA37" i="46" s="1"/>
  <c r="AM37" i="46"/>
  <c r="AR36" i="46"/>
  <c r="BA36" i="46" s="1"/>
  <c r="AM36" i="46"/>
  <c r="AR35" i="46"/>
  <c r="BA35" i="46" s="1"/>
  <c r="AM35" i="46"/>
  <c r="P35" i="46"/>
  <c r="N35" i="46"/>
  <c r="J35" i="46"/>
  <c r="N40" i="28"/>
  <c r="I33" i="47" s="1"/>
  <c r="N37" i="28"/>
  <c r="I29" i="47" s="1"/>
  <c r="N39" i="28"/>
  <c r="I32" i="47" s="1"/>
  <c r="N38" i="28"/>
  <c r="I31" i="47" s="1"/>
  <c r="I38" i="28"/>
  <c r="W24" i="28"/>
  <c r="X24" i="28" s="1"/>
  <c r="V24" i="28"/>
  <c r="W23" i="28"/>
  <c r="X23" i="28" s="1"/>
  <c r="V23" i="28"/>
  <c r="F42" i="28"/>
  <c r="P25" i="28"/>
  <c r="Q25" i="28" s="1"/>
  <c r="O25" i="28"/>
  <c r="O24" i="28"/>
  <c r="R24" i="28" s="1"/>
  <c r="P17" i="28"/>
  <c r="Q17" i="28" s="1"/>
  <c r="P16" i="28"/>
  <c r="Q16" i="28" s="1"/>
  <c r="Q18" i="28"/>
  <c r="O18" i="28"/>
  <c r="R18" i="28" s="1"/>
  <c r="O17" i="28"/>
  <c r="O16" i="28"/>
  <c r="Q10" i="28"/>
  <c r="P9" i="28"/>
  <c r="Q9" i="28" s="1"/>
  <c r="P8" i="28"/>
  <c r="Q8" i="28" s="1"/>
  <c r="O10" i="28"/>
  <c r="R10" i="28" s="1"/>
  <c r="O9" i="28"/>
  <c r="O8" i="28"/>
  <c r="N6" i="28"/>
  <c r="AD36" i="58" l="1"/>
  <c r="Y23" i="28"/>
  <c r="X25" i="28"/>
  <c r="P26" i="28"/>
  <c r="AD36" i="46"/>
  <c r="Y24" i="28"/>
  <c r="Y25" i="28" s="1"/>
  <c r="AD35" i="58"/>
  <c r="T35" i="46"/>
  <c r="C35" i="46"/>
  <c r="V37" i="46"/>
  <c r="K37" i="58"/>
  <c r="K38" i="58"/>
  <c r="C36" i="46"/>
  <c r="P37" i="58"/>
  <c r="T37" i="58"/>
  <c r="P38" i="58"/>
  <c r="K36" i="46"/>
  <c r="W25" i="28"/>
  <c r="K35" i="58"/>
  <c r="AD37" i="58"/>
  <c r="AD40" i="58"/>
  <c r="U37" i="46"/>
  <c r="P35" i="58"/>
  <c r="V38" i="58"/>
  <c r="K35" i="46"/>
  <c r="U35" i="58"/>
  <c r="K38" i="46"/>
  <c r="V35" i="58"/>
  <c r="V36" i="58"/>
  <c r="AD38" i="58"/>
  <c r="U35" i="46"/>
  <c r="K37" i="46"/>
  <c r="C35" i="58"/>
  <c r="U37" i="58"/>
  <c r="K36" i="58"/>
  <c r="P36" i="58"/>
  <c r="T36" i="58"/>
  <c r="V37" i="58"/>
  <c r="U36" i="58"/>
  <c r="AD40" i="46"/>
  <c r="AD38" i="46"/>
  <c r="AD37" i="46"/>
  <c r="AD35" i="46"/>
  <c r="V35" i="46"/>
  <c r="V36" i="46"/>
  <c r="T36" i="46"/>
  <c r="C38" i="46"/>
  <c r="V38" i="46"/>
  <c r="P36" i="46"/>
  <c r="P37" i="46"/>
  <c r="P38" i="46"/>
  <c r="T38" i="46"/>
  <c r="Q11" i="28"/>
  <c r="R25" i="28"/>
  <c r="R26" i="28" s="1"/>
  <c r="R27" i="28" s="1"/>
  <c r="R8" i="28"/>
  <c r="R9" i="28"/>
  <c r="P11" i="28"/>
  <c r="R17" i="28"/>
  <c r="Q24" i="28"/>
  <c r="Q26" i="28" s="1"/>
  <c r="Q27" i="28" s="1"/>
  <c r="R16" i="28"/>
  <c r="Q19" i="28"/>
  <c r="P19" i="28"/>
  <c r="F13" i="28"/>
  <c r="F12" i="28"/>
  <c r="X35" i="58" l="1"/>
  <c r="R11" i="28"/>
  <c r="X26" i="28"/>
  <c r="AC35" i="58"/>
  <c r="R19" i="28"/>
  <c r="R20" i="28" s="1"/>
  <c r="N15" i="48"/>
  <c r="AH15" i="48"/>
  <c r="Q12" i="28"/>
  <c r="AC35" i="46"/>
  <c r="L15" i="48"/>
  <c r="Y26" i="28"/>
  <c r="R12" i="28"/>
  <c r="Q20" i="28"/>
  <c r="DG41" i="1"/>
  <c r="KV39" i="1" l="1"/>
  <c r="KV38" i="1"/>
  <c r="KV37" i="1"/>
  <c r="KV36" i="1"/>
  <c r="KV35" i="1"/>
  <c r="KV34" i="1"/>
  <c r="KV33" i="1"/>
  <c r="KV32" i="1"/>
  <c r="KV31" i="1"/>
  <c r="KV30" i="1"/>
  <c r="KV29" i="1"/>
  <c r="KV28" i="1"/>
  <c r="KV27" i="1"/>
  <c r="KV26" i="1"/>
  <c r="KV25" i="1"/>
  <c r="KV24" i="1"/>
  <c r="KV23" i="1"/>
  <c r="KV22" i="1"/>
  <c r="KV21" i="1"/>
  <c r="KV20" i="1"/>
  <c r="KV19" i="1"/>
  <c r="KV17" i="1"/>
  <c r="KV16" i="1"/>
  <c r="KV14" i="1"/>
  <c r="KV13" i="1"/>
  <c r="KV12" i="1"/>
  <c r="KV11" i="1"/>
  <c r="KV10" i="1"/>
  <c r="KV9" i="1"/>
  <c r="AI15" i="2" l="1"/>
  <c r="AI14" i="2"/>
  <c r="G15" i="2"/>
  <c r="G14" i="2"/>
  <c r="N30" i="58" l="1"/>
  <c r="J30" i="58"/>
  <c r="N26" i="58"/>
  <c r="J26" i="58"/>
  <c r="AR33" i="58"/>
  <c r="BA33" i="58" s="1"/>
  <c r="AM33" i="58"/>
  <c r="AR32" i="58"/>
  <c r="BA32" i="58" s="1"/>
  <c r="AM32" i="58"/>
  <c r="AR31" i="58"/>
  <c r="BA31" i="58" s="1"/>
  <c r="AM31" i="58"/>
  <c r="AR30" i="58"/>
  <c r="BA30" i="58" s="1"/>
  <c r="AM30" i="58"/>
  <c r="AR28" i="58"/>
  <c r="BA28" i="58" s="1"/>
  <c r="AM28" i="58"/>
  <c r="AR27" i="58"/>
  <c r="BA27" i="58" s="1"/>
  <c r="AM27" i="58"/>
  <c r="AR26" i="58"/>
  <c r="BA26" i="58" s="1"/>
  <c r="AM26" i="58"/>
  <c r="F27" i="47"/>
  <c r="E27" i="47"/>
  <c r="F24" i="47"/>
  <c r="E25" i="47"/>
  <c r="G25" i="47" s="1"/>
  <c r="E24" i="47"/>
  <c r="AD32" i="58" l="1"/>
  <c r="AD27" i="58"/>
  <c r="AD31" i="58"/>
  <c r="AD33" i="58"/>
  <c r="AD28" i="58"/>
  <c r="AD30" i="58"/>
  <c r="H24" i="47"/>
  <c r="O26" i="58" s="1"/>
  <c r="AD26" i="58"/>
  <c r="G27" i="47"/>
  <c r="H27" i="47" s="1"/>
  <c r="G24" i="47"/>
  <c r="AF14" i="48"/>
  <c r="AF13" i="48"/>
  <c r="AM33" i="46"/>
  <c r="AR33" i="46"/>
  <c r="BA33" i="46" s="1"/>
  <c r="J30" i="46"/>
  <c r="N30" i="46"/>
  <c r="AM30" i="46"/>
  <c r="AR30" i="46"/>
  <c r="BA30" i="46" s="1"/>
  <c r="AM31" i="46"/>
  <c r="AR31" i="46"/>
  <c r="BA31" i="46" s="1"/>
  <c r="AM32" i="46"/>
  <c r="AR32" i="46"/>
  <c r="BA32" i="46" s="1"/>
  <c r="J26" i="46"/>
  <c r="N26" i="46"/>
  <c r="AM26" i="46"/>
  <c r="AR26" i="46"/>
  <c r="BA26" i="46" s="1"/>
  <c r="AM27" i="46"/>
  <c r="AR27" i="46"/>
  <c r="BA27" i="46" s="1"/>
  <c r="AM28" i="46"/>
  <c r="AR28" i="46"/>
  <c r="BA28" i="46" s="1"/>
  <c r="F42" i="27"/>
  <c r="G40" i="27"/>
  <c r="G38" i="27"/>
  <c r="P18" i="27"/>
  <c r="Q18" i="27" s="1"/>
  <c r="P17" i="27"/>
  <c r="Q17" i="27" s="1"/>
  <c r="O18" i="27"/>
  <c r="O17" i="27"/>
  <c r="R17" i="27" s="1"/>
  <c r="O8" i="27"/>
  <c r="N6" i="27"/>
  <c r="I38" i="27"/>
  <c r="I27" i="47" s="1"/>
  <c r="I38" i="29"/>
  <c r="I24" i="47" s="1"/>
  <c r="F42" i="29"/>
  <c r="G40" i="29"/>
  <c r="G39" i="29"/>
  <c r="G38" i="29"/>
  <c r="O8" i="29"/>
  <c r="N6" i="29"/>
  <c r="G42" i="27" l="1"/>
  <c r="I37" i="27" s="1"/>
  <c r="O26" i="46"/>
  <c r="T26" i="46" s="1"/>
  <c r="P26" i="58"/>
  <c r="V26" i="58"/>
  <c r="G42" i="29"/>
  <c r="I37" i="29" s="1"/>
  <c r="K26" i="46"/>
  <c r="L13" i="48" s="1"/>
  <c r="R18" i="27"/>
  <c r="R19" i="27" s="1"/>
  <c r="Q19" i="27"/>
  <c r="AD28" i="46"/>
  <c r="O30" i="58"/>
  <c r="O30" i="46"/>
  <c r="U30" i="46" s="1"/>
  <c r="P19" i="27"/>
  <c r="AD26" i="46"/>
  <c r="AD27" i="46"/>
  <c r="C26" i="58"/>
  <c r="T26" i="58"/>
  <c r="K26" i="58"/>
  <c r="U26" i="58"/>
  <c r="K30" i="46"/>
  <c r="AD33" i="46"/>
  <c r="AD31" i="46"/>
  <c r="AD30" i="46"/>
  <c r="AD32" i="46"/>
  <c r="V26" i="46"/>
  <c r="F32" i="27"/>
  <c r="E32" i="27"/>
  <c r="D32" i="27"/>
  <c r="C32" i="27"/>
  <c r="F23" i="27"/>
  <c r="E23" i="27"/>
  <c r="D23" i="27"/>
  <c r="C23" i="27"/>
  <c r="F14" i="27"/>
  <c r="E14" i="27"/>
  <c r="D14" i="27"/>
  <c r="C14" i="27"/>
  <c r="P30" i="46" l="1"/>
  <c r="T30" i="46"/>
  <c r="AC26" i="58"/>
  <c r="U26" i="46"/>
  <c r="P26" i="46"/>
  <c r="C26" i="46"/>
  <c r="N13" i="48" s="1"/>
  <c r="AC26" i="46"/>
  <c r="C30" i="46"/>
  <c r="N14" i="48" s="1"/>
  <c r="V30" i="46"/>
  <c r="V30" i="58"/>
  <c r="T30" i="58"/>
  <c r="P30" i="58"/>
  <c r="K30" i="58"/>
  <c r="U30" i="58"/>
  <c r="C30" i="58"/>
  <c r="R20" i="27"/>
  <c r="Q20" i="27"/>
  <c r="AH13" i="48"/>
  <c r="L14" i="48"/>
  <c r="AC30" i="46"/>
  <c r="F19" i="47"/>
  <c r="F21" i="47"/>
  <c r="E22" i="47"/>
  <c r="G22" i="47" s="1"/>
  <c r="E21" i="47"/>
  <c r="E20" i="47"/>
  <c r="G20" i="47" s="1"/>
  <c r="E19" i="47"/>
  <c r="AC30" i="58" l="1"/>
  <c r="G19" i="47"/>
  <c r="AH14" i="48"/>
  <c r="H19" i="47"/>
  <c r="G21" i="47"/>
  <c r="O22" i="46" l="1"/>
  <c r="O22" i="58"/>
  <c r="AI13" i="2"/>
  <c r="G13" i="2"/>
  <c r="AF12" i="48" l="1"/>
  <c r="AR24" i="58"/>
  <c r="BA24" i="58" s="1"/>
  <c r="AM24" i="58"/>
  <c r="AR23" i="58"/>
  <c r="BA23" i="58" s="1"/>
  <c r="AM23" i="58"/>
  <c r="AR22" i="58"/>
  <c r="BA22" i="58" s="1"/>
  <c r="AM22" i="58"/>
  <c r="C22" i="58"/>
  <c r="N22" i="58"/>
  <c r="V22" i="58" s="1"/>
  <c r="J22" i="58"/>
  <c r="C22" i="46"/>
  <c r="N12" i="48" s="1"/>
  <c r="N22" i="46"/>
  <c r="K22" i="46" s="1"/>
  <c r="L12" i="48" s="1"/>
  <c r="J22" i="46"/>
  <c r="AR24" i="46"/>
  <c r="BA24" i="46" s="1"/>
  <c r="AM24" i="46"/>
  <c r="AR23" i="46"/>
  <c r="BA23" i="46" s="1"/>
  <c r="AM23" i="46"/>
  <c r="AR22" i="46"/>
  <c r="BA22" i="46" s="1"/>
  <c r="AM22" i="46"/>
  <c r="AD22" i="46" s="1"/>
  <c r="I38" i="30"/>
  <c r="I19" i="47" s="1"/>
  <c r="G40" i="30"/>
  <c r="G39" i="30"/>
  <c r="G38" i="30"/>
  <c r="O10" i="30"/>
  <c r="O9" i="30"/>
  <c r="O8" i="30"/>
  <c r="N6" i="30"/>
  <c r="AD23" i="58" l="1"/>
  <c r="K22" i="58"/>
  <c r="AH12" i="48" s="1"/>
  <c r="AD23" i="46"/>
  <c r="AD24" i="46"/>
  <c r="AD24" i="58"/>
  <c r="AD22" i="58"/>
  <c r="T22" i="58"/>
  <c r="U22" i="58"/>
  <c r="P22" i="58"/>
  <c r="P22" i="46"/>
  <c r="T22" i="46"/>
  <c r="AC22" i="46" s="1"/>
  <c r="U22" i="46"/>
  <c r="V22" i="46"/>
  <c r="AC22" i="58" l="1"/>
  <c r="E17" i="47"/>
  <c r="G17" i="47" s="1"/>
  <c r="F15" i="47"/>
  <c r="F14" i="47"/>
  <c r="F13" i="47"/>
  <c r="E16" i="47"/>
  <c r="G16" i="47" s="1"/>
  <c r="E15" i="47"/>
  <c r="G15" i="47" s="1"/>
  <c r="F11" i="47"/>
  <c r="E14" i="47"/>
  <c r="E13" i="47"/>
  <c r="E12" i="47"/>
  <c r="G12" i="47" s="1"/>
  <c r="E11" i="47"/>
  <c r="AI12" i="2"/>
  <c r="G12" i="2"/>
  <c r="H11" i="47" l="1"/>
  <c r="O17" i="46" s="1"/>
  <c r="H13" i="47"/>
  <c r="O18" i="46" s="1"/>
  <c r="G14" i="47"/>
  <c r="G13" i="47"/>
  <c r="G11" i="47"/>
  <c r="Z18" i="46"/>
  <c r="O17" i="58" l="1"/>
  <c r="O18" i="58"/>
  <c r="C16" i="31"/>
  <c r="C8" i="31"/>
  <c r="C7" i="31"/>
  <c r="AF11" i="48" l="1"/>
  <c r="Q18" i="58"/>
  <c r="R18" i="58"/>
  <c r="AY20" i="58"/>
  <c r="AR20" i="58"/>
  <c r="BA20" i="58" s="1"/>
  <c r="AM20" i="58"/>
  <c r="AR19" i="58"/>
  <c r="BA19" i="58" s="1"/>
  <c r="AM19" i="58"/>
  <c r="AR18" i="58"/>
  <c r="BA18" i="58" s="1"/>
  <c r="AM18" i="58"/>
  <c r="U18" i="58"/>
  <c r="N18" i="58"/>
  <c r="K18" i="58"/>
  <c r="J18" i="58"/>
  <c r="AR17" i="58"/>
  <c r="BA17" i="58" s="1"/>
  <c r="AM17" i="58"/>
  <c r="U17" i="58"/>
  <c r="T17" i="58"/>
  <c r="C17" i="58"/>
  <c r="N17" i="58"/>
  <c r="V17" i="58" s="1"/>
  <c r="K17" i="58"/>
  <c r="AC17" i="58" s="1"/>
  <c r="J17" i="58"/>
  <c r="K8" i="31"/>
  <c r="W18" i="58" s="1"/>
  <c r="K7" i="31"/>
  <c r="W17" i="58" s="1"/>
  <c r="X17" i="58" s="1"/>
  <c r="Q18" i="46"/>
  <c r="C18" i="46" s="1"/>
  <c r="N18" i="46"/>
  <c r="J18" i="46"/>
  <c r="AR20" i="46"/>
  <c r="BA20" i="46" s="1"/>
  <c r="AM20" i="46"/>
  <c r="AR19" i="46"/>
  <c r="BA19" i="46" s="1"/>
  <c r="AM19" i="46"/>
  <c r="AR18" i="46"/>
  <c r="BA18" i="46" s="1"/>
  <c r="AM18" i="46"/>
  <c r="AR17" i="46"/>
  <c r="BA17" i="46" s="1"/>
  <c r="AM17" i="46"/>
  <c r="U17" i="46"/>
  <c r="T17" i="46"/>
  <c r="P17" i="46"/>
  <c r="N17" i="46"/>
  <c r="K17" i="46" s="1"/>
  <c r="AC17" i="46" s="1"/>
  <c r="J17" i="46"/>
  <c r="C17" i="46"/>
  <c r="N37" i="31"/>
  <c r="I38" i="31"/>
  <c r="I11" i="47" s="1"/>
  <c r="F42" i="31"/>
  <c r="P17" i="31"/>
  <c r="O18" i="31"/>
  <c r="O17" i="31"/>
  <c r="G40" i="31"/>
  <c r="G39" i="31"/>
  <c r="P9" i="31"/>
  <c r="Q9" i="31" s="1"/>
  <c r="P8" i="31"/>
  <c r="Q8" i="31" s="1"/>
  <c r="O9" i="31"/>
  <c r="R9" i="31" s="1"/>
  <c r="O8" i="31"/>
  <c r="R8" i="31" s="1"/>
  <c r="R10" i="31" s="1"/>
  <c r="N6" i="31"/>
  <c r="W17" i="46" l="1"/>
  <c r="AD17" i="58"/>
  <c r="W18" i="46"/>
  <c r="G42" i="31"/>
  <c r="I37" i="31" s="1"/>
  <c r="P19" i="31"/>
  <c r="P20" i="31" s="1"/>
  <c r="V18" i="58"/>
  <c r="AD18" i="58"/>
  <c r="AD18" i="46"/>
  <c r="P10" i="31"/>
  <c r="R11" i="31" s="1"/>
  <c r="N11" i="48"/>
  <c r="N38" i="31"/>
  <c r="AD17" i="46"/>
  <c r="AH11" i="48"/>
  <c r="P18" i="58"/>
  <c r="V18" i="46"/>
  <c r="AD20" i="58"/>
  <c r="AD19" i="58"/>
  <c r="C18" i="58"/>
  <c r="T18" i="58"/>
  <c r="AC18" i="58" s="1"/>
  <c r="P17" i="58"/>
  <c r="AD20" i="46"/>
  <c r="AD19" i="46"/>
  <c r="V17" i="46"/>
  <c r="K18" i="46"/>
  <c r="P18" i="46"/>
  <c r="T18" i="46"/>
  <c r="U18" i="46"/>
  <c r="Q10" i="31"/>
  <c r="Q11" i="31" l="1"/>
  <c r="L11" i="48"/>
  <c r="AC18" i="46"/>
  <c r="X17" i="46"/>
  <c r="F19" i="31" l="1"/>
  <c r="C6" i="55" l="1"/>
  <c r="AA52" i="46" l="1"/>
  <c r="AB52" i="46" s="1"/>
  <c r="AI11" i="2"/>
  <c r="AA11" i="2"/>
  <c r="G11" i="2"/>
  <c r="E7" i="47"/>
  <c r="E8" i="47"/>
  <c r="E5" i="47" l="1"/>
  <c r="E9" i="47"/>
  <c r="G9" i="47"/>
  <c r="F8" i="47"/>
  <c r="F7" i="47"/>
  <c r="G7" i="47" s="1"/>
  <c r="G8" i="47"/>
  <c r="H7" i="47" l="1"/>
  <c r="O12" i="58" s="1"/>
  <c r="AF10" i="48"/>
  <c r="O12" i="46" l="1"/>
  <c r="Q12" i="58"/>
  <c r="S12" i="58"/>
  <c r="U12" i="58" s="1"/>
  <c r="AV15" i="58"/>
  <c r="AR15" i="58"/>
  <c r="BA15" i="58" s="1"/>
  <c r="AM15" i="58"/>
  <c r="AR14" i="58"/>
  <c r="BA14" i="58" s="1"/>
  <c r="AM14" i="58"/>
  <c r="AR13" i="58"/>
  <c r="BA13" i="58" s="1"/>
  <c r="AM13" i="58"/>
  <c r="AR12" i="58"/>
  <c r="BA12" i="58" s="1"/>
  <c r="AM12" i="58"/>
  <c r="N12" i="58"/>
  <c r="K12" i="58" s="1"/>
  <c r="J12" i="58"/>
  <c r="AR15" i="46"/>
  <c r="BA15" i="46" s="1"/>
  <c r="AM15" i="46"/>
  <c r="AR14" i="46"/>
  <c r="BA14" i="46" s="1"/>
  <c r="AM14" i="46"/>
  <c r="AR13" i="46"/>
  <c r="BA13" i="46" s="1"/>
  <c r="AM13" i="46"/>
  <c r="AR12" i="46"/>
  <c r="BA12" i="46" s="1"/>
  <c r="AM12" i="46"/>
  <c r="N12" i="46"/>
  <c r="K12" i="46" s="1"/>
  <c r="L10" i="48" s="1"/>
  <c r="J12" i="46"/>
  <c r="I38" i="32"/>
  <c r="I7" i="47" s="1"/>
  <c r="F42" i="32"/>
  <c r="G40" i="32"/>
  <c r="G39" i="32"/>
  <c r="G42" i="32" s="1"/>
  <c r="I37" i="32" s="1"/>
  <c r="O16" i="32"/>
  <c r="O15" i="32"/>
  <c r="P9" i="32"/>
  <c r="Q9" i="32" s="1"/>
  <c r="P8" i="32"/>
  <c r="Q8" i="32" s="1"/>
  <c r="O9" i="32"/>
  <c r="O8" i="32"/>
  <c r="N6" i="32"/>
  <c r="R8" i="32" l="1"/>
  <c r="AD12" i="46"/>
  <c r="R9" i="32"/>
  <c r="R10" i="32"/>
  <c r="AD12" i="58"/>
  <c r="Q10" i="32"/>
  <c r="P10" i="32"/>
  <c r="AD13" i="58"/>
  <c r="AD14" i="58"/>
  <c r="AH10" i="48"/>
  <c r="P12" i="46"/>
  <c r="AD15" i="58"/>
  <c r="C12" i="58"/>
  <c r="V12" i="58"/>
  <c r="P12" i="58"/>
  <c r="T12" i="58"/>
  <c r="AC12" i="58" s="1"/>
  <c r="AD14" i="46"/>
  <c r="AD15" i="46"/>
  <c r="AD13" i="46"/>
  <c r="T12" i="46"/>
  <c r="AC12" i="46" s="1"/>
  <c r="C12" i="46"/>
  <c r="N10" i="48" s="1"/>
  <c r="U12" i="46"/>
  <c r="V12" i="46"/>
  <c r="E8" i="45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O27" i="45"/>
  <c r="AO28" i="45"/>
  <c r="AO29" i="45"/>
  <c r="AO30" i="45"/>
  <c r="AO31" i="45"/>
  <c r="AO32" i="45"/>
  <c r="AO33" i="45"/>
  <c r="AO34" i="45"/>
  <c r="AO35" i="45"/>
  <c r="AO36" i="45"/>
  <c r="AO37" i="45"/>
  <c r="AO38" i="45"/>
  <c r="AO8" i="45"/>
  <c r="AK9" i="45"/>
  <c r="AK10" i="45"/>
  <c r="AK11" i="45"/>
  <c r="AK12" i="45"/>
  <c r="AK13" i="45"/>
  <c r="AK14" i="45"/>
  <c r="AK15" i="45"/>
  <c r="AK16" i="45"/>
  <c r="AK17" i="45"/>
  <c r="AK18" i="45"/>
  <c r="AK19" i="45"/>
  <c r="AK20" i="45"/>
  <c r="AK21" i="45"/>
  <c r="AK22" i="45"/>
  <c r="AK23" i="45"/>
  <c r="AK24" i="45"/>
  <c r="AK25" i="45"/>
  <c r="AK26" i="45"/>
  <c r="AK27" i="45"/>
  <c r="AK28" i="45"/>
  <c r="AK29" i="45"/>
  <c r="AK30" i="45"/>
  <c r="AK31" i="45"/>
  <c r="AK32" i="45"/>
  <c r="AK33" i="45"/>
  <c r="AK34" i="45"/>
  <c r="AK35" i="45"/>
  <c r="AK36" i="45"/>
  <c r="AK37" i="45"/>
  <c r="AK38" i="45"/>
  <c r="AK8" i="45"/>
  <c r="AG9" i="45"/>
  <c r="AG10" i="45"/>
  <c r="AG11" i="45"/>
  <c r="AG12" i="45"/>
  <c r="AG13" i="45"/>
  <c r="AG14" i="45"/>
  <c r="AG15" i="45"/>
  <c r="AG16" i="45"/>
  <c r="AG17" i="45"/>
  <c r="AG18" i="45"/>
  <c r="AG19" i="45"/>
  <c r="AG20" i="45"/>
  <c r="AG21" i="45"/>
  <c r="AG22" i="45"/>
  <c r="AG23" i="45"/>
  <c r="AG24" i="45"/>
  <c r="AG25" i="45"/>
  <c r="AG26" i="45"/>
  <c r="AG27" i="45"/>
  <c r="AG28" i="45"/>
  <c r="AG29" i="45"/>
  <c r="AG30" i="45"/>
  <c r="AG31" i="45"/>
  <c r="AG32" i="45"/>
  <c r="AG33" i="45"/>
  <c r="AG34" i="45"/>
  <c r="AG35" i="45"/>
  <c r="AG36" i="45"/>
  <c r="AG37" i="45"/>
  <c r="AG38" i="45"/>
  <c r="AG8" i="45"/>
  <c r="AC9" i="45"/>
  <c r="AC10" i="45"/>
  <c r="AC11" i="45"/>
  <c r="AC12" i="45"/>
  <c r="AC13" i="45"/>
  <c r="AC14" i="45"/>
  <c r="AC15" i="45"/>
  <c r="AC16" i="45"/>
  <c r="AC17" i="45"/>
  <c r="AC18" i="45"/>
  <c r="AC19" i="45"/>
  <c r="AC20" i="45"/>
  <c r="AC21" i="45"/>
  <c r="AC22" i="45"/>
  <c r="AC23" i="45"/>
  <c r="AC24" i="45"/>
  <c r="AC25" i="45"/>
  <c r="AC26" i="45"/>
  <c r="AC27" i="45"/>
  <c r="AC28" i="45"/>
  <c r="AC29" i="45"/>
  <c r="AC30" i="45"/>
  <c r="AC31" i="45"/>
  <c r="AC32" i="45"/>
  <c r="AC33" i="45"/>
  <c r="AC34" i="45"/>
  <c r="AC35" i="45"/>
  <c r="AC36" i="45"/>
  <c r="AC37" i="45"/>
  <c r="AC38" i="45"/>
  <c r="AC8" i="45"/>
  <c r="Y9" i="45"/>
  <c r="Y10" i="45"/>
  <c r="Y11" i="45"/>
  <c r="Y12" i="45"/>
  <c r="Y13" i="45"/>
  <c r="Y14" i="45"/>
  <c r="Y15" i="45"/>
  <c r="Y16" i="45"/>
  <c r="Y17" i="45"/>
  <c r="Y18" i="45"/>
  <c r="Y19" i="45"/>
  <c r="Y20" i="45"/>
  <c r="Y21" i="45"/>
  <c r="Y22" i="45"/>
  <c r="Y23" i="45"/>
  <c r="Y24" i="45"/>
  <c r="Y25" i="45"/>
  <c r="Y26" i="45"/>
  <c r="Y27" i="45"/>
  <c r="Y28" i="45"/>
  <c r="Y29" i="45"/>
  <c r="Y30" i="45"/>
  <c r="Y31" i="45"/>
  <c r="Y32" i="45"/>
  <c r="Y33" i="45"/>
  <c r="Y34" i="45"/>
  <c r="Y35" i="45"/>
  <c r="Y36" i="45"/>
  <c r="Y37" i="45"/>
  <c r="Y38" i="45"/>
  <c r="Y8" i="45"/>
  <c r="U9" i="45"/>
  <c r="U10" i="45"/>
  <c r="U11" i="45"/>
  <c r="U12" i="45"/>
  <c r="U13" i="45"/>
  <c r="U14" i="45"/>
  <c r="U15" i="45"/>
  <c r="U16" i="45"/>
  <c r="U17" i="45"/>
  <c r="U18" i="45"/>
  <c r="U19" i="45"/>
  <c r="U20" i="45"/>
  <c r="U21" i="45"/>
  <c r="U22" i="45"/>
  <c r="U23" i="45"/>
  <c r="U24" i="45"/>
  <c r="U25" i="45"/>
  <c r="U26" i="45"/>
  <c r="U27" i="45"/>
  <c r="U28" i="45"/>
  <c r="U29" i="45"/>
  <c r="U30" i="45"/>
  <c r="U31" i="45"/>
  <c r="U32" i="45"/>
  <c r="U33" i="45"/>
  <c r="U34" i="45"/>
  <c r="U35" i="45"/>
  <c r="U36" i="45"/>
  <c r="U37" i="45"/>
  <c r="U38" i="45"/>
  <c r="U8" i="45"/>
  <c r="Q9" i="45"/>
  <c r="Q10" i="45"/>
  <c r="Q11" i="45"/>
  <c r="Q12" i="45"/>
  <c r="Q13" i="45"/>
  <c r="Q14" i="45"/>
  <c r="Q15" i="45"/>
  <c r="Q16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8" i="45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Q11" i="32" l="1"/>
  <c r="R11" i="32"/>
  <c r="AY34" i="59"/>
  <c r="AY33" i="59"/>
  <c r="AY32" i="59"/>
  <c r="AY31" i="59"/>
  <c r="AY30" i="59"/>
  <c r="AY29" i="59"/>
  <c r="AY28" i="59"/>
  <c r="AY27" i="59"/>
  <c r="AY26" i="59"/>
  <c r="AY25" i="59"/>
  <c r="AY24" i="59"/>
  <c r="AY23" i="59"/>
  <c r="AY22" i="59"/>
  <c r="AY21" i="59"/>
  <c r="AY20" i="59"/>
  <c r="AY19" i="59"/>
  <c r="AY18" i="59"/>
  <c r="AY17" i="59"/>
  <c r="AY16" i="59"/>
  <c r="AY15" i="59"/>
  <c r="AY14" i="59"/>
  <c r="AY13" i="59"/>
  <c r="AY12" i="59"/>
  <c r="AY11" i="59"/>
  <c r="AY10" i="59"/>
  <c r="AY9" i="59"/>
  <c r="AY8" i="59"/>
  <c r="AY7" i="59"/>
  <c r="AY6" i="59"/>
  <c r="AY5" i="59"/>
  <c r="AY4" i="59"/>
  <c r="AX34" i="59"/>
  <c r="AX33" i="59"/>
  <c r="AX32" i="59"/>
  <c r="AX31" i="59"/>
  <c r="AX30" i="59"/>
  <c r="AX29" i="59"/>
  <c r="AX28" i="59"/>
  <c r="AX27" i="59"/>
  <c r="AX26" i="59"/>
  <c r="AX25" i="59"/>
  <c r="AX24" i="59"/>
  <c r="AX23" i="59"/>
  <c r="AX22" i="59"/>
  <c r="AX21" i="59"/>
  <c r="AX20" i="59"/>
  <c r="AX19" i="59"/>
  <c r="AX18" i="59"/>
  <c r="AX17" i="59"/>
  <c r="AX16" i="59"/>
  <c r="AX15" i="59"/>
  <c r="AX14" i="59"/>
  <c r="AX13" i="59"/>
  <c r="AX12" i="59"/>
  <c r="AX11" i="59"/>
  <c r="AX10" i="59"/>
  <c r="AX9" i="59"/>
  <c r="AX8" i="59"/>
  <c r="AX7" i="59"/>
  <c r="AX6" i="59"/>
  <c r="AX5" i="59"/>
  <c r="AX4" i="59"/>
  <c r="AW34" i="59"/>
  <c r="AW33" i="59"/>
  <c r="AW32" i="59"/>
  <c r="AW31" i="59"/>
  <c r="AW30" i="59"/>
  <c r="AW29" i="59"/>
  <c r="AW28" i="59"/>
  <c r="AW27" i="59"/>
  <c r="AW26" i="59"/>
  <c r="AW25" i="59"/>
  <c r="AW24" i="59"/>
  <c r="AW23" i="59"/>
  <c r="AW22" i="59"/>
  <c r="AW21" i="59"/>
  <c r="AW20" i="59"/>
  <c r="AW19" i="59"/>
  <c r="AW18" i="59"/>
  <c r="AW17" i="59"/>
  <c r="AW16" i="59"/>
  <c r="AW15" i="59"/>
  <c r="AW14" i="59"/>
  <c r="AW13" i="59"/>
  <c r="AW12" i="59"/>
  <c r="AW11" i="59"/>
  <c r="AW10" i="59"/>
  <c r="AW9" i="59"/>
  <c r="AW8" i="59"/>
  <c r="AW7" i="59"/>
  <c r="AW6" i="59"/>
  <c r="AW5" i="59"/>
  <c r="AW4" i="59"/>
  <c r="AV34" i="59"/>
  <c r="AV33" i="59"/>
  <c r="AV32" i="59"/>
  <c r="AV31" i="59"/>
  <c r="AV30" i="59"/>
  <c r="AV29" i="59"/>
  <c r="AV28" i="59"/>
  <c r="AV27" i="59"/>
  <c r="AV26" i="59"/>
  <c r="AV25" i="59"/>
  <c r="AV24" i="59"/>
  <c r="AV23" i="59"/>
  <c r="AV22" i="59"/>
  <c r="AV21" i="59"/>
  <c r="AV20" i="59"/>
  <c r="AV19" i="59"/>
  <c r="AV18" i="59"/>
  <c r="AV17" i="59"/>
  <c r="AV16" i="59"/>
  <c r="AV15" i="59"/>
  <c r="AV14" i="59"/>
  <c r="AV13" i="59"/>
  <c r="AV12" i="59"/>
  <c r="AV11" i="59"/>
  <c r="AV10" i="59"/>
  <c r="AV9" i="59"/>
  <c r="AV8" i="59"/>
  <c r="AV7" i="59"/>
  <c r="AV6" i="59"/>
  <c r="AV5" i="59"/>
  <c r="AV4" i="59"/>
  <c r="AT34" i="59"/>
  <c r="AT33" i="59"/>
  <c r="AT32" i="59"/>
  <c r="AT31" i="59"/>
  <c r="AT30" i="59"/>
  <c r="AT29" i="59"/>
  <c r="AT28" i="59"/>
  <c r="AS34" i="59"/>
  <c r="AS33" i="59"/>
  <c r="AS32" i="59"/>
  <c r="AS31" i="59"/>
  <c r="AS30" i="59"/>
  <c r="AS29" i="59"/>
  <c r="AS28" i="59"/>
  <c r="AS27" i="59"/>
  <c r="AS26" i="59"/>
  <c r="AS25" i="59"/>
  <c r="AS24" i="59"/>
  <c r="AS23" i="59"/>
  <c r="AS22" i="59"/>
  <c r="AS21" i="59"/>
  <c r="AS20" i="59"/>
  <c r="AS19" i="59"/>
  <c r="AS18" i="59"/>
  <c r="AS17" i="59"/>
  <c r="AS16" i="59"/>
  <c r="AS15" i="59"/>
  <c r="AS14" i="59"/>
  <c r="AS13" i="59"/>
  <c r="AS12" i="59"/>
  <c r="AS11" i="59"/>
  <c r="AS10" i="59"/>
  <c r="AS9" i="59"/>
  <c r="AS8" i="59"/>
  <c r="AS7" i="59"/>
  <c r="AS6" i="59"/>
  <c r="AS5" i="59"/>
  <c r="AS4" i="59"/>
  <c r="AR34" i="59"/>
  <c r="AR33" i="59"/>
  <c r="AR32" i="59"/>
  <c r="AR31" i="59"/>
  <c r="AR30" i="59"/>
  <c r="AR29" i="59"/>
  <c r="AR28" i="59"/>
  <c r="AR27" i="59"/>
  <c r="AR26" i="59"/>
  <c r="AR25" i="59"/>
  <c r="AR24" i="59"/>
  <c r="AR23" i="59"/>
  <c r="AR22" i="59"/>
  <c r="AR21" i="59"/>
  <c r="AR20" i="59"/>
  <c r="AR19" i="59"/>
  <c r="AR18" i="59"/>
  <c r="AR17" i="59"/>
  <c r="AR16" i="59"/>
  <c r="AR15" i="59"/>
  <c r="AR14" i="59"/>
  <c r="AR13" i="59"/>
  <c r="AR12" i="59"/>
  <c r="AR11" i="59"/>
  <c r="AR10" i="59"/>
  <c r="AR9" i="59"/>
  <c r="AR8" i="59"/>
  <c r="AR7" i="59"/>
  <c r="AR6" i="59"/>
  <c r="AR5" i="59"/>
  <c r="AR4" i="59"/>
  <c r="CB34" i="59"/>
  <c r="BY34" i="59"/>
  <c r="BY33" i="59"/>
  <c r="BY32" i="59"/>
  <c r="BY31" i="59"/>
  <c r="BY30" i="59"/>
  <c r="BY29" i="59"/>
  <c r="BY28" i="59"/>
  <c r="BY27" i="59"/>
  <c r="BY26" i="59"/>
  <c r="BY25" i="59"/>
  <c r="BY24" i="59"/>
  <c r="BY23" i="59"/>
  <c r="BY22" i="59"/>
  <c r="BY21" i="59"/>
  <c r="BY20" i="59"/>
  <c r="BY19" i="59"/>
  <c r="BY18" i="59"/>
  <c r="BY17" i="59"/>
  <c r="BY16" i="59"/>
  <c r="BY15" i="59"/>
  <c r="BY14" i="59"/>
  <c r="BY13" i="59"/>
  <c r="BY12" i="59"/>
  <c r="BY11" i="59"/>
  <c r="BY10" i="59"/>
  <c r="BY9" i="59"/>
  <c r="BY8" i="59"/>
  <c r="BY7" i="59"/>
  <c r="BY6" i="59"/>
  <c r="BY5" i="59"/>
  <c r="BY4" i="59"/>
  <c r="BX34" i="59"/>
  <c r="BX33" i="59"/>
  <c r="BX32" i="59"/>
  <c r="BX31" i="59"/>
  <c r="BX30" i="59"/>
  <c r="BX29" i="59"/>
  <c r="BX28" i="59"/>
  <c r="BX27" i="59"/>
  <c r="BX26" i="59"/>
  <c r="BX25" i="59"/>
  <c r="BX24" i="59"/>
  <c r="BX23" i="59"/>
  <c r="BX22" i="59"/>
  <c r="BX21" i="59"/>
  <c r="BX20" i="59"/>
  <c r="BX19" i="59"/>
  <c r="BX18" i="59"/>
  <c r="BX17" i="59"/>
  <c r="BX16" i="59"/>
  <c r="BX15" i="59"/>
  <c r="BX14" i="59"/>
  <c r="BX13" i="59"/>
  <c r="BX12" i="59"/>
  <c r="BX11" i="59"/>
  <c r="BX10" i="59"/>
  <c r="BX9" i="59"/>
  <c r="BX8" i="59"/>
  <c r="BX7" i="59"/>
  <c r="BX6" i="59"/>
  <c r="BX5" i="59"/>
  <c r="BX4" i="59"/>
  <c r="BT34" i="59"/>
  <c r="BT33" i="59"/>
  <c r="BT32" i="59"/>
  <c r="BT31" i="59"/>
  <c r="AO34" i="59"/>
  <c r="AO33" i="59"/>
  <c r="AO32" i="59"/>
  <c r="AO31" i="59"/>
  <c r="AO30" i="59"/>
  <c r="AO29" i="59"/>
  <c r="AO28" i="59"/>
  <c r="AO27" i="59"/>
  <c r="AO26" i="59"/>
  <c r="AO25" i="59"/>
  <c r="AO24" i="59"/>
  <c r="AO23" i="59"/>
  <c r="AO22" i="59"/>
  <c r="AO21" i="59"/>
  <c r="AO20" i="59"/>
  <c r="AO19" i="59"/>
  <c r="AO18" i="59"/>
  <c r="AO17" i="59"/>
  <c r="AO16" i="59"/>
  <c r="AO15" i="59"/>
  <c r="AO14" i="59"/>
  <c r="AO13" i="59"/>
  <c r="AO12" i="59"/>
  <c r="AO11" i="59"/>
  <c r="AO10" i="59"/>
  <c r="AO9" i="59"/>
  <c r="AO8" i="59"/>
  <c r="AO7" i="59"/>
  <c r="AO6" i="59"/>
  <c r="AO5" i="59"/>
  <c r="AO4" i="59"/>
  <c r="AN34" i="59"/>
  <c r="AN33" i="59"/>
  <c r="AN32" i="59"/>
  <c r="AN31" i="59"/>
  <c r="AN30" i="59"/>
  <c r="AN29" i="59"/>
  <c r="AN28" i="59"/>
  <c r="AN27" i="59"/>
  <c r="AN26" i="59"/>
  <c r="AN25" i="59"/>
  <c r="AN24" i="59"/>
  <c r="AN23" i="59"/>
  <c r="AN22" i="59"/>
  <c r="AN21" i="59"/>
  <c r="AN20" i="59"/>
  <c r="AN19" i="59"/>
  <c r="AN18" i="59"/>
  <c r="AN17" i="59"/>
  <c r="AN16" i="59"/>
  <c r="AN15" i="59"/>
  <c r="AN14" i="59"/>
  <c r="AN13" i="59"/>
  <c r="AN12" i="59"/>
  <c r="AN11" i="59"/>
  <c r="AN10" i="59"/>
  <c r="AN9" i="59"/>
  <c r="AN8" i="59"/>
  <c r="AN7" i="59"/>
  <c r="AN6" i="59"/>
  <c r="AN5" i="59"/>
  <c r="AN4" i="59"/>
  <c r="AI11" i="59"/>
  <c r="AI10" i="59"/>
  <c r="AI9" i="59"/>
  <c r="AI8" i="59"/>
  <c r="AI7" i="59"/>
  <c r="AI6" i="59"/>
  <c r="AI5" i="59"/>
  <c r="AI4" i="59"/>
  <c r="AH34" i="59"/>
  <c r="AH33" i="59"/>
  <c r="AH32" i="59"/>
  <c r="AH31" i="59"/>
  <c r="AH30" i="59"/>
  <c r="AH29" i="59"/>
  <c r="AH28" i="59"/>
  <c r="AH27" i="59"/>
  <c r="AH26" i="59"/>
  <c r="AH25" i="59"/>
  <c r="AH24" i="59"/>
  <c r="AH23" i="59"/>
  <c r="AH22" i="59"/>
  <c r="AH21" i="59"/>
  <c r="AH20" i="59"/>
  <c r="AH19" i="59"/>
  <c r="AH18" i="59"/>
  <c r="AH17" i="59"/>
  <c r="AH16" i="59"/>
  <c r="AH15" i="59"/>
  <c r="AH14" i="59"/>
  <c r="AH13" i="59"/>
  <c r="AH11" i="59"/>
  <c r="AH10" i="59"/>
  <c r="AH9" i="59"/>
  <c r="AH8" i="59"/>
  <c r="AH7" i="59"/>
  <c r="AH6" i="59"/>
  <c r="AH5" i="59"/>
  <c r="AH4" i="59"/>
  <c r="AG11" i="59"/>
  <c r="AG10" i="59"/>
  <c r="AG9" i="59"/>
  <c r="AG8" i="59"/>
  <c r="AG7" i="59"/>
  <c r="AG6" i="59"/>
  <c r="AG5" i="59"/>
  <c r="AG4" i="59"/>
  <c r="AF34" i="59"/>
  <c r="AF33" i="59"/>
  <c r="AF32" i="59"/>
  <c r="AF31" i="59"/>
  <c r="AF30" i="59"/>
  <c r="AF29" i="59"/>
  <c r="AF28" i="59"/>
  <c r="AF27" i="59"/>
  <c r="AF26" i="59"/>
  <c r="AF25" i="59"/>
  <c r="AF24" i="59"/>
  <c r="AF23" i="59"/>
  <c r="AF22" i="59"/>
  <c r="AF21" i="59"/>
  <c r="AF20" i="59"/>
  <c r="AF19" i="59"/>
  <c r="AF18" i="59"/>
  <c r="AF17" i="59"/>
  <c r="AF16" i="59"/>
  <c r="AF15" i="59"/>
  <c r="AF14" i="59"/>
  <c r="AF13" i="59"/>
  <c r="AF11" i="59"/>
  <c r="AF10" i="59"/>
  <c r="AF9" i="59"/>
  <c r="AF8" i="59"/>
  <c r="AF7" i="59"/>
  <c r="AF6" i="59"/>
  <c r="AF5" i="59"/>
  <c r="AF4" i="59"/>
  <c r="AE11" i="59"/>
  <c r="AE10" i="59"/>
  <c r="AE9" i="59"/>
  <c r="AE8" i="59"/>
  <c r="AE7" i="59"/>
  <c r="AE6" i="59"/>
  <c r="AE5" i="59"/>
  <c r="AE4" i="59"/>
  <c r="AD34" i="59"/>
  <c r="AD33" i="59"/>
  <c r="AD32" i="59"/>
  <c r="AD31" i="59"/>
  <c r="AD30" i="59"/>
  <c r="AD29" i="59"/>
  <c r="AD28" i="59"/>
  <c r="AD27" i="59"/>
  <c r="AD26" i="59"/>
  <c r="AD25" i="59"/>
  <c r="AD24" i="59"/>
  <c r="AD23" i="59"/>
  <c r="AD22" i="59"/>
  <c r="AD21" i="59"/>
  <c r="AD20" i="59"/>
  <c r="AD19" i="59"/>
  <c r="AD18" i="59"/>
  <c r="AD17" i="59"/>
  <c r="AD16" i="59"/>
  <c r="AD15" i="59"/>
  <c r="AD14" i="59"/>
  <c r="AD13" i="59"/>
  <c r="AD11" i="59"/>
  <c r="AD10" i="59"/>
  <c r="AD9" i="59"/>
  <c r="AD8" i="59"/>
  <c r="AD7" i="59"/>
  <c r="AD6" i="59"/>
  <c r="AD5" i="59"/>
  <c r="AD4" i="59"/>
  <c r="AC11" i="59"/>
  <c r="AC10" i="59"/>
  <c r="AC9" i="59"/>
  <c r="AC8" i="59"/>
  <c r="AC7" i="59"/>
  <c r="AC6" i="59"/>
  <c r="AC5" i="59"/>
  <c r="AC4" i="59"/>
  <c r="AB34" i="59"/>
  <c r="AB33" i="59"/>
  <c r="AB32" i="59"/>
  <c r="AB31" i="59"/>
  <c r="AB28" i="59"/>
  <c r="AB27" i="59"/>
  <c r="AB26" i="59"/>
  <c r="AB25" i="59"/>
  <c r="AB24" i="59"/>
  <c r="AB23" i="59"/>
  <c r="AB22" i="59"/>
  <c r="AB21" i="59"/>
  <c r="AB20" i="59"/>
  <c r="AB19" i="59"/>
  <c r="AB17" i="59"/>
  <c r="AB16" i="59"/>
  <c r="AB15" i="59"/>
  <c r="AB14" i="59"/>
  <c r="AB13" i="59"/>
  <c r="AB11" i="59"/>
  <c r="AB10" i="59"/>
  <c r="AB9" i="59"/>
  <c r="AB8" i="59"/>
  <c r="AB7" i="59"/>
  <c r="AB6" i="59"/>
  <c r="AB5" i="59"/>
  <c r="AB4" i="59"/>
  <c r="AA11" i="59"/>
  <c r="AA10" i="59"/>
  <c r="AA9" i="59"/>
  <c r="AA8" i="59"/>
  <c r="AA7" i="59"/>
  <c r="AA6" i="59"/>
  <c r="AA5" i="59"/>
  <c r="AA4" i="59"/>
  <c r="Z34" i="59"/>
  <c r="Z33" i="59"/>
  <c r="Z32" i="59"/>
  <c r="Z31" i="59"/>
  <c r="Z29" i="59"/>
  <c r="Z28" i="59"/>
  <c r="Z27" i="59"/>
  <c r="Z26" i="59"/>
  <c r="Z25" i="59"/>
  <c r="Z24" i="59"/>
  <c r="Z23" i="59"/>
  <c r="Z22" i="59"/>
  <c r="Z21" i="59"/>
  <c r="Z20" i="59"/>
  <c r="Z19" i="59"/>
  <c r="Z18" i="59"/>
  <c r="Z17" i="59"/>
  <c r="Z16" i="59"/>
  <c r="Z15" i="59"/>
  <c r="Z14" i="59"/>
  <c r="Z13" i="59"/>
  <c r="Z11" i="59"/>
  <c r="Z10" i="59"/>
  <c r="Z9" i="59"/>
  <c r="Z8" i="59"/>
  <c r="Z7" i="59"/>
  <c r="Z6" i="59"/>
  <c r="Z5" i="59"/>
  <c r="Z4" i="59"/>
  <c r="BJ34" i="59" l="1"/>
  <c r="BL33" i="59"/>
  <c r="BJ33" i="59"/>
  <c r="BH33" i="59"/>
  <c r="BF33" i="59"/>
  <c r="BL32" i="59"/>
  <c r="BJ32" i="59"/>
  <c r="BH32" i="59"/>
  <c r="BF32" i="59"/>
  <c r="BJ30" i="59"/>
  <c r="BJ29" i="59"/>
  <c r="BL27" i="59"/>
  <c r="BJ27" i="59"/>
  <c r="BH27" i="59"/>
  <c r="BL19" i="59"/>
  <c r="BJ19" i="59"/>
  <c r="BL13" i="59"/>
  <c r="BJ13" i="59"/>
  <c r="BL11" i="59"/>
  <c r="BJ11" i="59"/>
  <c r="BL7" i="59"/>
  <c r="BJ7" i="59"/>
  <c r="BM4" i="59"/>
  <c r="BL4" i="59"/>
  <c r="BK4" i="59"/>
  <c r="BJ4" i="59"/>
  <c r="AI10" i="2" l="1"/>
  <c r="G10" i="2"/>
  <c r="S6" i="46" l="1"/>
  <c r="F4" i="47"/>
  <c r="F5" i="47"/>
  <c r="E4" i="47"/>
  <c r="B6" i="55"/>
  <c r="B7" i="55"/>
  <c r="AF9" i="48" l="1"/>
  <c r="AR10" i="58"/>
  <c r="BA10" i="58" s="1"/>
  <c r="AM10" i="58"/>
  <c r="AR9" i="58"/>
  <c r="BA9" i="58" s="1"/>
  <c r="AM9" i="58"/>
  <c r="AR8" i="58"/>
  <c r="BA8" i="58" s="1"/>
  <c r="AM8" i="58"/>
  <c r="AR7" i="58"/>
  <c r="BA7" i="58" s="1"/>
  <c r="AM7" i="58"/>
  <c r="AR6" i="58"/>
  <c r="BA6" i="58" s="1"/>
  <c r="AM6" i="58"/>
  <c r="S6" i="58"/>
  <c r="N6" i="58"/>
  <c r="J6" i="58"/>
  <c r="A6" i="58"/>
  <c r="AM10" i="46"/>
  <c r="AD10" i="46" s="1"/>
  <c r="AR10" i="46"/>
  <c r="BA10" i="46"/>
  <c r="N6" i="46"/>
  <c r="J6" i="46"/>
  <c r="AD9" i="58" l="1"/>
  <c r="AD6" i="58"/>
  <c r="AD10" i="58"/>
  <c r="AD8" i="58"/>
  <c r="AD7" i="58"/>
  <c r="H4" i="47" l="1"/>
  <c r="O6" i="46" s="1"/>
  <c r="G4" i="47"/>
  <c r="G5" i="47"/>
  <c r="O6" i="58" l="1"/>
  <c r="P37" i="33"/>
  <c r="N38" i="33"/>
  <c r="N37" i="33"/>
  <c r="I38" i="33"/>
  <c r="I4" i="47" s="1"/>
  <c r="F42" i="33"/>
  <c r="G40" i="33"/>
  <c r="G39" i="33"/>
  <c r="G42" i="33" s="1"/>
  <c r="I37" i="33" s="1"/>
  <c r="O17" i="33"/>
  <c r="Q13" i="33"/>
  <c r="Q11" i="33"/>
  <c r="P12" i="33"/>
  <c r="Q12" i="33" s="1"/>
  <c r="P10" i="33"/>
  <c r="Q10" i="33" s="1"/>
  <c r="P9" i="33"/>
  <c r="Q9" i="33" s="1"/>
  <c r="P8" i="33"/>
  <c r="Q8" i="33" s="1"/>
  <c r="O9" i="33"/>
  <c r="O10" i="33"/>
  <c r="O11" i="33"/>
  <c r="R11" i="33" s="1"/>
  <c r="O12" i="33"/>
  <c r="O13" i="33"/>
  <c r="R13" i="33" s="1"/>
  <c r="O8" i="33"/>
  <c r="N6" i="33"/>
  <c r="R31" i="33"/>
  <c r="U31" i="33" s="1"/>
  <c r="R8" i="33" l="1"/>
  <c r="R12" i="33"/>
  <c r="R10" i="33"/>
  <c r="R9" i="33"/>
  <c r="R14" i="33" s="1"/>
  <c r="P14" i="33"/>
  <c r="C6" i="46"/>
  <c r="N9" i="48" s="1"/>
  <c r="P6" i="46"/>
  <c r="V6" i="46"/>
  <c r="T6" i="46"/>
  <c r="U6" i="46"/>
  <c r="K6" i="46"/>
  <c r="L9" i="48" s="1"/>
  <c r="U6" i="58"/>
  <c r="K6" i="58"/>
  <c r="T6" i="58"/>
  <c r="C6" i="58"/>
  <c r="P6" i="58"/>
  <c r="V6" i="58"/>
  <c r="N39" i="33"/>
  <c r="Q14" i="33"/>
  <c r="AH9" i="48" l="1"/>
  <c r="AC6" i="58"/>
  <c r="Q15" i="33"/>
  <c r="R15" i="33"/>
  <c r="BR41" i="59"/>
  <c r="BN41" i="59"/>
  <c r="CJ47" i="59"/>
  <c r="CH47" i="59"/>
  <c r="CF47" i="59"/>
  <c r="CD47" i="59"/>
  <c r="CB47" i="59"/>
  <c r="BZ47" i="59"/>
  <c r="BX47" i="59"/>
  <c r="BV47" i="59"/>
  <c r="BT47" i="59"/>
  <c r="BR47" i="59"/>
  <c r="BP47" i="59"/>
  <c r="BN47" i="59"/>
  <c r="BL47" i="59"/>
  <c r="BJ47" i="59"/>
  <c r="BH47" i="59"/>
  <c r="BF47" i="59"/>
  <c r="BD47" i="59"/>
  <c r="BB47" i="59"/>
  <c r="AZ47" i="59"/>
  <c r="AX47" i="59"/>
  <c r="AV47" i="59"/>
  <c r="AT47" i="59"/>
  <c r="AR47" i="59"/>
  <c r="AP47" i="59"/>
  <c r="AN47" i="59"/>
  <c r="AL47" i="59"/>
  <c r="AJ47" i="59"/>
  <c r="AH47" i="59"/>
  <c r="AF47" i="59"/>
  <c r="AD47" i="59"/>
  <c r="AB47" i="59"/>
  <c r="Z47" i="59"/>
  <c r="X47" i="59"/>
  <c r="V47" i="59"/>
  <c r="T47" i="59"/>
  <c r="R47" i="59"/>
  <c r="P47" i="59"/>
  <c r="N47" i="59"/>
  <c r="L47" i="59"/>
  <c r="J47" i="59"/>
  <c r="H47" i="59"/>
  <c r="F47" i="59"/>
  <c r="D47" i="59"/>
  <c r="B47" i="59"/>
  <c r="CJ46" i="59"/>
  <c r="CH46" i="59"/>
  <c r="CF46" i="59"/>
  <c r="CD46" i="59"/>
  <c r="CB46" i="59"/>
  <c r="BZ46" i="59"/>
  <c r="BX46" i="59"/>
  <c r="BV46" i="59"/>
  <c r="BT46" i="59"/>
  <c r="BR46" i="59"/>
  <c r="BP46" i="59"/>
  <c r="BN46" i="59"/>
  <c r="BL46" i="59"/>
  <c r="BJ46" i="59"/>
  <c r="BH46" i="59"/>
  <c r="BF46" i="59"/>
  <c r="BD46" i="59"/>
  <c r="BB46" i="59"/>
  <c r="AZ46" i="59"/>
  <c r="AX46" i="59"/>
  <c r="AV46" i="59"/>
  <c r="AT46" i="59"/>
  <c r="AR46" i="59"/>
  <c r="AP46" i="59"/>
  <c r="AN46" i="59"/>
  <c r="AL46" i="59"/>
  <c r="AJ46" i="59"/>
  <c r="AH46" i="59"/>
  <c r="AF46" i="59"/>
  <c r="AD46" i="59"/>
  <c r="AB46" i="59"/>
  <c r="Z46" i="59"/>
  <c r="X46" i="59"/>
  <c r="V46" i="59"/>
  <c r="T46" i="59"/>
  <c r="R46" i="59"/>
  <c r="P46" i="59"/>
  <c r="N46" i="59"/>
  <c r="L46" i="59"/>
  <c r="J46" i="59"/>
  <c r="H46" i="59"/>
  <c r="F46" i="59"/>
  <c r="D46" i="59"/>
  <c r="B46" i="59"/>
  <c r="CJ45" i="59"/>
  <c r="CH45" i="59"/>
  <c r="CF45" i="59"/>
  <c r="CD45" i="59"/>
  <c r="CB45" i="59"/>
  <c r="BZ45" i="59"/>
  <c r="BX45" i="59"/>
  <c r="BV45" i="59"/>
  <c r="BT45" i="59"/>
  <c r="BR45" i="59"/>
  <c r="BP45" i="59"/>
  <c r="BN45" i="59"/>
  <c r="BL45" i="59"/>
  <c r="BJ45" i="59"/>
  <c r="BH45" i="59"/>
  <c r="BF45" i="59"/>
  <c r="BD45" i="59"/>
  <c r="BB45" i="59"/>
  <c r="AZ45" i="59"/>
  <c r="AX45" i="59"/>
  <c r="AV45" i="59"/>
  <c r="AT45" i="59"/>
  <c r="AR45" i="59"/>
  <c r="AP45" i="59"/>
  <c r="AN45" i="59"/>
  <c r="AL45" i="59"/>
  <c r="AJ45" i="59"/>
  <c r="AH45" i="59"/>
  <c r="AF45" i="59"/>
  <c r="AD45" i="59"/>
  <c r="AB45" i="59"/>
  <c r="Z45" i="59"/>
  <c r="X45" i="59"/>
  <c r="V45" i="59"/>
  <c r="T45" i="59"/>
  <c r="R45" i="59"/>
  <c r="P45" i="59"/>
  <c r="N45" i="59"/>
  <c r="L45" i="59"/>
  <c r="J45" i="59"/>
  <c r="H45" i="59"/>
  <c r="F45" i="59"/>
  <c r="D45" i="59"/>
  <c r="B45" i="59"/>
  <c r="CJ44" i="59"/>
  <c r="CH44" i="59"/>
  <c r="CF44" i="59"/>
  <c r="CD44" i="59"/>
  <c r="CB44" i="59"/>
  <c r="BZ44" i="59"/>
  <c r="BX44" i="59"/>
  <c r="BV44" i="59"/>
  <c r="BT44" i="59"/>
  <c r="BR44" i="59"/>
  <c r="BP44" i="59"/>
  <c r="BN44" i="59"/>
  <c r="BL44" i="59"/>
  <c r="BJ44" i="59"/>
  <c r="BH44" i="59"/>
  <c r="BF44" i="59"/>
  <c r="BD44" i="59"/>
  <c r="BB44" i="59"/>
  <c r="AZ44" i="59"/>
  <c r="AX44" i="59"/>
  <c r="AV44" i="59"/>
  <c r="AT44" i="59"/>
  <c r="AR44" i="59"/>
  <c r="AP44" i="59"/>
  <c r="AN44" i="59"/>
  <c r="AL44" i="59"/>
  <c r="AJ44" i="59"/>
  <c r="AH44" i="59"/>
  <c r="AF44" i="59"/>
  <c r="AD44" i="59"/>
  <c r="AB44" i="59"/>
  <c r="Z44" i="59"/>
  <c r="X44" i="59"/>
  <c r="V44" i="59"/>
  <c r="T44" i="59"/>
  <c r="R44" i="59"/>
  <c r="P44" i="59"/>
  <c r="N44" i="59"/>
  <c r="L44" i="59"/>
  <c r="J44" i="59"/>
  <c r="H44" i="59"/>
  <c r="F44" i="59"/>
  <c r="D44" i="59"/>
  <c r="B44" i="59"/>
  <c r="CJ43" i="59"/>
  <c r="CH43" i="59"/>
  <c r="CF43" i="59"/>
  <c r="CD43" i="59"/>
  <c r="CB43" i="59"/>
  <c r="BZ43" i="59"/>
  <c r="BX43" i="59"/>
  <c r="BV43" i="59"/>
  <c r="BT43" i="59"/>
  <c r="BR43" i="59"/>
  <c r="BP43" i="59"/>
  <c r="BN43" i="59"/>
  <c r="BL43" i="59"/>
  <c r="BJ43" i="59"/>
  <c r="BH43" i="59"/>
  <c r="BF43" i="59"/>
  <c r="BD43" i="59"/>
  <c r="BB43" i="59"/>
  <c r="AZ43" i="59"/>
  <c r="AX43" i="59"/>
  <c r="AV43" i="59"/>
  <c r="AT43" i="59"/>
  <c r="AR43" i="59"/>
  <c r="AP43" i="59"/>
  <c r="AN43" i="59"/>
  <c r="AL43" i="59"/>
  <c r="AJ43" i="59"/>
  <c r="AH43" i="59"/>
  <c r="AF43" i="59"/>
  <c r="AD43" i="59"/>
  <c r="AB43" i="59"/>
  <c r="Z43" i="59"/>
  <c r="X43" i="59"/>
  <c r="V43" i="59"/>
  <c r="T43" i="59"/>
  <c r="R43" i="59"/>
  <c r="P43" i="59"/>
  <c r="N43" i="59"/>
  <c r="L43" i="59"/>
  <c r="J43" i="59"/>
  <c r="H43" i="59"/>
  <c r="F43" i="59"/>
  <c r="D43" i="59"/>
  <c r="B43" i="59"/>
  <c r="BB154" i="58" l="1"/>
  <c r="BC154" i="58"/>
  <c r="BD154" i="58"/>
  <c r="BE154" i="58"/>
  <c r="BF154" i="58"/>
  <c r="BF154" i="46"/>
  <c r="BE154" i="46"/>
  <c r="BD154" i="46"/>
  <c r="BC154" i="46"/>
  <c r="BB154" i="46"/>
  <c r="AM34" i="59" l="1"/>
  <c r="AL41" i="59" s="1"/>
  <c r="AL34" i="59"/>
  <c r="AM33" i="59"/>
  <c r="AL33" i="59"/>
  <c r="AM32" i="59"/>
  <c r="AL32" i="59"/>
  <c r="AM31" i="59"/>
  <c r="AL31" i="59"/>
  <c r="AM30" i="59"/>
  <c r="AL30" i="59"/>
  <c r="AM29" i="59"/>
  <c r="AL29" i="59"/>
  <c r="AM28" i="59"/>
  <c r="AL28" i="59"/>
  <c r="AM27" i="59"/>
  <c r="AL27" i="59"/>
  <c r="AM26" i="59"/>
  <c r="AL26" i="59"/>
  <c r="AM25" i="59"/>
  <c r="AL25" i="59"/>
  <c r="AM24" i="59"/>
  <c r="AL24" i="59"/>
  <c r="AM23" i="59"/>
  <c r="AL23" i="59"/>
  <c r="AM22" i="59"/>
  <c r="AL22" i="59"/>
  <c r="AM21" i="59"/>
  <c r="AL21" i="59"/>
  <c r="AM20" i="59"/>
  <c r="AL20" i="59"/>
  <c r="AM19" i="59"/>
  <c r="AL19" i="59"/>
  <c r="AM18" i="59"/>
  <c r="AL18" i="59"/>
  <c r="AM17" i="59"/>
  <c r="AL17" i="59"/>
  <c r="AM16" i="59"/>
  <c r="AL16" i="59"/>
  <c r="AM15" i="59"/>
  <c r="AL15" i="59"/>
  <c r="AM14" i="59"/>
  <c r="AL14" i="59"/>
  <c r="AM13" i="59"/>
  <c r="AL13" i="59"/>
  <c r="AM12" i="59"/>
  <c r="AL12" i="59"/>
  <c r="AM11" i="59"/>
  <c r="AL11" i="59"/>
  <c r="AM10" i="59"/>
  <c r="AL10" i="59"/>
  <c r="AM9" i="59"/>
  <c r="AL9" i="59"/>
  <c r="AM8" i="59"/>
  <c r="AL8" i="59"/>
  <c r="AM7" i="59"/>
  <c r="AL7" i="59"/>
  <c r="AM6" i="59"/>
  <c r="AL6" i="59"/>
  <c r="AM5" i="59"/>
  <c r="AL5" i="59"/>
  <c r="AM4" i="59"/>
  <c r="AL4" i="59"/>
  <c r="A6" i="46" l="1"/>
  <c r="B1" i="47"/>
  <c r="A8" i="45"/>
  <c r="BX41" i="59" l="1"/>
  <c r="AX41" i="59"/>
  <c r="AV41" i="59"/>
  <c r="AR41" i="59"/>
  <c r="AN41" i="59"/>
  <c r="P20" i="48" l="1"/>
  <c r="C33" i="27" l="1"/>
  <c r="E34" i="27"/>
  <c r="F32" i="29"/>
  <c r="E32" i="29"/>
  <c r="D32" i="29"/>
  <c r="C32" i="29"/>
  <c r="F23" i="29"/>
  <c r="E23" i="29"/>
  <c r="D23" i="29"/>
  <c r="C23" i="29"/>
  <c r="F14" i="29"/>
  <c r="E14" i="29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F14" i="31"/>
  <c r="E14" i="31"/>
  <c r="D14" i="31"/>
  <c r="C14" i="31"/>
  <c r="J8" i="32"/>
  <c r="J9" i="32"/>
  <c r="E33" i="29" l="1"/>
  <c r="D33" i="29"/>
  <c r="D34" i="27"/>
  <c r="Z30" i="58" s="1"/>
  <c r="D33" i="27"/>
  <c r="C33" i="29"/>
  <c r="E33" i="27"/>
  <c r="C34" i="27"/>
  <c r="E33" i="30"/>
  <c r="C33" i="30"/>
  <c r="D33" i="30"/>
  <c r="D33" i="31"/>
  <c r="E33" i="31"/>
  <c r="C34" i="30"/>
  <c r="K8" i="30" s="1"/>
  <c r="D34" i="29"/>
  <c r="Z26" i="58" s="1"/>
  <c r="D34" i="30"/>
  <c r="Z22" i="58" s="1"/>
  <c r="E34" i="29"/>
  <c r="F34" i="27"/>
  <c r="E34" i="30"/>
  <c r="F34" i="29"/>
  <c r="C33" i="31"/>
  <c r="F34" i="30"/>
  <c r="C34" i="29"/>
  <c r="K9" i="29" s="1"/>
  <c r="Z30" i="46" l="1"/>
  <c r="Z26" i="46"/>
  <c r="C35" i="27"/>
  <c r="K9" i="27"/>
  <c r="D35" i="27"/>
  <c r="E35" i="27"/>
  <c r="Z22" i="46"/>
  <c r="F42" i="30" l="1"/>
  <c r="G42" i="30" l="1"/>
  <c r="I37" i="30" s="1"/>
  <c r="BC40" i="2" l="1"/>
  <c r="BC39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BC11" i="2" l="1"/>
  <c r="BC10" i="2" l="1"/>
  <c r="AE10" i="2" l="1"/>
  <c r="AM9" i="46" l="1"/>
  <c r="AR9" i="46"/>
  <c r="BA9" i="46" s="1"/>
  <c r="AD9" i="46" l="1"/>
  <c r="T39" i="48" l="1"/>
  <c r="T38" i="48"/>
  <c r="A5" i="59" l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F32" i="37" l="1"/>
  <c r="E32" i="37"/>
  <c r="D32" i="37"/>
  <c r="C32" i="37"/>
  <c r="F23" i="37"/>
  <c r="E23" i="37"/>
  <c r="D23" i="37"/>
  <c r="C23" i="37"/>
  <c r="F14" i="37"/>
  <c r="E14" i="37"/>
  <c r="D14" i="37"/>
  <c r="C14" i="37"/>
  <c r="F32" i="43"/>
  <c r="E32" i="43"/>
  <c r="D32" i="43"/>
  <c r="C32" i="43"/>
  <c r="F23" i="43"/>
  <c r="E23" i="43"/>
  <c r="D23" i="43"/>
  <c r="C23" i="43"/>
  <c r="F14" i="43"/>
  <c r="E14" i="43"/>
  <c r="D14" i="43"/>
  <c r="D34" i="43" s="1"/>
  <c r="C14" i="43"/>
  <c r="F32" i="6"/>
  <c r="E32" i="6"/>
  <c r="D32" i="6"/>
  <c r="C32" i="6"/>
  <c r="F23" i="6"/>
  <c r="E23" i="6"/>
  <c r="D23" i="6"/>
  <c r="C23" i="6"/>
  <c r="F14" i="6"/>
  <c r="E14" i="6"/>
  <c r="D14" i="6"/>
  <c r="C14" i="6"/>
  <c r="F32" i="7"/>
  <c r="E32" i="7"/>
  <c r="D32" i="7"/>
  <c r="C32" i="7"/>
  <c r="F23" i="7"/>
  <c r="E23" i="7"/>
  <c r="D23" i="7"/>
  <c r="C23" i="7"/>
  <c r="F14" i="7"/>
  <c r="E14" i="7"/>
  <c r="E34" i="7" s="1"/>
  <c r="D14" i="7"/>
  <c r="C14" i="7"/>
  <c r="F32" i="8"/>
  <c r="E32" i="8"/>
  <c r="D32" i="8"/>
  <c r="C32" i="8"/>
  <c r="F23" i="8"/>
  <c r="E23" i="8"/>
  <c r="D23" i="8"/>
  <c r="C23" i="8"/>
  <c r="F14" i="8"/>
  <c r="E14" i="8"/>
  <c r="D14" i="8"/>
  <c r="C14" i="8"/>
  <c r="F32" i="9"/>
  <c r="E32" i="9"/>
  <c r="D32" i="9"/>
  <c r="C32" i="9"/>
  <c r="F23" i="9"/>
  <c r="E23" i="9"/>
  <c r="D23" i="9"/>
  <c r="C23" i="9"/>
  <c r="F14" i="9"/>
  <c r="E14" i="9"/>
  <c r="D14" i="9"/>
  <c r="C14" i="9"/>
  <c r="F32" i="10"/>
  <c r="E32" i="10"/>
  <c r="D32" i="10"/>
  <c r="C32" i="10"/>
  <c r="F23" i="10"/>
  <c r="E23" i="10"/>
  <c r="D23" i="10"/>
  <c r="C23" i="10"/>
  <c r="F14" i="10"/>
  <c r="E14" i="10"/>
  <c r="D14" i="10"/>
  <c r="C14" i="10"/>
  <c r="F32" i="11"/>
  <c r="E32" i="11"/>
  <c r="D32" i="11"/>
  <c r="C32" i="11"/>
  <c r="F23" i="11"/>
  <c r="E23" i="11"/>
  <c r="D23" i="11"/>
  <c r="C23" i="11"/>
  <c r="F14" i="11"/>
  <c r="E14" i="11"/>
  <c r="E34" i="11" s="1"/>
  <c r="D14" i="11"/>
  <c r="C14" i="11"/>
  <c r="F32" i="12"/>
  <c r="E32" i="12"/>
  <c r="D32" i="12"/>
  <c r="C32" i="12"/>
  <c r="F23" i="12"/>
  <c r="E23" i="12"/>
  <c r="D23" i="12"/>
  <c r="C23" i="12"/>
  <c r="F14" i="12"/>
  <c r="E14" i="12"/>
  <c r="D14" i="12"/>
  <c r="C14" i="12"/>
  <c r="F32" i="13"/>
  <c r="E32" i="13"/>
  <c r="D32" i="13"/>
  <c r="C32" i="13"/>
  <c r="F23" i="13"/>
  <c r="E23" i="13"/>
  <c r="D23" i="13"/>
  <c r="C23" i="13"/>
  <c r="F14" i="13"/>
  <c r="E14" i="13"/>
  <c r="D14" i="13"/>
  <c r="C14" i="13"/>
  <c r="F32" i="14"/>
  <c r="E32" i="14"/>
  <c r="D32" i="14"/>
  <c r="C32" i="14"/>
  <c r="F23" i="14"/>
  <c r="E23" i="14"/>
  <c r="D23" i="14"/>
  <c r="C23" i="14"/>
  <c r="F14" i="14"/>
  <c r="E14" i="14"/>
  <c r="D14" i="14"/>
  <c r="C14" i="14"/>
  <c r="F32" i="15"/>
  <c r="E32" i="15"/>
  <c r="D32" i="15"/>
  <c r="C32" i="15"/>
  <c r="F23" i="15"/>
  <c r="E23" i="15"/>
  <c r="D23" i="15"/>
  <c r="C23" i="15"/>
  <c r="F14" i="15"/>
  <c r="E14" i="15"/>
  <c r="D14" i="15"/>
  <c r="C14" i="15"/>
  <c r="F32" i="16"/>
  <c r="E32" i="16"/>
  <c r="D32" i="16"/>
  <c r="C32" i="16"/>
  <c r="F23" i="16"/>
  <c r="E23" i="16"/>
  <c r="D23" i="16"/>
  <c r="C23" i="16"/>
  <c r="F14" i="16"/>
  <c r="E14" i="16"/>
  <c r="D14" i="16"/>
  <c r="C14" i="16"/>
  <c r="F32" i="17"/>
  <c r="E32" i="17"/>
  <c r="D32" i="17"/>
  <c r="C32" i="17"/>
  <c r="F23" i="17"/>
  <c r="E23" i="17"/>
  <c r="D23" i="17"/>
  <c r="C23" i="17"/>
  <c r="F14" i="17"/>
  <c r="E14" i="17"/>
  <c r="D14" i="17"/>
  <c r="C14" i="17"/>
  <c r="F32" i="18"/>
  <c r="E32" i="18"/>
  <c r="D32" i="18"/>
  <c r="C32" i="18"/>
  <c r="F23" i="18"/>
  <c r="E23" i="18"/>
  <c r="D23" i="18"/>
  <c r="C23" i="18"/>
  <c r="F14" i="18"/>
  <c r="E14" i="18"/>
  <c r="D14" i="18"/>
  <c r="C14" i="18"/>
  <c r="F32" i="19"/>
  <c r="E32" i="19"/>
  <c r="D32" i="19"/>
  <c r="C32" i="19"/>
  <c r="F23" i="19"/>
  <c r="E23" i="19"/>
  <c r="D23" i="19"/>
  <c r="C23" i="19"/>
  <c r="F14" i="19"/>
  <c r="E14" i="19"/>
  <c r="D14" i="19"/>
  <c r="C14" i="19"/>
  <c r="F32" i="20"/>
  <c r="E32" i="20"/>
  <c r="D32" i="20"/>
  <c r="C32" i="20"/>
  <c r="F23" i="20"/>
  <c r="E23" i="20"/>
  <c r="D23" i="20"/>
  <c r="C23" i="20"/>
  <c r="F14" i="20"/>
  <c r="E14" i="20"/>
  <c r="D14" i="20"/>
  <c r="C14" i="20"/>
  <c r="F32" i="22"/>
  <c r="E32" i="22"/>
  <c r="D32" i="22"/>
  <c r="C32" i="22"/>
  <c r="F23" i="22"/>
  <c r="E23" i="22"/>
  <c r="D23" i="22"/>
  <c r="C23" i="22"/>
  <c r="F14" i="22"/>
  <c r="E14" i="22"/>
  <c r="D14" i="22"/>
  <c r="C14" i="22"/>
  <c r="E32" i="21"/>
  <c r="D32" i="21"/>
  <c r="C32" i="21"/>
  <c r="E23" i="21"/>
  <c r="D23" i="21"/>
  <c r="C23" i="21"/>
  <c r="E14" i="21"/>
  <c r="D14" i="21"/>
  <c r="C14" i="21"/>
  <c r="E32" i="23"/>
  <c r="D32" i="23"/>
  <c r="C32" i="23"/>
  <c r="E23" i="23"/>
  <c r="D23" i="23"/>
  <c r="C23" i="23"/>
  <c r="E14" i="23"/>
  <c r="D14" i="23"/>
  <c r="C14" i="23"/>
  <c r="F32" i="24"/>
  <c r="E32" i="24"/>
  <c r="D32" i="24"/>
  <c r="C32" i="24"/>
  <c r="F23" i="24"/>
  <c r="E23" i="24"/>
  <c r="D23" i="24"/>
  <c r="C23" i="24"/>
  <c r="F14" i="24"/>
  <c r="E14" i="24"/>
  <c r="D14" i="24"/>
  <c r="C14" i="24"/>
  <c r="F32" i="25"/>
  <c r="E32" i="25"/>
  <c r="D32" i="25"/>
  <c r="C32" i="25"/>
  <c r="F23" i="25"/>
  <c r="E23" i="25"/>
  <c r="D23" i="25"/>
  <c r="C23" i="25"/>
  <c r="F14" i="25"/>
  <c r="E14" i="25"/>
  <c r="D14" i="25"/>
  <c r="C14" i="25"/>
  <c r="F32" i="26"/>
  <c r="E32" i="26"/>
  <c r="D32" i="26"/>
  <c r="C32" i="26"/>
  <c r="F23" i="26"/>
  <c r="E23" i="26"/>
  <c r="D23" i="26"/>
  <c r="C23" i="26"/>
  <c r="F14" i="26"/>
  <c r="E14" i="26"/>
  <c r="D14" i="26"/>
  <c r="C14" i="26"/>
  <c r="F32" i="28"/>
  <c r="E32" i="28"/>
  <c r="D32" i="28"/>
  <c r="C32" i="28"/>
  <c r="F23" i="28"/>
  <c r="E23" i="28"/>
  <c r="D23" i="28"/>
  <c r="C23" i="28"/>
  <c r="F14" i="28"/>
  <c r="E14" i="28"/>
  <c r="D14" i="28"/>
  <c r="D34" i="28" s="1"/>
  <c r="C14" i="28"/>
  <c r="F34" i="31"/>
  <c r="J9" i="31"/>
  <c r="J9" i="30" s="1"/>
  <c r="J9" i="27" s="1"/>
  <c r="J9" i="28" s="1"/>
  <c r="J9" i="26" s="1"/>
  <c r="F32" i="32"/>
  <c r="E32" i="32"/>
  <c r="D32" i="32"/>
  <c r="C32" i="32"/>
  <c r="F23" i="32"/>
  <c r="E23" i="32"/>
  <c r="D23" i="32"/>
  <c r="C23" i="32"/>
  <c r="F14" i="32"/>
  <c r="E14" i="32"/>
  <c r="D14" i="32"/>
  <c r="C14" i="32"/>
  <c r="F14" i="33"/>
  <c r="F23" i="33"/>
  <c r="P39" i="48"/>
  <c r="P38" i="48"/>
  <c r="P37" i="48"/>
  <c r="P36" i="48"/>
  <c r="P35" i="48"/>
  <c r="P34" i="48"/>
  <c r="P33" i="48"/>
  <c r="P32" i="48"/>
  <c r="P31" i="48"/>
  <c r="P30" i="48"/>
  <c r="P29" i="48"/>
  <c r="P28" i="48"/>
  <c r="P27" i="48"/>
  <c r="P26" i="48"/>
  <c r="P25" i="48"/>
  <c r="P24" i="48"/>
  <c r="P23" i="48"/>
  <c r="P22" i="48"/>
  <c r="P21" i="48"/>
  <c r="P19" i="48"/>
  <c r="P18" i="48"/>
  <c r="P17" i="48"/>
  <c r="P16" i="48"/>
  <c r="P15" i="48"/>
  <c r="P14" i="48"/>
  <c r="P13" i="48"/>
  <c r="P12" i="48"/>
  <c r="P11" i="48"/>
  <c r="P10" i="48"/>
  <c r="P9" i="48"/>
  <c r="F34" i="7" l="1"/>
  <c r="C33" i="37"/>
  <c r="C34" i="11"/>
  <c r="K13" i="11" s="1"/>
  <c r="F34" i="13"/>
  <c r="F34" i="15"/>
  <c r="C34" i="43"/>
  <c r="C34" i="15"/>
  <c r="C34" i="19"/>
  <c r="K15" i="19" s="1"/>
  <c r="C34" i="22"/>
  <c r="C34" i="23"/>
  <c r="K14" i="23" s="1"/>
  <c r="F34" i="9"/>
  <c r="E34" i="24"/>
  <c r="E34" i="21"/>
  <c r="E34" i="20"/>
  <c r="E34" i="16"/>
  <c r="E34" i="14"/>
  <c r="E34" i="12"/>
  <c r="C34" i="25"/>
  <c r="K9" i="25" s="1"/>
  <c r="E34" i="26"/>
  <c r="C34" i="28"/>
  <c r="W35" i="46"/>
  <c r="F34" i="28"/>
  <c r="D33" i="16"/>
  <c r="D34" i="23"/>
  <c r="D34" i="22"/>
  <c r="Z67" i="58" s="1"/>
  <c r="D34" i="19"/>
  <c r="Z77" i="58" s="1"/>
  <c r="D34" i="17"/>
  <c r="D34" i="15"/>
  <c r="E34" i="8"/>
  <c r="F34" i="17"/>
  <c r="D33" i="25"/>
  <c r="E33" i="23"/>
  <c r="D33" i="22"/>
  <c r="E34" i="31"/>
  <c r="E35" i="29"/>
  <c r="E34" i="28"/>
  <c r="D35" i="28" s="1"/>
  <c r="E34" i="25"/>
  <c r="E34" i="23"/>
  <c r="E34" i="17"/>
  <c r="D33" i="26"/>
  <c r="D33" i="20"/>
  <c r="E33" i="25"/>
  <c r="E33" i="13"/>
  <c r="C34" i="26"/>
  <c r="K9" i="26" s="1"/>
  <c r="C34" i="20"/>
  <c r="K15" i="20" s="1"/>
  <c r="C34" i="16"/>
  <c r="K14" i="16" s="1"/>
  <c r="C33" i="16"/>
  <c r="C34" i="14"/>
  <c r="K14" i="14" s="1"/>
  <c r="W99" i="58" s="1"/>
  <c r="X99" i="58" s="1"/>
  <c r="C34" i="12"/>
  <c r="C34" i="10"/>
  <c r="C34" i="8"/>
  <c r="D34" i="26"/>
  <c r="Z42" i="58" s="1"/>
  <c r="D34" i="24"/>
  <c r="D34" i="12"/>
  <c r="D34" i="10"/>
  <c r="D34" i="8"/>
  <c r="E33" i="26"/>
  <c r="E33" i="24"/>
  <c r="C33" i="18"/>
  <c r="E33" i="16"/>
  <c r="D33" i="6"/>
  <c r="F34" i="19"/>
  <c r="F34" i="18"/>
  <c r="F34" i="12"/>
  <c r="F34" i="11"/>
  <c r="F34" i="10"/>
  <c r="E34" i="6"/>
  <c r="D34" i="25"/>
  <c r="Z48" i="58" s="1"/>
  <c r="C33" i="28"/>
  <c r="C33" i="25"/>
  <c r="C33" i="15"/>
  <c r="C33" i="11"/>
  <c r="C33" i="9"/>
  <c r="D34" i="31"/>
  <c r="D34" i="32"/>
  <c r="Z12" i="58" s="1"/>
  <c r="E34" i="15"/>
  <c r="C33" i="12"/>
  <c r="C33" i="43"/>
  <c r="C34" i="32"/>
  <c r="K7" i="32" s="1"/>
  <c r="D33" i="19"/>
  <c r="D34" i="18"/>
  <c r="Z82" i="58" s="1"/>
  <c r="D33" i="17"/>
  <c r="D33" i="14"/>
  <c r="C33" i="10"/>
  <c r="C33" i="8"/>
  <c r="D33" i="15"/>
  <c r="C33" i="6"/>
  <c r="F34" i="8"/>
  <c r="C34" i="37"/>
  <c r="C34" i="9"/>
  <c r="K17" i="9" s="1"/>
  <c r="D34" i="37"/>
  <c r="F34" i="24"/>
  <c r="F34" i="21"/>
  <c r="E34" i="18"/>
  <c r="E34" i="13"/>
  <c r="D34" i="11"/>
  <c r="Z111" i="58" s="1"/>
  <c r="D34" i="9"/>
  <c r="Z121" i="58" s="1"/>
  <c r="C33" i="7"/>
  <c r="F34" i="6"/>
  <c r="E34" i="37"/>
  <c r="E33" i="37"/>
  <c r="E34" i="19"/>
  <c r="F34" i="14"/>
  <c r="E34" i="10"/>
  <c r="C34" i="6"/>
  <c r="F34" i="43"/>
  <c r="F34" i="37"/>
  <c r="F34" i="16"/>
  <c r="D33" i="28"/>
  <c r="C33" i="23"/>
  <c r="C33" i="22"/>
  <c r="C33" i="19"/>
  <c r="E33" i="17"/>
  <c r="D33" i="12"/>
  <c r="D33" i="37"/>
  <c r="C33" i="20"/>
  <c r="C33" i="14"/>
  <c r="D33" i="11"/>
  <c r="D33" i="10"/>
  <c r="D33" i="8"/>
  <c r="E33" i="32"/>
  <c r="F34" i="25"/>
  <c r="F34" i="23"/>
  <c r="F34" i="22"/>
  <c r="D34" i="20"/>
  <c r="Z72" i="58" s="1"/>
  <c r="D34" i="14"/>
  <c r="E33" i="8"/>
  <c r="C34" i="7"/>
  <c r="K13" i="7" s="1"/>
  <c r="D33" i="43"/>
  <c r="E33" i="15"/>
  <c r="D34" i="7"/>
  <c r="Z129" i="58" s="1"/>
  <c r="D33" i="7"/>
  <c r="E34" i="43"/>
  <c r="E33" i="43"/>
  <c r="C34" i="31"/>
  <c r="F34" i="26"/>
  <c r="C34" i="24"/>
  <c r="C34" i="21"/>
  <c r="C33" i="21"/>
  <c r="F34" i="20"/>
  <c r="C34" i="18"/>
  <c r="E33" i="18"/>
  <c r="D34" i="16"/>
  <c r="C34" i="13"/>
  <c r="K14" i="13" s="1"/>
  <c r="C33" i="13"/>
  <c r="D33" i="9"/>
  <c r="E33" i="7"/>
  <c r="D34" i="6"/>
  <c r="C33" i="26"/>
  <c r="D34" i="21"/>
  <c r="Z63" i="58" s="1"/>
  <c r="D33" i="21"/>
  <c r="E34" i="22"/>
  <c r="C34" i="17"/>
  <c r="C33" i="17"/>
  <c r="D34" i="13"/>
  <c r="Z103" i="58" s="1"/>
  <c r="D33" i="13"/>
  <c r="E34" i="9"/>
  <c r="E33" i="9"/>
  <c r="E34" i="32"/>
  <c r="C33" i="32"/>
  <c r="D33" i="32"/>
  <c r="E33" i="6"/>
  <c r="E33" i="10"/>
  <c r="E33" i="11"/>
  <c r="E33" i="12"/>
  <c r="E33" i="14"/>
  <c r="D33" i="18"/>
  <c r="E33" i="19"/>
  <c r="E33" i="20"/>
  <c r="E33" i="22"/>
  <c r="E33" i="21"/>
  <c r="D33" i="23"/>
  <c r="C33" i="24"/>
  <c r="D33" i="24"/>
  <c r="E33" i="28"/>
  <c r="F34" i="32"/>
  <c r="D35" i="43" l="1"/>
  <c r="Z111" i="46"/>
  <c r="Z103" i="46"/>
  <c r="Z129" i="46"/>
  <c r="C35" i="11"/>
  <c r="V28" i="11" s="1"/>
  <c r="W28" i="11" s="1"/>
  <c r="Z121" i="46"/>
  <c r="D35" i="26"/>
  <c r="W99" i="46"/>
  <c r="Z82" i="46"/>
  <c r="Z77" i="46"/>
  <c r="D35" i="8"/>
  <c r="Z72" i="46"/>
  <c r="AA62" i="58"/>
  <c r="AB62" i="58" s="1"/>
  <c r="Z63" i="46"/>
  <c r="AA62" i="46" s="1"/>
  <c r="AB62" i="46" s="1"/>
  <c r="AA67" i="58"/>
  <c r="AB67" i="58" s="1"/>
  <c r="Z67" i="46"/>
  <c r="AA67" i="46" s="1"/>
  <c r="AB67" i="46" s="1"/>
  <c r="D35" i="14"/>
  <c r="D35" i="11"/>
  <c r="Z48" i="46"/>
  <c r="Z42" i="46"/>
  <c r="E35" i="26"/>
  <c r="E35" i="11"/>
  <c r="D35" i="6"/>
  <c r="C35" i="19"/>
  <c r="E35" i="12"/>
  <c r="C35" i="23"/>
  <c r="C35" i="8"/>
  <c r="E35" i="8"/>
  <c r="D35" i="9"/>
  <c r="E35" i="37"/>
  <c r="C35" i="22"/>
  <c r="X35" i="46"/>
  <c r="E35" i="23"/>
  <c r="D35" i="23"/>
  <c r="Z12" i="46"/>
  <c r="C35" i="25"/>
  <c r="D35" i="25"/>
  <c r="E35" i="10"/>
  <c r="C35" i="10"/>
  <c r="D35" i="37"/>
  <c r="D35" i="19"/>
  <c r="E35" i="19"/>
  <c r="D35" i="10"/>
  <c r="E35" i="14"/>
  <c r="D35" i="29"/>
  <c r="C35" i="28"/>
  <c r="C35" i="20"/>
  <c r="E35" i="28"/>
  <c r="D35" i="16"/>
  <c r="C35" i="29"/>
  <c r="C35" i="14"/>
  <c r="D35" i="21"/>
  <c r="C35" i="31"/>
  <c r="E35" i="25"/>
  <c r="E35" i="22"/>
  <c r="C35" i="12"/>
  <c r="D35" i="20"/>
  <c r="C35" i="26"/>
  <c r="D35" i="12"/>
  <c r="E35" i="6"/>
  <c r="D35" i="30"/>
  <c r="E35" i="30"/>
  <c r="E35" i="31"/>
  <c r="D35" i="31"/>
  <c r="D35" i="22"/>
  <c r="C35" i="21"/>
  <c r="C35" i="43"/>
  <c r="C35" i="6"/>
  <c r="C35" i="13"/>
  <c r="C35" i="37"/>
  <c r="E35" i="13"/>
  <c r="D35" i="13"/>
  <c r="E35" i="20"/>
  <c r="E35" i="43"/>
  <c r="C35" i="16"/>
  <c r="E35" i="9"/>
  <c r="C35" i="9"/>
  <c r="E35" i="21"/>
  <c r="E35" i="16"/>
  <c r="C35" i="30"/>
  <c r="AA99" i="46" l="1"/>
  <c r="AB99" i="46" s="1"/>
  <c r="X99" i="46"/>
  <c r="AA99" i="58"/>
  <c r="AB99" i="58" s="1"/>
  <c r="T37" i="48"/>
  <c r="D40" i="53"/>
  <c r="D39" i="53"/>
  <c r="D38" i="53"/>
  <c r="D37" i="53"/>
  <c r="D36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D11" i="53"/>
  <c r="D10" i="53"/>
  <c r="D9" i="53"/>
  <c r="D8" i="53"/>
  <c r="D7" i="53"/>
  <c r="D6" i="53"/>
  <c r="D5" i="53"/>
  <c r="D4" i="53"/>
  <c r="G42" i="37"/>
  <c r="I37" i="37" s="1"/>
  <c r="F42" i="37"/>
  <c r="T36" i="48" l="1"/>
  <c r="T35" i="48" l="1"/>
  <c r="Q8" i="7"/>
  <c r="R9" i="7"/>
  <c r="R8" i="7"/>
  <c r="Q9" i="7" l="1"/>
  <c r="Q10" i="7" s="1"/>
  <c r="Q11" i="7" s="1"/>
  <c r="R10" i="7"/>
  <c r="R11" i="7" l="1"/>
  <c r="T34" i="48" l="1"/>
  <c r="T33" i="48"/>
  <c r="T32" i="48" l="1"/>
  <c r="T31" i="48" l="1"/>
  <c r="T30" i="48" l="1"/>
  <c r="T29" i="48" l="1"/>
  <c r="T28" i="48" l="1"/>
  <c r="F42" i="14" l="1"/>
  <c r="G42" i="14"/>
  <c r="I37" i="14" s="1"/>
  <c r="T27" i="48" l="1"/>
  <c r="T26" i="48"/>
  <c r="T25" i="48" l="1"/>
  <c r="T24" i="48" l="1"/>
  <c r="AR22" i="45" l="1"/>
  <c r="T22" i="48" l="1"/>
  <c r="T21" i="48" l="1"/>
  <c r="F42" i="22"/>
  <c r="G42" i="22" l="1"/>
  <c r="I37" i="22" s="1"/>
  <c r="M40" i="53" l="1"/>
  <c r="T20" i="48" l="1"/>
  <c r="T19" i="48"/>
  <c r="T18" i="48" l="1"/>
  <c r="B22" i="45" l="1"/>
  <c r="R22" i="45" l="1"/>
  <c r="J22" i="45"/>
  <c r="AP22" i="45"/>
  <c r="AH22" i="45"/>
  <c r="Z22" i="45"/>
  <c r="F22" i="45"/>
  <c r="AD22" i="45"/>
  <c r="V22" i="45"/>
  <c r="N22" i="45"/>
  <c r="AL22" i="45"/>
  <c r="AS22" i="45"/>
  <c r="F42" i="25" l="1"/>
  <c r="G42" i="25" l="1"/>
  <c r="I37" i="25" s="1"/>
  <c r="T17" i="48"/>
  <c r="T16" i="48" l="1"/>
  <c r="T15" i="48" l="1"/>
  <c r="T14" i="48" l="1"/>
  <c r="T13" i="48" l="1"/>
  <c r="T12" i="48"/>
  <c r="T11" i="48" l="1"/>
  <c r="V23" i="31" l="1"/>
  <c r="W22" i="31"/>
  <c r="U22" i="31"/>
  <c r="X22" i="31" s="1"/>
  <c r="W21" i="31"/>
  <c r="U21" i="31"/>
  <c r="X21" i="31" s="1"/>
  <c r="U15" i="31"/>
  <c r="X15" i="31" s="1"/>
  <c r="W15" i="31"/>
  <c r="W16" i="31"/>
  <c r="U16" i="31"/>
  <c r="X16" i="31" s="1"/>
  <c r="V14" i="31"/>
  <c r="V17" i="31" s="1"/>
  <c r="U14" i="31"/>
  <c r="X23" i="31" l="1"/>
  <c r="X24" i="31" s="1"/>
  <c r="W23" i="31"/>
  <c r="W24" i="31" s="1"/>
  <c r="X14" i="31"/>
  <c r="X17" i="31" s="1"/>
  <c r="X18" i="31" s="1"/>
  <c r="W14" i="31"/>
  <c r="W17" i="31" s="1"/>
  <c r="W18" i="31" s="1"/>
  <c r="T10" i="48" l="1"/>
  <c r="M39" i="53" l="1"/>
  <c r="M38" i="53"/>
  <c r="M37" i="53"/>
  <c r="M36" i="53"/>
  <c r="M34" i="53"/>
  <c r="M33" i="53"/>
  <c r="M32" i="53"/>
  <c r="M31" i="53"/>
  <c r="M30" i="53"/>
  <c r="M29" i="53"/>
  <c r="M28" i="53"/>
  <c r="M27" i="53"/>
  <c r="M26" i="53"/>
  <c r="M25" i="53"/>
  <c r="M24" i="53"/>
  <c r="M23" i="53"/>
  <c r="M22" i="53"/>
  <c r="M21" i="53"/>
  <c r="M20" i="53"/>
  <c r="M19" i="53"/>
  <c r="M18" i="53"/>
  <c r="M17" i="53"/>
  <c r="M16" i="53"/>
  <c r="M11" i="53"/>
  <c r="M10" i="53"/>
  <c r="M9" i="53"/>
  <c r="M8" i="53"/>
  <c r="M7" i="53"/>
  <c r="M6" i="53"/>
  <c r="M5" i="53"/>
  <c r="M4" i="53"/>
  <c r="E3" i="53"/>
  <c r="F3" i="53" s="1"/>
  <c r="G3" i="53" s="1"/>
  <c r="H3" i="53" s="1"/>
  <c r="M3" i="53" s="1"/>
  <c r="N3" i="53" s="1"/>
  <c r="O3" i="53" s="1"/>
  <c r="P3" i="53" s="1"/>
  <c r="Q3" i="53" s="1"/>
  <c r="AZ154" i="58"/>
  <c r="AY154" i="58"/>
  <c r="AX154" i="58"/>
  <c r="AW154" i="58"/>
  <c r="AV154" i="58"/>
  <c r="AU154" i="58"/>
  <c r="AT154" i="58"/>
  <c r="AS154" i="58"/>
  <c r="AQ154" i="58"/>
  <c r="AP154" i="58"/>
  <c r="AO154" i="58"/>
  <c r="AN154" i="58"/>
  <c r="AL154" i="58"/>
  <c r="AK154" i="58"/>
  <c r="AJ154" i="58"/>
  <c r="AI154" i="58"/>
  <c r="AH154" i="58"/>
  <c r="AG154" i="58"/>
  <c r="AF154" i="58"/>
  <c r="S154" i="58"/>
  <c r="R154" i="58"/>
  <c r="Q154" i="58"/>
  <c r="Q155" i="58" s="1"/>
  <c r="AR153" i="58"/>
  <c r="AM153" i="58"/>
  <c r="AC153" i="58"/>
  <c r="AA153" i="58"/>
  <c r="BF156" i="58" l="1"/>
  <c r="BE156" i="58"/>
  <c r="BD156" i="58"/>
  <c r="BC156" i="58"/>
  <c r="BB156" i="58"/>
  <c r="M41" i="53"/>
  <c r="D41" i="53"/>
  <c r="R155" i="58"/>
  <c r="AD154" i="58"/>
  <c r="T9" i="54" s="1"/>
  <c r="S155" i="58"/>
  <c r="AR154" i="58"/>
  <c r="BA154" i="58"/>
  <c r="R156" i="58" s="1"/>
  <c r="AM154" i="58"/>
  <c r="S156" i="58" s="1"/>
  <c r="AM8" i="46"/>
  <c r="AM7" i="46"/>
  <c r="AM6" i="46"/>
  <c r="KQ41" i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U41" i="1"/>
  <c r="IR41" i="1"/>
  <c r="IO41" i="1"/>
  <c r="IL41" i="1"/>
  <c r="II41" i="1"/>
  <c r="IF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D41" i="1"/>
  <c r="DA41" i="1"/>
  <c r="CX41" i="1"/>
  <c r="CU41" i="1"/>
  <c r="CR41" i="1"/>
  <c r="CO41" i="1"/>
  <c r="CL41" i="1"/>
  <c r="CI41" i="1"/>
  <c r="CF41" i="1"/>
  <c r="BZ41" i="1"/>
  <c r="BT41" i="1"/>
  <c r="BQ41" i="1"/>
  <c r="BN41" i="1"/>
  <c r="BK41" i="1"/>
  <c r="BH41" i="1"/>
  <c r="BE41" i="1"/>
  <c r="AY41" i="1"/>
  <c r="AV41" i="1"/>
  <c r="AS41" i="1"/>
  <c r="AP41" i="1"/>
  <c r="AM41" i="1"/>
  <c r="AG41" i="1"/>
  <c r="AD41" i="1"/>
  <c r="AA41" i="1"/>
  <c r="X41" i="1"/>
  <c r="U41" i="1"/>
  <c r="R41" i="1"/>
  <c r="O41" i="1"/>
  <c r="L41" i="1"/>
  <c r="I41" i="1"/>
  <c r="F41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B18" i="1"/>
  <c r="BY18" i="1"/>
  <c r="BV18" i="1"/>
  <c r="BS18" i="1"/>
  <c r="BP18" i="1"/>
  <c r="BM18" i="1"/>
  <c r="BJ18" i="1"/>
  <c r="BG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JZ11" i="1"/>
  <c r="JW11" i="1"/>
  <c r="JT11" i="1"/>
  <c r="JQ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C10" i="1"/>
  <c r="JZ10" i="1"/>
  <c r="JW10" i="1"/>
  <c r="JT10" i="1"/>
  <c r="JQ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R9" i="1"/>
  <c r="KO9" i="1"/>
  <c r="KL9" i="1"/>
  <c r="KI9" i="1"/>
  <c r="KF9" i="1"/>
  <c r="KC9" i="1"/>
  <c r="JZ9" i="1"/>
  <c r="JW9" i="1"/>
  <c r="JT9" i="1"/>
  <c r="JQ9" i="1"/>
  <c r="JN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S9" i="1"/>
  <c r="KP9" i="1"/>
  <c r="KJ11" i="1"/>
  <c r="KA11" i="1"/>
  <c r="JU10" i="1"/>
  <c r="JO11" i="1"/>
  <c r="JL9" i="1"/>
  <c r="KG11" i="1" l="1"/>
  <c r="KG28" i="1"/>
  <c r="KF41" i="1"/>
  <c r="KS10" i="1"/>
  <c r="JU9" i="1"/>
  <c r="KT29" i="1"/>
  <c r="KT30" i="1"/>
  <c r="KT38" i="1"/>
  <c r="Y41" i="1"/>
  <c r="KT19" i="1"/>
  <c r="KT35" i="1"/>
  <c r="K41" i="1"/>
  <c r="KT23" i="1"/>
  <c r="KT39" i="1"/>
  <c r="Q41" i="1"/>
  <c r="KT25" i="1"/>
  <c r="KT24" i="1"/>
  <c r="KS11" i="1"/>
  <c r="JL12" i="1"/>
  <c r="JL11" i="1"/>
  <c r="KJ12" i="1"/>
  <c r="KT12" i="1"/>
  <c r="KG9" i="1"/>
  <c r="JL39" i="1"/>
  <c r="JL15" i="1"/>
  <c r="JL13" i="1"/>
  <c r="KJ39" i="1"/>
  <c r="KJ15" i="1"/>
  <c r="KJ13" i="1"/>
  <c r="KJ9" i="1"/>
  <c r="JU11" i="1"/>
  <c r="KT13" i="1"/>
  <c r="KT17" i="1"/>
  <c r="KT14" i="1"/>
  <c r="KT16" i="1"/>
  <c r="KT21" i="1"/>
  <c r="KT22" i="1"/>
  <c r="KT26" i="1"/>
  <c r="KT31" i="1"/>
  <c r="KT20" i="1"/>
  <c r="KT28" i="1"/>
  <c r="KT33" i="1"/>
  <c r="KT32" i="1"/>
  <c r="W41" i="1"/>
  <c r="AR41" i="1"/>
  <c r="BP41" i="1"/>
  <c r="CN41" i="1"/>
  <c r="DL41" i="1"/>
  <c r="EJ41" i="1"/>
  <c r="FH41" i="1"/>
  <c r="GF41" i="1"/>
  <c r="HC41" i="1"/>
  <c r="IA41" i="1"/>
  <c r="IY41" i="1"/>
  <c r="KT34" i="1"/>
  <c r="AU41" i="1"/>
  <c r="BS41" i="1"/>
  <c r="CQ41" i="1"/>
  <c r="DO41" i="1"/>
  <c r="EM41" i="1"/>
  <c r="FK41" i="1"/>
  <c r="GI41" i="1"/>
  <c r="HG41" i="1"/>
  <c r="IE41" i="1"/>
  <c r="JC41" i="1"/>
  <c r="AC41" i="1"/>
  <c r="AZ41" i="1"/>
  <c r="CW41" i="1"/>
  <c r="DU41" i="1"/>
  <c r="ES41" i="1"/>
  <c r="FQ41" i="1"/>
  <c r="GO41" i="1"/>
  <c r="HM41" i="1"/>
  <c r="IK41" i="1"/>
  <c r="JI41" i="1"/>
  <c r="AE41" i="1"/>
  <c r="AI41" i="1"/>
  <c r="BG41" i="1"/>
  <c r="DC41" i="1"/>
  <c r="EA41" i="1"/>
  <c r="EY41" i="1"/>
  <c r="FW41" i="1"/>
  <c r="GU41" i="1"/>
  <c r="HS41" i="1"/>
  <c r="IQ41" i="1"/>
  <c r="KT37" i="1"/>
  <c r="BJ41" i="1"/>
  <c r="CH41" i="1"/>
  <c r="DF41" i="1"/>
  <c r="ED41" i="1"/>
  <c r="FB41" i="1"/>
  <c r="FZ41" i="1"/>
  <c r="GX41" i="1"/>
  <c r="HV41" i="1"/>
  <c r="IT41" i="1"/>
  <c r="KT36" i="1"/>
  <c r="T41" i="1"/>
  <c r="JX41" i="1"/>
  <c r="JX39" i="1"/>
  <c r="JX31" i="1"/>
  <c r="JX23" i="1"/>
  <c r="JX36" i="1"/>
  <c r="JX28" i="1"/>
  <c r="JX20" i="1"/>
  <c r="JX12" i="1"/>
  <c r="JX33" i="1"/>
  <c r="JX25" i="1"/>
  <c r="JX17" i="1"/>
  <c r="JX38" i="1"/>
  <c r="JX30" i="1"/>
  <c r="JX22" i="1"/>
  <c r="JX14" i="1"/>
  <c r="JX35" i="1"/>
  <c r="JX27" i="1"/>
  <c r="JX19" i="1"/>
  <c r="JX11" i="1"/>
  <c r="JX32" i="1"/>
  <c r="JX24" i="1"/>
  <c r="JX16" i="1"/>
  <c r="JX37" i="1"/>
  <c r="JX29" i="1"/>
  <c r="JX21" i="1"/>
  <c r="JX34" i="1"/>
  <c r="JX26" i="1"/>
  <c r="JX18" i="1"/>
  <c r="JX10" i="1"/>
  <c r="JX15" i="1"/>
  <c r="JX9" i="1"/>
  <c r="KG10" i="1"/>
  <c r="KT11" i="1"/>
  <c r="KA33" i="1"/>
  <c r="KA25" i="1"/>
  <c r="KA17" i="1"/>
  <c r="KA9" i="1"/>
  <c r="KA38" i="1"/>
  <c r="KA30" i="1"/>
  <c r="KA22" i="1"/>
  <c r="KA14" i="1"/>
  <c r="KA35" i="1"/>
  <c r="KA27" i="1"/>
  <c r="KA19" i="1"/>
  <c r="KA32" i="1"/>
  <c r="KA24" i="1"/>
  <c r="KA16" i="1"/>
  <c r="KA37" i="1"/>
  <c r="KA29" i="1"/>
  <c r="KA21" i="1"/>
  <c r="KA13" i="1"/>
  <c r="KA34" i="1"/>
  <c r="KA26" i="1"/>
  <c r="KA18" i="1"/>
  <c r="KA10" i="1"/>
  <c r="KA39" i="1"/>
  <c r="KA31" i="1"/>
  <c r="KA23" i="1"/>
  <c r="KA15" i="1"/>
  <c r="KA36" i="1"/>
  <c r="KA28" i="1"/>
  <c r="KA20" i="1"/>
  <c r="KA12" i="1"/>
  <c r="KA41" i="1"/>
  <c r="KT9" i="1"/>
  <c r="JX13" i="1"/>
  <c r="JO33" i="1"/>
  <c r="JO25" i="1"/>
  <c r="JO17" i="1"/>
  <c r="JO38" i="1"/>
  <c r="JO30" i="1"/>
  <c r="JO22" i="1"/>
  <c r="JO14" i="1"/>
  <c r="JO35" i="1"/>
  <c r="JO27" i="1"/>
  <c r="JO19" i="1"/>
  <c r="JO32" i="1"/>
  <c r="JO24" i="1"/>
  <c r="JO16" i="1"/>
  <c r="JO37" i="1"/>
  <c r="JO29" i="1"/>
  <c r="JO21" i="1"/>
  <c r="JO13" i="1"/>
  <c r="JO34" i="1"/>
  <c r="JO26" i="1"/>
  <c r="JO18" i="1"/>
  <c r="JO10" i="1"/>
  <c r="JO39" i="1"/>
  <c r="JO31" i="1"/>
  <c r="JO23" i="1"/>
  <c r="JO15" i="1"/>
  <c r="JO36" i="1"/>
  <c r="JO28" i="1"/>
  <c r="JO20" i="1"/>
  <c r="JO12" i="1"/>
  <c r="JO9" i="1"/>
  <c r="JR35" i="1"/>
  <c r="JR27" i="1"/>
  <c r="JR19" i="1"/>
  <c r="JR32" i="1"/>
  <c r="JR24" i="1"/>
  <c r="JR16" i="1"/>
  <c r="JR37" i="1"/>
  <c r="JR29" i="1"/>
  <c r="JR21" i="1"/>
  <c r="JR13" i="1"/>
  <c r="JR34" i="1"/>
  <c r="JR26" i="1"/>
  <c r="JR18" i="1"/>
  <c r="JR10" i="1"/>
  <c r="JR39" i="1"/>
  <c r="JR31" i="1"/>
  <c r="JR23" i="1"/>
  <c r="JR15" i="1"/>
  <c r="JR36" i="1"/>
  <c r="JR28" i="1"/>
  <c r="JR20" i="1"/>
  <c r="JR12" i="1"/>
  <c r="JR33" i="1"/>
  <c r="JR25" i="1"/>
  <c r="JR17" i="1"/>
  <c r="JR38" i="1"/>
  <c r="JR30" i="1"/>
  <c r="JR22" i="1"/>
  <c r="JR14" i="1"/>
  <c r="JR11" i="1"/>
  <c r="KT10" i="1"/>
  <c r="KG41" i="1"/>
  <c r="KD35" i="1"/>
  <c r="KD27" i="1"/>
  <c r="KD19" i="1"/>
  <c r="KD32" i="1"/>
  <c r="KD24" i="1"/>
  <c r="KD16" i="1"/>
  <c r="KD41" i="1"/>
  <c r="KD37" i="1"/>
  <c r="KD29" i="1"/>
  <c r="KD21" i="1"/>
  <c r="KD13" i="1"/>
  <c r="KD34" i="1"/>
  <c r="KD26" i="1"/>
  <c r="KD18" i="1"/>
  <c r="KD10" i="1"/>
  <c r="KD39" i="1"/>
  <c r="KD31" i="1"/>
  <c r="KD23" i="1"/>
  <c r="KD15" i="1"/>
  <c r="KD36" i="1"/>
  <c r="KD28" i="1"/>
  <c r="KD20" i="1"/>
  <c r="KD12" i="1"/>
  <c r="KD33" i="1"/>
  <c r="KD25" i="1"/>
  <c r="KD17" i="1"/>
  <c r="KD38" i="1"/>
  <c r="KD30" i="1"/>
  <c r="KD22" i="1"/>
  <c r="KD14" i="1"/>
  <c r="KD11" i="1"/>
  <c r="KG37" i="1"/>
  <c r="KG29" i="1"/>
  <c r="KG21" i="1"/>
  <c r="KG34" i="1"/>
  <c r="KG26" i="1"/>
  <c r="KG18" i="1"/>
  <c r="KG39" i="1"/>
  <c r="KG31" i="1"/>
  <c r="KG23" i="1"/>
  <c r="KG15" i="1"/>
  <c r="KG36" i="1"/>
  <c r="KG20" i="1"/>
  <c r="KG12" i="1"/>
  <c r="KG33" i="1"/>
  <c r="KG25" i="1"/>
  <c r="KG17" i="1"/>
  <c r="KG38" i="1"/>
  <c r="KG30" i="1"/>
  <c r="KG22" i="1"/>
  <c r="KG14" i="1"/>
  <c r="KG35" i="1"/>
  <c r="KG27" i="1"/>
  <c r="KG19" i="1"/>
  <c r="KG32" i="1"/>
  <c r="KG24" i="1"/>
  <c r="KG16" i="1"/>
  <c r="KG13" i="1"/>
  <c r="KD9" i="1"/>
  <c r="JR9" i="1"/>
  <c r="JO41" i="1"/>
  <c r="KM41" i="1"/>
  <c r="JR41" i="1"/>
  <c r="KP41" i="1"/>
  <c r="KM33" i="1"/>
  <c r="KM25" i="1"/>
  <c r="KM17" i="1"/>
  <c r="KM38" i="1"/>
  <c r="KM30" i="1"/>
  <c r="KM22" i="1"/>
  <c r="KM14" i="1"/>
  <c r="KM35" i="1"/>
  <c r="KM27" i="1"/>
  <c r="KM19" i="1"/>
  <c r="KM32" i="1"/>
  <c r="KM24" i="1"/>
  <c r="KM16" i="1"/>
  <c r="KM37" i="1"/>
  <c r="KM29" i="1"/>
  <c r="KM21" i="1"/>
  <c r="KM13" i="1"/>
  <c r="KM34" i="1"/>
  <c r="KM26" i="1"/>
  <c r="KM18" i="1"/>
  <c r="KM10" i="1"/>
  <c r="KM39" i="1"/>
  <c r="KM31" i="1"/>
  <c r="KM23" i="1"/>
  <c r="KM15" i="1"/>
  <c r="KM36" i="1"/>
  <c r="KM28" i="1"/>
  <c r="KM20" i="1"/>
  <c r="KM12" i="1"/>
  <c r="KM9" i="1"/>
  <c r="KP35" i="1"/>
  <c r="KP27" i="1"/>
  <c r="KP19" i="1"/>
  <c r="KP11" i="1"/>
  <c r="KP32" i="1"/>
  <c r="KP24" i="1"/>
  <c r="KP16" i="1"/>
  <c r="KP37" i="1"/>
  <c r="KP29" i="1"/>
  <c r="KP21" i="1"/>
  <c r="KP13" i="1"/>
  <c r="KP34" i="1"/>
  <c r="KP26" i="1"/>
  <c r="KP18" i="1"/>
  <c r="KP10" i="1"/>
  <c r="KP39" i="1"/>
  <c r="KP31" i="1"/>
  <c r="KP23" i="1"/>
  <c r="KP15" i="1"/>
  <c r="KP36" i="1"/>
  <c r="KP28" i="1"/>
  <c r="KP20" i="1"/>
  <c r="KP12" i="1"/>
  <c r="KP33" i="1"/>
  <c r="KP25" i="1"/>
  <c r="KP17" i="1"/>
  <c r="KP38" i="1"/>
  <c r="KP30" i="1"/>
  <c r="KP22" i="1"/>
  <c r="KP14" i="1"/>
  <c r="JU37" i="1"/>
  <c r="JU29" i="1"/>
  <c r="JU21" i="1"/>
  <c r="JU13" i="1"/>
  <c r="JU34" i="1"/>
  <c r="JU26" i="1"/>
  <c r="JU18" i="1"/>
  <c r="JU39" i="1"/>
  <c r="JU31" i="1"/>
  <c r="JU23" i="1"/>
  <c r="JU15" i="1"/>
  <c r="JU41" i="1"/>
  <c r="JU36" i="1"/>
  <c r="JU28" i="1"/>
  <c r="JU20" i="1"/>
  <c r="JU12" i="1"/>
  <c r="JU33" i="1"/>
  <c r="JU25" i="1"/>
  <c r="JU17" i="1"/>
  <c r="JU38" i="1"/>
  <c r="JU30" i="1"/>
  <c r="JU22" i="1"/>
  <c r="JU14" i="1"/>
  <c r="JU35" i="1"/>
  <c r="JU27" i="1"/>
  <c r="JU19" i="1"/>
  <c r="JU32" i="1"/>
  <c r="JU24" i="1"/>
  <c r="JU16" i="1"/>
  <c r="KS37" i="1"/>
  <c r="KS29" i="1"/>
  <c r="KS21" i="1"/>
  <c r="KS34" i="1"/>
  <c r="KS26" i="1"/>
  <c r="KS18" i="1"/>
  <c r="KS39" i="1"/>
  <c r="KS31" i="1"/>
  <c r="KS23" i="1"/>
  <c r="KS15" i="1"/>
  <c r="KS41" i="1"/>
  <c r="KS36" i="1"/>
  <c r="KS28" i="1"/>
  <c r="KS20" i="1"/>
  <c r="KS12" i="1"/>
  <c r="KS33" i="1"/>
  <c r="KS25" i="1"/>
  <c r="KS17" i="1"/>
  <c r="KS38" i="1"/>
  <c r="KS30" i="1"/>
  <c r="KS22" i="1"/>
  <c r="KS14" i="1"/>
  <c r="KS35" i="1"/>
  <c r="KS27" i="1"/>
  <c r="KS19" i="1"/>
  <c r="KS32" i="1"/>
  <c r="KS24" i="1"/>
  <c r="KS16" i="1"/>
  <c r="KS13" i="1"/>
  <c r="KM11" i="1"/>
  <c r="JL10" i="1"/>
  <c r="KJ10" i="1"/>
  <c r="JL18" i="1"/>
  <c r="KJ18" i="1"/>
  <c r="JL26" i="1"/>
  <c r="KJ26" i="1"/>
  <c r="JL34" i="1"/>
  <c r="KJ34" i="1"/>
  <c r="M41" i="1"/>
  <c r="BA41" i="1"/>
  <c r="BI41" i="1"/>
  <c r="CG41" i="1"/>
  <c r="DE41" i="1"/>
  <c r="EC41" i="1"/>
  <c r="FA41" i="1"/>
  <c r="FY41" i="1"/>
  <c r="GW41" i="1"/>
  <c r="HU41" i="1"/>
  <c r="IS41" i="1"/>
  <c r="JQ41" i="1"/>
  <c r="KO41" i="1"/>
  <c r="JL21" i="1"/>
  <c r="KJ21" i="1"/>
  <c r="JL29" i="1"/>
  <c r="KJ29" i="1"/>
  <c r="JL37" i="1"/>
  <c r="KJ37" i="1"/>
  <c r="N41" i="1"/>
  <c r="V41" i="1"/>
  <c r="AT41" i="1"/>
  <c r="BR41" i="1"/>
  <c r="CP41" i="1"/>
  <c r="DN41" i="1"/>
  <c r="EL41" i="1"/>
  <c r="FJ41" i="1"/>
  <c r="GH41" i="1"/>
  <c r="HF41" i="1"/>
  <c r="ID41" i="1"/>
  <c r="JB41" i="1"/>
  <c r="JZ41" i="1"/>
  <c r="JL16" i="1"/>
  <c r="KJ16" i="1"/>
  <c r="JL24" i="1"/>
  <c r="KJ24" i="1"/>
  <c r="JL32" i="1"/>
  <c r="KJ32" i="1"/>
  <c r="G41" i="1"/>
  <c r="CA41" i="1"/>
  <c r="CY41" i="1"/>
  <c r="DW41" i="1"/>
  <c r="EU41" i="1"/>
  <c r="FS41" i="1"/>
  <c r="GQ41" i="1"/>
  <c r="HO41" i="1"/>
  <c r="IM41" i="1"/>
  <c r="JK41" i="1"/>
  <c r="KI41" i="1"/>
  <c r="JL19" i="1"/>
  <c r="KJ19" i="1"/>
  <c r="JL27" i="1"/>
  <c r="KJ27" i="1"/>
  <c r="JL35" i="1"/>
  <c r="KJ35" i="1"/>
  <c r="H41" i="1"/>
  <c r="P41" i="1"/>
  <c r="AF41" i="1"/>
  <c r="AN41" i="1"/>
  <c r="BL41" i="1"/>
  <c r="CB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N41" i="1"/>
  <c r="IV41" i="1"/>
  <c r="JL41" i="1"/>
  <c r="JT41" i="1"/>
  <c r="KJ41" i="1"/>
  <c r="KR41" i="1"/>
  <c r="JL14" i="1"/>
  <c r="KJ14" i="1"/>
  <c r="JL22" i="1"/>
  <c r="KJ22" i="1"/>
  <c r="JL30" i="1"/>
  <c r="KJ30" i="1"/>
  <c r="JL38" i="1"/>
  <c r="KJ38" i="1"/>
  <c r="AO41" i="1"/>
  <c r="AW41" i="1"/>
  <c r="BM41" i="1"/>
  <c r="BU41" i="1"/>
  <c r="CK41" i="1"/>
  <c r="CS41" i="1"/>
  <c r="DI41" i="1"/>
  <c r="DQ41" i="1"/>
  <c r="EG41" i="1"/>
  <c r="EO41" i="1"/>
  <c r="FE41" i="1"/>
  <c r="FM41" i="1"/>
  <c r="GC41" i="1"/>
  <c r="GK41" i="1"/>
  <c r="HA41" i="1"/>
  <c r="HI41" i="1"/>
  <c r="HY41" i="1"/>
  <c r="IG41" i="1"/>
  <c r="IW41" i="1"/>
  <c r="JE41" i="1"/>
  <c r="KC41" i="1"/>
  <c r="JL17" i="1"/>
  <c r="KJ17" i="1"/>
  <c r="JL25" i="1"/>
  <c r="KJ25" i="1"/>
  <c r="JL33" i="1"/>
  <c r="KJ33" i="1"/>
  <c r="J41" i="1"/>
  <c r="Z41" i="1"/>
  <c r="AH41" i="1"/>
  <c r="AX41" i="1"/>
  <c r="BF41" i="1"/>
  <c r="BV41" i="1"/>
  <c r="CT41" i="1"/>
  <c r="DB41" i="1"/>
  <c r="DR41" i="1"/>
  <c r="DZ41" i="1"/>
  <c r="EP41" i="1"/>
  <c r="EX41" i="1"/>
  <c r="FN41" i="1"/>
  <c r="FV41" i="1"/>
  <c r="GL41" i="1"/>
  <c r="GT41" i="1"/>
  <c r="HJ41" i="1"/>
  <c r="HR41" i="1"/>
  <c r="IH41" i="1"/>
  <c r="IP41" i="1"/>
  <c r="JF41" i="1"/>
  <c r="JN41" i="1"/>
  <c r="KL41" i="1"/>
  <c r="JL20" i="1"/>
  <c r="KJ20" i="1"/>
  <c r="JL28" i="1"/>
  <c r="KJ28" i="1"/>
  <c r="JL36" i="1"/>
  <c r="KJ36" i="1"/>
  <c r="S41" i="1"/>
  <c r="AQ41" i="1"/>
  <c r="BO41" i="1"/>
  <c r="CM41" i="1"/>
  <c r="DK41" i="1"/>
  <c r="EI41" i="1"/>
  <c r="FG41" i="1"/>
  <c r="GE41" i="1"/>
  <c r="JW41" i="1"/>
  <c r="JL23" i="1"/>
  <c r="KJ23" i="1"/>
  <c r="JL31" i="1"/>
  <c r="KJ31" i="1"/>
  <c r="AB41" i="1"/>
  <c r="CV41" i="1"/>
  <c r="DT41" i="1"/>
  <c r="ER41" i="1"/>
  <c r="FP41" i="1"/>
  <c r="GN41" i="1"/>
  <c r="HD41" i="1"/>
  <c r="HL41" i="1"/>
  <c r="IB41" i="1"/>
  <c r="IJ41" i="1"/>
  <c r="IZ41" i="1"/>
  <c r="JH41" i="1"/>
  <c r="KU38" i="1" l="1"/>
  <c r="KU9" i="1"/>
  <c r="KU26" i="1"/>
  <c r="KU27" i="1"/>
  <c r="KU19" i="1"/>
  <c r="KU39" i="1"/>
  <c r="KU30" i="1"/>
  <c r="KU35" i="1"/>
  <c r="KU21" i="1"/>
  <c r="KU34" i="1"/>
  <c r="KU20" i="1"/>
  <c r="KU32" i="1"/>
  <c r="KU12" i="1"/>
  <c r="KU31" i="1"/>
  <c r="KU22" i="1"/>
  <c r="KU23" i="1"/>
  <c r="KU41" i="1"/>
  <c r="KU18" i="1"/>
  <c r="KU11" i="1"/>
  <c r="KU13" i="1"/>
  <c r="KU33" i="1"/>
  <c r="KU14" i="1"/>
  <c r="KU37" i="1"/>
  <c r="KU36" i="1"/>
  <c r="KU25" i="1"/>
  <c r="KU16" i="1"/>
  <c r="KU28" i="1"/>
  <c r="KU17" i="1"/>
  <c r="KU29" i="1"/>
  <c r="KU10" i="1"/>
  <c r="KU24" i="1"/>
  <c r="KU15" i="1"/>
  <c r="AZ154" i="46" l="1"/>
  <c r="AY154" i="46"/>
  <c r="AX154" i="46"/>
  <c r="AW154" i="46"/>
  <c r="J8" i="30" l="1"/>
  <c r="J7" i="32"/>
  <c r="T9" i="48" l="1"/>
  <c r="T154" i="58" l="1"/>
  <c r="P154" i="58"/>
  <c r="O154" i="58" s="1"/>
  <c r="C154" i="58"/>
  <c r="V154" i="58"/>
  <c r="AV154" i="46"/>
  <c r="AU154" i="46"/>
  <c r="AT154" i="46"/>
  <c r="AL154" i="46"/>
  <c r="AQ154" i="46"/>
  <c r="AR8" i="46"/>
  <c r="BA8" i="46" s="1"/>
  <c r="AR7" i="46"/>
  <c r="BA7" i="46" s="1"/>
  <c r="AR6" i="46"/>
  <c r="BA6" i="46" s="1"/>
  <c r="T10" i="54" l="1"/>
  <c r="AC154" i="58"/>
  <c r="K154" i="58"/>
  <c r="Y155" i="58" s="1"/>
  <c r="U154" i="58"/>
  <c r="N40" i="53" l="1"/>
  <c r="N35" i="53"/>
  <c r="AH41" i="48"/>
  <c r="AI9" i="48"/>
  <c r="AI10" i="48" s="1"/>
  <c r="AI11" i="48" s="1"/>
  <c r="AI12" i="48" s="1"/>
  <c r="AI13" i="48" s="1"/>
  <c r="AI14" i="48" s="1"/>
  <c r="AI15" i="48" s="1"/>
  <c r="AI16" i="48" s="1"/>
  <c r="AI17" i="48" s="1"/>
  <c r="AI18" i="48" s="1"/>
  <c r="AI19" i="48" s="1"/>
  <c r="AI20" i="48" s="1"/>
  <c r="AI21" i="48" s="1"/>
  <c r="AI22" i="48" s="1"/>
  <c r="AI23" i="48" s="1"/>
  <c r="AI24" i="48" s="1"/>
  <c r="AI25" i="48" s="1"/>
  <c r="AI26" i="48" s="1"/>
  <c r="AI27" i="48" s="1"/>
  <c r="AI28" i="48" s="1"/>
  <c r="AI29" i="48" s="1"/>
  <c r="AI30" i="48" s="1"/>
  <c r="AI31" i="48" s="1"/>
  <c r="AI32" i="48" s="1"/>
  <c r="AI33" i="48" s="1"/>
  <c r="AI34" i="48" s="1"/>
  <c r="AI35" i="48" s="1"/>
  <c r="AI36" i="48" s="1"/>
  <c r="AI37" i="48" s="1"/>
  <c r="AI38" i="48" s="1"/>
  <c r="AI39" i="48" s="1"/>
  <c r="T5" i="54"/>
  <c r="AC155" i="58"/>
  <c r="X164" i="58" s="1"/>
  <c r="T8" i="54"/>
  <c r="X162" i="58"/>
  <c r="V155" i="58"/>
  <c r="N32" i="53"/>
  <c r="N26" i="53"/>
  <c r="N11" i="53"/>
  <c r="N38" i="53"/>
  <c r="N16" i="53"/>
  <c r="N25" i="53"/>
  <c r="N30" i="53"/>
  <c r="N6" i="53"/>
  <c r="N20" i="53"/>
  <c r="N18" i="53"/>
  <c r="N22" i="53"/>
  <c r="N7" i="53"/>
  <c r="N19" i="53"/>
  <c r="N29" i="53"/>
  <c r="N8" i="53"/>
  <c r="N27" i="53"/>
  <c r="N17" i="53"/>
  <c r="N21" i="53"/>
  <c r="N24" i="53"/>
  <c r="N4" i="53"/>
  <c r="N28" i="53"/>
  <c r="N9" i="53"/>
  <c r="N10" i="53"/>
  <c r="N34" i="53"/>
  <c r="N37" i="53"/>
  <c r="N23" i="53"/>
  <c r="N31" i="53"/>
  <c r="N36" i="53"/>
  <c r="N33" i="53"/>
  <c r="N39" i="53"/>
  <c r="N5" i="53"/>
  <c r="AD6" i="46"/>
  <c r="N15" i="53" l="1"/>
  <c r="U5" i="54"/>
  <c r="O15" i="53" s="1"/>
  <c r="P15" i="53" s="1"/>
  <c r="AK155" i="58"/>
  <c r="X172" i="58" s="1"/>
  <c r="AO155" i="58"/>
  <c r="X175" i="58" s="1"/>
  <c r="AW155" i="58"/>
  <c r="X182" i="58" s="1"/>
  <c r="AJ155" i="58"/>
  <c r="X171" i="58" s="1"/>
  <c r="AR155" i="58"/>
  <c r="AL155" i="58"/>
  <c r="X173" i="58" s="1"/>
  <c r="AU155" i="58"/>
  <c r="X180" i="58" s="1"/>
  <c r="AH155" i="58"/>
  <c r="X169" i="58" s="1"/>
  <c r="AT155" i="58"/>
  <c r="X179" i="58" s="1"/>
  <c r="AZ155" i="58"/>
  <c r="X184" i="58" s="1"/>
  <c r="BA155" i="58"/>
  <c r="AS155" i="58"/>
  <c r="X178" i="58" s="1"/>
  <c r="AI155" i="58"/>
  <c r="X170" i="58" s="1"/>
  <c r="AQ155" i="58"/>
  <c r="X177" i="58" s="1"/>
  <c r="AX155" i="58"/>
  <c r="AM155" i="58"/>
  <c r="AN155" i="58"/>
  <c r="X174" i="58" s="1"/>
  <c r="AF155" i="58"/>
  <c r="X167" i="58" s="1"/>
  <c r="AV155" i="58"/>
  <c r="X181" i="58" s="1"/>
  <c r="AP155" i="58"/>
  <c r="X176" i="58" s="1"/>
  <c r="AY155" i="58"/>
  <c r="AG155" i="58"/>
  <c r="X168" i="58" s="1"/>
  <c r="T11" i="54"/>
  <c r="A4" i="47"/>
  <c r="O40" i="53" l="1"/>
  <c r="O35" i="53"/>
  <c r="X183" i="58"/>
  <c r="O31" i="53"/>
  <c r="O32" i="53"/>
  <c r="O6" i="53"/>
  <c r="P6" i="53" s="1"/>
  <c r="O26" i="53"/>
  <c r="O20" i="53"/>
  <c r="O17" i="53"/>
  <c r="O27" i="53"/>
  <c r="O38" i="53"/>
  <c r="O22" i="53"/>
  <c r="O9" i="53"/>
  <c r="P9" i="53" s="1"/>
  <c r="O23" i="53"/>
  <c r="O24" i="53"/>
  <c r="O8" i="53"/>
  <c r="P8" i="53" s="1"/>
  <c r="O39" i="53"/>
  <c r="P39" i="53" s="1"/>
  <c r="Q39" i="53" s="1"/>
  <c r="O7" i="53"/>
  <c r="P7" i="53" s="1"/>
  <c r="O37" i="53"/>
  <c r="O10" i="53"/>
  <c r="P10" i="53" s="1"/>
  <c r="O19" i="53"/>
  <c r="O4" i="53"/>
  <c r="O36" i="53"/>
  <c r="O34" i="53"/>
  <c r="O33" i="53"/>
  <c r="O16" i="53"/>
  <c r="O18" i="53"/>
  <c r="P18" i="53" s="1"/>
  <c r="O21" i="53"/>
  <c r="O29" i="53"/>
  <c r="O5" i="53"/>
  <c r="P5" i="53" s="1"/>
  <c r="O25" i="53"/>
  <c r="O28" i="53"/>
  <c r="O30" i="53"/>
  <c r="O11" i="53"/>
  <c r="P11" i="53" s="1"/>
  <c r="P16" i="53" l="1"/>
  <c r="P31" i="53"/>
  <c r="P37" i="53"/>
  <c r="P24" i="53"/>
  <c r="P4" i="53"/>
  <c r="Q4" i="53" s="1"/>
  <c r="P19" i="53"/>
  <c r="P33" i="53"/>
  <c r="Q24" i="53" l="1"/>
  <c r="A9" i="1"/>
  <c r="C45" i="30" l="1"/>
  <c r="AF39" i="55" l="1"/>
  <c r="AE39" i="55"/>
  <c r="AD39" i="55"/>
  <c r="AC39" i="55"/>
  <c r="AB39" i="55"/>
  <c r="AA39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C39" i="55"/>
  <c r="B39" i="55"/>
  <c r="AG37" i="55"/>
  <c r="AG36" i="55"/>
  <c r="AG35" i="55"/>
  <c r="AG34" i="55"/>
  <c r="AG33" i="55"/>
  <c r="AG32" i="55"/>
  <c r="AG31" i="55"/>
  <c r="AG30" i="55"/>
  <c r="AG29" i="55"/>
  <c r="AG28" i="55"/>
  <c r="AG27" i="55"/>
  <c r="AG26" i="55"/>
  <c r="AG25" i="55"/>
  <c r="AG24" i="55"/>
  <c r="AG23" i="55"/>
  <c r="AG22" i="55"/>
  <c r="AG21" i="55"/>
  <c r="AG20" i="55"/>
  <c r="AG19" i="55"/>
  <c r="AG18" i="55"/>
  <c r="AG17" i="55"/>
  <c r="AG16" i="55"/>
  <c r="AG15" i="55"/>
  <c r="AG14" i="55"/>
  <c r="AG13" i="55"/>
  <c r="AG12" i="55"/>
  <c r="AG11" i="55"/>
  <c r="AG10" i="55"/>
  <c r="AG9" i="55"/>
  <c r="AG8" i="55"/>
  <c r="AG7" i="55"/>
  <c r="AG6" i="55"/>
  <c r="AG39" i="55" l="1"/>
  <c r="AH36" i="55" l="1"/>
  <c r="AH18" i="55"/>
  <c r="AH6" i="55"/>
  <c r="AH32" i="55"/>
  <c r="AH24" i="55"/>
  <c r="AH10" i="55"/>
  <c r="AH35" i="55"/>
  <c r="AH31" i="55"/>
  <c r="AH27" i="55"/>
  <c r="AH23" i="55"/>
  <c r="AH19" i="55"/>
  <c r="AH15" i="55"/>
  <c r="AH11" i="55"/>
  <c r="AH7" i="55"/>
  <c r="AH17" i="55"/>
  <c r="AH9" i="55"/>
  <c r="AH37" i="55"/>
  <c r="AH33" i="55"/>
  <c r="AH29" i="55"/>
  <c r="AH25" i="55"/>
  <c r="AH21" i="55"/>
  <c r="AH13" i="55"/>
  <c r="AH12" i="55"/>
  <c r="AH34" i="55"/>
  <c r="AH22" i="55"/>
  <c r="AH16" i="55"/>
  <c r="AH28" i="55"/>
  <c r="AH8" i="55"/>
  <c r="AH20" i="55"/>
  <c r="AH30" i="55"/>
  <c r="AH26" i="55"/>
  <c r="AH14" i="55"/>
  <c r="AH39" i="55" l="1"/>
  <c r="A10" i="2"/>
  <c r="BW42" i="2" l="1"/>
  <c r="BO42" i="2"/>
  <c r="BG42" i="2"/>
  <c r="AM42" i="2"/>
  <c r="AI42" i="2"/>
  <c r="AA42" i="2"/>
  <c r="BS40" i="2"/>
  <c r="BS39" i="2"/>
  <c r="BS38" i="2"/>
  <c r="BS37" i="2"/>
  <c r="BS36" i="2"/>
  <c r="BS35" i="2"/>
  <c r="BS34" i="2"/>
  <c r="BS33" i="2"/>
  <c r="BS32" i="2"/>
  <c r="BS31" i="2"/>
  <c r="BS30" i="2"/>
  <c r="BS29" i="2"/>
  <c r="BS28" i="2"/>
  <c r="BS27" i="2"/>
  <c r="BS26" i="2"/>
  <c r="BS25" i="2"/>
  <c r="BS24" i="2"/>
  <c r="AQ42" i="2"/>
  <c r="BS23" i="2"/>
  <c r="K42" i="2"/>
  <c r="BS22" i="2"/>
  <c r="BS21" i="2"/>
  <c r="BS20" i="2"/>
  <c r="BS19" i="2"/>
  <c r="BS18" i="2"/>
  <c r="BS17" i="2"/>
  <c r="BS16" i="2"/>
  <c r="BS15" i="2"/>
  <c r="BS14" i="2"/>
  <c r="BS13" i="2"/>
  <c r="BS12" i="2"/>
  <c r="BS11" i="2"/>
  <c r="BY10" i="2"/>
  <c r="BQ10" i="2"/>
  <c r="BQ11" i="2" s="1"/>
  <c r="BK42" i="2"/>
  <c r="BI10" i="2"/>
  <c r="BI11" i="2" s="1"/>
  <c r="AY42" i="2"/>
  <c r="AU42" i="2"/>
  <c r="AS10" i="2"/>
  <c r="AO10" i="2"/>
  <c r="AO11" i="2" s="1"/>
  <c r="AK10" i="2"/>
  <c r="AK11" i="2" s="1"/>
  <c r="AC10" i="2"/>
  <c r="AC11" i="2" s="1"/>
  <c r="Y10" i="2"/>
  <c r="Y11" i="2" s="1"/>
  <c r="U10" i="2"/>
  <c r="U11" i="2" s="1"/>
  <c r="Q10" i="2"/>
  <c r="Q11" i="2" s="1"/>
  <c r="M10" i="2"/>
  <c r="M11" i="2" s="1"/>
  <c r="G42" i="2"/>
  <c r="CA37" i="2" l="1"/>
  <c r="CA38" i="2"/>
  <c r="CA40" i="2"/>
  <c r="U12" i="2"/>
  <c r="BI12" i="2"/>
  <c r="BQ12" i="2"/>
  <c r="M12" i="2"/>
  <c r="AC12" i="2"/>
  <c r="Q12" i="2"/>
  <c r="Y12" i="2"/>
  <c r="AK12" i="2"/>
  <c r="AO12" i="2"/>
  <c r="CA13" i="2"/>
  <c r="CA15" i="2"/>
  <c r="AW10" i="2"/>
  <c r="AW11" i="2" s="1"/>
  <c r="AW12" i="2" s="1"/>
  <c r="AW13" i="2" s="1"/>
  <c r="BA10" i="2"/>
  <c r="BM10" i="2"/>
  <c r="AS11" i="2"/>
  <c r="BY11" i="2"/>
  <c r="CA21" i="2"/>
  <c r="I10" i="2"/>
  <c r="BS10" i="2"/>
  <c r="CA19" i="2"/>
  <c r="CA26" i="2"/>
  <c r="CA30" i="2"/>
  <c r="CA31" i="2"/>
  <c r="CA29" i="2"/>
  <c r="CA27" i="2"/>
  <c r="CA28" i="2"/>
  <c r="CA32" i="2"/>
  <c r="CA35" i="2"/>
  <c r="BP37" i="2"/>
  <c r="BH37" i="2"/>
  <c r="AZ37" i="2"/>
  <c r="AR37" i="2"/>
  <c r="AB37" i="2"/>
  <c r="T37" i="2"/>
  <c r="L37" i="2"/>
  <c r="BX37" i="2"/>
  <c r="BL37" i="2"/>
  <c r="BD37" i="2"/>
  <c r="AV37" i="2"/>
  <c r="AN37" i="2"/>
  <c r="AJ37" i="2"/>
  <c r="X37" i="2"/>
  <c r="P37" i="2"/>
  <c r="H37" i="2"/>
  <c r="BT37" i="2"/>
  <c r="CA36" i="2"/>
  <c r="AF37" i="2"/>
  <c r="BT38" i="2"/>
  <c r="BP38" i="2"/>
  <c r="BH38" i="2"/>
  <c r="AZ38" i="2"/>
  <c r="AR38" i="2"/>
  <c r="BX38" i="2"/>
  <c r="BL38" i="2"/>
  <c r="AV38" i="2"/>
  <c r="AN38" i="2"/>
  <c r="AJ38" i="2"/>
  <c r="BD38" i="2"/>
  <c r="CA39" i="2"/>
  <c r="AR40" i="2"/>
  <c r="BD40" i="2"/>
  <c r="AF38" i="2"/>
  <c r="AV40" i="2"/>
  <c r="AN40" i="2"/>
  <c r="P40" i="2"/>
  <c r="H40" i="2"/>
  <c r="BH40" i="2" l="1"/>
  <c r="BD13" i="2"/>
  <c r="BD15" i="2"/>
  <c r="AF26" i="2"/>
  <c r="BX40" i="2"/>
  <c r="BT40" i="2"/>
  <c r="AF29" i="2"/>
  <c r="AJ40" i="2"/>
  <c r="AF35" i="2"/>
  <c r="AF31" i="2"/>
  <c r="AF21" i="2"/>
  <c r="AF30" i="2"/>
  <c r="BD32" i="2"/>
  <c r="X40" i="2"/>
  <c r="AF39" i="2"/>
  <c r="BD36" i="2"/>
  <c r="BL40" i="2"/>
  <c r="BD19" i="2"/>
  <c r="BP40" i="2"/>
  <c r="AZ35" i="2"/>
  <c r="BD31" i="2"/>
  <c r="H19" i="2"/>
  <c r="BD21" i="2"/>
  <c r="L35" i="2"/>
  <c r="BD35" i="2"/>
  <c r="AZ32" i="2"/>
  <c r="BT35" i="2"/>
  <c r="L30" i="2"/>
  <c r="BT30" i="2"/>
  <c r="AB40" i="2"/>
  <c r="H15" i="2"/>
  <c r="H13" i="2"/>
  <c r="AZ21" i="2"/>
  <c r="AZ26" i="2"/>
  <c r="H21" i="2"/>
  <c r="AF40" i="2"/>
  <c r="T40" i="2"/>
  <c r="L40" i="2"/>
  <c r="AZ40" i="2"/>
  <c r="BD26" i="2"/>
  <c r="AB38" i="2"/>
  <c r="T38" i="2"/>
  <c r="L38" i="2"/>
  <c r="X38" i="2"/>
  <c r="P38" i="2"/>
  <c r="H38" i="2"/>
  <c r="BT39" i="2"/>
  <c r="AZ30" i="2"/>
  <c r="BD30" i="2"/>
  <c r="AZ19" i="2"/>
  <c r="BT26" i="2"/>
  <c r="BT19" i="2"/>
  <c r="BT21" i="2"/>
  <c r="L31" i="2"/>
  <c r="AZ29" i="2"/>
  <c r="BT29" i="2"/>
  <c r="BT15" i="2"/>
  <c r="BT13" i="2"/>
  <c r="AF32" i="2"/>
  <c r="AF15" i="2"/>
  <c r="AF19" i="2"/>
  <c r="AF13" i="2"/>
  <c r="BX27" i="2"/>
  <c r="BL27" i="2"/>
  <c r="AN27" i="2"/>
  <c r="AJ27" i="2"/>
  <c r="AB27" i="2"/>
  <c r="T27" i="2"/>
  <c r="H27" i="2"/>
  <c r="BT27" i="2"/>
  <c r="BP27" i="2"/>
  <c r="BH27" i="2"/>
  <c r="AZ27" i="2"/>
  <c r="AV27" i="2"/>
  <c r="X27" i="2"/>
  <c r="P27" i="2"/>
  <c r="AR27" i="2"/>
  <c r="AF27" i="2"/>
  <c r="L27" i="2"/>
  <c r="BX28" i="2"/>
  <c r="BL28" i="2"/>
  <c r="AN28" i="2"/>
  <c r="AJ28" i="2"/>
  <c r="AB28" i="2"/>
  <c r="T28" i="2"/>
  <c r="L28" i="2"/>
  <c r="BT28" i="2"/>
  <c r="BP28" i="2"/>
  <c r="BH28" i="2"/>
  <c r="AZ28" i="2"/>
  <c r="AV28" i="2"/>
  <c r="X28" i="2"/>
  <c r="P28" i="2"/>
  <c r="H28" i="2"/>
  <c r="AF28" i="2"/>
  <c r="AR28" i="2"/>
  <c r="BP39" i="2"/>
  <c r="BH39" i="2"/>
  <c r="AZ39" i="2"/>
  <c r="AR39" i="2"/>
  <c r="BL39" i="2"/>
  <c r="AN39" i="2"/>
  <c r="X39" i="2"/>
  <c r="P39" i="2"/>
  <c r="H39" i="2"/>
  <c r="BX39" i="2"/>
  <c r="BD39" i="2"/>
  <c r="AV39" i="2"/>
  <c r="AJ39" i="2"/>
  <c r="AB39" i="2"/>
  <c r="T39" i="2"/>
  <c r="L39" i="2"/>
  <c r="BX36" i="2"/>
  <c r="BL36" i="2"/>
  <c r="AV36" i="2"/>
  <c r="AN36" i="2"/>
  <c r="AJ36" i="2"/>
  <c r="X36" i="2"/>
  <c r="P36" i="2"/>
  <c r="H36" i="2"/>
  <c r="BT36" i="2"/>
  <c r="BP36" i="2"/>
  <c r="BH36" i="2"/>
  <c r="AZ36" i="2"/>
  <c r="AR36" i="2"/>
  <c r="AF36" i="2"/>
  <c r="AB36" i="2"/>
  <c r="T36" i="2"/>
  <c r="L36" i="2"/>
  <c r="BP35" i="2"/>
  <c r="BH35" i="2"/>
  <c r="AV35" i="2"/>
  <c r="AN35" i="2"/>
  <c r="AJ35" i="2"/>
  <c r="X35" i="2"/>
  <c r="P35" i="2"/>
  <c r="BX35" i="2"/>
  <c r="BL35" i="2"/>
  <c r="AR35" i="2"/>
  <c r="AB35" i="2"/>
  <c r="T35" i="2"/>
  <c r="H35" i="2"/>
  <c r="BT32" i="2"/>
  <c r="BP29" i="2"/>
  <c r="BH29" i="2"/>
  <c r="AV29" i="2"/>
  <c r="AN29" i="2"/>
  <c r="AJ29" i="2"/>
  <c r="AB29" i="2"/>
  <c r="T29" i="2"/>
  <c r="L29" i="2"/>
  <c r="BX29" i="2"/>
  <c r="BL29" i="2"/>
  <c r="AR29" i="2"/>
  <c r="X29" i="2"/>
  <c r="P29" i="2"/>
  <c r="H29" i="2"/>
  <c r="BP30" i="2"/>
  <c r="BH30" i="2"/>
  <c r="AV30" i="2"/>
  <c r="AN30" i="2"/>
  <c r="AJ30" i="2"/>
  <c r="AB30" i="2"/>
  <c r="T30" i="2"/>
  <c r="H30" i="2"/>
  <c r="BX30" i="2"/>
  <c r="BL30" i="2"/>
  <c r="AR30" i="2"/>
  <c r="X30" i="2"/>
  <c r="P30" i="2"/>
  <c r="BP26" i="2"/>
  <c r="BH26" i="2"/>
  <c r="AV26" i="2"/>
  <c r="AN26" i="2"/>
  <c r="AJ26" i="2"/>
  <c r="X26" i="2"/>
  <c r="P26" i="2"/>
  <c r="BX26" i="2"/>
  <c r="BL26" i="2"/>
  <c r="AR26" i="2"/>
  <c r="AB26" i="2"/>
  <c r="T26" i="2"/>
  <c r="L26" i="2"/>
  <c r="H26" i="2"/>
  <c r="CA25" i="2"/>
  <c r="CA20" i="2"/>
  <c r="BC42" i="2"/>
  <c r="BE10" i="2"/>
  <c r="BE11" i="2" s="1"/>
  <c r="CA14" i="2"/>
  <c r="BY12" i="2"/>
  <c r="BM11" i="2"/>
  <c r="BA11" i="2"/>
  <c r="AC13" i="2"/>
  <c r="M13" i="2"/>
  <c r="BQ13" i="2"/>
  <c r="BI13" i="2"/>
  <c r="CA33" i="2"/>
  <c r="BP32" i="2"/>
  <c r="BH32" i="2"/>
  <c r="AV32" i="2"/>
  <c r="AN32" i="2"/>
  <c r="AJ32" i="2"/>
  <c r="X32" i="2"/>
  <c r="P32" i="2"/>
  <c r="BX32" i="2"/>
  <c r="BL32" i="2"/>
  <c r="AR32" i="2"/>
  <c r="AB32" i="2"/>
  <c r="T32" i="2"/>
  <c r="L32" i="2"/>
  <c r="H32" i="2"/>
  <c r="CA34" i="2"/>
  <c r="BD28" i="2"/>
  <c r="BD27" i="2"/>
  <c r="CA24" i="2"/>
  <c r="BX31" i="2"/>
  <c r="BL31" i="2"/>
  <c r="AR31" i="2"/>
  <c r="AB31" i="2"/>
  <c r="T31" i="2"/>
  <c r="BT31" i="2"/>
  <c r="BP31" i="2"/>
  <c r="BH31" i="2"/>
  <c r="AV31" i="2"/>
  <c r="AJ31" i="2"/>
  <c r="P31" i="2"/>
  <c r="H31" i="2"/>
  <c r="AZ31" i="2"/>
  <c r="AN31" i="2"/>
  <c r="X31" i="2"/>
  <c r="BD29" i="2"/>
  <c r="CA23" i="2"/>
  <c r="CA22" i="2"/>
  <c r="CA18" i="2"/>
  <c r="CA17" i="2"/>
  <c r="BP19" i="2"/>
  <c r="BH19" i="2"/>
  <c r="AV19" i="2"/>
  <c r="AN19" i="2"/>
  <c r="AJ19" i="2"/>
  <c r="X19" i="2"/>
  <c r="P19" i="2"/>
  <c r="BX19" i="2"/>
  <c r="BL19" i="2"/>
  <c r="AR19" i="2"/>
  <c r="AB19" i="2"/>
  <c r="T19" i="2"/>
  <c r="L19" i="2"/>
  <c r="BS42" i="2"/>
  <c r="BU10" i="2"/>
  <c r="AE42" i="2"/>
  <c r="AG10" i="2"/>
  <c r="AG11" i="2" s="1"/>
  <c r="AG12" i="2" s="1"/>
  <c r="CA10" i="2"/>
  <c r="BP21" i="2"/>
  <c r="BH21" i="2"/>
  <c r="AV21" i="2"/>
  <c r="AN21" i="2"/>
  <c r="AJ21" i="2"/>
  <c r="X21" i="2"/>
  <c r="P21" i="2"/>
  <c r="BX21" i="2"/>
  <c r="BL21" i="2"/>
  <c r="AR21" i="2"/>
  <c r="AB21" i="2"/>
  <c r="T21" i="2"/>
  <c r="L21" i="2"/>
  <c r="CA16" i="2"/>
  <c r="AW14" i="2"/>
  <c r="CA12" i="2"/>
  <c r="AS12" i="2"/>
  <c r="CA11" i="2"/>
  <c r="I11" i="2"/>
  <c r="BP15" i="2"/>
  <c r="BH15" i="2"/>
  <c r="AZ15" i="2"/>
  <c r="AN15" i="2"/>
  <c r="AJ15" i="2"/>
  <c r="X15" i="2"/>
  <c r="P15" i="2"/>
  <c r="BX15" i="2"/>
  <c r="BL15" i="2"/>
  <c r="AV15" i="2"/>
  <c r="AR15" i="2"/>
  <c r="AB15" i="2"/>
  <c r="T15" i="2"/>
  <c r="L15" i="2"/>
  <c r="BP13" i="2"/>
  <c r="BH13" i="2"/>
  <c r="AZ13" i="2"/>
  <c r="AN13" i="2"/>
  <c r="AJ13" i="2"/>
  <c r="X13" i="2"/>
  <c r="P13" i="2"/>
  <c r="BX13" i="2"/>
  <c r="BL13" i="2"/>
  <c r="AV13" i="2"/>
  <c r="AR13" i="2"/>
  <c r="AB13" i="2"/>
  <c r="T13" i="2"/>
  <c r="L13" i="2"/>
  <c r="AO13" i="2"/>
  <c r="AK13" i="2"/>
  <c r="Y13" i="2"/>
  <c r="Q13" i="2"/>
  <c r="U13" i="2"/>
  <c r="BT10" i="2" l="1"/>
  <c r="AF18" i="2"/>
  <c r="AF14" i="2"/>
  <c r="BD12" i="2"/>
  <c r="AF17" i="2"/>
  <c r="AF23" i="2"/>
  <c r="BD25" i="2"/>
  <c r="AF20" i="2"/>
  <c r="AF12" i="2"/>
  <c r="AF10" i="2"/>
  <c r="BD23" i="2"/>
  <c r="BD14" i="2"/>
  <c r="Q14" i="2"/>
  <c r="I12" i="2"/>
  <c r="BX11" i="2"/>
  <c r="BL11" i="2"/>
  <c r="AR11" i="2"/>
  <c r="X11" i="2"/>
  <c r="P11" i="2"/>
  <c r="BT11" i="2"/>
  <c r="BP11" i="2"/>
  <c r="BH11" i="2"/>
  <c r="AZ11" i="2"/>
  <c r="AN11" i="2"/>
  <c r="AJ11" i="2"/>
  <c r="AB11" i="2"/>
  <c r="T11" i="2"/>
  <c r="L11" i="2"/>
  <c r="AV11" i="2"/>
  <c r="H11" i="2"/>
  <c r="AS13" i="2"/>
  <c r="AG13" i="2"/>
  <c r="BX16" i="2"/>
  <c r="BP16" i="2"/>
  <c r="BH16" i="2"/>
  <c r="AR16" i="2"/>
  <c r="AB16" i="2"/>
  <c r="T16" i="2"/>
  <c r="L16" i="2"/>
  <c r="BL16" i="2"/>
  <c r="AN16" i="2"/>
  <c r="AJ16" i="2"/>
  <c r="X16" i="2"/>
  <c r="P16" i="2"/>
  <c r="H16" i="2"/>
  <c r="BT16" i="2"/>
  <c r="BD16" i="2"/>
  <c r="AZ16" i="2"/>
  <c r="AV16" i="2"/>
  <c r="BX22" i="2"/>
  <c r="BL22" i="2"/>
  <c r="AR22" i="2"/>
  <c r="AB22" i="2"/>
  <c r="T22" i="2"/>
  <c r="L22" i="2"/>
  <c r="BT22" i="2"/>
  <c r="BP22" i="2"/>
  <c r="BH22" i="2"/>
  <c r="AZ22" i="2"/>
  <c r="AV22" i="2"/>
  <c r="AN22" i="2"/>
  <c r="AJ22" i="2"/>
  <c r="X22" i="2"/>
  <c r="P22" i="2"/>
  <c r="H22" i="2"/>
  <c r="BD22" i="2"/>
  <c r="BX34" i="2"/>
  <c r="BP34" i="2"/>
  <c r="BH34" i="2"/>
  <c r="AV34" i="2"/>
  <c r="AN34" i="2"/>
  <c r="AJ34" i="2"/>
  <c r="X34" i="2"/>
  <c r="P34" i="2"/>
  <c r="BL34" i="2"/>
  <c r="AR34" i="2"/>
  <c r="AB34" i="2"/>
  <c r="T34" i="2"/>
  <c r="L34" i="2"/>
  <c r="H34" i="2"/>
  <c r="AF34" i="2"/>
  <c r="AZ34" i="2"/>
  <c r="BT34" i="2"/>
  <c r="BX33" i="2"/>
  <c r="BL33" i="2"/>
  <c r="AR33" i="2"/>
  <c r="AB33" i="2"/>
  <c r="T33" i="2"/>
  <c r="H33" i="2"/>
  <c r="BT33" i="2"/>
  <c r="BP33" i="2"/>
  <c r="BH33" i="2"/>
  <c r="AZ33" i="2"/>
  <c r="AV33" i="2"/>
  <c r="AN33" i="2"/>
  <c r="AJ33" i="2"/>
  <c r="X33" i="2"/>
  <c r="P33" i="2"/>
  <c r="L33" i="2"/>
  <c r="BD33" i="2"/>
  <c r="BA12" i="2"/>
  <c r="Y14" i="2"/>
  <c r="U14" i="2"/>
  <c r="AK14" i="2"/>
  <c r="AO14" i="2"/>
  <c r="AF11" i="2"/>
  <c r="BD11" i="2"/>
  <c r="BX12" i="2"/>
  <c r="BL12" i="2"/>
  <c r="AR12" i="2"/>
  <c r="X12" i="2"/>
  <c r="P12" i="2"/>
  <c r="BT12" i="2"/>
  <c r="BP12" i="2"/>
  <c r="BH12" i="2"/>
  <c r="AZ12" i="2"/>
  <c r="AN12" i="2"/>
  <c r="AJ12" i="2"/>
  <c r="AB12" i="2"/>
  <c r="T12" i="2"/>
  <c r="L12" i="2"/>
  <c r="AV12" i="2"/>
  <c r="H12" i="2"/>
  <c r="BE12" i="2"/>
  <c r="AW15" i="2"/>
  <c r="AF16" i="2"/>
  <c r="CA42" i="2"/>
  <c r="CB10" i="2"/>
  <c r="BX10" i="2"/>
  <c r="BH10" i="2"/>
  <c r="AR10" i="2"/>
  <c r="AB10" i="2"/>
  <c r="T10" i="2"/>
  <c r="L10" i="2"/>
  <c r="P10" i="2"/>
  <c r="BP10" i="2"/>
  <c r="AN10" i="2"/>
  <c r="AJ10" i="2"/>
  <c r="X10" i="2"/>
  <c r="H10" i="2"/>
  <c r="AZ10" i="2"/>
  <c r="AV10" i="2"/>
  <c r="BL10" i="2"/>
  <c r="BU11" i="2"/>
  <c r="BP17" i="2"/>
  <c r="BH17" i="2"/>
  <c r="AR17" i="2"/>
  <c r="AB17" i="2"/>
  <c r="T17" i="2"/>
  <c r="L17" i="2"/>
  <c r="BX17" i="2"/>
  <c r="BL17" i="2"/>
  <c r="AN17" i="2"/>
  <c r="AJ17" i="2"/>
  <c r="X17" i="2"/>
  <c r="P17" i="2"/>
  <c r="H17" i="2"/>
  <c r="BD17" i="2"/>
  <c r="AV17" i="2"/>
  <c r="AZ17" i="2"/>
  <c r="BT17" i="2"/>
  <c r="BX18" i="2"/>
  <c r="BL18" i="2"/>
  <c r="AR18" i="2"/>
  <c r="AB18" i="2"/>
  <c r="T18" i="2"/>
  <c r="L18" i="2"/>
  <c r="BT18" i="2"/>
  <c r="BP18" i="2"/>
  <c r="BH18" i="2"/>
  <c r="AZ18" i="2"/>
  <c r="AV18" i="2"/>
  <c r="AN18" i="2"/>
  <c r="AJ18" i="2"/>
  <c r="X18" i="2"/>
  <c r="P18" i="2"/>
  <c r="H18" i="2"/>
  <c r="AF22" i="2"/>
  <c r="BX23" i="2"/>
  <c r="BL23" i="2"/>
  <c r="AR23" i="2"/>
  <c r="AB23" i="2"/>
  <c r="T23" i="2"/>
  <c r="BP23" i="2"/>
  <c r="BH23" i="2"/>
  <c r="AV23" i="2"/>
  <c r="AN23" i="2"/>
  <c r="AJ23" i="2"/>
  <c r="X23" i="2"/>
  <c r="P23" i="2"/>
  <c r="H23" i="2"/>
  <c r="AZ23" i="2"/>
  <c r="BT23" i="2"/>
  <c r="L23" i="2"/>
  <c r="BT24" i="2"/>
  <c r="BP24" i="2"/>
  <c r="BH24" i="2"/>
  <c r="AZ24" i="2"/>
  <c r="AN24" i="2"/>
  <c r="AJ24" i="2"/>
  <c r="X24" i="2"/>
  <c r="P24" i="2"/>
  <c r="BX24" i="2"/>
  <c r="BL24" i="2"/>
  <c r="AB24" i="2"/>
  <c r="T24" i="2"/>
  <c r="L24" i="2"/>
  <c r="H24" i="2"/>
  <c r="AV24" i="2"/>
  <c r="AF24" i="2"/>
  <c r="AR24" i="2"/>
  <c r="BD24" i="2"/>
  <c r="AF33" i="2"/>
  <c r="BI14" i="2"/>
  <c r="BQ14" i="2"/>
  <c r="M14" i="2"/>
  <c r="AC14" i="2"/>
  <c r="BM12" i="2"/>
  <c r="BY13" i="2"/>
  <c r="BX14" i="2"/>
  <c r="BL14" i="2"/>
  <c r="AR14" i="2"/>
  <c r="AB14" i="2"/>
  <c r="T14" i="2"/>
  <c r="L14" i="2"/>
  <c r="BT14" i="2"/>
  <c r="BP14" i="2"/>
  <c r="BH14" i="2"/>
  <c r="AZ14" i="2"/>
  <c r="AN14" i="2"/>
  <c r="AJ14" i="2"/>
  <c r="X14" i="2"/>
  <c r="P14" i="2"/>
  <c r="H14" i="2"/>
  <c r="AV14" i="2"/>
  <c r="BD10" i="2"/>
  <c r="BD18" i="2"/>
  <c r="BX20" i="2"/>
  <c r="BL20" i="2"/>
  <c r="AR20" i="2"/>
  <c r="AB20" i="2"/>
  <c r="T20" i="2"/>
  <c r="L20" i="2"/>
  <c r="BT20" i="2"/>
  <c r="BP20" i="2"/>
  <c r="BH20" i="2"/>
  <c r="AZ20" i="2"/>
  <c r="AV20" i="2"/>
  <c r="AN20" i="2"/>
  <c r="AJ20" i="2"/>
  <c r="X20" i="2"/>
  <c r="P20" i="2"/>
  <c r="H20" i="2"/>
  <c r="BD20" i="2"/>
  <c r="BX25" i="2"/>
  <c r="BL25" i="2"/>
  <c r="AN25" i="2"/>
  <c r="AJ25" i="2"/>
  <c r="X25" i="2"/>
  <c r="P25" i="2"/>
  <c r="BT25" i="2"/>
  <c r="BP25" i="2"/>
  <c r="BH25" i="2"/>
  <c r="AZ25" i="2"/>
  <c r="AV25" i="2"/>
  <c r="AB25" i="2"/>
  <c r="T25" i="2"/>
  <c r="L25" i="2"/>
  <c r="AF25" i="2"/>
  <c r="AR25" i="2"/>
  <c r="H25" i="2"/>
  <c r="BD34" i="2"/>
  <c r="BF10" i="2" l="1"/>
  <c r="AF42" i="2"/>
  <c r="BD42" i="2"/>
  <c r="BV10" i="2"/>
  <c r="BM13" i="2"/>
  <c r="CB42" i="2"/>
  <c r="BP42" i="2"/>
  <c r="AN42" i="2"/>
  <c r="AJ42" i="2"/>
  <c r="AB42" i="2"/>
  <c r="BX42" i="2"/>
  <c r="BH42" i="2"/>
  <c r="AV42" i="2"/>
  <c r="AZ42" i="2"/>
  <c r="BL42" i="2"/>
  <c r="H42" i="2"/>
  <c r="AR42" i="2"/>
  <c r="AW16" i="2"/>
  <c r="BE13" i="2"/>
  <c r="BA13" i="2"/>
  <c r="BT42" i="2"/>
  <c r="I13" i="2"/>
  <c r="BY14" i="2"/>
  <c r="AC15" i="2"/>
  <c r="M15" i="2"/>
  <c r="BQ15" i="2"/>
  <c r="BI15" i="2"/>
  <c r="BU12" i="2"/>
  <c r="BR10" i="2"/>
  <c r="AP10" i="2"/>
  <c r="AL10" i="2"/>
  <c r="Z10" i="2"/>
  <c r="R10" i="2"/>
  <c r="AT10" i="2"/>
  <c r="BZ10" i="2"/>
  <c r="N10" i="2"/>
  <c r="AD10" i="2"/>
  <c r="BJ10" i="2"/>
  <c r="V10" i="2"/>
  <c r="J10" i="2"/>
  <c r="BB10" i="2"/>
  <c r="BN10" i="2"/>
  <c r="AX10" i="2"/>
  <c r="AO15" i="2"/>
  <c r="AK15" i="2"/>
  <c r="U15" i="2"/>
  <c r="Y15" i="2"/>
  <c r="AH10" i="2"/>
  <c r="AG14" i="2"/>
  <c r="AS14" i="2"/>
  <c r="CB11" i="2"/>
  <c r="Q15" i="2"/>
  <c r="AG15" i="2" l="1"/>
  <c r="BJ11" i="2"/>
  <c r="BR11" i="2"/>
  <c r="N11" i="2"/>
  <c r="AD11" i="2"/>
  <c r="V11" i="2"/>
  <c r="R11" i="2"/>
  <c r="Z11" i="2"/>
  <c r="AL11" i="2"/>
  <c r="AP11" i="2"/>
  <c r="AT11" i="2"/>
  <c r="BZ11" i="2"/>
  <c r="AX11" i="2"/>
  <c r="J11" i="2"/>
  <c r="BF11" i="2"/>
  <c r="BB11" i="2"/>
  <c r="AH11" i="2"/>
  <c r="BN11" i="2"/>
  <c r="CB12" i="2"/>
  <c r="AS15" i="2"/>
  <c r="BU13" i="2"/>
  <c r="I14" i="2"/>
  <c r="BA14" i="2"/>
  <c r="Q16" i="2"/>
  <c r="Y16" i="2"/>
  <c r="U16" i="2"/>
  <c r="AK16" i="2"/>
  <c r="AO16" i="2"/>
  <c r="BV11" i="2"/>
  <c r="BI16" i="2"/>
  <c r="BQ16" i="2"/>
  <c r="M16" i="2"/>
  <c r="AC16" i="2"/>
  <c r="BY15" i="2"/>
  <c r="BE14" i="2"/>
  <c r="AW17" i="2"/>
  <c r="BM14" i="2"/>
  <c r="BV12" i="2" l="1"/>
  <c r="AW18" i="2"/>
  <c r="BE15" i="2"/>
  <c r="BQ17" i="2"/>
  <c r="BI17" i="2"/>
  <c r="AO17" i="2"/>
  <c r="AK17" i="2"/>
  <c r="U17" i="2"/>
  <c r="Y17" i="2"/>
  <c r="Q17" i="2"/>
  <c r="BA15" i="2"/>
  <c r="AS16" i="2"/>
  <c r="AG16" i="2"/>
  <c r="BM15" i="2"/>
  <c r="BY16" i="2"/>
  <c r="AC17" i="2"/>
  <c r="M17" i="2"/>
  <c r="I15" i="2"/>
  <c r="BU14" i="2"/>
  <c r="AX12" i="2"/>
  <c r="CB13" i="2"/>
  <c r="Z12" i="2"/>
  <c r="R12" i="2"/>
  <c r="AP12" i="2"/>
  <c r="AL12" i="2"/>
  <c r="AD12" i="2"/>
  <c r="N12" i="2"/>
  <c r="BR12" i="2"/>
  <c r="BJ12" i="2"/>
  <c r="V12" i="2"/>
  <c r="AT12" i="2"/>
  <c r="AH12" i="2"/>
  <c r="BZ12" i="2"/>
  <c r="BB12" i="2"/>
  <c r="J12" i="2"/>
  <c r="BN12" i="2"/>
  <c r="BF12" i="2"/>
  <c r="BU15" i="2" l="1"/>
  <c r="I16" i="2"/>
  <c r="AG17" i="2"/>
  <c r="BE16" i="2"/>
  <c r="AX13" i="2"/>
  <c r="CB14" i="2"/>
  <c r="R13" i="2"/>
  <c r="Z13" i="2"/>
  <c r="V13" i="2"/>
  <c r="AL13" i="2"/>
  <c r="AP13" i="2"/>
  <c r="BJ13" i="2"/>
  <c r="BR13" i="2"/>
  <c r="N13" i="2"/>
  <c r="AD13" i="2"/>
  <c r="AT13" i="2"/>
  <c r="BZ13" i="2"/>
  <c r="AH13" i="2"/>
  <c r="BB13" i="2"/>
  <c r="BF13" i="2"/>
  <c r="BN13" i="2"/>
  <c r="J13" i="2"/>
  <c r="BV13" i="2"/>
  <c r="M18" i="2"/>
  <c r="AC18" i="2"/>
  <c r="BY17" i="2"/>
  <c r="BM16" i="2"/>
  <c r="AS17" i="2"/>
  <c r="BA16" i="2"/>
  <c r="Q18" i="2"/>
  <c r="Y18" i="2"/>
  <c r="U18" i="2"/>
  <c r="AK18" i="2"/>
  <c r="AO18" i="2"/>
  <c r="BI18" i="2"/>
  <c r="BQ18" i="2"/>
  <c r="AW19" i="2"/>
  <c r="U19" i="2" l="1"/>
  <c r="BA17" i="2"/>
  <c r="AC19" i="2"/>
  <c r="M19" i="2"/>
  <c r="BE17" i="2"/>
  <c r="AG18" i="2"/>
  <c r="I17" i="2"/>
  <c r="BU16" i="2"/>
  <c r="AW20" i="2"/>
  <c r="BQ19" i="2"/>
  <c r="BI19" i="2"/>
  <c r="AO19" i="2"/>
  <c r="AK19" i="2"/>
  <c r="Y19" i="2"/>
  <c r="Q19" i="2"/>
  <c r="AS18" i="2"/>
  <c r="BM17" i="2"/>
  <c r="BY18" i="2"/>
  <c r="CB15" i="2"/>
  <c r="AX14" i="2"/>
  <c r="AD14" i="2"/>
  <c r="N14" i="2"/>
  <c r="BR14" i="2"/>
  <c r="BJ14" i="2"/>
  <c r="AP14" i="2"/>
  <c r="AL14" i="2"/>
  <c r="V14" i="2"/>
  <c r="Z14" i="2"/>
  <c r="R14" i="2"/>
  <c r="AH14" i="2"/>
  <c r="AT14" i="2"/>
  <c r="BZ14" i="2"/>
  <c r="BF14" i="2"/>
  <c r="J14" i="2"/>
  <c r="BB14" i="2"/>
  <c r="BN14" i="2"/>
  <c r="BV14" i="2"/>
  <c r="CB16" i="2" l="1"/>
  <c r="AX15" i="2"/>
  <c r="R15" i="2"/>
  <c r="Z15" i="2"/>
  <c r="V15" i="2"/>
  <c r="AL15" i="2"/>
  <c r="AP15" i="2"/>
  <c r="BJ15" i="2"/>
  <c r="BR15" i="2"/>
  <c r="N15" i="2"/>
  <c r="AD15" i="2"/>
  <c r="AH15" i="2"/>
  <c r="AT15" i="2"/>
  <c r="BZ15" i="2"/>
  <c r="J15" i="2"/>
  <c r="BF15" i="2"/>
  <c r="BB15" i="2"/>
  <c r="BN15" i="2"/>
  <c r="AS19" i="2"/>
  <c r="BU17" i="2"/>
  <c r="I18" i="2"/>
  <c r="AG19" i="2"/>
  <c r="BE18" i="2"/>
  <c r="BA18" i="2"/>
  <c r="BY19" i="2"/>
  <c r="BM18" i="2"/>
  <c r="Q20" i="2"/>
  <c r="Y20" i="2"/>
  <c r="AK20" i="2"/>
  <c r="AO20" i="2"/>
  <c r="BI20" i="2"/>
  <c r="BQ20" i="2"/>
  <c r="AW21" i="2"/>
  <c r="BV15" i="2"/>
  <c r="M20" i="2"/>
  <c r="AC20" i="2"/>
  <c r="U20" i="2"/>
  <c r="BV16" i="2" l="1"/>
  <c r="AW22" i="2"/>
  <c r="BQ21" i="2"/>
  <c r="BI21" i="2"/>
  <c r="AO21" i="2"/>
  <c r="AK21" i="2"/>
  <c r="Y21" i="2"/>
  <c r="Q21" i="2"/>
  <c r="BM19" i="2"/>
  <c r="BY20" i="2"/>
  <c r="AS20" i="2"/>
  <c r="CB17" i="2"/>
  <c r="AX16" i="2"/>
  <c r="BR16" i="2"/>
  <c r="BJ16" i="2"/>
  <c r="AP16" i="2"/>
  <c r="AL16" i="2"/>
  <c r="V16" i="2"/>
  <c r="Z16" i="2"/>
  <c r="R16" i="2"/>
  <c r="AD16" i="2"/>
  <c r="N16" i="2"/>
  <c r="AH16" i="2"/>
  <c r="BZ16" i="2"/>
  <c r="AT16" i="2"/>
  <c r="BB16" i="2"/>
  <c r="BF16" i="2"/>
  <c r="J16" i="2"/>
  <c r="BN16" i="2"/>
  <c r="U21" i="2"/>
  <c r="AC21" i="2"/>
  <c r="M21" i="2"/>
  <c r="BA19" i="2"/>
  <c r="BE19" i="2"/>
  <c r="AG20" i="2"/>
  <c r="I19" i="2"/>
  <c r="BU18" i="2"/>
  <c r="BV17" i="2" l="1"/>
  <c r="M22" i="2"/>
  <c r="AC22" i="2"/>
  <c r="U22" i="2"/>
  <c r="CB18" i="2"/>
  <c r="AX17" i="2"/>
  <c r="N17" i="2"/>
  <c r="AD17" i="2"/>
  <c r="V17" i="2"/>
  <c r="AP17" i="2"/>
  <c r="BR17" i="2"/>
  <c r="R17" i="2"/>
  <c r="Z17" i="2"/>
  <c r="AL17" i="2"/>
  <c r="BJ17" i="2"/>
  <c r="AH17" i="2"/>
  <c r="AT17" i="2"/>
  <c r="BZ17" i="2"/>
  <c r="BN17" i="2"/>
  <c r="J17" i="2"/>
  <c r="BF17" i="2"/>
  <c r="BB17" i="2"/>
  <c r="BU19" i="2"/>
  <c r="I20" i="2"/>
  <c r="AG21" i="2"/>
  <c r="BE20" i="2"/>
  <c r="BA20" i="2"/>
  <c r="AS21" i="2"/>
  <c r="BY21" i="2"/>
  <c r="BM20" i="2"/>
  <c r="Q22" i="2"/>
  <c r="Y22" i="2"/>
  <c r="AK22" i="2"/>
  <c r="AO22" i="2"/>
  <c r="BI22" i="2"/>
  <c r="BQ22" i="2"/>
  <c r="AW23" i="2"/>
  <c r="BV18" i="2" l="1"/>
  <c r="AW24" i="2"/>
  <c r="BQ23" i="2"/>
  <c r="BI23" i="2"/>
  <c r="AO23" i="2"/>
  <c r="AK23" i="2"/>
  <c r="Y23" i="2"/>
  <c r="Q23" i="2"/>
  <c r="BM21" i="2"/>
  <c r="BY22" i="2"/>
  <c r="AS22" i="2"/>
  <c r="CB19" i="2"/>
  <c r="AX18" i="2"/>
  <c r="V18" i="2"/>
  <c r="AD18" i="2"/>
  <c r="N18" i="2"/>
  <c r="BR18" i="2"/>
  <c r="BJ18" i="2"/>
  <c r="AP18" i="2"/>
  <c r="AL18" i="2"/>
  <c r="Z18" i="2"/>
  <c r="R18" i="2"/>
  <c r="AT18" i="2"/>
  <c r="BZ18" i="2"/>
  <c r="AH18" i="2"/>
  <c r="BN18" i="2"/>
  <c r="BB18" i="2"/>
  <c r="BF18" i="2"/>
  <c r="J18" i="2"/>
  <c r="BA21" i="2"/>
  <c r="BE21" i="2"/>
  <c r="AG22" i="2"/>
  <c r="I21" i="2"/>
  <c r="BU20" i="2"/>
  <c r="U23" i="2"/>
  <c r="AC23" i="2"/>
  <c r="M23" i="2"/>
  <c r="BV19" i="2" l="1"/>
  <c r="CB20" i="2"/>
  <c r="AX19" i="2"/>
  <c r="R19" i="2"/>
  <c r="Z19" i="2"/>
  <c r="AL19" i="2"/>
  <c r="AP19" i="2"/>
  <c r="BJ19" i="2"/>
  <c r="BR19" i="2"/>
  <c r="AD19" i="2"/>
  <c r="N19" i="2"/>
  <c r="V19" i="2"/>
  <c r="BZ19" i="2"/>
  <c r="AT19" i="2"/>
  <c r="AH19" i="2"/>
  <c r="BN19" i="2"/>
  <c r="J19" i="2"/>
  <c r="BF19" i="2"/>
  <c r="BB19" i="2"/>
  <c r="AW25" i="2"/>
  <c r="M24" i="2"/>
  <c r="AC24" i="2"/>
  <c r="U24" i="2"/>
  <c r="BV20" i="2"/>
  <c r="BU21" i="2"/>
  <c r="I22" i="2"/>
  <c r="AG23" i="2"/>
  <c r="BE22" i="2"/>
  <c r="BA22" i="2"/>
  <c r="AS23" i="2"/>
  <c r="BY23" i="2"/>
  <c r="BM22" i="2"/>
  <c r="Q24" i="2"/>
  <c r="Y24" i="2"/>
  <c r="AK24" i="2"/>
  <c r="AO24" i="2"/>
  <c r="BI24" i="2"/>
  <c r="BQ24" i="2"/>
  <c r="BQ25" i="2" l="1"/>
  <c r="AO25" i="2"/>
  <c r="Y25" i="2"/>
  <c r="Q25" i="2"/>
  <c r="BM23" i="2"/>
  <c r="U25" i="2"/>
  <c r="AC25" i="2"/>
  <c r="AW26" i="2"/>
  <c r="CB21" i="2"/>
  <c r="AX20" i="2"/>
  <c r="V20" i="2"/>
  <c r="AD20" i="2"/>
  <c r="N20" i="2"/>
  <c r="BR20" i="2"/>
  <c r="BJ20" i="2"/>
  <c r="AP20" i="2"/>
  <c r="AL20" i="2"/>
  <c r="Z20" i="2"/>
  <c r="R20" i="2"/>
  <c r="AT20" i="2"/>
  <c r="BZ20" i="2"/>
  <c r="AH20" i="2"/>
  <c r="BN20" i="2"/>
  <c r="BB20" i="2"/>
  <c r="BF20" i="2"/>
  <c r="J20" i="2"/>
  <c r="BI25" i="2"/>
  <c r="AK25" i="2"/>
  <c r="BY24" i="2"/>
  <c r="AS24" i="2"/>
  <c r="BA23" i="2"/>
  <c r="BE23" i="2"/>
  <c r="AG24" i="2"/>
  <c r="I23" i="2"/>
  <c r="BU22" i="2"/>
  <c r="M25" i="2"/>
  <c r="BV21" i="2" l="1"/>
  <c r="BY25" i="2"/>
  <c r="BI26" i="2"/>
  <c r="CB22" i="2"/>
  <c r="AX21" i="2"/>
  <c r="R21" i="2"/>
  <c r="Z21" i="2"/>
  <c r="AL21" i="2"/>
  <c r="AP21" i="2"/>
  <c r="BJ21" i="2"/>
  <c r="BR21" i="2"/>
  <c r="N21" i="2"/>
  <c r="AD21" i="2"/>
  <c r="V21" i="2"/>
  <c r="BZ21" i="2"/>
  <c r="AT21" i="2"/>
  <c r="AH21" i="2"/>
  <c r="BN21" i="2"/>
  <c r="J21" i="2"/>
  <c r="BF21" i="2"/>
  <c r="BB21" i="2"/>
  <c r="BM24" i="2"/>
  <c r="Q26" i="2"/>
  <c r="Y26" i="2"/>
  <c r="AO26" i="2"/>
  <c r="M26" i="2"/>
  <c r="BU23" i="2"/>
  <c r="I24" i="2"/>
  <c r="AG25" i="2"/>
  <c r="BE24" i="2"/>
  <c r="BA24" i="2"/>
  <c r="AS25" i="2"/>
  <c r="AK26" i="2"/>
  <c r="AW27" i="2"/>
  <c r="AC26" i="2"/>
  <c r="U26" i="2"/>
  <c r="BQ26" i="2"/>
  <c r="BV22" i="2" l="1"/>
  <c r="BQ27" i="2"/>
  <c r="U27" i="2"/>
  <c r="AC27" i="2"/>
  <c r="AW28" i="2"/>
  <c r="I25" i="2"/>
  <c r="BM25" i="2"/>
  <c r="CB23" i="2"/>
  <c r="AX22" i="2"/>
  <c r="BR22" i="2"/>
  <c r="BJ22" i="2"/>
  <c r="AP22" i="2"/>
  <c r="AL22" i="2"/>
  <c r="Z22" i="2"/>
  <c r="R22" i="2"/>
  <c r="V22" i="2"/>
  <c r="AD22" i="2"/>
  <c r="N22" i="2"/>
  <c r="AH22" i="2"/>
  <c r="AT22" i="2"/>
  <c r="BZ22" i="2"/>
  <c r="BN22" i="2"/>
  <c r="BB22" i="2"/>
  <c r="BF22" i="2"/>
  <c r="J22" i="2"/>
  <c r="AK27" i="2"/>
  <c r="AS26" i="2"/>
  <c r="BA25" i="2"/>
  <c r="BE25" i="2"/>
  <c r="AG26" i="2"/>
  <c r="BU24" i="2"/>
  <c r="M27" i="2"/>
  <c r="AO27" i="2"/>
  <c r="Y27" i="2"/>
  <c r="Q27" i="2"/>
  <c r="BI27" i="2"/>
  <c r="BY26" i="2"/>
  <c r="BV23" i="2" l="1"/>
  <c r="BY27" i="2"/>
  <c r="BI28" i="2"/>
  <c r="Q28" i="2"/>
  <c r="Y28" i="2"/>
  <c r="AS27" i="2"/>
  <c r="CB24" i="2"/>
  <c r="AX23" i="2"/>
  <c r="AD23" i="2"/>
  <c r="V23" i="2"/>
  <c r="R23" i="2"/>
  <c r="Z23" i="2"/>
  <c r="AL23" i="2"/>
  <c r="AP23" i="2"/>
  <c r="BJ23" i="2"/>
  <c r="BR23" i="2"/>
  <c r="N23" i="2"/>
  <c r="BZ23" i="2"/>
  <c r="AT23" i="2"/>
  <c r="AH23" i="2"/>
  <c r="BN23" i="2"/>
  <c r="J23" i="2"/>
  <c r="BF23" i="2"/>
  <c r="BB23" i="2"/>
  <c r="I26" i="2"/>
  <c r="AO28" i="2"/>
  <c r="M28" i="2"/>
  <c r="BU25" i="2"/>
  <c r="AG27" i="2"/>
  <c r="BE26" i="2"/>
  <c r="BA26" i="2"/>
  <c r="AK28" i="2"/>
  <c r="BM26" i="2"/>
  <c r="AW29" i="2"/>
  <c r="AC28" i="2"/>
  <c r="U28" i="2"/>
  <c r="BQ28" i="2"/>
  <c r="BV24" i="2" l="1"/>
  <c r="BQ29" i="2"/>
  <c r="AW30" i="2"/>
  <c r="BM27" i="2"/>
  <c r="I27" i="2"/>
  <c r="CB25" i="2"/>
  <c r="AX24" i="2"/>
  <c r="AP24" i="2"/>
  <c r="Z24" i="2"/>
  <c r="R24" i="2"/>
  <c r="BJ24" i="2"/>
  <c r="BR24" i="2"/>
  <c r="V24" i="2"/>
  <c r="AD24" i="2"/>
  <c r="AL24" i="2"/>
  <c r="N24" i="2"/>
  <c r="BZ24" i="2"/>
  <c r="AH24" i="2"/>
  <c r="AT24" i="2"/>
  <c r="J24" i="2"/>
  <c r="BN24" i="2"/>
  <c r="BB24" i="2"/>
  <c r="BF24" i="2"/>
  <c r="AS28" i="2"/>
  <c r="U29" i="2"/>
  <c r="AC29" i="2"/>
  <c r="AK29" i="2"/>
  <c r="BA27" i="2"/>
  <c r="BE27" i="2"/>
  <c r="AG28" i="2"/>
  <c r="BU26" i="2"/>
  <c r="M29" i="2"/>
  <c r="AO29" i="2"/>
  <c r="Y29" i="2"/>
  <c r="Q29" i="2"/>
  <c r="BI29" i="2"/>
  <c r="BY28" i="2"/>
  <c r="BV25" i="2" l="1"/>
  <c r="BI30" i="2"/>
  <c r="Q30" i="2"/>
  <c r="Y30" i="2"/>
  <c r="CB26" i="2"/>
  <c r="AX25" i="2"/>
  <c r="AD25" i="2"/>
  <c r="V25" i="2"/>
  <c r="BR25" i="2"/>
  <c r="BJ25" i="2"/>
  <c r="R25" i="2"/>
  <c r="Z25" i="2"/>
  <c r="AP25" i="2"/>
  <c r="N25" i="2"/>
  <c r="AL25" i="2"/>
  <c r="AT25" i="2"/>
  <c r="BZ25" i="2"/>
  <c r="AH25" i="2"/>
  <c r="J25" i="2"/>
  <c r="BN25" i="2"/>
  <c r="BF25" i="2"/>
  <c r="BB25" i="2"/>
  <c r="AW31" i="2"/>
  <c r="BY29" i="2"/>
  <c r="AO30" i="2"/>
  <c r="M30" i="2"/>
  <c r="BU27" i="2"/>
  <c r="AG29" i="2"/>
  <c r="BE28" i="2"/>
  <c r="BA28" i="2"/>
  <c r="AK30" i="2"/>
  <c r="AC30" i="2"/>
  <c r="U30" i="2"/>
  <c r="AS29" i="2"/>
  <c r="I28" i="2"/>
  <c r="BM28" i="2"/>
  <c r="BQ30" i="2"/>
  <c r="BV26" i="2" l="1"/>
  <c r="I29" i="2"/>
  <c r="AW32" i="2"/>
  <c r="CB27" i="2"/>
  <c r="AX26" i="2"/>
  <c r="Z26" i="2"/>
  <c r="R26" i="2"/>
  <c r="BJ26" i="2"/>
  <c r="BR26" i="2"/>
  <c r="V26" i="2"/>
  <c r="AD26" i="2"/>
  <c r="AL26" i="2"/>
  <c r="N26" i="2"/>
  <c r="AP26" i="2"/>
  <c r="AT26" i="2"/>
  <c r="BZ26" i="2"/>
  <c r="AH26" i="2"/>
  <c r="BN26" i="2"/>
  <c r="J26" i="2"/>
  <c r="BB26" i="2"/>
  <c r="BF26" i="2"/>
  <c r="BI31" i="2"/>
  <c r="AS30" i="2"/>
  <c r="BY30" i="2"/>
  <c r="BQ31" i="2"/>
  <c r="BM29" i="2"/>
  <c r="U31" i="2"/>
  <c r="AC31" i="2"/>
  <c r="AK31" i="2"/>
  <c r="BA29" i="2"/>
  <c r="BE29" i="2"/>
  <c r="AG30" i="2"/>
  <c r="BU28" i="2"/>
  <c r="M31" i="2"/>
  <c r="AO31" i="2"/>
  <c r="Y31" i="2"/>
  <c r="Q31" i="2"/>
  <c r="BV27" i="2" l="1"/>
  <c r="Y32" i="2"/>
  <c r="AO32" i="2"/>
  <c r="AK32" i="2"/>
  <c r="U32" i="2"/>
  <c r="BM30" i="2"/>
  <c r="BQ32" i="2"/>
  <c r="BY31" i="2"/>
  <c r="AS31" i="2"/>
  <c r="BI32" i="2"/>
  <c r="CB28" i="2"/>
  <c r="AX27" i="2"/>
  <c r="BR27" i="2"/>
  <c r="BJ27" i="2"/>
  <c r="R27" i="2"/>
  <c r="Z27" i="2"/>
  <c r="AP27" i="2"/>
  <c r="N27" i="2"/>
  <c r="AL27" i="2"/>
  <c r="AD27" i="2"/>
  <c r="V27" i="2"/>
  <c r="AT27" i="2"/>
  <c r="AH27" i="2"/>
  <c r="BZ27" i="2"/>
  <c r="J27" i="2"/>
  <c r="BB27" i="2"/>
  <c r="BN27" i="2"/>
  <c r="BF27" i="2"/>
  <c r="Q32" i="2"/>
  <c r="M32" i="2"/>
  <c r="BU29" i="2"/>
  <c r="AG31" i="2"/>
  <c r="BE30" i="2"/>
  <c r="BA30" i="2"/>
  <c r="AC32" i="2"/>
  <c r="AW33" i="2"/>
  <c r="I30" i="2"/>
  <c r="BV28" i="2" l="1"/>
  <c r="I31" i="2"/>
  <c r="AW34" i="2"/>
  <c r="AC33" i="2"/>
  <c r="Q33" i="2"/>
  <c r="CB29" i="2"/>
  <c r="AX28" i="2"/>
  <c r="Z28" i="2"/>
  <c r="R28" i="2"/>
  <c r="BJ28" i="2"/>
  <c r="BR28" i="2"/>
  <c r="V28" i="2"/>
  <c r="AD28" i="2"/>
  <c r="AL28" i="2"/>
  <c r="N28" i="2"/>
  <c r="AP28" i="2"/>
  <c r="BZ28" i="2"/>
  <c r="AT28" i="2"/>
  <c r="AH28" i="2"/>
  <c r="BN28" i="2"/>
  <c r="J28" i="2"/>
  <c r="BB28" i="2"/>
  <c r="BF28" i="2"/>
  <c r="BA31" i="2"/>
  <c r="BE31" i="2"/>
  <c r="AG32" i="2"/>
  <c r="BU30" i="2"/>
  <c r="M33" i="2"/>
  <c r="BI33" i="2"/>
  <c r="AS32" i="2"/>
  <c r="BY32" i="2"/>
  <c r="BQ33" i="2"/>
  <c r="BM31" i="2"/>
  <c r="U33" i="2"/>
  <c r="AK33" i="2"/>
  <c r="AO33" i="2"/>
  <c r="Y33" i="2"/>
  <c r="BV29" i="2" l="1"/>
  <c r="Y34" i="2"/>
  <c r="AO34" i="2"/>
  <c r="AK34" i="2"/>
  <c r="U34" i="2"/>
  <c r="BM32" i="2"/>
  <c r="BQ34" i="2"/>
  <c r="BY33" i="2"/>
  <c r="AS33" i="2"/>
  <c r="BI34" i="2"/>
  <c r="BE32" i="2"/>
  <c r="CB30" i="2"/>
  <c r="AX29" i="2"/>
  <c r="BJ29" i="2"/>
  <c r="AP29" i="2"/>
  <c r="AL29" i="2"/>
  <c r="AD29" i="2"/>
  <c r="V29" i="2"/>
  <c r="BR29" i="2"/>
  <c r="R29" i="2"/>
  <c r="Z29" i="2"/>
  <c r="N29" i="2"/>
  <c r="AT29" i="2"/>
  <c r="BZ29" i="2"/>
  <c r="AH29" i="2"/>
  <c r="J29" i="2"/>
  <c r="BN29" i="2"/>
  <c r="BF29" i="2"/>
  <c r="BB29" i="2"/>
  <c r="I32" i="2"/>
  <c r="M34" i="2"/>
  <c r="BU31" i="2"/>
  <c r="AG33" i="2"/>
  <c r="BA32" i="2"/>
  <c r="Q34" i="2"/>
  <c r="AC34" i="2"/>
  <c r="AW35" i="2"/>
  <c r="BV30" i="2" l="1"/>
  <c r="AW36" i="2"/>
  <c r="AC35" i="2"/>
  <c r="Q35" i="2"/>
  <c r="I33" i="2"/>
  <c r="CB31" i="2"/>
  <c r="AX30" i="2"/>
  <c r="BJ30" i="2"/>
  <c r="BR30" i="2"/>
  <c r="V30" i="2"/>
  <c r="AL30" i="2"/>
  <c r="AP30" i="2"/>
  <c r="Z30" i="2"/>
  <c r="R30" i="2"/>
  <c r="AD30" i="2"/>
  <c r="N30" i="2"/>
  <c r="BZ30" i="2"/>
  <c r="AT30" i="2"/>
  <c r="AH30" i="2"/>
  <c r="J30" i="2"/>
  <c r="BF30" i="2"/>
  <c r="BN30" i="2"/>
  <c r="BB30" i="2"/>
  <c r="BE33" i="2"/>
  <c r="BA33" i="2"/>
  <c r="AG34" i="2"/>
  <c r="BU32" i="2"/>
  <c r="M35" i="2"/>
  <c r="BI35" i="2"/>
  <c r="AS34" i="2"/>
  <c r="BY34" i="2"/>
  <c r="BQ35" i="2"/>
  <c r="BM33" i="2"/>
  <c r="U35" i="2"/>
  <c r="AK35" i="2"/>
  <c r="AO35" i="2"/>
  <c r="Y35" i="2"/>
  <c r="BV31" i="2" l="1"/>
  <c r="AO36" i="2"/>
  <c r="AK36" i="2"/>
  <c r="U36" i="2"/>
  <c r="BM34" i="2"/>
  <c r="BQ36" i="2"/>
  <c r="BY35" i="2"/>
  <c r="AS35" i="2"/>
  <c r="BI36" i="2"/>
  <c r="CB32" i="2"/>
  <c r="AX31" i="2"/>
  <c r="R31" i="2"/>
  <c r="AD31" i="2"/>
  <c r="Z31" i="2"/>
  <c r="AP31" i="2"/>
  <c r="AL31" i="2"/>
  <c r="V31" i="2"/>
  <c r="BR31" i="2"/>
  <c r="BJ31" i="2"/>
  <c r="N31" i="2"/>
  <c r="AT31" i="2"/>
  <c r="BZ31" i="2"/>
  <c r="AH31" i="2"/>
  <c r="BF31" i="2"/>
  <c r="J31" i="2"/>
  <c r="BN31" i="2"/>
  <c r="BB31" i="2"/>
  <c r="AW37" i="2"/>
  <c r="Y36" i="2"/>
  <c r="M36" i="2"/>
  <c r="BU33" i="2"/>
  <c r="AG35" i="2"/>
  <c r="BA34" i="2"/>
  <c r="BE34" i="2"/>
  <c r="I34" i="2"/>
  <c r="Q36" i="2"/>
  <c r="AC36" i="2"/>
  <c r="BV32" i="2" l="1"/>
  <c r="I35" i="2"/>
  <c r="BA35" i="2"/>
  <c r="M37" i="2"/>
  <c r="AW38" i="2"/>
  <c r="CB33" i="2"/>
  <c r="AX32" i="2"/>
  <c r="BJ32" i="2"/>
  <c r="BR32" i="2"/>
  <c r="V32" i="2"/>
  <c r="AL32" i="2"/>
  <c r="AP32" i="2"/>
  <c r="Z32" i="2"/>
  <c r="AD32" i="2"/>
  <c r="R32" i="2"/>
  <c r="N32" i="2"/>
  <c r="BZ32" i="2"/>
  <c r="AT32" i="2"/>
  <c r="AH32" i="2"/>
  <c r="BN32" i="2"/>
  <c r="J32" i="2"/>
  <c r="BF32" i="2"/>
  <c r="BB32" i="2"/>
  <c r="AK37" i="2"/>
  <c r="AO37" i="2"/>
  <c r="AC37" i="2"/>
  <c r="Q37" i="2"/>
  <c r="BE35" i="2"/>
  <c r="AG36" i="2"/>
  <c r="BU34" i="2"/>
  <c r="Y37" i="2"/>
  <c r="BI37" i="2"/>
  <c r="AS36" i="2"/>
  <c r="BY36" i="2"/>
  <c r="BQ37" i="2"/>
  <c r="BM35" i="2"/>
  <c r="U37" i="2"/>
  <c r="BV33" i="2" l="1"/>
  <c r="BM36" i="2"/>
  <c r="BY37" i="2"/>
  <c r="BI38" i="2"/>
  <c r="Y38" i="2"/>
  <c r="Q38" i="2"/>
  <c r="AC38" i="2"/>
  <c r="AO38" i="2"/>
  <c r="AK38" i="2"/>
  <c r="CB34" i="2"/>
  <c r="AX33" i="2"/>
  <c r="R33" i="2"/>
  <c r="AD33" i="2"/>
  <c r="Z33" i="2"/>
  <c r="AP33" i="2"/>
  <c r="AL33" i="2"/>
  <c r="V33" i="2"/>
  <c r="BR33" i="2"/>
  <c r="BJ33" i="2"/>
  <c r="N33" i="2"/>
  <c r="AT33" i="2"/>
  <c r="BZ33" i="2"/>
  <c r="AH33" i="2"/>
  <c r="BB33" i="2"/>
  <c r="J33" i="2"/>
  <c r="BN33" i="2"/>
  <c r="BF33" i="2"/>
  <c r="BA36" i="2"/>
  <c r="U38" i="2"/>
  <c r="BQ38" i="2"/>
  <c r="AS37" i="2"/>
  <c r="BU35" i="2"/>
  <c r="AG37" i="2"/>
  <c r="BE36" i="2"/>
  <c r="AW39" i="2"/>
  <c r="M38" i="2"/>
  <c r="I36" i="2"/>
  <c r="BV34" i="2" l="1"/>
  <c r="I37" i="2"/>
  <c r="M39" i="2"/>
  <c r="AW40" i="2"/>
  <c r="AS38" i="2"/>
  <c r="BQ39" i="2"/>
  <c r="U39" i="2"/>
  <c r="BA37" i="2"/>
  <c r="CB35" i="2"/>
  <c r="AX34" i="2"/>
  <c r="BJ34" i="2"/>
  <c r="BR34" i="2"/>
  <c r="V34" i="2"/>
  <c r="AL34" i="2"/>
  <c r="AP34" i="2"/>
  <c r="Z34" i="2"/>
  <c r="AD34" i="2"/>
  <c r="R34" i="2"/>
  <c r="N34" i="2"/>
  <c r="BZ34" i="2"/>
  <c r="AT34" i="2"/>
  <c r="AH34" i="2"/>
  <c r="BB34" i="2"/>
  <c r="BN34" i="2"/>
  <c r="J34" i="2"/>
  <c r="BF34" i="2"/>
  <c r="BE37" i="2"/>
  <c r="AG38" i="2"/>
  <c r="BU36" i="2"/>
  <c r="AK39" i="2"/>
  <c r="AO39" i="2"/>
  <c r="AC39" i="2"/>
  <c r="Q39" i="2"/>
  <c r="Y39" i="2"/>
  <c r="BI39" i="2"/>
  <c r="BY38" i="2"/>
  <c r="BM37" i="2"/>
  <c r="BV35" i="2" l="1"/>
  <c r="BM38" i="2"/>
  <c r="Y40" i="2"/>
  <c r="Q40" i="2"/>
  <c r="AC40" i="2"/>
  <c r="AO40" i="2"/>
  <c r="AK40" i="2"/>
  <c r="CB36" i="2"/>
  <c r="AX35" i="2"/>
  <c r="AP35" i="2"/>
  <c r="AL35" i="2"/>
  <c r="N35" i="2"/>
  <c r="AD35" i="2"/>
  <c r="V35" i="2"/>
  <c r="BR35" i="2"/>
  <c r="BJ35" i="2"/>
  <c r="Z35" i="2"/>
  <c r="R35" i="2"/>
  <c r="AT35" i="2"/>
  <c r="BZ35" i="2"/>
  <c r="AH35" i="2"/>
  <c r="BB35" i="2"/>
  <c r="J35" i="2"/>
  <c r="BN35" i="2"/>
  <c r="BF35" i="2"/>
  <c r="BY39" i="2"/>
  <c r="BI40" i="2"/>
  <c r="BU37" i="2"/>
  <c r="AG39" i="2"/>
  <c r="BE38" i="2"/>
  <c r="BA38" i="2"/>
  <c r="U40" i="2"/>
  <c r="BQ40" i="2"/>
  <c r="AS39" i="2"/>
  <c r="M40" i="2"/>
  <c r="I38" i="2"/>
  <c r="BV36" i="2" l="1"/>
  <c r="AS40" i="2"/>
  <c r="BE39" i="2"/>
  <c r="BU38" i="2"/>
  <c r="CB37" i="2"/>
  <c r="AX36" i="2"/>
  <c r="AL36" i="2"/>
  <c r="AP36" i="2"/>
  <c r="AD36" i="2"/>
  <c r="R36" i="2"/>
  <c r="Z36" i="2"/>
  <c r="BJ36" i="2"/>
  <c r="BR36" i="2"/>
  <c r="V36" i="2"/>
  <c r="N36" i="2"/>
  <c r="AT36" i="2"/>
  <c r="BZ36" i="2"/>
  <c r="AH36" i="2"/>
  <c r="BN36" i="2"/>
  <c r="J36" i="2"/>
  <c r="BB36" i="2"/>
  <c r="BF36" i="2"/>
  <c r="I39" i="2"/>
  <c r="BA39" i="2"/>
  <c r="AG40" i="2"/>
  <c r="BY40" i="2"/>
  <c r="BM39" i="2"/>
  <c r="BM40" i="2" l="1"/>
  <c r="CB38" i="2"/>
  <c r="AX37" i="2"/>
  <c r="V37" i="2"/>
  <c r="BR37" i="2"/>
  <c r="N37" i="2"/>
  <c r="BJ37" i="2"/>
  <c r="Z37" i="2"/>
  <c r="R37" i="2"/>
  <c r="AD37" i="2"/>
  <c r="AP37" i="2"/>
  <c r="AL37" i="2"/>
  <c r="BZ37" i="2"/>
  <c r="AT37" i="2"/>
  <c r="AH37" i="2"/>
  <c r="BF37" i="2"/>
  <c r="BN37" i="2"/>
  <c r="BB37" i="2"/>
  <c r="J37" i="2"/>
  <c r="BU39" i="2"/>
  <c r="BE40" i="2"/>
  <c r="BA40" i="2"/>
  <c r="I40" i="2"/>
  <c r="BV37" i="2"/>
  <c r="BV38" i="2" l="1"/>
  <c r="BU40" i="2"/>
  <c r="CB39" i="2"/>
  <c r="AX38" i="2"/>
  <c r="AL38" i="2"/>
  <c r="AP38" i="2"/>
  <c r="AD38" i="2"/>
  <c r="R38" i="2"/>
  <c r="Z38" i="2"/>
  <c r="N38" i="2"/>
  <c r="BR38" i="2"/>
  <c r="V38" i="2"/>
  <c r="BJ38" i="2"/>
  <c r="BZ38" i="2"/>
  <c r="AH38" i="2"/>
  <c r="AT38" i="2"/>
  <c r="BF38" i="2"/>
  <c r="BN38" i="2"/>
  <c r="J38" i="2"/>
  <c r="BB38" i="2"/>
  <c r="CB40" i="2" l="1"/>
  <c r="AX39" i="2"/>
  <c r="Z39" i="2"/>
  <c r="AL39" i="2"/>
  <c r="R39" i="2"/>
  <c r="AD39" i="2"/>
  <c r="AP39" i="2"/>
  <c r="BJ39" i="2"/>
  <c r="V39" i="2"/>
  <c r="BR39" i="2"/>
  <c r="N39" i="2"/>
  <c r="BZ39" i="2"/>
  <c r="AT39" i="2"/>
  <c r="AH39" i="2"/>
  <c r="BB39" i="2"/>
  <c r="BN39" i="2"/>
  <c r="BF39" i="2"/>
  <c r="J39" i="2"/>
  <c r="BV39" i="2"/>
  <c r="BV40" i="2" l="1"/>
  <c r="AX40" i="2"/>
  <c r="BR40" i="2"/>
  <c r="R40" i="2"/>
  <c r="N40" i="2"/>
  <c r="AL40" i="2"/>
  <c r="Z40" i="2"/>
  <c r="V40" i="2"/>
  <c r="BJ40" i="2"/>
  <c r="AP40" i="2"/>
  <c r="AD40" i="2"/>
  <c r="BZ40" i="2"/>
  <c r="AH40" i="2"/>
  <c r="AT40" i="2"/>
  <c r="BB40" i="2"/>
  <c r="J40" i="2"/>
  <c r="BF40" i="2"/>
  <c r="BN40" i="2"/>
  <c r="C43" i="11" l="1"/>
  <c r="C43" i="12" l="1"/>
  <c r="G42" i="13" l="1"/>
  <c r="I37" i="13" s="1"/>
  <c r="F42" i="13"/>
  <c r="C43" i="13"/>
  <c r="F42" i="16" l="1"/>
  <c r="G42" i="16"/>
  <c r="I37" i="16" s="1"/>
  <c r="C43" i="16"/>
  <c r="C43" i="17" l="1"/>
  <c r="C43" i="26" l="1"/>
  <c r="C43" i="25" l="1"/>
  <c r="C43" i="31" l="1"/>
  <c r="AI154" i="46" l="1"/>
  <c r="AH154" i="46"/>
  <c r="AG154" i="46"/>
  <c r="C51" i="24" l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E40" i="1" l="1"/>
  <c r="D39" i="48" l="1"/>
  <c r="G42" i="4"/>
  <c r="I37" i="4" s="1"/>
  <c r="F42" i="4"/>
  <c r="D38" i="48" s="1"/>
  <c r="E35" i="48"/>
  <c r="D35" i="48"/>
  <c r="D37" i="48"/>
  <c r="G42" i="6"/>
  <c r="I37" i="6" s="1"/>
  <c r="F42" i="6"/>
  <c r="D36" i="48" s="1"/>
  <c r="D34" i="48"/>
  <c r="G42" i="9"/>
  <c r="I37" i="9" s="1"/>
  <c r="F42" i="9"/>
  <c r="D33" i="48" s="1"/>
  <c r="G42" i="10"/>
  <c r="I37" i="10" s="1"/>
  <c r="F42" i="10"/>
  <c r="D32" i="48" s="1"/>
  <c r="G42" i="11"/>
  <c r="I37" i="11" s="1"/>
  <c r="D31" i="48"/>
  <c r="D29" i="48"/>
  <c r="G42" i="12"/>
  <c r="I37" i="12" s="1"/>
  <c r="F42" i="12"/>
  <c r="D30" i="48" s="1"/>
  <c r="D12" i="48"/>
  <c r="E12" i="48"/>
  <c r="D13" i="48"/>
  <c r="D17" i="48"/>
  <c r="E17" i="48"/>
  <c r="D25" i="48"/>
  <c r="E25" i="48"/>
  <c r="D28" i="48"/>
  <c r="D27" i="48"/>
  <c r="D26" i="48"/>
  <c r="G42" i="18"/>
  <c r="I37" i="18" s="1"/>
  <c r="F42" i="18"/>
  <c r="D24" i="48" s="1"/>
  <c r="D23" i="48"/>
  <c r="D22" i="48"/>
  <c r="D21" i="48"/>
  <c r="H8" i="45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L8" i="45"/>
  <c r="L9" i="45" s="1"/>
  <c r="L10" i="45" s="1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P8" i="45"/>
  <c r="P9" i="45" s="1"/>
  <c r="P10" i="45" s="1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T8" i="45"/>
  <c r="T9" i="45" s="1"/>
  <c r="T10" i="45" s="1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X8" i="45"/>
  <c r="X9" i="45" s="1"/>
  <c r="X10" i="45" s="1"/>
  <c r="X11" i="45" s="1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D20" i="48"/>
  <c r="I43" i="43"/>
  <c r="I44" i="43" s="1"/>
  <c r="I43" i="4"/>
  <c r="I44" i="4" s="1"/>
  <c r="I43" i="37"/>
  <c r="I44" i="37" s="1"/>
  <c r="I43" i="6"/>
  <c r="I44" i="6" s="1"/>
  <c r="I43" i="7"/>
  <c r="I44" i="7" s="1"/>
  <c r="I43" i="8"/>
  <c r="I44" i="8" s="1"/>
  <c r="I43" i="9"/>
  <c r="I44" i="9" s="1"/>
  <c r="I43" i="10"/>
  <c r="I44" i="10" s="1"/>
  <c r="I43" i="11"/>
  <c r="I44" i="11" s="1"/>
  <c r="I43" i="12"/>
  <c r="I44" i="12" s="1"/>
  <c r="I43" i="13"/>
  <c r="I44" i="13" s="1"/>
  <c r="I43" i="14"/>
  <c r="I43" i="15"/>
  <c r="I44" i="15" s="1"/>
  <c r="I43" i="16"/>
  <c r="I44" i="16" s="1"/>
  <c r="I43" i="17"/>
  <c r="I44" i="17" s="1"/>
  <c r="I43" i="18"/>
  <c r="I44" i="18" s="1"/>
  <c r="I43" i="19"/>
  <c r="I44" i="19" s="1"/>
  <c r="I43" i="20"/>
  <c r="I44" i="20" s="1"/>
  <c r="I43" i="22"/>
  <c r="I44" i="22" s="1"/>
  <c r="I43" i="21"/>
  <c r="I43" i="23"/>
  <c r="I44" i="23" s="1"/>
  <c r="I43" i="24"/>
  <c r="I44" i="24" s="1"/>
  <c r="I43" i="25"/>
  <c r="I44" i="25" s="1"/>
  <c r="I43" i="26"/>
  <c r="I44" i="26" s="1"/>
  <c r="I43" i="28"/>
  <c r="I44" i="28" s="1"/>
  <c r="I43" i="27"/>
  <c r="I44" i="27" s="1"/>
  <c r="I43" i="29"/>
  <c r="I44" i="29" s="1"/>
  <c r="I44" i="30"/>
  <c r="I43" i="30"/>
  <c r="I43" i="31"/>
  <c r="I44" i="31" s="1"/>
  <c r="I50" i="31"/>
  <c r="I43" i="32"/>
  <c r="I44" i="32" s="1"/>
  <c r="I43" i="33"/>
  <c r="J43" i="33" s="1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39" i="1"/>
  <c r="C40" i="2" s="1"/>
  <c r="C9" i="1"/>
  <c r="C10" i="2" s="1"/>
  <c r="B10" i="1"/>
  <c r="B11" i="1"/>
  <c r="B12" i="2" s="1"/>
  <c r="B12" i="1"/>
  <c r="B13" i="1"/>
  <c r="B14" i="2" s="1"/>
  <c r="B14" i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1"/>
  <c r="B24" i="2" s="1"/>
  <c r="B24" i="1"/>
  <c r="B25" i="1"/>
  <c r="B26" i="1"/>
  <c r="B27" i="1"/>
  <c r="B28" i="2" s="1"/>
  <c r="B28" i="1"/>
  <c r="B29" i="1"/>
  <c r="B30" i="2" s="1"/>
  <c r="B30" i="1"/>
  <c r="B31" i="1"/>
  <c r="B32" i="2" s="1"/>
  <c r="B32" i="1"/>
  <c r="B33" i="1"/>
  <c r="B34" i="2" s="1"/>
  <c r="B34" i="1"/>
  <c r="B35" i="1"/>
  <c r="B36" i="2" s="1"/>
  <c r="B36" i="1"/>
  <c r="B37" i="1"/>
  <c r="B38" i="2" s="1"/>
  <c r="B38" i="1"/>
  <c r="B39" i="1"/>
  <c r="B40" i="2" s="1"/>
  <c r="B9" i="1"/>
  <c r="D39" i="1"/>
  <c r="D40" i="2" s="1"/>
  <c r="D38" i="1"/>
  <c r="D39" i="2" s="1"/>
  <c r="D37" i="1"/>
  <c r="D38" i="2" s="1"/>
  <c r="D36" i="1"/>
  <c r="D37" i="2" s="1"/>
  <c r="D35" i="1"/>
  <c r="D36" i="2" s="1"/>
  <c r="D34" i="1"/>
  <c r="D35" i="2" s="1"/>
  <c r="D33" i="1"/>
  <c r="D34" i="2" s="1"/>
  <c r="D32" i="1"/>
  <c r="D33" i="2" s="1"/>
  <c r="D31" i="1"/>
  <c r="D32" i="2" s="1"/>
  <c r="D30" i="1"/>
  <c r="D31" i="2" s="1"/>
  <c r="D28" i="1"/>
  <c r="D29" i="2" s="1"/>
  <c r="D26" i="1"/>
  <c r="D27" i="2" s="1"/>
  <c r="D25" i="1"/>
  <c r="D26" i="2" s="1"/>
  <c r="G24" i="48"/>
  <c r="D23" i="1"/>
  <c r="D24" i="2" s="1"/>
  <c r="D22" i="1"/>
  <c r="D23" i="2" s="1"/>
  <c r="D18" i="1"/>
  <c r="D19" i="2" s="1"/>
  <c r="D16" i="1"/>
  <c r="D17" i="2" s="1"/>
  <c r="V15" i="48"/>
  <c r="V14" i="48"/>
  <c r="V11" i="48"/>
  <c r="D10" i="1"/>
  <c r="D11" i="2" s="1"/>
  <c r="U9" i="48"/>
  <c r="U10" i="48" s="1"/>
  <c r="U11" i="48" s="1"/>
  <c r="U12" i="48" s="1"/>
  <c r="U13" i="48" s="1"/>
  <c r="U14" i="48" s="1"/>
  <c r="U15" i="48" s="1"/>
  <c r="U16" i="48" s="1"/>
  <c r="U17" i="48" s="1"/>
  <c r="U18" i="48" s="1"/>
  <c r="U19" i="48" s="1"/>
  <c r="U20" i="48" s="1"/>
  <c r="U21" i="48" s="1"/>
  <c r="U22" i="48" s="1"/>
  <c r="U23" i="48" s="1"/>
  <c r="U24" i="48" s="1"/>
  <c r="U25" i="48" s="1"/>
  <c r="U26" i="48" s="1"/>
  <c r="U27" i="48" s="1"/>
  <c r="U28" i="48" s="1"/>
  <c r="U29" i="48" s="1"/>
  <c r="U30" i="48" s="1"/>
  <c r="U31" i="48" s="1"/>
  <c r="U32" i="48" s="1"/>
  <c r="U33" i="48" s="1"/>
  <c r="U34" i="48" s="1"/>
  <c r="U35" i="48" s="1"/>
  <c r="U36" i="48" s="1"/>
  <c r="U37" i="48" s="1"/>
  <c r="U38" i="48" s="1"/>
  <c r="U39" i="48" s="1"/>
  <c r="A10" i="48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D19" i="48"/>
  <c r="G42" i="24"/>
  <c r="I37" i="24" s="1"/>
  <c r="F42" i="24"/>
  <c r="D18" i="48" s="1"/>
  <c r="D16" i="48"/>
  <c r="G42" i="28"/>
  <c r="I37" i="28" s="1"/>
  <c r="D15" i="48"/>
  <c r="D14" i="48"/>
  <c r="E13" i="48"/>
  <c r="D11" i="48"/>
  <c r="L34" i="26"/>
  <c r="K34" i="26"/>
  <c r="W42" i="58" s="1"/>
  <c r="X42" i="58" s="1"/>
  <c r="D10" i="48"/>
  <c r="D9" i="48"/>
  <c r="AY21" i="45"/>
  <c r="AX21" i="45"/>
  <c r="AY20" i="45"/>
  <c r="AX20" i="45"/>
  <c r="AY18" i="45"/>
  <c r="AX18" i="45"/>
  <c r="AY17" i="45"/>
  <c r="AX17" i="45"/>
  <c r="AY15" i="45"/>
  <c r="AX15" i="45"/>
  <c r="AY14" i="45"/>
  <c r="AX14" i="45"/>
  <c r="AY13" i="45"/>
  <c r="AX13" i="45"/>
  <c r="AY12" i="45"/>
  <c r="AX12" i="45"/>
  <c r="AY11" i="45"/>
  <c r="AX11" i="45"/>
  <c r="AY10" i="45"/>
  <c r="AX10" i="45"/>
  <c r="AD8" i="46"/>
  <c r="AN8" i="45"/>
  <c r="AN9" i="45" s="1"/>
  <c r="AN10" i="45" s="1"/>
  <c r="AN11" i="45" s="1"/>
  <c r="AN12" i="45" s="1"/>
  <c r="AN13" i="45" s="1"/>
  <c r="AN14" i="45" s="1"/>
  <c r="AN15" i="45" s="1"/>
  <c r="AN16" i="45" s="1"/>
  <c r="AN17" i="45" s="1"/>
  <c r="AN18" i="45" s="1"/>
  <c r="AN19" i="45" s="1"/>
  <c r="AN20" i="45" s="1"/>
  <c r="AN21" i="45" s="1"/>
  <c r="AJ8" i="45"/>
  <c r="AJ9" i="45" s="1"/>
  <c r="AJ10" i="45" s="1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F8" i="45"/>
  <c r="AF9" i="45" s="1"/>
  <c r="AF10" i="45" s="1"/>
  <c r="AF11" i="45" s="1"/>
  <c r="AF12" i="45" s="1"/>
  <c r="AF13" i="45" s="1"/>
  <c r="AF14" i="45" s="1"/>
  <c r="AF15" i="45" s="1"/>
  <c r="AF16" i="45" s="1"/>
  <c r="AF17" i="45" s="1"/>
  <c r="AF18" i="45" s="1"/>
  <c r="AF19" i="45" s="1"/>
  <c r="AF20" i="45" s="1"/>
  <c r="AF21" i="45" s="1"/>
  <c r="AB8" i="45"/>
  <c r="AB9" i="45" s="1"/>
  <c r="AB10" i="45" s="1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I40" i="45"/>
  <c r="H4" i="43"/>
  <c r="K34" i="43"/>
  <c r="L34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C14" i="4"/>
  <c r="D14" i="4"/>
  <c r="E14" i="4"/>
  <c r="F14" i="4"/>
  <c r="C23" i="4"/>
  <c r="D23" i="4"/>
  <c r="E23" i="4"/>
  <c r="F23" i="4"/>
  <c r="C32" i="4"/>
  <c r="D32" i="4"/>
  <c r="E32" i="4"/>
  <c r="F32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K34" i="6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L34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H4" i="8"/>
  <c r="K34" i="8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4" i="11"/>
  <c r="C45" i="11"/>
  <c r="C46" i="11"/>
  <c r="C47" i="11"/>
  <c r="C48" i="11"/>
  <c r="C49" i="11"/>
  <c r="C50" i="11"/>
  <c r="I50" i="11"/>
  <c r="C51" i="11"/>
  <c r="H4" i="12"/>
  <c r="L34" i="12"/>
  <c r="C38" i="12"/>
  <c r="C39" i="12"/>
  <c r="C40" i="12"/>
  <c r="C41" i="12"/>
  <c r="C42" i="12"/>
  <c r="C44" i="12"/>
  <c r="C45" i="12"/>
  <c r="C46" i="12"/>
  <c r="C47" i="12"/>
  <c r="C48" i="12"/>
  <c r="C49" i="12"/>
  <c r="C50" i="12"/>
  <c r="C51" i="12"/>
  <c r="H4" i="13"/>
  <c r="K34" i="13"/>
  <c r="W103" i="58" s="1"/>
  <c r="X103" i="58" s="1"/>
  <c r="L34" i="13"/>
  <c r="C38" i="13"/>
  <c r="C39" i="13"/>
  <c r="C40" i="13"/>
  <c r="C41" i="13"/>
  <c r="C42" i="13"/>
  <c r="C44" i="13"/>
  <c r="C45" i="13"/>
  <c r="C46" i="13"/>
  <c r="C47" i="13"/>
  <c r="C48" i="13"/>
  <c r="C49" i="13"/>
  <c r="C50" i="13"/>
  <c r="I50" i="13"/>
  <c r="C51" i="13"/>
  <c r="H4" i="14"/>
  <c r="L34" i="14"/>
  <c r="C38" i="14"/>
  <c r="C39" i="14"/>
  <c r="C40" i="14"/>
  <c r="C41" i="14"/>
  <c r="C42" i="14"/>
  <c r="C43" i="14"/>
  <c r="C44" i="14"/>
  <c r="I44" i="14"/>
  <c r="C45" i="14"/>
  <c r="C46" i="14"/>
  <c r="C47" i="14"/>
  <c r="C48" i="14"/>
  <c r="C49" i="14"/>
  <c r="C50" i="14"/>
  <c r="I50" i="14"/>
  <c r="C51" i="14"/>
  <c r="H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I50" i="15"/>
  <c r="C51" i="15"/>
  <c r="H4" i="16"/>
  <c r="L34" i="16"/>
  <c r="C38" i="16"/>
  <c r="C39" i="16"/>
  <c r="C40" i="16"/>
  <c r="C41" i="16"/>
  <c r="C42" i="16"/>
  <c r="C44" i="16"/>
  <c r="C45" i="16"/>
  <c r="C46" i="16"/>
  <c r="C47" i="16"/>
  <c r="C48" i="16"/>
  <c r="C49" i="16"/>
  <c r="C50" i="16"/>
  <c r="I50" i="16"/>
  <c r="C51" i="16"/>
  <c r="H4" i="17"/>
  <c r="L34" i="17"/>
  <c r="C38" i="17"/>
  <c r="C39" i="17"/>
  <c r="C40" i="17"/>
  <c r="C41" i="17"/>
  <c r="C42" i="17"/>
  <c r="C44" i="17"/>
  <c r="C45" i="17"/>
  <c r="C46" i="17"/>
  <c r="C47" i="17"/>
  <c r="C48" i="17"/>
  <c r="C49" i="17"/>
  <c r="C50" i="17"/>
  <c r="I50" i="17"/>
  <c r="C51" i="17"/>
  <c r="H4" i="18"/>
  <c r="L34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I50" i="18"/>
  <c r="C51" i="18"/>
  <c r="H4" i="19"/>
  <c r="L34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I50" i="19"/>
  <c r="C51" i="19"/>
  <c r="H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I50" i="20"/>
  <c r="C51" i="20"/>
  <c r="H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I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L34" i="21"/>
  <c r="C38" i="21"/>
  <c r="C39" i="21"/>
  <c r="C40" i="21"/>
  <c r="C41" i="21"/>
  <c r="C42" i="21"/>
  <c r="C43" i="21"/>
  <c r="C44" i="21"/>
  <c r="I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H4" i="25"/>
  <c r="K34" i="25"/>
  <c r="W48" i="58" s="1"/>
  <c r="X48" i="58" s="1"/>
  <c r="L34" i="25"/>
  <c r="C38" i="25"/>
  <c r="C39" i="25"/>
  <c r="C40" i="25"/>
  <c r="C41" i="25"/>
  <c r="C42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4" i="26"/>
  <c r="C45" i="26"/>
  <c r="C46" i="26"/>
  <c r="C47" i="26"/>
  <c r="C48" i="26"/>
  <c r="C49" i="26"/>
  <c r="C50" i="26"/>
  <c r="I50" i="26"/>
  <c r="C51" i="26"/>
  <c r="H4" i="28"/>
  <c r="L34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I50" i="28"/>
  <c r="C51" i="28"/>
  <c r="H4" i="27"/>
  <c r="L34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H4" i="29"/>
  <c r="L34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H4" i="30"/>
  <c r="L34" i="30"/>
  <c r="C38" i="30"/>
  <c r="C39" i="30"/>
  <c r="C40" i="30"/>
  <c r="C41" i="30"/>
  <c r="C42" i="30"/>
  <c r="C43" i="30"/>
  <c r="C44" i="30"/>
  <c r="C46" i="30"/>
  <c r="C47" i="30"/>
  <c r="C48" i="30"/>
  <c r="C49" i="30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C50" i="31"/>
  <c r="C51" i="31"/>
  <c r="H4" i="32"/>
  <c r="J7" i="31"/>
  <c r="J7" i="30" s="1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8" i="29"/>
  <c r="J8" i="27" s="1"/>
  <c r="J10" i="32"/>
  <c r="J10" i="31" s="1"/>
  <c r="J10" i="30" s="1"/>
  <c r="J10" i="29" s="1"/>
  <c r="J10" i="27" s="1"/>
  <c r="J10" i="26" s="1"/>
  <c r="J10" i="25" s="1"/>
  <c r="J10" i="24" s="1"/>
  <c r="J10" i="23" s="1"/>
  <c r="J10" i="21" s="1"/>
  <c r="J10" i="22" s="1"/>
  <c r="J10" i="20" s="1"/>
  <c r="J10" i="19" s="1"/>
  <c r="J10" i="18" s="1"/>
  <c r="J10" i="17" s="1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L34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9" i="33"/>
  <c r="M9" i="32" s="1"/>
  <c r="M9" i="31" s="1"/>
  <c r="M9" i="30" s="1"/>
  <c r="M10" i="33"/>
  <c r="M10" i="32" s="1"/>
  <c r="M10" i="31" s="1"/>
  <c r="M10" i="30" s="1"/>
  <c r="M10" i="29" s="1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1" i="33"/>
  <c r="M11" i="32" s="1"/>
  <c r="M11" i="31" s="1"/>
  <c r="M12" i="33"/>
  <c r="M12" i="32" s="1"/>
  <c r="M12" i="31" s="1"/>
  <c r="M12" i="30" s="1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7" i="33"/>
  <c r="M17" i="32" s="1"/>
  <c r="M17" i="31" s="1"/>
  <c r="M17" i="30" s="1"/>
  <c r="M17" i="29" s="1"/>
  <c r="M17" i="27" s="1"/>
  <c r="M17" i="28" s="1"/>
  <c r="M17" i="26" s="1"/>
  <c r="M17" i="25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6" i="33"/>
  <c r="M26" i="32" s="1"/>
  <c r="M26" i="31" s="1"/>
  <c r="M26" i="30" s="1"/>
  <c r="M26" i="29" s="1"/>
  <c r="M26" i="27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F34" i="33" s="1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C38" i="33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C43" i="33"/>
  <c r="D43" i="33" s="1"/>
  <c r="E43" i="33" s="1"/>
  <c r="C44" i="33"/>
  <c r="D44" i="33" s="1"/>
  <c r="E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J49" i="32" s="1"/>
  <c r="C50" i="33"/>
  <c r="D50" i="33" s="1"/>
  <c r="E50" i="33" s="1"/>
  <c r="I50" i="33"/>
  <c r="C51" i="33"/>
  <c r="D51" i="33" s="1"/>
  <c r="E51" i="33" s="1"/>
  <c r="AD7" i="46"/>
  <c r="AA152" i="46"/>
  <c r="AC152" i="46"/>
  <c r="AA153" i="46"/>
  <c r="AC153" i="46"/>
  <c r="Q154" i="46"/>
  <c r="Q155" i="46" s="1"/>
  <c r="R154" i="46"/>
  <c r="Y154" i="46"/>
  <c r="Y156" i="46" s="1"/>
  <c r="AJ154" i="46"/>
  <c r="AK154" i="46"/>
  <c r="AO154" i="46"/>
  <c r="AP154" i="46"/>
  <c r="AS154" i="46"/>
  <c r="M40" i="45"/>
  <c r="Q40" i="45"/>
  <c r="U40" i="45"/>
  <c r="Y40" i="45"/>
  <c r="AC40" i="45"/>
  <c r="AG40" i="45"/>
  <c r="AK40" i="45"/>
  <c r="AO40" i="45"/>
  <c r="I50" i="29"/>
  <c r="I50" i="27"/>
  <c r="AN154" i="46"/>
  <c r="AF154" i="46"/>
  <c r="I50" i="30"/>
  <c r="I50" i="12"/>
  <c r="I50" i="25"/>
  <c r="I50" i="24"/>
  <c r="I50" i="23"/>
  <c r="I50" i="21"/>
  <c r="I50" i="8"/>
  <c r="I50" i="37"/>
  <c r="I50" i="43"/>
  <c r="I50" i="10"/>
  <c r="I50" i="9"/>
  <c r="I50" i="7"/>
  <c r="A10" i="1"/>
  <c r="V12" i="48"/>
  <c r="V13" i="48"/>
  <c r="Q9" i="48"/>
  <c r="T41" i="48"/>
  <c r="V9" i="48"/>
  <c r="V25" i="48"/>
  <c r="V17" i="48"/>
  <c r="V19" i="48"/>
  <c r="V21" i="48"/>
  <c r="H21" i="48"/>
  <c r="B24" i="45"/>
  <c r="N24" i="45" s="1"/>
  <c r="V27" i="48"/>
  <c r="V28" i="48"/>
  <c r="B27" i="45"/>
  <c r="AL27" i="45" s="1"/>
  <c r="B28" i="45"/>
  <c r="AP28" i="45" s="1"/>
  <c r="G19" i="48"/>
  <c r="G25" i="48"/>
  <c r="V33" i="48"/>
  <c r="B32" i="45"/>
  <c r="AH32" i="45" s="1"/>
  <c r="H17" i="48"/>
  <c r="H22" i="48"/>
  <c r="V34" i="48"/>
  <c r="B33" i="45"/>
  <c r="G33" i="48"/>
  <c r="V35" i="48"/>
  <c r="B34" i="45"/>
  <c r="R34" i="45" s="1"/>
  <c r="V37" i="48"/>
  <c r="B36" i="45"/>
  <c r="R36" i="45" s="1"/>
  <c r="V36" i="48"/>
  <c r="B35" i="45"/>
  <c r="Z35" i="45" s="1"/>
  <c r="G36" i="48"/>
  <c r="G37" i="48"/>
  <c r="G17" i="48"/>
  <c r="G27" i="48"/>
  <c r="E28" i="48"/>
  <c r="E23" i="48"/>
  <c r="G20" i="48"/>
  <c r="V20" i="48"/>
  <c r="H27" i="48"/>
  <c r="H13" i="48"/>
  <c r="H36" i="48"/>
  <c r="W103" i="46" l="1"/>
  <c r="AA48" i="58"/>
  <c r="AB48" i="58" s="1"/>
  <c r="AA42" i="58"/>
  <c r="AB42" i="58" s="1"/>
  <c r="W48" i="46"/>
  <c r="W42" i="46"/>
  <c r="M26" i="28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F23" i="48"/>
  <c r="BC156" i="46"/>
  <c r="BD156" i="46"/>
  <c r="BB156" i="46"/>
  <c r="BE156" i="46"/>
  <c r="BF156" i="46"/>
  <c r="D38" i="33"/>
  <c r="E38" i="33" s="1"/>
  <c r="V31" i="33"/>
  <c r="W31" i="33" s="1"/>
  <c r="E36" i="48"/>
  <c r="F36" i="48" s="1"/>
  <c r="J26" i="31"/>
  <c r="J26" i="30" s="1"/>
  <c r="J26" i="29" s="1"/>
  <c r="J26" i="27" s="1"/>
  <c r="J18" i="31"/>
  <c r="J18" i="30" s="1"/>
  <c r="J18" i="29" s="1"/>
  <c r="J18" i="27" s="1"/>
  <c r="J18" i="28" s="1"/>
  <c r="J25" i="31"/>
  <c r="J25" i="30" s="1"/>
  <c r="J25" i="29" s="1"/>
  <c r="J25" i="27" s="1"/>
  <c r="J25" i="28" s="1"/>
  <c r="J25" i="26" s="1"/>
  <c r="J17" i="31"/>
  <c r="J17" i="30" s="1"/>
  <c r="J17" i="29" s="1"/>
  <c r="J17" i="27" s="1"/>
  <c r="J17" i="28" s="1"/>
  <c r="J32" i="31"/>
  <c r="J32" i="30" s="1"/>
  <c r="J32" i="29" s="1"/>
  <c r="J32" i="27" s="1"/>
  <c r="J32" i="28" s="1"/>
  <c r="J32" i="26" s="1"/>
  <c r="J24" i="31"/>
  <c r="J24" i="30" s="1"/>
  <c r="J24" i="29" s="1"/>
  <c r="J24" i="27" s="1"/>
  <c r="J24" i="28" s="1"/>
  <c r="J24" i="26" s="1"/>
  <c r="J16" i="31"/>
  <c r="J16" i="30" s="1"/>
  <c r="J16" i="29" s="1"/>
  <c r="J16" i="27" s="1"/>
  <c r="J16" i="28" s="1"/>
  <c r="J16" i="26" s="1"/>
  <c r="J16" i="25" s="1"/>
  <c r="J16" i="24" s="1"/>
  <c r="J16" i="23" s="1"/>
  <c r="J31" i="31"/>
  <c r="J31" i="30" s="1"/>
  <c r="J31" i="29" s="1"/>
  <c r="J31" i="27" s="1"/>
  <c r="J31" i="28" s="1"/>
  <c r="J31" i="26" s="1"/>
  <c r="J23" i="31"/>
  <c r="J23" i="30" s="1"/>
  <c r="J23" i="29" s="1"/>
  <c r="J23" i="27" s="1"/>
  <c r="J23" i="28" s="1"/>
  <c r="J23" i="26" s="1"/>
  <c r="J23" i="25" s="1"/>
  <c r="J23" i="24" s="1"/>
  <c r="J15" i="31"/>
  <c r="J15" i="30" s="1"/>
  <c r="J15" i="29" s="1"/>
  <c r="J15" i="27" s="1"/>
  <c r="J30" i="31"/>
  <c r="J30" i="30" s="1"/>
  <c r="J30" i="29" s="1"/>
  <c r="J30" i="27" s="1"/>
  <c r="J30" i="28" s="1"/>
  <c r="J30" i="26" s="1"/>
  <c r="J22" i="31"/>
  <c r="J22" i="30" s="1"/>
  <c r="J22" i="29" s="1"/>
  <c r="J22" i="27" s="1"/>
  <c r="J22" i="28" s="1"/>
  <c r="J22" i="26" s="1"/>
  <c r="J14" i="31"/>
  <c r="J14" i="30" s="1"/>
  <c r="J14" i="29" s="1"/>
  <c r="J14" i="27" s="1"/>
  <c r="J29" i="31"/>
  <c r="J29" i="30" s="1"/>
  <c r="J29" i="29" s="1"/>
  <c r="J29" i="27" s="1"/>
  <c r="J29" i="28" s="1"/>
  <c r="J29" i="26" s="1"/>
  <c r="J21" i="31"/>
  <c r="J21" i="30" s="1"/>
  <c r="J21" i="29" s="1"/>
  <c r="J21" i="27" s="1"/>
  <c r="J21" i="28" s="1"/>
  <c r="J13" i="31"/>
  <c r="J13" i="30" s="1"/>
  <c r="J13" i="29" s="1"/>
  <c r="J13" i="27" s="1"/>
  <c r="J28" i="31"/>
  <c r="J28" i="30" s="1"/>
  <c r="J28" i="29" s="1"/>
  <c r="J28" i="27" s="1"/>
  <c r="J28" i="28" s="1"/>
  <c r="J28" i="26" s="1"/>
  <c r="J20" i="31"/>
  <c r="J20" i="30" s="1"/>
  <c r="J20" i="29" s="1"/>
  <c r="J20" i="27" s="1"/>
  <c r="J20" i="28" s="1"/>
  <c r="J12" i="31"/>
  <c r="J12" i="30" s="1"/>
  <c r="J12" i="29" s="1"/>
  <c r="J12" i="27" s="1"/>
  <c r="J12" i="26" s="1"/>
  <c r="J12" i="25" s="1"/>
  <c r="J12" i="24" s="1"/>
  <c r="J12" i="23" s="1"/>
  <c r="J12" i="21" s="1"/>
  <c r="J12" i="22" s="1"/>
  <c r="J12" i="20" s="1"/>
  <c r="J12" i="19" s="1"/>
  <c r="J12" i="18" s="1"/>
  <c r="J12" i="17" s="1"/>
  <c r="J27" i="31"/>
  <c r="J27" i="30" s="1"/>
  <c r="J27" i="29" s="1"/>
  <c r="J27" i="27" s="1"/>
  <c r="J27" i="28" s="1"/>
  <c r="J27" i="26" s="1"/>
  <c r="J19" i="31"/>
  <c r="J19" i="30" s="1"/>
  <c r="J19" i="29" s="1"/>
  <c r="J19" i="27" s="1"/>
  <c r="J19" i="28" s="1"/>
  <c r="J11" i="31"/>
  <c r="J11" i="30" s="1"/>
  <c r="J11" i="29" s="1"/>
  <c r="J11" i="27" s="1"/>
  <c r="J11" i="26" s="1"/>
  <c r="J11" i="25" s="1"/>
  <c r="J11" i="24" s="1"/>
  <c r="J11" i="23" s="1"/>
  <c r="J11" i="21" s="1"/>
  <c r="J11" i="22" s="1"/>
  <c r="J11" i="20" s="1"/>
  <c r="J11" i="19" s="1"/>
  <c r="J11" i="18" s="1"/>
  <c r="J11" i="17" s="1"/>
  <c r="E30" i="48"/>
  <c r="F30" i="48" s="1"/>
  <c r="F25" i="48"/>
  <c r="J32" i="9"/>
  <c r="J32" i="8" s="1"/>
  <c r="J32" i="7" s="1"/>
  <c r="J32" i="6" s="1"/>
  <c r="J32" i="37" s="1"/>
  <c r="J32" i="4" s="1"/>
  <c r="J32" i="43" s="1"/>
  <c r="AR154" i="46"/>
  <c r="BA154" i="46"/>
  <c r="R156" i="46" s="1"/>
  <c r="F17" i="48"/>
  <c r="I40" i="43"/>
  <c r="R39" i="48" s="1"/>
  <c r="F34" i="59" s="1"/>
  <c r="E15" i="48"/>
  <c r="F15" i="48" s="1"/>
  <c r="P22" i="45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K34" i="19"/>
  <c r="W77" i="58" s="1"/>
  <c r="X77" i="58" s="1"/>
  <c r="L22" i="45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AB22" i="45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H22" i="45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AF22" i="45"/>
  <c r="AF23" i="45" s="1"/>
  <c r="AF24" i="45" s="1"/>
  <c r="AF25" i="45" s="1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F37" i="45" s="1"/>
  <c r="AF38" i="45" s="1"/>
  <c r="AJ22" i="45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J37" i="45" s="1"/>
  <c r="AJ38" i="45" s="1"/>
  <c r="AN22" i="45"/>
  <c r="AN23" i="45" s="1"/>
  <c r="AN24" i="45" s="1"/>
  <c r="AN25" i="45" s="1"/>
  <c r="AN26" i="45" s="1"/>
  <c r="AN27" i="45" s="1"/>
  <c r="AN28" i="45" s="1"/>
  <c r="AN29" i="45" s="1"/>
  <c r="AN30" i="45" s="1"/>
  <c r="AN31" i="45" s="1"/>
  <c r="AN32" i="45" s="1"/>
  <c r="AN33" i="45" s="1"/>
  <c r="AN34" i="45" s="1"/>
  <c r="AN35" i="45" s="1"/>
  <c r="AN36" i="45" s="1"/>
  <c r="AN37" i="45" s="1"/>
  <c r="AN38" i="45" s="1"/>
  <c r="X22" i="45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X38" i="45" s="1"/>
  <c r="T22" i="45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F34" i="4"/>
  <c r="D24" i="4"/>
  <c r="K34" i="10"/>
  <c r="V24" i="48"/>
  <c r="J8" i="28"/>
  <c r="J8" i="26" s="1"/>
  <c r="J8" i="25" s="1"/>
  <c r="J8" i="24" s="1"/>
  <c r="J8" i="23" s="1"/>
  <c r="J8" i="21" s="1"/>
  <c r="J8" i="22" s="1"/>
  <c r="J8" i="20" s="1"/>
  <c r="K34" i="28"/>
  <c r="I40" i="28" s="1"/>
  <c r="R15" i="48" s="1"/>
  <c r="F10" i="59" s="1"/>
  <c r="K34" i="14"/>
  <c r="I40" i="8"/>
  <c r="V22" i="48"/>
  <c r="B21" i="45"/>
  <c r="AD21" i="45" s="1"/>
  <c r="B37" i="45"/>
  <c r="AL37" i="45" s="1"/>
  <c r="V30" i="48"/>
  <c r="C24" i="4"/>
  <c r="G22" i="48"/>
  <c r="G30" i="48"/>
  <c r="F13" i="48"/>
  <c r="K34" i="7"/>
  <c r="W129" i="58" s="1"/>
  <c r="X129" i="58" s="1"/>
  <c r="E15" i="4"/>
  <c r="H32" i="48"/>
  <c r="G32" i="48"/>
  <c r="E27" i="48"/>
  <c r="F27" i="48" s="1"/>
  <c r="B31" i="45"/>
  <c r="V31" i="45" s="1"/>
  <c r="V32" i="48"/>
  <c r="D34" i="4"/>
  <c r="C33" i="33"/>
  <c r="D15" i="4"/>
  <c r="C52" i="14"/>
  <c r="C53" i="14" s="1"/>
  <c r="AY19" i="45"/>
  <c r="B29" i="45"/>
  <c r="J29" i="45" s="1"/>
  <c r="K34" i="20"/>
  <c r="W72" i="58" s="1"/>
  <c r="X72" i="58" s="1"/>
  <c r="H38" i="48"/>
  <c r="V38" i="48"/>
  <c r="H30" i="48"/>
  <c r="J57" i="23"/>
  <c r="C52" i="6"/>
  <c r="C53" i="6" s="1"/>
  <c r="C33" i="4"/>
  <c r="AX19" i="45"/>
  <c r="C52" i="37"/>
  <c r="C53" i="37" s="1"/>
  <c r="C52" i="4"/>
  <c r="C53" i="4" s="1"/>
  <c r="C34" i="4"/>
  <c r="K13" i="4" s="1"/>
  <c r="K34" i="4" s="1"/>
  <c r="C52" i="43"/>
  <c r="C53" i="43" s="1"/>
  <c r="C52" i="16"/>
  <c r="C53" i="16" s="1"/>
  <c r="C52" i="13"/>
  <c r="C53" i="13" s="1"/>
  <c r="C52" i="25"/>
  <c r="C53" i="25" s="1"/>
  <c r="K34" i="21"/>
  <c r="C52" i="22"/>
  <c r="C53" i="22" s="1"/>
  <c r="V28" i="45"/>
  <c r="N35" i="45"/>
  <c r="B30" i="45"/>
  <c r="J30" i="45" s="1"/>
  <c r="E33" i="33"/>
  <c r="V31" i="48"/>
  <c r="J50" i="32"/>
  <c r="H39" i="48"/>
  <c r="E33" i="4"/>
  <c r="H23" i="48"/>
  <c r="B38" i="45"/>
  <c r="N38" i="45" s="1"/>
  <c r="V39" i="48"/>
  <c r="N34" i="45"/>
  <c r="G15" i="48"/>
  <c r="K34" i="24"/>
  <c r="I40" i="24" s="1"/>
  <c r="R18" i="48" s="1"/>
  <c r="F13" i="59" s="1"/>
  <c r="AY16" i="45"/>
  <c r="AH34" i="45"/>
  <c r="H31" i="48"/>
  <c r="V23" i="48"/>
  <c r="I44" i="33"/>
  <c r="AD154" i="46"/>
  <c r="AP36" i="45"/>
  <c r="E34" i="33"/>
  <c r="J57" i="33" s="1"/>
  <c r="C52" i="18"/>
  <c r="C53" i="18" s="1"/>
  <c r="D33" i="4"/>
  <c r="C52" i="15"/>
  <c r="C53" i="15" s="1"/>
  <c r="I40" i="6"/>
  <c r="J38" i="31"/>
  <c r="J38" i="30" s="1"/>
  <c r="J38" i="29" s="1"/>
  <c r="J38" i="27" s="1"/>
  <c r="J38" i="28" s="1"/>
  <c r="J38" i="26" s="1"/>
  <c r="J38" i="25" s="1"/>
  <c r="J38" i="24" s="1"/>
  <c r="J38" i="23" s="1"/>
  <c r="J38" i="21" s="1"/>
  <c r="J38" i="22" s="1"/>
  <c r="J38" i="20" s="1"/>
  <c r="J38" i="19" s="1"/>
  <c r="J38" i="18" s="1"/>
  <c r="J38" i="17" s="1"/>
  <c r="J38" i="16" s="1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J38" i="37" s="1"/>
  <c r="J38" i="4" s="1"/>
  <c r="J38" i="43" s="1"/>
  <c r="W9" i="48"/>
  <c r="J43" i="32"/>
  <c r="J43" i="31" s="1"/>
  <c r="J35" i="45"/>
  <c r="R35" i="45"/>
  <c r="AD34" i="45"/>
  <c r="J34" i="45"/>
  <c r="AD32" i="45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26" i="2"/>
  <c r="B10" i="2"/>
  <c r="B11" i="2"/>
  <c r="A11" i="1"/>
  <c r="A12" i="2" s="1"/>
  <c r="A11" i="2"/>
  <c r="C52" i="12"/>
  <c r="C53" i="12" s="1"/>
  <c r="C52" i="9"/>
  <c r="C53" i="9" s="1"/>
  <c r="C52" i="7"/>
  <c r="C53" i="7" s="1"/>
  <c r="C52" i="8"/>
  <c r="C53" i="8" s="1"/>
  <c r="K34" i="9"/>
  <c r="W121" i="58" s="1"/>
  <c r="X121" i="58" s="1"/>
  <c r="N32" i="45"/>
  <c r="C52" i="10"/>
  <c r="C53" i="10" s="1"/>
  <c r="AP35" i="45"/>
  <c r="R33" i="45"/>
  <c r="V32" i="45"/>
  <c r="J32" i="45"/>
  <c r="N27" i="45"/>
  <c r="J27" i="45"/>
  <c r="S154" i="46"/>
  <c r="G39" i="48"/>
  <c r="F28" i="48"/>
  <c r="K34" i="16"/>
  <c r="W91" i="58" s="1"/>
  <c r="X91" i="58" s="1"/>
  <c r="K34" i="17"/>
  <c r="C52" i="17"/>
  <c r="C53" i="17" s="1"/>
  <c r="E24" i="48"/>
  <c r="C52" i="19"/>
  <c r="C53" i="19" s="1"/>
  <c r="C52" i="20"/>
  <c r="C53" i="20" s="1"/>
  <c r="C52" i="21"/>
  <c r="C53" i="21" s="1"/>
  <c r="C52" i="23"/>
  <c r="C53" i="23" s="1"/>
  <c r="I40" i="25"/>
  <c r="R17" i="48" s="1"/>
  <c r="F12" i="59" s="1"/>
  <c r="B17" i="45"/>
  <c r="V18" i="48"/>
  <c r="H18" i="48"/>
  <c r="E18" i="48"/>
  <c r="I40" i="26"/>
  <c r="R16" i="48" s="1"/>
  <c r="F11" i="59" s="1"/>
  <c r="C52" i="28"/>
  <c r="C53" i="28" s="1"/>
  <c r="C52" i="27"/>
  <c r="C53" i="27" s="1"/>
  <c r="AD35" i="45"/>
  <c r="AH35" i="45"/>
  <c r="V35" i="45"/>
  <c r="N36" i="45"/>
  <c r="AD33" i="45"/>
  <c r="R27" i="45"/>
  <c r="AH27" i="45"/>
  <c r="AD27" i="45"/>
  <c r="D34" i="33"/>
  <c r="Z6" i="58" s="1"/>
  <c r="Z154" i="58" s="1"/>
  <c r="I40" i="13"/>
  <c r="R29" i="48" s="1"/>
  <c r="F24" i="59" s="1"/>
  <c r="E14" i="48"/>
  <c r="E19" i="48"/>
  <c r="J50" i="33"/>
  <c r="E32" i="48"/>
  <c r="C52" i="29"/>
  <c r="C53" i="29" s="1"/>
  <c r="G11" i="48"/>
  <c r="C52" i="30"/>
  <c r="C53" i="30" s="1"/>
  <c r="M8" i="33"/>
  <c r="C34" i="33"/>
  <c r="K7" i="33" s="1"/>
  <c r="G10" i="48"/>
  <c r="H24" i="48"/>
  <c r="G12" i="48"/>
  <c r="H20" i="48"/>
  <c r="G34" i="48"/>
  <c r="G29" i="48"/>
  <c r="G14" i="48"/>
  <c r="H15" i="48"/>
  <c r="H14" i="48"/>
  <c r="G21" i="48"/>
  <c r="H28" i="48"/>
  <c r="G23" i="48"/>
  <c r="H19" i="48"/>
  <c r="AM154" i="46"/>
  <c r="G18" i="48"/>
  <c r="H35" i="48"/>
  <c r="H34" i="48"/>
  <c r="R155" i="46"/>
  <c r="J44" i="33"/>
  <c r="C52" i="33"/>
  <c r="C53" i="33" s="1"/>
  <c r="E40" i="33"/>
  <c r="D40" i="32"/>
  <c r="E40" i="32" s="1"/>
  <c r="D50" i="32"/>
  <c r="D50" i="31" s="1"/>
  <c r="D50" i="30" s="1"/>
  <c r="E50" i="30" s="1"/>
  <c r="D48" i="32"/>
  <c r="E48" i="32" s="1"/>
  <c r="D46" i="32"/>
  <c r="E46" i="32" s="1"/>
  <c r="D43" i="32"/>
  <c r="E43" i="32" s="1"/>
  <c r="D41" i="32"/>
  <c r="E41" i="32" s="1"/>
  <c r="D39" i="32"/>
  <c r="AA17" i="58" s="1"/>
  <c r="AB17" i="58" s="1"/>
  <c r="D51" i="32"/>
  <c r="E51" i="32" s="1"/>
  <c r="D49" i="32"/>
  <c r="E49" i="32" s="1"/>
  <c r="D47" i="32"/>
  <c r="E47" i="32" s="1"/>
  <c r="D45" i="32"/>
  <c r="E45" i="32" s="1"/>
  <c r="D44" i="32"/>
  <c r="E44" i="32" s="1"/>
  <c r="D42" i="32"/>
  <c r="E42" i="32" s="1"/>
  <c r="Q10" i="48"/>
  <c r="W10" i="48" s="1"/>
  <c r="V10" i="48"/>
  <c r="C52" i="32"/>
  <c r="C53" i="32" s="1"/>
  <c r="C52" i="31"/>
  <c r="C53" i="31" s="1"/>
  <c r="AL35" i="45"/>
  <c r="Z34" i="45"/>
  <c r="AL34" i="45"/>
  <c r="V34" i="45"/>
  <c r="AP34" i="45"/>
  <c r="V27" i="45"/>
  <c r="AP27" i="45"/>
  <c r="Z27" i="45"/>
  <c r="H10" i="48"/>
  <c r="AP24" i="45"/>
  <c r="D33" i="33"/>
  <c r="E10" i="48"/>
  <c r="D9" i="1"/>
  <c r="D10" i="2" s="1"/>
  <c r="B10" i="45"/>
  <c r="D11" i="1"/>
  <c r="D12" i="2" s="1"/>
  <c r="B12" i="45"/>
  <c r="D13" i="1"/>
  <c r="D14" i="2" s="1"/>
  <c r="B14" i="45"/>
  <c r="D15" i="1"/>
  <c r="D16" i="2" s="1"/>
  <c r="B16" i="45"/>
  <c r="D17" i="1"/>
  <c r="D18" i="2" s="1"/>
  <c r="B18" i="45"/>
  <c r="Z18" i="45" s="1"/>
  <c r="D19" i="1"/>
  <c r="D20" i="2" s="1"/>
  <c r="B20" i="45"/>
  <c r="Z20" i="45" s="1"/>
  <c r="D21" i="1"/>
  <c r="D22" i="2" s="1"/>
  <c r="B26" i="45"/>
  <c r="D27" i="1"/>
  <c r="D28" i="2" s="1"/>
  <c r="V29" i="48"/>
  <c r="D29" i="1"/>
  <c r="D30" i="2" s="1"/>
  <c r="E20" i="48"/>
  <c r="E31" i="48"/>
  <c r="E33" i="48"/>
  <c r="AX16" i="45"/>
  <c r="B11" i="45"/>
  <c r="D12" i="1"/>
  <c r="D13" i="2" s="1"/>
  <c r="B13" i="45"/>
  <c r="D14" i="1"/>
  <c r="D15" i="2" s="1"/>
  <c r="B19" i="45"/>
  <c r="AP19" i="45" s="1"/>
  <c r="D20" i="1"/>
  <c r="D21" i="2" s="1"/>
  <c r="B23" i="45"/>
  <c r="AP23" i="45" s="1"/>
  <c r="D24" i="1"/>
  <c r="D25" i="2" s="1"/>
  <c r="E21" i="48"/>
  <c r="E22" i="48"/>
  <c r="E39" i="48"/>
  <c r="C52" i="26"/>
  <c r="C53" i="26" s="1"/>
  <c r="C52" i="24"/>
  <c r="C53" i="24" s="1"/>
  <c r="C52" i="11"/>
  <c r="C53" i="11" s="1"/>
  <c r="E24" i="4"/>
  <c r="E34" i="4"/>
  <c r="C15" i="4"/>
  <c r="E11" i="48"/>
  <c r="E16" i="48"/>
  <c r="B9" i="45"/>
  <c r="E26" i="48"/>
  <c r="J37" i="33"/>
  <c r="E9" i="48"/>
  <c r="E29" i="48"/>
  <c r="E34" i="48"/>
  <c r="E38" i="48"/>
  <c r="F12" i="48"/>
  <c r="E37" i="48"/>
  <c r="B8" i="45"/>
  <c r="N8" i="45" s="1"/>
  <c r="F35" i="48"/>
  <c r="G38" i="48"/>
  <c r="H33" i="48"/>
  <c r="AH28" i="45"/>
  <c r="J28" i="45"/>
  <c r="Z28" i="45"/>
  <c r="AD28" i="45"/>
  <c r="N28" i="45"/>
  <c r="R28" i="45"/>
  <c r="A7" i="45"/>
  <c r="A9" i="45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B15" i="45"/>
  <c r="V16" i="48"/>
  <c r="P41" i="48"/>
  <c r="H16" i="48"/>
  <c r="G16" i="48"/>
  <c r="B25" i="45"/>
  <c r="H26" i="48"/>
  <c r="G26" i="48"/>
  <c r="AL36" i="45"/>
  <c r="AH36" i="45"/>
  <c r="V36" i="45"/>
  <c r="AD36" i="45"/>
  <c r="Z36" i="45"/>
  <c r="J36" i="45"/>
  <c r="H37" i="48"/>
  <c r="AP33" i="45"/>
  <c r="Z33" i="45"/>
  <c r="V33" i="45"/>
  <c r="AL33" i="45"/>
  <c r="N33" i="45"/>
  <c r="AH33" i="45"/>
  <c r="J33" i="45"/>
  <c r="G28" i="48"/>
  <c r="H11" i="48"/>
  <c r="H12" i="48"/>
  <c r="G31" i="48"/>
  <c r="AH24" i="45"/>
  <c r="J24" i="45"/>
  <c r="Z24" i="45"/>
  <c r="AL24" i="45"/>
  <c r="V24" i="45"/>
  <c r="R24" i="45"/>
  <c r="AD24" i="45"/>
  <c r="J49" i="31"/>
  <c r="AL28" i="45"/>
  <c r="V26" i="48"/>
  <c r="G35" i="48"/>
  <c r="G13" i="48"/>
  <c r="H25" i="48"/>
  <c r="H29" i="48"/>
  <c r="AP32" i="45"/>
  <c r="Z32" i="45"/>
  <c r="AL32" i="45"/>
  <c r="R32" i="45"/>
  <c r="I40" i="4" l="1"/>
  <c r="R38" i="48" s="1"/>
  <c r="F33" i="59" s="1"/>
  <c r="W143" i="58"/>
  <c r="X143" i="58" s="1"/>
  <c r="Z155" i="58"/>
  <c r="W143" i="46"/>
  <c r="I40" i="7"/>
  <c r="I45" i="7" s="1"/>
  <c r="W129" i="46"/>
  <c r="W121" i="46"/>
  <c r="I45" i="43"/>
  <c r="J39" i="48"/>
  <c r="B34" i="59" s="1"/>
  <c r="I51" i="43"/>
  <c r="D38" i="32"/>
  <c r="E38" i="32" s="1"/>
  <c r="AA103" i="58"/>
  <c r="AB103" i="58" s="1"/>
  <c r="AA103" i="46"/>
  <c r="AB103" i="46" s="1"/>
  <c r="X103" i="46"/>
  <c r="W91" i="46"/>
  <c r="I40" i="19"/>
  <c r="R23" i="48" s="1"/>
  <c r="F18" i="59" s="1"/>
  <c r="W77" i="46"/>
  <c r="W72" i="46"/>
  <c r="D52" i="33"/>
  <c r="D53" i="33" s="1"/>
  <c r="AA48" i="46"/>
  <c r="AB48" i="46" s="1"/>
  <c r="X48" i="46"/>
  <c r="X42" i="46"/>
  <c r="AA42" i="46"/>
  <c r="AB42" i="46" s="1"/>
  <c r="J26" i="28"/>
  <c r="J26" i="26" s="1"/>
  <c r="D39" i="31"/>
  <c r="E39" i="31" s="1"/>
  <c r="AA17" i="46"/>
  <c r="AB17" i="46" s="1"/>
  <c r="Z6" i="46"/>
  <c r="R37" i="45"/>
  <c r="AP37" i="45"/>
  <c r="N37" i="45"/>
  <c r="J32" i="24"/>
  <c r="J32" i="23" s="1"/>
  <c r="J32" i="25"/>
  <c r="I45" i="6"/>
  <c r="R36" i="48"/>
  <c r="F31" i="59" s="1"/>
  <c r="R35" i="48"/>
  <c r="F30" i="59" s="1"/>
  <c r="R34" i="48"/>
  <c r="F29" i="59" s="1"/>
  <c r="K34" i="37"/>
  <c r="I40" i="37" s="1"/>
  <c r="R37" i="48" s="1"/>
  <c r="F32" i="59" s="1"/>
  <c r="M10" i="37"/>
  <c r="M10" i="4" s="1"/>
  <c r="M10" i="43" s="1"/>
  <c r="I40" i="9"/>
  <c r="R33" i="48" s="1"/>
  <c r="F28" i="59" s="1"/>
  <c r="I40" i="21"/>
  <c r="R20" i="48" s="1"/>
  <c r="F15" i="59" s="1"/>
  <c r="I40" i="14"/>
  <c r="R28" i="48" s="1"/>
  <c r="F23" i="59" s="1"/>
  <c r="I40" i="10"/>
  <c r="I51" i="10" s="1"/>
  <c r="M16" i="10"/>
  <c r="M16" i="9" s="1"/>
  <c r="M16" i="8" s="1"/>
  <c r="M16" i="7" s="1"/>
  <c r="M16" i="6" s="1"/>
  <c r="M16" i="37" s="1"/>
  <c r="M16" i="4" s="1"/>
  <c r="M16" i="43" s="1"/>
  <c r="AP31" i="45"/>
  <c r="K34" i="12"/>
  <c r="S155" i="46"/>
  <c r="S156" i="46"/>
  <c r="M13" i="14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K34" i="15"/>
  <c r="I40" i="15" s="1"/>
  <c r="R27" i="48" s="1"/>
  <c r="F22" i="59" s="1"/>
  <c r="I40" i="16"/>
  <c r="R26" i="48" s="1"/>
  <c r="F21" i="59" s="1"/>
  <c r="I40" i="17"/>
  <c r="M12" i="17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V37" i="45"/>
  <c r="AD37" i="45"/>
  <c r="J37" i="45"/>
  <c r="Z37" i="45"/>
  <c r="I40" i="20"/>
  <c r="I51" i="20" s="1"/>
  <c r="AH37" i="45"/>
  <c r="K34" i="18"/>
  <c r="W82" i="58" s="1"/>
  <c r="X82" i="58" s="1"/>
  <c r="AH21" i="45"/>
  <c r="I45" i="8"/>
  <c r="A22" i="45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P18" i="45"/>
  <c r="I51" i="8"/>
  <c r="N31" i="45"/>
  <c r="R31" i="45"/>
  <c r="Z31" i="45"/>
  <c r="J18" i="45"/>
  <c r="J31" i="45"/>
  <c r="AL31" i="45"/>
  <c r="AH31" i="45"/>
  <c r="AD31" i="45"/>
  <c r="J8" i="19"/>
  <c r="J8" i="18" s="1"/>
  <c r="J21" i="45"/>
  <c r="V21" i="45"/>
  <c r="K34" i="22"/>
  <c r="J23" i="23"/>
  <c r="J23" i="21" s="1"/>
  <c r="J23" i="22" s="1"/>
  <c r="I51" i="26"/>
  <c r="J19" i="26"/>
  <c r="J19" i="25" s="1"/>
  <c r="J19" i="24" s="1"/>
  <c r="J21" i="26"/>
  <c r="J21" i="25" s="1"/>
  <c r="J21" i="24" s="1"/>
  <c r="J17" i="26"/>
  <c r="J17" i="25" s="1"/>
  <c r="J17" i="24" s="1"/>
  <c r="J20" i="26"/>
  <c r="J20" i="25" s="1"/>
  <c r="J20" i="24" s="1"/>
  <c r="J9" i="25"/>
  <c r="J22" i="25"/>
  <c r="J22" i="24" s="1"/>
  <c r="V18" i="45"/>
  <c r="J18" i="26"/>
  <c r="J18" i="25" s="1"/>
  <c r="J31" i="24"/>
  <c r="J31" i="23" s="1"/>
  <c r="J31" i="21" s="1"/>
  <c r="J31" i="22" s="1"/>
  <c r="J31" i="25"/>
  <c r="J24" i="24"/>
  <c r="J24" i="25"/>
  <c r="J29" i="25"/>
  <c r="J29" i="24"/>
  <c r="J29" i="23" s="1"/>
  <c r="J29" i="21" s="1"/>
  <c r="J29" i="22" s="1"/>
  <c r="J28" i="24"/>
  <c r="J28" i="23" s="1"/>
  <c r="J28" i="21" s="1"/>
  <c r="J28" i="22" s="1"/>
  <c r="J28" i="25"/>
  <c r="J30" i="25"/>
  <c r="J30" i="24"/>
  <c r="J30" i="23" s="1"/>
  <c r="J30" i="21" s="1"/>
  <c r="J30" i="22" s="1"/>
  <c r="J25" i="24"/>
  <c r="J25" i="23" s="1"/>
  <c r="J25" i="21" s="1"/>
  <c r="J25" i="22" s="1"/>
  <c r="J25" i="25"/>
  <c r="J27" i="24"/>
  <c r="J27" i="23" s="1"/>
  <c r="J27" i="21" s="1"/>
  <c r="J27" i="22" s="1"/>
  <c r="J27" i="25"/>
  <c r="J15" i="28"/>
  <c r="J15" i="26" s="1"/>
  <c r="J15" i="25" s="1"/>
  <c r="J15" i="24" s="1"/>
  <c r="J15" i="23" s="1"/>
  <c r="J15" i="22" s="1"/>
  <c r="J15" i="20" s="1"/>
  <c r="J15" i="19" s="1"/>
  <c r="J15" i="18" s="1"/>
  <c r="J15" i="17" s="1"/>
  <c r="J13" i="28"/>
  <c r="J13" i="26" s="1"/>
  <c r="J13" i="25" s="1"/>
  <c r="J13" i="23" s="1"/>
  <c r="J13" i="21" s="1"/>
  <c r="J13" i="22" s="1"/>
  <c r="J13" i="20" s="1"/>
  <c r="J13" i="19" s="1"/>
  <c r="J13" i="18" s="1"/>
  <c r="J13" i="17" s="1"/>
  <c r="J19" i="45"/>
  <c r="J14" i="28"/>
  <c r="J14" i="26" s="1"/>
  <c r="J14" i="25" s="1"/>
  <c r="J14" i="24" s="1"/>
  <c r="J14" i="21" s="1"/>
  <c r="J14" i="22" s="1"/>
  <c r="J14" i="20" s="1"/>
  <c r="J14" i="19" s="1"/>
  <c r="J14" i="18" s="1"/>
  <c r="J14" i="17" s="1"/>
  <c r="N18" i="45"/>
  <c r="AH30" i="45"/>
  <c r="AD20" i="45"/>
  <c r="N29" i="45"/>
  <c r="M22" i="7"/>
  <c r="M22" i="6" s="1"/>
  <c r="M22" i="37" s="1"/>
  <c r="M22" i="4" s="1"/>
  <c r="M22" i="43" s="1"/>
  <c r="AD38" i="45"/>
  <c r="R30" i="45"/>
  <c r="J38" i="45"/>
  <c r="AL21" i="45"/>
  <c r="R21" i="45"/>
  <c r="Z30" i="45"/>
  <c r="N21" i="45"/>
  <c r="K34" i="27"/>
  <c r="W30" i="58" s="1"/>
  <c r="X30" i="58" s="1"/>
  <c r="AP30" i="45"/>
  <c r="V30" i="45"/>
  <c r="Z21" i="45"/>
  <c r="AP21" i="45"/>
  <c r="AL30" i="45"/>
  <c r="J57" i="32"/>
  <c r="J57" i="31" s="1"/>
  <c r="J57" i="30" s="1"/>
  <c r="J57" i="29" s="1"/>
  <c r="J57" i="27" s="1"/>
  <c r="V38" i="45"/>
  <c r="M9" i="29"/>
  <c r="C35" i="24"/>
  <c r="J20" i="45"/>
  <c r="R18" i="45"/>
  <c r="R20" i="45"/>
  <c r="AD18" i="45"/>
  <c r="I51" i="6"/>
  <c r="E35" i="32"/>
  <c r="AH18" i="45"/>
  <c r="AL18" i="45"/>
  <c r="AH23" i="45"/>
  <c r="V19" i="45"/>
  <c r="AP38" i="45"/>
  <c r="K34" i="23"/>
  <c r="W57" i="58" s="1"/>
  <c r="X57" i="58" s="1"/>
  <c r="K34" i="31"/>
  <c r="AH20" i="45"/>
  <c r="V29" i="45"/>
  <c r="AD29" i="45"/>
  <c r="Z29" i="45"/>
  <c r="AP29" i="45"/>
  <c r="D35" i="32"/>
  <c r="R29" i="45"/>
  <c r="AL29" i="45"/>
  <c r="AH29" i="45"/>
  <c r="J56" i="33"/>
  <c r="J56" i="32" s="1"/>
  <c r="J56" i="31" s="1"/>
  <c r="J56" i="30" s="1"/>
  <c r="J56" i="29" s="1"/>
  <c r="J56" i="27" s="1"/>
  <c r="J56" i="28" s="1"/>
  <c r="J56" i="26" s="1"/>
  <c r="J56" i="25" s="1"/>
  <c r="J56" i="24" s="1"/>
  <c r="J56" i="23" s="1"/>
  <c r="A12" i="1"/>
  <c r="A13" i="2" s="1"/>
  <c r="M7" i="33"/>
  <c r="E39" i="1"/>
  <c r="FV39" i="1" s="1"/>
  <c r="AL38" i="45"/>
  <c r="AJ16" i="48"/>
  <c r="D11" i="59" s="1"/>
  <c r="D43" i="31"/>
  <c r="E43" i="31" s="1"/>
  <c r="AJ17" i="48"/>
  <c r="D12" i="59" s="1"/>
  <c r="AJ39" i="48"/>
  <c r="D34" i="59" s="1"/>
  <c r="I9" i="54"/>
  <c r="C35" i="32"/>
  <c r="N20" i="45"/>
  <c r="V20" i="45"/>
  <c r="N17" i="45"/>
  <c r="AL20" i="45"/>
  <c r="AP20" i="45"/>
  <c r="AP17" i="45"/>
  <c r="M17" i="24"/>
  <c r="C35" i="17"/>
  <c r="D44" i="31"/>
  <c r="D44" i="30" s="1"/>
  <c r="E44" i="30" s="1"/>
  <c r="R38" i="45"/>
  <c r="Z38" i="45"/>
  <c r="N30" i="45"/>
  <c r="AD30" i="45"/>
  <c r="AH38" i="45"/>
  <c r="D40" i="31"/>
  <c r="D40" i="30" s="1"/>
  <c r="E40" i="30" s="1"/>
  <c r="J44" i="32"/>
  <c r="AL23" i="45"/>
  <c r="AL17" i="45"/>
  <c r="V17" i="45"/>
  <c r="Z23" i="45"/>
  <c r="R23" i="45"/>
  <c r="R19" i="45"/>
  <c r="AL19" i="45"/>
  <c r="E50" i="32"/>
  <c r="D41" i="31"/>
  <c r="E41" i="31" s="1"/>
  <c r="I45" i="24"/>
  <c r="D42" i="2"/>
  <c r="I51" i="7"/>
  <c r="Q11" i="48"/>
  <c r="Q12" i="48" s="1"/>
  <c r="AD23" i="45"/>
  <c r="J23" i="45"/>
  <c r="V23" i="45"/>
  <c r="N23" i="45"/>
  <c r="N19" i="45"/>
  <c r="Z19" i="45"/>
  <c r="AH19" i="45"/>
  <c r="AD19" i="45"/>
  <c r="I51" i="28"/>
  <c r="I45" i="25"/>
  <c r="F24" i="48"/>
  <c r="E35" i="24"/>
  <c r="I51" i="25"/>
  <c r="AH17" i="45"/>
  <c r="Z17" i="45"/>
  <c r="J17" i="45"/>
  <c r="R17" i="45"/>
  <c r="AD17" i="45"/>
  <c r="F18" i="48"/>
  <c r="I16" i="48"/>
  <c r="I45" i="26"/>
  <c r="I45" i="28"/>
  <c r="F32" i="48"/>
  <c r="F19" i="48"/>
  <c r="F14" i="48"/>
  <c r="D35" i="24"/>
  <c r="I51" i="13"/>
  <c r="I45" i="13"/>
  <c r="I39" i="48"/>
  <c r="C38" i="45"/>
  <c r="X39" i="48"/>
  <c r="H34" i="59" s="1"/>
  <c r="I51" i="24"/>
  <c r="P154" i="46"/>
  <c r="O154" i="46" s="1"/>
  <c r="AP8" i="45"/>
  <c r="D35" i="33"/>
  <c r="C35" i="33"/>
  <c r="E35" i="33"/>
  <c r="D47" i="31"/>
  <c r="D47" i="30" s="1"/>
  <c r="D46" i="31"/>
  <c r="D46" i="30" s="1"/>
  <c r="E39" i="32"/>
  <c r="D48" i="31"/>
  <c r="D48" i="30" s="1"/>
  <c r="D48" i="29" s="1"/>
  <c r="D48" i="27" s="1"/>
  <c r="D48" i="28" s="1"/>
  <c r="E48" i="28" s="1"/>
  <c r="D38" i="31"/>
  <c r="D38" i="30" s="1"/>
  <c r="D51" i="31"/>
  <c r="E51" i="31" s="1"/>
  <c r="E52" i="33"/>
  <c r="E53" i="33" s="1"/>
  <c r="D52" i="32"/>
  <c r="D42" i="31"/>
  <c r="D42" i="30" s="1"/>
  <c r="D45" i="31"/>
  <c r="D45" i="30" s="1"/>
  <c r="D45" i="29" s="1"/>
  <c r="D49" i="31"/>
  <c r="E49" i="31" s="1"/>
  <c r="D50" i="29"/>
  <c r="E50" i="29" s="1"/>
  <c r="E50" i="31"/>
  <c r="D39" i="30"/>
  <c r="F22" i="48"/>
  <c r="C35" i="7"/>
  <c r="E35" i="7"/>
  <c r="F31" i="48"/>
  <c r="F20" i="48"/>
  <c r="D41" i="1"/>
  <c r="F10" i="48"/>
  <c r="E35" i="17"/>
  <c r="D35" i="7"/>
  <c r="E16" i="1"/>
  <c r="F39" i="48"/>
  <c r="F21" i="48"/>
  <c r="Z13" i="45"/>
  <c r="AL13" i="45"/>
  <c r="AP13" i="45"/>
  <c r="V13" i="45"/>
  <c r="J13" i="45"/>
  <c r="AD13" i="45"/>
  <c r="N13" i="45"/>
  <c r="R13" i="45"/>
  <c r="AH13" i="45"/>
  <c r="AD11" i="45"/>
  <c r="AH11" i="45"/>
  <c r="Z11" i="45"/>
  <c r="AL11" i="45"/>
  <c r="N11" i="45"/>
  <c r="R11" i="45"/>
  <c r="V11" i="45"/>
  <c r="AP11" i="45"/>
  <c r="J11" i="45"/>
  <c r="I45" i="4"/>
  <c r="I51" i="4"/>
  <c r="F33" i="48"/>
  <c r="AD26" i="45"/>
  <c r="R26" i="45"/>
  <c r="AH26" i="45"/>
  <c r="Z26" i="45"/>
  <c r="N26" i="45"/>
  <c r="AL26" i="45"/>
  <c r="J26" i="45"/>
  <c r="AP26" i="45"/>
  <c r="V26" i="45"/>
  <c r="AH16" i="45"/>
  <c r="R16" i="45"/>
  <c r="AL16" i="45"/>
  <c r="Z16" i="45"/>
  <c r="V16" i="45"/>
  <c r="N16" i="45"/>
  <c r="AD16" i="45"/>
  <c r="AP16" i="45"/>
  <c r="J16" i="45"/>
  <c r="Z14" i="45"/>
  <c r="AL14" i="45"/>
  <c r="AH14" i="45"/>
  <c r="N14" i="45"/>
  <c r="J14" i="45"/>
  <c r="AD14" i="45"/>
  <c r="V14" i="45"/>
  <c r="R14" i="45"/>
  <c r="AP14" i="45"/>
  <c r="AP12" i="45"/>
  <c r="Z12" i="45"/>
  <c r="V12" i="45"/>
  <c r="AL12" i="45"/>
  <c r="R12" i="45"/>
  <c r="AH12" i="45"/>
  <c r="J12" i="45"/>
  <c r="AD12" i="45"/>
  <c r="N12" i="45"/>
  <c r="R10" i="45"/>
  <c r="N10" i="45"/>
  <c r="AH10" i="45"/>
  <c r="Z10" i="45"/>
  <c r="AL10" i="45"/>
  <c r="J10" i="45"/>
  <c r="AP10" i="45"/>
  <c r="V10" i="45"/>
  <c r="AD10" i="45"/>
  <c r="D35" i="17"/>
  <c r="E17" i="1"/>
  <c r="I17" i="48"/>
  <c r="X17" i="48"/>
  <c r="H12" i="59" s="1"/>
  <c r="C16" i="45"/>
  <c r="J17" i="48"/>
  <c r="B12" i="59" s="1"/>
  <c r="F9" i="48"/>
  <c r="F26" i="48"/>
  <c r="AP9" i="45"/>
  <c r="R9" i="45"/>
  <c r="J9" i="45"/>
  <c r="AD9" i="45"/>
  <c r="N9" i="45"/>
  <c r="Z9" i="45"/>
  <c r="AH9" i="45"/>
  <c r="V9" i="45"/>
  <c r="AL9" i="45"/>
  <c r="F16" i="48"/>
  <c r="F11" i="48"/>
  <c r="J57" i="21"/>
  <c r="J57" i="22" s="1"/>
  <c r="J57" i="20" s="1"/>
  <c r="J57" i="19" s="1"/>
  <c r="J57" i="18" s="1"/>
  <c r="J57" i="17" s="1"/>
  <c r="C15" i="45"/>
  <c r="J16" i="48"/>
  <c r="B11" i="59" s="1"/>
  <c r="X16" i="48"/>
  <c r="H11" i="59" s="1"/>
  <c r="E35" i="15"/>
  <c r="D35" i="15"/>
  <c r="C35" i="15"/>
  <c r="F37" i="48"/>
  <c r="F38" i="48"/>
  <c r="F34" i="48"/>
  <c r="F29" i="48"/>
  <c r="J39" i="33"/>
  <c r="J37" i="32"/>
  <c r="D35" i="4"/>
  <c r="C35" i="4"/>
  <c r="E35" i="4"/>
  <c r="E35" i="18"/>
  <c r="D35" i="18"/>
  <c r="C35" i="18"/>
  <c r="AD8" i="45"/>
  <c r="AL8" i="45"/>
  <c r="Z8" i="45"/>
  <c r="V8" i="45"/>
  <c r="AH8" i="45"/>
  <c r="R8" i="45"/>
  <c r="J8" i="45"/>
  <c r="J44" i="31"/>
  <c r="J43" i="30"/>
  <c r="AL25" i="45"/>
  <c r="Z25" i="45"/>
  <c r="N25" i="45"/>
  <c r="AH25" i="45"/>
  <c r="R25" i="45"/>
  <c r="J25" i="45"/>
  <c r="AP25" i="45"/>
  <c r="AD25" i="45"/>
  <c r="V25" i="45"/>
  <c r="J50" i="31"/>
  <c r="J49" i="30"/>
  <c r="V41" i="48"/>
  <c r="AL15" i="45"/>
  <c r="R15" i="45"/>
  <c r="AH15" i="45"/>
  <c r="AD15" i="45"/>
  <c r="V15" i="45"/>
  <c r="B40" i="45"/>
  <c r="J15" i="45"/>
  <c r="Z15" i="45"/>
  <c r="AP15" i="45"/>
  <c r="N15" i="45"/>
  <c r="I45" i="21" l="1"/>
  <c r="I45" i="14"/>
  <c r="I51" i="14"/>
  <c r="J36" i="48"/>
  <c r="B31" i="59" s="1"/>
  <c r="AA143" i="58"/>
  <c r="AB143" i="58" s="1"/>
  <c r="X143" i="46"/>
  <c r="AA143" i="46"/>
  <c r="AB143" i="46" s="1"/>
  <c r="I45" i="19"/>
  <c r="C22" i="45"/>
  <c r="O22" i="45" s="1"/>
  <c r="AA129" i="46"/>
  <c r="AB129" i="46" s="1"/>
  <c r="X129" i="46"/>
  <c r="AA129" i="58"/>
  <c r="AB129" i="58" s="1"/>
  <c r="AA121" i="46"/>
  <c r="AB121" i="46" s="1"/>
  <c r="X121" i="46"/>
  <c r="AA121" i="58"/>
  <c r="AB121" i="58" s="1"/>
  <c r="I51" i="21"/>
  <c r="I51" i="19"/>
  <c r="AA91" i="46"/>
  <c r="AB91" i="46" s="1"/>
  <c r="X91" i="46"/>
  <c r="AA91" i="58"/>
  <c r="AB91" i="58" s="1"/>
  <c r="I40" i="18"/>
  <c r="R24" i="48" s="1"/>
  <c r="F19" i="59" s="1"/>
  <c r="W82" i="46"/>
  <c r="AA77" i="58"/>
  <c r="AB77" i="58" s="1"/>
  <c r="AA77" i="46"/>
  <c r="AB77" i="46" s="1"/>
  <c r="X77" i="46"/>
  <c r="X72" i="46"/>
  <c r="AA72" i="46"/>
  <c r="AB72" i="46" s="1"/>
  <c r="AA72" i="58"/>
  <c r="AB72" i="58" s="1"/>
  <c r="I45" i="9"/>
  <c r="I51" i="9"/>
  <c r="AA30" i="58"/>
  <c r="AB30" i="58" s="1"/>
  <c r="AA57" i="58"/>
  <c r="AB57" i="58" s="1"/>
  <c r="W57" i="46"/>
  <c r="E34" i="1"/>
  <c r="ID34" i="1" s="1"/>
  <c r="C33" i="45"/>
  <c r="K33" i="45" s="1"/>
  <c r="J26" i="25"/>
  <c r="J26" i="24"/>
  <c r="J26" i="23" s="1"/>
  <c r="J26" i="21" s="1"/>
  <c r="J26" i="22" s="1"/>
  <c r="J26" i="20" s="1"/>
  <c r="J26" i="19" s="1"/>
  <c r="J26" i="18" s="1"/>
  <c r="W30" i="46"/>
  <c r="J34" i="48"/>
  <c r="B29" i="59" s="1"/>
  <c r="AJ34" i="48"/>
  <c r="D29" i="59" s="1"/>
  <c r="I34" i="48"/>
  <c r="I45" i="37"/>
  <c r="X34" i="48"/>
  <c r="H29" i="59" s="1"/>
  <c r="J9" i="23"/>
  <c r="J9" i="21" s="1"/>
  <c r="J9" i="22" s="1"/>
  <c r="J9" i="20" s="1"/>
  <c r="J9" i="19" s="1"/>
  <c r="J9" i="18" s="1"/>
  <c r="I51" i="37"/>
  <c r="I45" i="10"/>
  <c r="R32" i="48"/>
  <c r="F27" i="59" s="1"/>
  <c r="R25" i="48"/>
  <c r="I45" i="20"/>
  <c r="R22" i="48"/>
  <c r="F17" i="59" s="1"/>
  <c r="I40" i="31"/>
  <c r="I45" i="16"/>
  <c r="I40" i="12"/>
  <c r="R30" i="48" s="1"/>
  <c r="F25" i="59" s="1"/>
  <c r="I45" i="17"/>
  <c r="I51" i="17"/>
  <c r="I45" i="15"/>
  <c r="I51" i="15"/>
  <c r="I51" i="16"/>
  <c r="J10" i="16"/>
  <c r="J10" i="15" s="1"/>
  <c r="J10" i="14" s="1"/>
  <c r="J10" i="13" s="1"/>
  <c r="J8" i="17"/>
  <c r="J8" i="16" s="1"/>
  <c r="J8" i="15" s="1"/>
  <c r="J8" i="14" s="1"/>
  <c r="J8" i="13" s="1"/>
  <c r="W22" i="45"/>
  <c r="J29" i="20"/>
  <c r="J29" i="19" s="1"/>
  <c r="J29" i="18" s="1"/>
  <c r="J27" i="20"/>
  <c r="J27" i="19" s="1"/>
  <c r="J27" i="18" s="1"/>
  <c r="J23" i="20"/>
  <c r="J23" i="19" s="1"/>
  <c r="J23" i="18" s="1"/>
  <c r="J25" i="20"/>
  <c r="J25" i="19" s="1"/>
  <c r="J25" i="18" s="1"/>
  <c r="J30" i="20"/>
  <c r="J30" i="19" s="1"/>
  <c r="J30" i="18" s="1"/>
  <c r="J28" i="20"/>
  <c r="J28" i="19" s="1"/>
  <c r="J28" i="18" s="1"/>
  <c r="J31" i="20"/>
  <c r="J31" i="19" s="1"/>
  <c r="J31" i="18" s="1"/>
  <c r="I40" i="22"/>
  <c r="R21" i="48" s="1"/>
  <c r="F16" i="59" s="1"/>
  <c r="J19" i="23"/>
  <c r="J19" i="21" s="1"/>
  <c r="J19" i="22" s="1"/>
  <c r="A13" i="1"/>
  <c r="A14" i="2" s="1"/>
  <c r="J22" i="23"/>
  <c r="J22" i="21" s="1"/>
  <c r="J22" i="22" s="1"/>
  <c r="J24" i="23"/>
  <c r="J24" i="21" s="1"/>
  <c r="J24" i="22" s="1"/>
  <c r="J20" i="23"/>
  <c r="J20" i="21" s="1"/>
  <c r="J20" i="22" s="1"/>
  <c r="J16" i="22"/>
  <c r="J16" i="20" s="1"/>
  <c r="J16" i="19" s="1"/>
  <c r="J16" i="18" s="1"/>
  <c r="J16" i="17" s="1"/>
  <c r="J17" i="23"/>
  <c r="J17" i="21" s="1"/>
  <c r="J17" i="22" s="1"/>
  <c r="J17" i="20" s="1"/>
  <c r="J17" i="19" s="1"/>
  <c r="J17" i="18" s="1"/>
  <c r="J17" i="17" s="1"/>
  <c r="J21" i="23"/>
  <c r="J21" i="21" s="1"/>
  <c r="J21" i="22" s="1"/>
  <c r="I40" i="23"/>
  <c r="BL39" i="1"/>
  <c r="M17" i="23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J18" i="24"/>
  <c r="I36" i="48"/>
  <c r="E44" i="31"/>
  <c r="FD39" i="1"/>
  <c r="K34" i="29"/>
  <c r="W26" i="58" s="1"/>
  <c r="X26" i="58" s="1"/>
  <c r="EC39" i="1"/>
  <c r="DB39" i="1"/>
  <c r="HU39" i="1"/>
  <c r="GT39" i="1"/>
  <c r="IV39" i="1"/>
  <c r="CA39" i="1"/>
  <c r="FS39" i="1"/>
  <c r="I40" i="27"/>
  <c r="R14" i="48" s="1"/>
  <c r="F9" i="59" s="1"/>
  <c r="AK39" i="1"/>
  <c r="J39" i="1"/>
  <c r="M9" i="27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C35" i="45"/>
  <c r="AM35" i="45" s="1"/>
  <c r="AJ36" i="48"/>
  <c r="D31" i="59" s="1"/>
  <c r="E36" i="1"/>
  <c r="HF36" i="1" s="1"/>
  <c r="AW39" i="1"/>
  <c r="DN39" i="1"/>
  <c r="Y39" i="1"/>
  <c r="DQ39" i="1"/>
  <c r="HI39" i="1"/>
  <c r="AZ39" i="1"/>
  <c r="ER39" i="1"/>
  <c r="IJ39" i="1"/>
  <c r="BO39" i="1"/>
  <c r="FG39" i="1"/>
  <c r="IY39" i="1"/>
  <c r="CP39" i="1"/>
  <c r="GH39" i="1"/>
  <c r="X36" i="48"/>
  <c r="H31" i="59" s="1"/>
  <c r="E40" i="2"/>
  <c r="CC40" i="2" s="1"/>
  <c r="BI39" i="1"/>
  <c r="FA39" i="1"/>
  <c r="IS39" i="1"/>
  <c r="CJ39" i="1"/>
  <c r="GB39" i="1"/>
  <c r="G39" i="1"/>
  <c r="CY39" i="1"/>
  <c r="GQ39" i="1"/>
  <c r="AH39" i="1"/>
  <c r="DZ39" i="1"/>
  <c r="HR39" i="1"/>
  <c r="EO39" i="1"/>
  <c r="FP39" i="1"/>
  <c r="CM39" i="1"/>
  <c r="HF39" i="1"/>
  <c r="K34" i="33"/>
  <c r="W6" i="58" s="1"/>
  <c r="BU39" i="1"/>
  <c r="FM39" i="1"/>
  <c r="JE39" i="1"/>
  <c r="CV39" i="1"/>
  <c r="GN39" i="1"/>
  <c r="S39" i="1"/>
  <c r="DK39" i="1"/>
  <c r="HC39" i="1"/>
  <c r="AT39" i="1"/>
  <c r="EL39" i="1"/>
  <c r="ID39" i="1"/>
  <c r="IG39" i="1"/>
  <c r="GE39" i="1"/>
  <c r="CG39" i="1"/>
  <c r="FY39" i="1"/>
  <c r="P39" i="1"/>
  <c r="DH39" i="1"/>
  <c r="GZ39" i="1"/>
  <c r="AE39" i="1"/>
  <c r="DW39" i="1"/>
  <c r="HO39" i="1"/>
  <c r="BF39" i="1"/>
  <c r="EX39" i="1"/>
  <c r="IP39" i="1"/>
  <c r="V39" i="1"/>
  <c r="CS39" i="1"/>
  <c r="GK39" i="1"/>
  <c r="AB39" i="1"/>
  <c r="DT39" i="1"/>
  <c r="HL39" i="1"/>
  <c r="AQ39" i="1"/>
  <c r="EI39" i="1"/>
  <c r="IA39" i="1"/>
  <c r="BR39" i="1"/>
  <c r="FJ39" i="1"/>
  <c r="JB39" i="1"/>
  <c r="BX39" i="1"/>
  <c r="JH39" i="1"/>
  <c r="M39" i="1"/>
  <c r="DE39" i="1"/>
  <c r="GW39" i="1"/>
  <c r="AN39" i="1"/>
  <c r="EF39" i="1"/>
  <c r="HX39" i="1"/>
  <c r="BC39" i="1"/>
  <c r="EU39" i="1"/>
  <c r="IM39" i="1"/>
  <c r="CD39" i="1"/>
  <c r="D43" i="30"/>
  <c r="E43" i="30" s="1"/>
  <c r="D44" i="29"/>
  <c r="D44" i="27" s="1"/>
  <c r="D44" i="28" s="1"/>
  <c r="D44" i="26" s="1"/>
  <c r="E44" i="26" s="1"/>
  <c r="M34" i="33"/>
  <c r="J40" i="33" s="1"/>
  <c r="J45" i="33" s="1"/>
  <c r="M7" i="32"/>
  <c r="M7" i="31" s="1"/>
  <c r="M7" i="30" s="1"/>
  <c r="M7" i="29" s="1"/>
  <c r="M7" i="27" s="1"/>
  <c r="M7" i="28" s="1"/>
  <c r="E40" i="31"/>
  <c r="D40" i="29"/>
  <c r="D40" i="27" s="1"/>
  <c r="E40" i="27" s="1"/>
  <c r="AJ33" i="48"/>
  <c r="D28" i="59" s="1"/>
  <c r="AJ15" i="48"/>
  <c r="D10" i="59" s="1"/>
  <c r="AJ37" i="48"/>
  <c r="D32" i="59" s="1"/>
  <c r="AJ35" i="48"/>
  <c r="D30" i="59" s="1"/>
  <c r="AJ23" i="48"/>
  <c r="D18" i="59" s="1"/>
  <c r="AJ22" i="48"/>
  <c r="D17" i="59" s="1"/>
  <c r="AJ28" i="48"/>
  <c r="D23" i="59" s="1"/>
  <c r="AJ38" i="48"/>
  <c r="D33" i="59" s="1"/>
  <c r="AJ18" i="48"/>
  <c r="D13" i="59" s="1"/>
  <c r="AJ27" i="48"/>
  <c r="D22" i="59" s="1"/>
  <c r="AJ29" i="48"/>
  <c r="D24" i="59" s="1"/>
  <c r="AJ26" i="48"/>
  <c r="D21" i="59" s="1"/>
  <c r="IY17" i="1"/>
  <c r="IM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AE17" i="1"/>
  <c r="S17" i="1"/>
  <c r="G17" i="1"/>
  <c r="JH17" i="1"/>
  <c r="IV17" i="1"/>
  <c r="IJ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E17" i="1"/>
  <c r="IS17" i="1"/>
  <c r="IG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JB17" i="1"/>
  <c r="IP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E17" i="2"/>
  <c r="CC17" i="2" s="1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JH16" i="1"/>
  <c r="IV16" i="1"/>
  <c r="IJ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M8" i="32"/>
  <c r="M8" i="31" s="1"/>
  <c r="M8" i="30" s="1"/>
  <c r="M8" i="29" s="1"/>
  <c r="M8" i="27" s="1"/>
  <c r="M8" i="28" s="1"/>
  <c r="M8" i="26" s="1"/>
  <c r="M8" i="25" s="1"/>
  <c r="M8" i="24" s="1"/>
  <c r="M8" i="23" s="1"/>
  <c r="M8" i="21" s="1"/>
  <c r="M8" i="22" s="1"/>
  <c r="M8" i="20" s="1"/>
  <c r="M8" i="19" s="1"/>
  <c r="M8" i="18" s="1"/>
  <c r="M8" i="17" s="1"/>
  <c r="M8" i="16" s="1"/>
  <c r="M8" i="15" s="1"/>
  <c r="M8" i="14" s="1"/>
  <c r="M8" i="13" s="1"/>
  <c r="M8" i="12" s="1"/>
  <c r="M8" i="11" s="1"/>
  <c r="M8" i="10" s="1"/>
  <c r="M8" i="9" s="1"/>
  <c r="M8" i="8" s="1"/>
  <c r="M8" i="7" s="1"/>
  <c r="M8" i="6" s="1"/>
  <c r="M8" i="37" s="1"/>
  <c r="M8" i="4" s="1"/>
  <c r="M8" i="43" s="1"/>
  <c r="D53" i="32"/>
  <c r="K34" i="32"/>
  <c r="W12" i="58" s="1"/>
  <c r="X12" i="58" s="1"/>
  <c r="E52" i="32"/>
  <c r="E53" i="32" s="1"/>
  <c r="W11" i="48"/>
  <c r="D41" i="30"/>
  <c r="D41" i="29" s="1"/>
  <c r="D41" i="27" s="1"/>
  <c r="E48" i="30"/>
  <c r="E45" i="30"/>
  <c r="D49" i="30"/>
  <c r="D49" i="29" s="1"/>
  <c r="E49" i="29" s="1"/>
  <c r="E18" i="2"/>
  <c r="X35" i="48"/>
  <c r="H30" i="59" s="1"/>
  <c r="I35" i="48"/>
  <c r="E35" i="1"/>
  <c r="C34" i="45"/>
  <c r="J35" i="48"/>
  <c r="B30" i="59" s="1"/>
  <c r="K34" i="11"/>
  <c r="W111" i="58" s="1"/>
  <c r="X111" i="58" s="1"/>
  <c r="M20" i="11"/>
  <c r="M20" i="10" s="1"/>
  <c r="M20" i="9" s="1"/>
  <c r="M20" i="8" s="1"/>
  <c r="M20" i="7" s="1"/>
  <c r="M20" i="6" s="1"/>
  <c r="M20" i="37" s="1"/>
  <c r="M20" i="4" s="1"/>
  <c r="M20" i="43" s="1"/>
  <c r="V154" i="46"/>
  <c r="I10" i="54" s="1"/>
  <c r="C26" i="45"/>
  <c r="X27" i="48"/>
  <c r="H22" i="59" s="1"/>
  <c r="I27" i="48"/>
  <c r="E27" i="1"/>
  <c r="J27" i="48"/>
  <c r="B22" i="59" s="1"/>
  <c r="X26" i="48"/>
  <c r="H21" i="59" s="1"/>
  <c r="C25" i="45"/>
  <c r="J26" i="48"/>
  <c r="B21" i="59" s="1"/>
  <c r="E26" i="1"/>
  <c r="I26" i="48"/>
  <c r="I15" i="48"/>
  <c r="E15" i="1"/>
  <c r="C14" i="45"/>
  <c r="X15" i="48"/>
  <c r="H10" i="59" s="1"/>
  <c r="J15" i="48"/>
  <c r="B10" i="59" s="1"/>
  <c r="K34" i="30"/>
  <c r="W22" i="58" s="1"/>
  <c r="X22" i="58" s="1"/>
  <c r="M11" i="30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E33" i="1"/>
  <c r="X33" i="48"/>
  <c r="H28" i="59" s="1"/>
  <c r="C32" i="45"/>
  <c r="J33" i="48"/>
  <c r="B28" i="59" s="1"/>
  <c r="I33" i="48"/>
  <c r="J18" i="48"/>
  <c r="B13" i="59" s="1"/>
  <c r="C17" i="45"/>
  <c r="X18" i="48"/>
  <c r="H13" i="59" s="1"/>
  <c r="I18" i="48"/>
  <c r="E18" i="1"/>
  <c r="O38" i="45"/>
  <c r="AI38" i="45"/>
  <c r="AA38" i="45"/>
  <c r="K38" i="45"/>
  <c r="AE38" i="45"/>
  <c r="W38" i="45"/>
  <c r="AQ38" i="45"/>
  <c r="S38" i="45"/>
  <c r="AM38" i="45"/>
  <c r="I29" i="48"/>
  <c r="X29" i="48"/>
  <c r="H24" i="59" s="1"/>
  <c r="C28" i="45"/>
  <c r="J29" i="48"/>
  <c r="B24" i="59" s="1"/>
  <c r="E29" i="1"/>
  <c r="E47" i="31"/>
  <c r="E46" i="31"/>
  <c r="E38" i="31"/>
  <c r="D48" i="26"/>
  <c r="D48" i="25" s="1"/>
  <c r="E48" i="31"/>
  <c r="E48" i="27"/>
  <c r="E48" i="29"/>
  <c r="E42" i="31"/>
  <c r="D52" i="31"/>
  <c r="D53" i="31" s="1"/>
  <c r="D51" i="30"/>
  <c r="D51" i="29" s="1"/>
  <c r="E51" i="29" s="1"/>
  <c r="E45" i="31"/>
  <c r="E45" i="29"/>
  <c r="D45" i="27"/>
  <c r="D50" i="27"/>
  <c r="D50" i="28" s="1"/>
  <c r="D42" i="29"/>
  <c r="E42" i="30"/>
  <c r="D46" i="29"/>
  <c r="E46" i="30"/>
  <c r="D39" i="29"/>
  <c r="E39" i="30"/>
  <c r="E47" i="30"/>
  <c r="D47" i="29"/>
  <c r="E22" i="1"/>
  <c r="E37" i="1"/>
  <c r="E23" i="1"/>
  <c r="W16" i="45"/>
  <c r="AA16" i="45"/>
  <c r="O16" i="45"/>
  <c r="K16" i="45"/>
  <c r="AE16" i="45"/>
  <c r="AM16" i="45"/>
  <c r="S16" i="45"/>
  <c r="AQ16" i="45"/>
  <c r="AI16" i="45"/>
  <c r="E24" i="1"/>
  <c r="I24" i="48"/>
  <c r="C23" i="45"/>
  <c r="J24" i="48"/>
  <c r="B19" i="59" s="1"/>
  <c r="X24" i="48"/>
  <c r="H19" i="59" s="1"/>
  <c r="E28" i="1"/>
  <c r="E38" i="1"/>
  <c r="C37" i="45"/>
  <c r="J38" i="48"/>
  <c r="B33" i="59" s="1"/>
  <c r="I38" i="48"/>
  <c r="X38" i="48"/>
  <c r="H33" i="59" s="1"/>
  <c r="J37" i="31"/>
  <c r="J39" i="32"/>
  <c r="AI15" i="45"/>
  <c r="K15" i="45"/>
  <c r="AE15" i="45"/>
  <c r="AA15" i="45"/>
  <c r="S15" i="45"/>
  <c r="O15" i="45"/>
  <c r="AQ15" i="45"/>
  <c r="AM15" i="45"/>
  <c r="W15" i="45"/>
  <c r="I28" i="48"/>
  <c r="C27" i="45"/>
  <c r="J28" i="48"/>
  <c r="B23" i="59" s="1"/>
  <c r="X28" i="48"/>
  <c r="H23" i="59" s="1"/>
  <c r="X22" i="48"/>
  <c r="H17" i="59" s="1"/>
  <c r="I22" i="48"/>
  <c r="C21" i="45"/>
  <c r="J22" i="48"/>
  <c r="B17" i="59" s="1"/>
  <c r="J37" i="48"/>
  <c r="B32" i="59" s="1"/>
  <c r="C36" i="45"/>
  <c r="I37" i="48"/>
  <c r="X37" i="48"/>
  <c r="H32" i="59" s="1"/>
  <c r="X23" i="48"/>
  <c r="H18" i="59" s="1"/>
  <c r="I23" i="48"/>
  <c r="J23" i="48"/>
  <c r="B18" i="59" s="1"/>
  <c r="AD40" i="45"/>
  <c r="AP40" i="45"/>
  <c r="AX22" i="45" s="1"/>
  <c r="AX24" i="45" s="1"/>
  <c r="AH40" i="45"/>
  <c r="Z40" i="45"/>
  <c r="R40" i="45"/>
  <c r="N40" i="45"/>
  <c r="J40" i="45"/>
  <c r="V40" i="45"/>
  <c r="AL40" i="45"/>
  <c r="D38" i="29"/>
  <c r="E38" i="30"/>
  <c r="J49" i="29"/>
  <c r="J50" i="30"/>
  <c r="J57" i="16"/>
  <c r="J57" i="28"/>
  <c r="J56" i="21"/>
  <c r="J43" i="29"/>
  <c r="J44" i="30"/>
  <c r="W12" i="48"/>
  <c r="Q13" i="48"/>
  <c r="G22" i="45" l="1"/>
  <c r="AT22" i="45"/>
  <c r="K22" i="45"/>
  <c r="AJ24" i="48"/>
  <c r="D19" i="59" s="1"/>
  <c r="AE22" i="45"/>
  <c r="AM22" i="45"/>
  <c r="AA22" i="45"/>
  <c r="S22" i="45"/>
  <c r="W154" i="58"/>
  <c r="X6" i="58"/>
  <c r="AI22" i="45"/>
  <c r="AQ22" i="45"/>
  <c r="I45" i="18"/>
  <c r="I51" i="18"/>
  <c r="E40" i="53"/>
  <c r="E35" i="53"/>
  <c r="J32" i="48"/>
  <c r="B27" i="59" s="1"/>
  <c r="W111" i="46"/>
  <c r="AE33" i="45"/>
  <c r="AI33" i="45"/>
  <c r="W33" i="45"/>
  <c r="AQ33" i="45"/>
  <c r="AM33" i="45"/>
  <c r="AA33" i="45"/>
  <c r="O33" i="45"/>
  <c r="S33" i="45"/>
  <c r="X82" i="46"/>
  <c r="AA82" i="46"/>
  <c r="AB82" i="46" s="1"/>
  <c r="AA82" i="58"/>
  <c r="AB82" i="58" s="1"/>
  <c r="DE34" i="1"/>
  <c r="Y34" i="1"/>
  <c r="FY34" i="1"/>
  <c r="IJ34" i="1"/>
  <c r="AJ32" i="48"/>
  <c r="D27" i="59" s="1"/>
  <c r="GQ34" i="1"/>
  <c r="AZ34" i="1"/>
  <c r="C31" i="45"/>
  <c r="AE31" i="45" s="1"/>
  <c r="FP34" i="1"/>
  <c r="BI34" i="1"/>
  <c r="E32" i="1"/>
  <c r="GE32" i="1" s="1"/>
  <c r="FS34" i="1"/>
  <c r="CS34" i="1"/>
  <c r="CG34" i="1"/>
  <c r="CY34" i="1"/>
  <c r="HF34" i="1"/>
  <c r="AN34" i="1"/>
  <c r="JH34" i="1"/>
  <c r="JB34" i="1"/>
  <c r="M34" i="1"/>
  <c r="FV34" i="1"/>
  <c r="P34" i="1"/>
  <c r="BL34" i="1"/>
  <c r="CJ34" i="1"/>
  <c r="JE34" i="1"/>
  <c r="DN34" i="1"/>
  <c r="CV34" i="1"/>
  <c r="IG34" i="1"/>
  <c r="FJ34" i="1"/>
  <c r="BO34" i="1"/>
  <c r="FG34" i="1"/>
  <c r="CP34" i="1"/>
  <c r="AK34" i="1"/>
  <c r="ER34" i="1"/>
  <c r="EL34" i="1"/>
  <c r="S34" i="1"/>
  <c r="FM34" i="1"/>
  <c r="V34" i="1"/>
  <c r="AQ34" i="1"/>
  <c r="EO34" i="1"/>
  <c r="BR34" i="1"/>
  <c r="AE34" i="1"/>
  <c r="GK34" i="1"/>
  <c r="DW34" i="1"/>
  <c r="BF34" i="1"/>
  <c r="AA22" i="58"/>
  <c r="AB22" i="58" s="1"/>
  <c r="AA26" i="58"/>
  <c r="AB26" i="58" s="1"/>
  <c r="AT34" i="1"/>
  <c r="DH34" i="1"/>
  <c r="BU34" i="1"/>
  <c r="GE34" i="1"/>
  <c r="AW34" i="1"/>
  <c r="IA34" i="1"/>
  <c r="GH34" i="1"/>
  <c r="FD34" i="1"/>
  <c r="DQ34" i="1"/>
  <c r="IP34" i="1"/>
  <c r="HC34" i="1"/>
  <c r="HR34" i="1"/>
  <c r="BC34" i="1"/>
  <c r="CM34" i="1"/>
  <c r="GT34" i="1"/>
  <c r="G34" i="1"/>
  <c r="EI34" i="1"/>
  <c r="HO34" i="1"/>
  <c r="EX34" i="1"/>
  <c r="CA34" i="1"/>
  <c r="IM34" i="1"/>
  <c r="IY34" i="1"/>
  <c r="DK34" i="1"/>
  <c r="DZ34" i="1"/>
  <c r="GN34" i="1"/>
  <c r="IS34" i="1"/>
  <c r="DB34" i="1"/>
  <c r="EF34" i="1"/>
  <c r="HX34" i="1"/>
  <c r="HI34" i="1"/>
  <c r="EU34" i="1"/>
  <c r="CD34" i="1"/>
  <c r="HU34" i="1"/>
  <c r="HL34" i="1"/>
  <c r="AA12" i="58"/>
  <c r="AB12" i="58" s="1"/>
  <c r="AA6" i="58"/>
  <c r="AB6" i="58" s="1"/>
  <c r="GZ34" i="1"/>
  <c r="AH34" i="1"/>
  <c r="BX34" i="1"/>
  <c r="FA34" i="1"/>
  <c r="J34" i="1"/>
  <c r="AB34" i="1"/>
  <c r="GW34" i="1"/>
  <c r="DT34" i="1"/>
  <c r="EC34" i="1"/>
  <c r="IV34" i="1"/>
  <c r="GB34" i="1"/>
  <c r="E35" i="2"/>
  <c r="CC35" i="2" s="1"/>
  <c r="X57" i="46"/>
  <c r="AA57" i="46"/>
  <c r="AB57" i="46" s="1"/>
  <c r="AA30" i="46"/>
  <c r="AB30" i="46" s="1"/>
  <c r="X30" i="46"/>
  <c r="W26" i="46"/>
  <c r="W22" i="46"/>
  <c r="W12" i="46"/>
  <c r="E25" i="1"/>
  <c r="HX25" i="1" s="1"/>
  <c r="F20" i="59"/>
  <c r="W6" i="46"/>
  <c r="X25" i="48"/>
  <c r="H20" i="59" s="1"/>
  <c r="C24" i="45"/>
  <c r="AM24" i="45" s="1"/>
  <c r="J25" i="48"/>
  <c r="B20" i="59" s="1"/>
  <c r="I25" i="48"/>
  <c r="X32" i="48"/>
  <c r="H27" i="59" s="1"/>
  <c r="AJ25" i="48"/>
  <c r="D20" i="59" s="1"/>
  <c r="R19" i="48"/>
  <c r="F14" i="59" s="1"/>
  <c r="I45" i="31"/>
  <c r="R11" i="48"/>
  <c r="F6" i="59" s="1"/>
  <c r="FP32" i="1"/>
  <c r="I51" i="31"/>
  <c r="I32" i="48"/>
  <c r="I45" i="12"/>
  <c r="I51" i="12"/>
  <c r="HU32" i="1"/>
  <c r="J10" i="12"/>
  <c r="J10" i="11" s="1"/>
  <c r="J8" i="12"/>
  <c r="J8" i="11" s="1"/>
  <c r="J8" i="10" s="1"/>
  <c r="A14" i="1"/>
  <c r="A15" i="2" s="1"/>
  <c r="J41" i="33"/>
  <c r="J51" i="33"/>
  <c r="K56" i="33"/>
  <c r="DH32" i="1"/>
  <c r="K57" i="33"/>
  <c r="GT32" i="1"/>
  <c r="CV32" i="1"/>
  <c r="BX32" i="1"/>
  <c r="EU32" i="1"/>
  <c r="EL32" i="1"/>
  <c r="AW32" i="1"/>
  <c r="E33" i="2"/>
  <c r="CC33" i="2" s="1"/>
  <c r="FJ32" i="1"/>
  <c r="J31" i="17"/>
  <c r="J31" i="16" s="1"/>
  <c r="J31" i="15" s="1"/>
  <c r="J31" i="14" s="1"/>
  <c r="J31" i="13" s="1"/>
  <c r="J31" i="12" s="1"/>
  <c r="J31" i="11" s="1"/>
  <c r="J31" i="10" s="1"/>
  <c r="J23" i="17"/>
  <c r="J23" i="16" s="1"/>
  <c r="J28" i="17"/>
  <c r="J28" i="16" s="1"/>
  <c r="J28" i="15" s="1"/>
  <c r="J28" i="14" s="1"/>
  <c r="J28" i="13" s="1"/>
  <c r="J27" i="17"/>
  <c r="J27" i="16" s="1"/>
  <c r="J27" i="15" s="1"/>
  <c r="J27" i="14" s="1"/>
  <c r="J27" i="13" s="1"/>
  <c r="J29" i="17"/>
  <c r="J29" i="16" s="1"/>
  <c r="J29" i="15" s="1"/>
  <c r="J29" i="14" s="1"/>
  <c r="J29" i="13" s="1"/>
  <c r="J11" i="16"/>
  <c r="J9" i="17"/>
  <c r="J9" i="16" s="1"/>
  <c r="J9" i="15" s="1"/>
  <c r="J9" i="14" s="1"/>
  <c r="J9" i="13" s="1"/>
  <c r="J30" i="17"/>
  <c r="J30" i="16" s="1"/>
  <c r="J30" i="15" s="1"/>
  <c r="J30" i="14" s="1"/>
  <c r="J30" i="13" s="1"/>
  <c r="J30" i="12" s="1"/>
  <c r="J30" i="11" s="1"/>
  <c r="J30" i="10" s="1"/>
  <c r="J26" i="17"/>
  <c r="J26" i="16" s="1"/>
  <c r="J26" i="15" s="1"/>
  <c r="J25" i="17"/>
  <c r="J25" i="16" s="1"/>
  <c r="J25" i="15" s="1"/>
  <c r="I45" i="22"/>
  <c r="I51" i="22"/>
  <c r="J21" i="20"/>
  <c r="J21" i="19" s="1"/>
  <c r="J21" i="18" s="1"/>
  <c r="J12" i="16"/>
  <c r="J12" i="15" s="1"/>
  <c r="J12" i="14" s="1"/>
  <c r="J12" i="13" s="1"/>
  <c r="J12" i="12" s="1"/>
  <c r="J12" i="11" s="1"/>
  <c r="J22" i="20"/>
  <c r="J22" i="19" s="1"/>
  <c r="J22" i="18" s="1"/>
  <c r="J20" i="20"/>
  <c r="J20" i="19" s="1"/>
  <c r="J20" i="18" s="1"/>
  <c r="J24" i="20"/>
  <c r="J24" i="19" s="1"/>
  <c r="J24" i="18" s="1"/>
  <c r="J19" i="20"/>
  <c r="J19" i="19" s="1"/>
  <c r="J19" i="18" s="1"/>
  <c r="I21" i="48"/>
  <c r="C20" i="45"/>
  <c r="E21" i="1"/>
  <c r="AJ21" i="48"/>
  <c r="D16" i="59" s="1"/>
  <c r="X21" i="48"/>
  <c r="H16" i="59" s="1"/>
  <c r="J21" i="48"/>
  <c r="B16" i="59" s="1"/>
  <c r="J18" i="23"/>
  <c r="J18" i="21" s="1"/>
  <c r="J18" i="22" s="1"/>
  <c r="I45" i="23"/>
  <c r="I51" i="23"/>
  <c r="P36" i="1"/>
  <c r="E44" i="29"/>
  <c r="BL36" i="1"/>
  <c r="FG36" i="1"/>
  <c r="GH36" i="1"/>
  <c r="GW36" i="1"/>
  <c r="AQ36" i="1"/>
  <c r="BR36" i="1"/>
  <c r="FP36" i="1"/>
  <c r="I40" i="33"/>
  <c r="I40" i="29"/>
  <c r="R13" i="48" s="1"/>
  <c r="F8" i="59" s="1"/>
  <c r="K35" i="45"/>
  <c r="HU36" i="1"/>
  <c r="BO36" i="1"/>
  <c r="FY36" i="1"/>
  <c r="W35" i="45"/>
  <c r="IV36" i="1"/>
  <c r="J36" i="1"/>
  <c r="DQ36" i="1"/>
  <c r="EF36" i="1"/>
  <c r="AE35" i="45"/>
  <c r="IA36" i="1"/>
  <c r="JB36" i="1"/>
  <c r="GZ36" i="1"/>
  <c r="CM36" i="1"/>
  <c r="DN36" i="1"/>
  <c r="I45" i="27"/>
  <c r="I51" i="27"/>
  <c r="AI35" i="45"/>
  <c r="FD36" i="1"/>
  <c r="AQ35" i="45"/>
  <c r="IY36" i="1"/>
  <c r="Y36" i="1"/>
  <c r="AN36" i="1"/>
  <c r="EI36" i="1"/>
  <c r="FJ36" i="1"/>
  <c r="DH36" i="1"/>
  <c r="O35" i="45"/>
  <c r="JH36" i="1"/>
  <c r="V36" i="1"/>
  <c r="EC36" i="1"/>
  <c r="IJ36" i="1"/>
  <c r="IM36" i="1"/>
  <c r="M36" i="1"/>
  <c r="DT36" i="1"/>
  <c r="CG36" i="1"/>
  <c r="IG36" i="1"/>
  <c r="DE36" i="1"/>
  <c r="BX36" i="1"/>
  <c r="AK36" i="1"/>
  <c r="ER36" i="1"/>
  <c r="AA35" i="45"/>
  <c r="EU36" i="1"/>
  <c r="FV36" i="1"/>
  <c r="AB36" i="1"/>
  <c r="S35" i="45"/>
  <c r="HO36" i="1"/>
  <c r="IP36" i="1"/>
  <c r="EO36" i="1"/>
  <c r="CP36" i="1"/>
  <c r="GT36" i="1"/>
  <c r="AZ36" i="1"/>
  <c r="BC36" i="1"/>
  <c r="CD36" i="1"/>
  <c r="GK36" i="1"/>
  <c r="DW36" i="1"/>
  <c r="EX36" i="1"/>
  <c r="AW36" i="1"/>
  <c r="HL36" i="1"/>
  <c r="CA36" i="1"/>
  <c r="DB36" i="1"/>
  <c r="HI36" i="1"/>
  <c r="HX36" i="1"/>
  <c r="CS36" i="1"/>
  <c r="AE36" i="1"/>
  <c r="BF36" i="1"/>
  <c r="GE36" i="1"/>
  <c r="E44" i="28"/>
  <c r="FS36" i="1"/>
  <c r="S36" i="1"/>
  <c r="FM36" i="1"/>
  <c r="AT36" i="1"/>
  <c r="G36" i="1"/>
  <c r="FA36" i="1"/>
  <c r="AH36" i="1"/>
  <c r="ID36" i="1"/>
  <c r="GN36" i="1"/>
  <c r="BU36" i="1"/>
  <c r="E37" i="2"/>
  <c r="CC37" i="2" s="1"/>
  <c r="GB36" i="1"/>
  <c r="BI36" i="1"/>
  <c r="HC36" i="1"/>
  <c r="CV36" i="1"/>
  <c r="GQ36" i="1"/>
  <c r="CJ36" i="1"/>
  <c r="HR36" i="1"/>
  <c r="CY36" i="1"/>
  <c r="DZ36" i="1"/>
  <c r="DK36" i="1"/>
  <c r="JE36" i="1"/>
  <c r="EL36" i="1"/>
  <c r="IS36" i="1"/>
  <c r="D44" i="25"/>
  <c r="D44" i="24" s="1"/>
  <c r="D44" i="23" s="1"/>
  <c r="D44" i="21" s="1"/>
  <c r="E44" i="27"/>
  <c r="D43" i="29"/>
  <c r="D43" i="27" s="1"/>
  <c r="D43" i="28" s="1"/>
  <c r="E43" i="28" s="1"/>
  <c r="D40" i="28"/>
  <c r="E40" i="28" s="1"/>
  <c r="E40" i="29"/>
  <c r="E36" i="53"/>
  <c r="E32" i="53"/>
  <c r="E37" i="53"/>
  <c r="E4" i="53"/>
  <c r="E24" i="53"/>
  <c r="E16" i="53"/>
  <c r="E8" i="53"/>
  <c r="E38" i="53"/>
  <c r="E31" i="53"/>
  <c r="E28" i="53"/>
  <c r="E20" i="53"/>
  <c r="E26" i="53"/>
  <c r="E25" i="53"/>
  <c r="E21" i="53"/>
  <c r="E19" i="53"/>
  <c r="E30" i="53"/>
  <c r="E29" i="53"/>
  <c r="E34" i="53"/>
  <c r="E33" i="53"/>
  <c r="E7" i="53"/>
  <c r="E23" i="53"/>
  <c r="E39" i="53"/>
  <c r="E22" i="53"/>
  <c r="E11" i="53"/>
  <c r="E27" i="53"/>
  <c r="E6" i="53"/>
  <c r="E5" i="53"/>
  <c r="E10" i="53"/>
  <c r="E9" i="53"/>
  <c r="E18" i="53"/>
  <c r="E17" i="53"/>
  <c r="E19" i="2"/>
  <c r="CC19" i="2" s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E24" i="2"/>
  <c r="CC24" i="2" s="1"/>
  <c r="JB23" i="1"/>
  <c r="IP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IY23" i="1"/>
  <c r="IM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E39" i="2"/>
  <c r="CC39" i="2" s="1"/>
  <c r="JH38" i="1"/>
  <c r="IV38" i="1"/>
  <c r="IJ38" i="1"/>
  <c r="HX38" i="1"/>
  <c r="HL38" i="1"/>
  <c r="GZ38" i="1"/>
  <c r="GN38" i="1"/>
  <c r="GB38" i="1"/>
  <c r="FP38" i="1"/>
  <c r="FD38" i="1"/>
  <c r="ER38" i="1"/>
  <c r="EF38" i="1"/>
  <c r="DT38" i="1"/>
  <c r="DH38" i="1"/>
  <c r="CV38" i="1"/>
  <c r="CJ38" i="1"/>
  <c r="BX38" i="1"/>
  <c r="BL38" i="1"/>
  <c r="AZ38" i="1"/>
  <c r="AN38" i="1"/>
  <c r="AB38" i="1"/>
  <c r="P38" i="1"/>
  <c r="JE38" i="1"/>
  <c r="IS38" i="1"/>
  <c r="IG38" i="1"/>
  <c r="HU38" i="1"/>
  <c r="HI38" i="1"/>
  <c r="GW38" i="1"/>
  <c r="GK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JB38" i="1"/>
  <c r="IP38" i="1"/>
  <c r="ID38" i="1"/>
  <c r="HR38" i="1"/>
  <c r="HF38" i="1"/>
  <c r="GT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IY38" i="1"/>
  <c r="IM38" i="1"/>
  <c r="IA38" i="1"/>
  <c r="HO38" i="1"/>
  <c r="HC38" i="1"/>
  <c r="GQ38" i="1"/>
  <c r="GE38" i="1"/>
  <c r="FS38" i="1"/>
  <c r="FG38" i="1"/>
  <c r="EU38" i="1"/>
  <c r="EI38" i="1"/>
  <c r="DW38" i="1"/>
  <c r="DK38" i="1"/>
  <c r="CY38" i="1"/>
  <c r="CM38" i="1"/>
  <c r="CA38" i="1"/>
  <c r="BO38" i="1"/>
  <c r="BC38" i="1"/>
  <c r="AQ38" i="1"/>
  <c r="AE38" i="1"/>
  <c r="S38" i="1"/>
  <c r="G38" i="1"/>
  <c r="E34" i="2"/>
  <c r="CC34" i="2" s="1"/>
  <c r="IY33" i="1"/>
  <c r="IM33" i="1"/>
  <c r="IA33" i="1"/>
  <c r="HO33" i="1"/>
  <c r="HC33" i="1"/>
  <c r="GQ33" i="1"/>
  <c r="GE33" i="1"/>
  <c r="FS33" i="1"/>
  <c r="FG33" i="1"/>
  <c r="EU33" i="1"/>
  <c r="EI33" i="1"/>
  <c r="DW33" i="1"/>
  <c r="DK33" i="1"/>
  <c r="CY33" i="1"/>
  <c r="CM33" i="1"/>
  <c r="CA33" i="1"/>
  <c r="BO33" i="1"/>
  <c r="IS33" i="1"/>
  <c r="HR33" i="1"/>
  <c r="GB33" i="1"/>
  <c r="FA33" i="1"/>
  <c r="DZ33" i="1"/>
  <c r="CJ33" i="1"/>
  <c r="BI33" i="1"/>
  <c r="AW33" i="1"/>
  <c r="AK33" i="1"/>
  <c r="Y33" i="1"/>
  <c r="M33" i="1"/>
  <c r="JE33" i="1"/>
  <c r="ID33" i="1"/>
  <c r="GN33" i="1"/>
  <c r="FM33" i="1"/>
  <c r="EL33" i="1"/>
  <c r="CV33" i="1"/>
  <c r="BU33" i="1"/>
  <c r="IP33" i="1"/>
  <c r="GZ33" i="1"/>
  <c r="FY33" i="1"/>
  <c r="EX33" i="1"/>
  <c r="DH33" i="1"/>
  <c r="CG33" i="1"/>
  <c r="BF33" i="1"/>
  <c r="AT33" i="1"/>
  <c r="AH33" i="1"/>
  <c r="V33" i="1"/>
  <c r="J33" i="1"/>
  <c r="JB33" i="1"/>
  <c r="HL33" i="1"/>
  <c r="GK33" i="1"/>
  <c r="FJ33" i="1"/>
  <c r="DT33" i="1"/>
  <c r="CS33" i="1"/>
  <c r="BR33" i="1"/>
  <c r="HX33" i="1"/>
  <c r="GW33" i="1"/>
  <c r="FV33" i="1"/>
  <c r="EF33" i="1"/>
  <c r="DE33" i="1"/>
  <c r="CD33" i="1"/>
  <c r="BC33" i="1"/>
  <c r="AQ33" i="1"/>
  <c r="AE33" i="1"/>
  <c r="S33" i="1"/>
  <c r="G33" i="1"/>
  <c r="IV33" i="1"/>
  <c r="HU33" i="1"/>
  <c r="GT33" i="1"/>
  <c r="FD33" i="1"/>
  <c r="EC33" i="1"/>
  <c r="DB33" i="1"/>
  <c r="BL33" i="1"/>
  <c r="AZ33" i="1"/>
  <c r="AN33" i="1"/>
  <c r="AB33" i="1"/>
  <c r="P33" i="1"/>
  <c r="JH33" i="1"/>
  <c r="IG33" i="1"/>
  <c r="HF33" i="1"/>
  <c r="FP33" i="1"/>
  <c r="EO33" i="1"/>
  <c r="DN33" i="1"/>
  <c r="BX33" i="1"/>
  <c r="CP33" i="1"/>
  <c r="IJ33" i="1"/>
  <c r="HI33" i="1"/>
  <c r="ER33" i="1"/>
  <c r="GH33" i="1"/>
  <c r="DQ33" i="1"/>
  <c r="E25" i="2"/>
  <c r="CC25" i="2" s="1"/>
  <c r="JH24" i="1"/>
  <c r="IV24" i="1"/>
  <c r="IJ24" i="1"/>
  <c r="HX24" i="1"/>
  <c r="HL24" i="1"/>
  <c r="GZ24" i="1"/>
  <c r="GN24" i="1"/>
  <c r="GB24" i="1"/>
  <c r="FP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JE24" i="1"/>
  <c r="IS24" i="1"/>
  <c r="IG24" i="1"/>
  <c r="HU24" i="1"/>
  <c r="HI24" i="1"/>
  <c r="GW24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JB24" i="1"/>
  <c r="IP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Y24" i="1"/>
  <c r="IM24" i="1"/>
  <c r="IA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E16" i="2"/>
  <c r="CC16" i="2" s="1"/>
  <c r="JE15" i="1"/>
  <c r="IS15" i="1"/>
  <c r="IG15" i="1"/>
  <c r="HU15" i="1"/>
  <c r="HI15" i="1"/>
  <c r="GW15" i="1"/>
  <c r="GK15" i="1"/>
  <c r="FY15" i="1"/>
  <c r="FM15" i="1"/>
  <c r="FA15" i="1"/>
  <c r="EO15" i="1"/>
  <c r="EC15" i="1"/>
  <c r="DQ15" i="1"/>
  <c r="DE15" i="1"/>
  <c r="CS15" i="1"/>
  <c r="CG15" i="1"/>
  <c r="BU15" i="1"/>
  <c r="BI15" i="1"/>
  <c r="AW15" i="1"/>
  <c r="Y15" i="1"/>
  <c r="M15" i="1"/>
  <c r="JB15" i="1"/>
  <c r="IP15" i="1"/>
  <c r="ID15" i="1"/>
  <c r="HR15" i="1"/>
  <c r="HF15" i="1"/>
  <c r="GT15" i="1"/>
  <c r="GH15" i="1"/>
  <c r="FV15" i="1"/>
  <c r="FJ15" i="1"/>
  <c r="EX15" i="1"/>
  <c r="EL15" i="1"/>
  <c r="DZ15" i="1"/>
  <c r="DN15" i="1"/>
  <c r="DB15" i="1"/>
  <c r="CP15" i="1"/>
  <c r="CD15" i="1"/>
  <c r="BR15" i="1"/>
  <c r="BF15" i="1"/>
  <c r="AT15" i="1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CM15" i="1"/>
  <c r="CA15" i="1"/>
  <c r="BO15" i="1"/>
  <c r="BC15" i="1"/>
  <c r="AQ15" i="1"/>
  <c r="AE15" i="1"/>
  <c r="S15" i="1"/>
  <c r="G15" i="1"/>
  <c r="JH15" i="1"/>
  <c r="IV15" i="1"/>
  <c r="IJ15" i="1"/>
  <c r="HX15" i="1"/>
  <c r="HL15" i="1"/>
  <c r="GZ15" i="1"/>
  <c r="GN15" i="1"/>
  <c r="GB15" i="1"/>
  <c r="FP15" i="1"/>
  <c r="FD15" i="1"/>
  <c r="ER15" i="1"/>
  <c r="EF15" i="1"/>
  <c r="DT15" i="1"/>
  <c r="DH15" i="1"/>
  <c r="CV15" i="1"/>
  <c r="CJ15" i="1"/>
  <c r="BX15" i="1"/>
  <c r="BL15" i="1"/>
  <c r="AZ15" i="1"/>
  <c r="AN15" i="1"/>
  <c r="AB15" i="1"/>
  <c r="P15" i="1"/>
  <c r="AH15" i="1"/>
  <c r="J15" i="1"/>
  <c r="V15" i="1"/>
  <c r="E29" i="2"/>
  <c r="CC29" i="2" s="1"/>
  <c r="JE28" i="1"/>
  <c r="IS28" i="1"/>
  <c r="IG28" i="1"/>
  <c r="HU28" i="1"/>
  <c r="HI28" i="1"/>
  <c r="GW28" i="1"/>
  <c r="GK28" i="1"/>
  <c r="FY28" i="1"/>
  <c r="FM28" i="1"/>
  <c r="FA28" i="1"/>
  <c r="EO28" i="1"/>
  <c r="EC28" i="1"/>
  <c r="DQ28" i="1"/>
  <c r="DE28" i="1"/>
  <c r="CS28" i="1"/>
  <c r="CG28" i="1"/>
  <c r="BU28" i="1"/>
  <c r="BI28" i="1"/>
  <c r="AW28" i="1"/>
  <c r="AK28" i="1"/>
  <c r="Y28" i="1"/>
  <c r="M28" i="1"/>
  <c r="JH28" i="1"/>
  <c r="IV28" i="1"/>
  <c r="IJ28" i="1"/>
  <c r="HX28" i="1"/>
  <c r="HL28" i="1"/>
  <c r="GZ28" i="1"/>
  <c r="GN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IP28" i="1"/>
  <c r="IA28" i="1"/>
  <c r="GT28" i="1"/>
  <c r="GE28" i="1"/>
  <c r="EX28" i="1"/>
  <c r="EI28" i="1"/>
  <c r="DB28" i="1"/>
  <c r="CM28" i="1"/>
  <c r="BF28" i="1"/>
  <c r="AQ28" i="1"/>
  <c r="J28" i="1"/>
  <c r="JB28" i="1"/>
  <c r="IM28" i="1"/>
  <c r="HF28" i="1"/>
  <c r="GQ28" i="1"/>
  <c r="FJ28" i="1"/>
  <c r="EU28" i="1"/>
  <c r="DN28" i="1"/>
  <c r="CY28" i="1"/>
  <c r="BR28" i="1"/>
  <c r="BC28" i="1"/>
  <c r="V28" i="1"/>
  <c r="G28" i="1"/>
  <c r="IY28" i="1"/>
  <c r="HR28" i="1"/>
  <c r="HC28" i="1"/>
  <c r="FV28" i="1"/>
  <c r="FG28" i="1"/>
  <c r="DZ28" i="1"/>
  <c r="DK28" i="1"/>
  <c r="CD28" i="1"/>
  <c r="BO28" i="1"/>
  <c r="AH28" i="1"/>
  <c r="S28" i="1"/>
  <c r="ID28" i="1"/>
  <c r="HO28" i="1"/>
  <c r="GH28" i="1"/>
  <c r="FS28" i="1"/>
  <c r="EL28" i="1"/>
  <c r="DW28" i="1"/>
  <c r="CP28" i="1"/>
  <c r="CA28" i="1"/>
  <c r="AT28" i="1"/>
  <c r="AE28" i="1"/>
  <c r="E38" i="2"/>
  <c r="CC38" i="2" s="1"/>
  <c r="JE37" i="1"/>
  <c r="IS37" i="1"/>
  <c r="IG37" i="1"/>
  <c r="HU37" i="1"/>
  <c r="HI37" i="1"/>
  <c r="GW37" i="1"/>
  <c r="GK37" i="1"/>
  <c r="FY37" i="1"/>
  <c r="FM37" i="1"/>
  <c r="FA37" i="1"/>
  <c r="EO37" i="1"/>
  <c r="EC37" i="1"/>
  <c r="DQ37" i="1"/>
  <c r="DE37" i="1"/>
  <c r="CS37" i="1"/>
  <c r="CG37" i="1"/>
  <c r="BU37" i="1"/>
  <c r="BI37" i="1"/>
  <c r="AW37" i="1"/>
  <c r="AK37" i="1"/>
  <c r="Y37" i="1"/>
  <c r="M37" i="1"/>
  <c r="JB37" i="1"/>
  <c r="IP37" i="1"/>
  <c r="ID37" i="1"/>
  <c r="HR37" i="1"/>
  <c r="HF37" i="1"/>
  <c r="GT37" i="1"/>
  <c r="GH37" i="1"/>
  <c r="FV37" i="1"/>
  <c r="FJ37" i="1"/>
  <c r="EX37" i="1"/>
  <c r="EL37" i="1"/>
  <c r="DZ37" i="1"/>
  <c r="DN37" i="1"/>
  <c r="DB37" i="1"/>
  <c r="CP37" i="1"/>
  <c r="CD37" i="1"/>
  <c r="BR37" i="1"/>
  <c r="BF37" i="1"/>
  <c r="AT37" i="1"/>
  <c r="AH37" i="1"/>
  <c r="V37" i="1"/>
  <c r="J37" i="1"/>
  <c r="IY37" i="1"/>
  <c r="IM37" i="1"/>
  <c r="IA37" i="1"/>
  <c r="HO37" i="1"/>
  <c r="HC37" i="1"/>
  <c r="GQ37" i="1"/>
  <c r="GE37" i="1"/>
  <c r="FS37" i="1"/>
  <c r="FG37" i="1"/>
  <c r="EU37" i="1"/>
  <c r="EI37" i="1"/>
  <c r="DW37" i="1"/>
  <c r="DK37" i="1"/>
  <c r="CY37" i="1"/>
  <c r="CM37" i="1"/>
  <c r="CA37" i="1"/>
  <c r="BO37" i="1"/>
  <c r="BC37" i="1"/>
  <c r="AQ37" i="1"/>
  <c r="AE37" i="1"/>
  <c r="S37" i="1"/>
  <c r="G37" i="1"/>
  <c r="JH37" i="1"/>
  <c r="IV37" i="1"/>
  <c r="IJ37" i="1"/>
  <c r="HX37" i="1"/>
  <c r="HL37" i="1"/>
  <c r="GZ37" i="1"/>
  <c r="GN37" i="1"/>
  <c r="GB37" i="1"/>
  <c r="FP37" i="1"/>
  <c r="FD37" i="1"/>
  <c r="ER37" i="1"/>
  <c r="EF37" i="1"/>
  <c r="DT37" i="1"/>
  <c r="DH37" i="1"/>
  <c r="CV37" i="1"/>
  <c r="CJ37" i="1"/>
  <c r="BX37" i="1"/>
  <c r="BL37" i="1"/>
  <c r="AZ37" i="1"/>
  <c r="AN37" i="1"/>
  <c r="AB37" i="1"/>
  <c r="P37" i="1"/>
  <c r="E27" i="2"/>
  <c r="CC27" i="2" s="1"/>
  <c r="JH26" i="1"/>
  <c r="IV26" i="1"/>
  <c r="IJ26" i="1"/>
  <c r="HX26" i="1"/>
  <c r="HL26" i="1"/>
  <c r="GZ26" i="1"/>
  <c r="GN26" i="1"/>
  <c r="GB26" i="1"/>
  <c r="FP26" i="1"/>
  <c r="FD26" i="1"/>
  <c r="IY26" i="1"/>
  <c r="IM26" i="1"/>
  <c r="IA26" i="1"/>
  <c r="HO26" i="1"/>
  <c r="HC26" i="1"/>
  <c r="GQ26" i="1"/>
  <c r="GE26" i="1"/>
  <c r="FS26" i="1"/>
  <c r="FG26" i="1"/>
  <c r="EU26" i="1"/>
  <c r="IS26" i="1"/>
  <c r="ID26" i="1"/>
  <c r="GW26" i="1"/>
  <c r="GH26" i="1"/>
  <c r="FA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JE26" i="1"/>
  <c r="IP26" i="1"/>
  <c r="HI26" i="1"/>
  <c r="GT26" i="1"/>
  <c r="FM26" i="1"/>
  <c r="EX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JB26" i="1"/>
  <c r="HU26" i="1"/>
  <c r="HF26" i="1"/>
  <c r="FY26" i="1"/>
  <c r="FJ26" i="1"/>
  <c r="ER26" i="1"/>
  <c r="EF26" i="1"/>
  <c r="DT26" i="1"/>
  <c r="DH26" i="1"/>
  <c r="CV26" i="1"/>
  <c r="CJ26" i="1"/>
  <c r="BX26" i="1"/>
  <c r="BL26" i="1"/>
  <c r="AZ26" i="1"/>
  <c r="AN26" i="1"/>
  <c r="AB26" i="1"/>
  <c r="P26" i="1"/>
  <c r="IG26" i="1"/>
  <c r="HR26" i="1"/>
  <c r="GK26" i="1"/>
  <c r="FV26" i="1"/>
  <c r="EO26" i="1"/>
  <c r="EC26" i="1"/>
  <c r="DQ26" i="1"/>
  <c r="DE26" i="1"/>
  <c r="CS26" i="1"/>
  <c r="CG26" i="1"/>
  <c r="BU26" i="1"/>
  <c r="BI26" i="1"/>
  <c r="AW26" i="1"/>
  <c r="AK26" i="1"/>
  <c r="Y26" i="1"/>
  <c r="M26" i="1"/>
  <c r="E36" i="2"/>
  <c r="CC36" i="2" s="1"/>
  <c r="JH35" i="1"/>
  <c r="IV35" i="1"/>
  <c r="IJ35" i="1"/>
  <c r="HX35" i="1"/>
  <c r="HL35" i="1"/>
  <c r="GZ35" i="1"/>
  <c r="GN35" i="1"/>
  <c r="GB35" i="1"/>
  <c r="FP35" i="1"/>
  <c r="FD35" i="1"/>
  <c r="ER35" i="1"/>
  <c r="EF35" i="1"/>
  <c r="DT35" i="1"/>
  <c r="DH35" i="1"/>
  <c r="CV35" i="1"/>
  <c r="CJ35" i="1"/>
  <c r="BX35" i="1"/>
  <c r="BL35" i="1"/>
  <c r="AZ35" i="1"/>
  <c r="AN35" i="1"/>
  <c r="AB35" i="1"/>
  <c r="P35" i="1"/>
  <c r="JE35" i="1"/>
  <c r="IS35" i="1"/>
  <c r="IG35" i="1"/>
  <c r="HU35" i="1"/>
  <c r="HI35" i="1"/>
  <c r="GW35" i="1"/>
  <c r="GK35" i="1"/>
  <c r="FY35" i="1"/>
  <c r="FM35" i="1"/>
  <c r="FA35" i="1"/>
  <c r="EO35" i="1"/>
  <c r="EC35" i="1"/>
  <c r="DQ35" i="1"/>
  <c r="DE35" i="1"/>
  <c r="CS35" i="1"/>
  <c r="CG35" i="1"/>
  <c r="BU35" i="1"/>
  <c r="BI35" i="1"/>
  <c r="AW35" i="1"/>
  <c r="AK35" i="1"/>
  <c r="Y35" i="1"/>
  <c r="M35" i="1"/>
  <c r="JB35" i="1"/>
  <c r="IP35" i="1"/>
  <c r="ID35" i="1"/>
  <c r="HR35" i="1"/>
  <c r="HF35" i="1"/>
  <c r="GT35" i="1"/>
  <c r="GH35" i="1"/>
  <c r="FV35" i="1"/>
  <c r="FJ35" i="1"/>
  <c r="EX35" i="1"/>
  <c r="EL35" i="1"/>
  <c r="DZ35" i="1"/>
  <c r="DN35" i="1"/>
  <c r="DB35" i="1"/>
  <c r="CP35" i="1"/>
  <c r="CD35" i="1"/>
  <c r="BR35" i="1"/>
  <c r="BF35" i="1"/>
  <c r="AT35" i="1"/>
  <c r="AH35" i="1"/>
  <c r="V35" i="1"/>
  <c r="J35" i="1"/>
  <c r="IY35" i="1"/>
  <c r="IM35" i="1"/>
  <c r="IA35" i="1"/>
  <c r="HO35" i="1"/>
  <c r="HC35" i="1"/>
  <c r="GQ35" i="1"/>
  <c r="GE35" i="1"/>
  <c r="FS35" i="1"/>
  <c r="FG35" i="1"/>
  <c r="EU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E28" i="2"/>
  <c r="CC28" i="2" s="1"/>
  <c r="JB27" i="1"/>
  <c r="IP27" i="1"/>
  <c r="ID27" i="1"/>
  <c r="HR27" i="1"/>
  <c r="HF27" i="1"/>
  <c r="GT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IY27" i="1"/>
  <c r="IM27" i="1"/>
  <c r="IA27" i="1"/>
  <c r="HO27" i="1"/>
  <c r="HC27" i="1"/>
  <c r="GQ27" i="1"/>
  <c r="GE27" i="1"/>
  <c r="FS27" i="1"/>
  <c r="FG27" i="1"/>
  <c r="EU27" i="1"/>
  <c r="EI27" i="1"/>
  <c r="DW27" i="1"/>
  <c r="DK27" i="1"/>
  <c r="CY27" i="1"/>
  <c r="CM27" i="1"/>
  <c r="CA27" i="1"/>
  <c r="BO27" i="1"/>
  <c r="BC27" i="1"/>
  <c r="AQ27" i="1"/>
  <c r="JH27" i="1"/>
  <c r="IV27" i="1"/>
  <c r="IJ27" i="1"/>
  <c r="HX27" i="1"/>
  <c r="HL27" i="1"/>
  <c r="GZ27" i="1"/>
  <c r="GN27" i="1"/>
  <c r="GB27" i="1"/>
  <c r="FP27" i="1"/>
  <c r="FD27" i="1"/>
  <c r="ER27" i="1"/>
  <c r="EF27" i="1"/>
  <c r="DT27" i="1"/>
  <c r="DH27" i="1"/>
  <c r="CV27" i="1"/>
  <c r="CJ27" i="1"/>
  <c r="BL27" i="1"/>
  <c r="AZ27" i="1"/>
  <c r="AN27" i="1"/>
  <c r="AB27" i="1"/>
  <c r="P27" i="1"/>
  <c r="JE27" i="1"/>
  <c r="IS27" i="1"/>
  <c r="IG27" i="1"/>
  <c r="HU27" i="1"/>
  <c r="HI27" i="1"/>
  <c r="GW27" i="1"/>
  <c r="GK27" i="1"/>
  <c r="FY27" i="1"/>
  <c r="FM27" i="1"/>
  <c r="FA27" i="1"/>
  <c r="EO27" i="1"/>
  <c r="EC27" i="1"/>
  <c r="DQ27" i="1"/>
  <c r="DE27" i="1"/>
  <c r="CS27" i="1"/>
  <c r="CG27" i="1"/>
  <c r="BU27" i="1"/>
  <c r="BI27" i="1"/>
  <c r="AW27" i="1"/>
  <c r="AK27" i="1"/>
  <c r="Y27" i="1"/>
  <c r="M27" i="1"/>
  <c r="AE27" i="1"/>
  <c r="G27" i="1"/>
  <c r="S27" i="1"/>
  <c r="E23" i="2"/>
  <c r="CC23" i="2" s="1"/>
  <c r="IY22" i="1"/>
  <c r="IM22" i="1"/>
  <c r="IA22" i="1"/>
  <c r="HO22" i="1"/>
  <c r="HC22" i="1"/>
  <c r="GQ22" i="1"/>
  <c r="GE22" i="1"/>
  <c r="FS22" i="1"/>
  <c r="FG22" i="1"/>
  <c r="EU22" i="1"/>
  <c r="EI22" i="1"/>
  <c r="DW22" i="1"/>
  <c r="DK22" i="1"/>
  <c r="CY22" i="1"/>
  <c r="CM22" i="1"/>
  <c r="CA22" i="1"/>
  <c r="BO22" i="1"/>
  <c r="BC22" i="1"/>
  <c r="AQ22" i="1"/>
  <c r="AE22" i="1"/>
  <c r="S22" i="1"/>
  <c r="G22" i="1"/>
  <c r="JH22" i="1"/>
  <c r="IV22" i="1"/>
  <c r="IJ22" i="1"/>
  <c r="HX22" i="1"/>
  <c r="HL22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B22" i="1"/>
  <c r="IP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V22" i="1"/>
  <c r="J22" i="1"/>
  <c r="GN22" i="1"/>
  <c r="CV22" i="1"/>
  <c r="EF22" i="1"/>
  <c r="AN22" i="1"/>
  <c r="FP22" i="1"/>
  <c r="BX22" i="1"/>
  <c r="GZ22" i="1"/>
  <c r="DH22" i="1"/>
  <c r="P22" i="1"/>
  <c r="ER22" i="1"/>
  <c r="AZ22" i="1"/>
  <c r="GB22" i="1"/>
  <c r="CJ22" i="1"/>
  <c r="DT22" i="1"/>
  <c r="AB22" i="1"/>
  <c r="FD22" i="1"/>
  <c r="BL22" i="1"/>
  <c r="E30" i="2"/>
  <c r="CC30" i="2" s="1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H29" i="1"/>
  <c r="IV29" i="1"/>
  <c r="IJ29" i="1"/>
  <c r="HX29" i="1"/>
  <c r="HL29" i="1"/>
  <c r="GZ29" i="1"/>
  <c r="GN29" i="1"/>
  <c r="GB29" i="1"/>
  <c r="FP29" i="1"/>
  <c r="FD29" i="1"/>
  <c r="ER29" i="1"/>
  <c r="EF29" i="1"/>
  <c r="DT29" i="1"/>
  <c r="DH29" i="1"/>
  <c r="CV29" i="1"/>
  <c r="CJ29" i="1"/>
  <c r="BX29" i="1"/>
  <c r="BL29" i="1"/>
  <c r="AZ29" i="1"/>
  <c r="AN29" i="1"/>
  <c r="AB29" i="1"/>
  <c r="P29" i="1"/>
  <c r="JE29" i="1"/>
  <c r="IS29" i="1"/>
  <c r="IG29" i="1"/>
  <c r="HU29" i="1"/>
  <c r="HI29" i="1"/>
  <c r="GW29" i="1"/>
  <c r="GK29" i="1"/>
  <c r="FY29" i="1"/>
  <c r="FM29" i="1"/>
  <c r="FA29" i="1"/>
  <c r="EO29" i="1"/>
  <c r="EC29" i="1"/>
  <c r="DQ29" i="1"/>
  <c r="DE29" i="1"/>
  <c r="CS29" i="1"/>
  <c r="CG29" i="1"/>
  <c r="BU29" i="1"/>
  <c r="BI29" i="1"/>
  <c r="AW29" i="1"/>
  <c r="AK29" i="1"/>
  <c r="Y29" i="1"/>
  <c r="M29" i="1"/>
  <c r="JB29" i="1"/>
  <c r="IP29" i="1"/>
  <c r="ID29" i="1"/>
  <c r="HR29" i="1"/>
  <c r="HF29" i="1"/>
  <c r="GT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M34" i="31"/>
  <c r="M34" i="32"/>
  <c r="I40" i="32"/>
  <c r="R10" i="48" s="1"/>
  <c r="F5" i="59" s="1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U154" i="46"/>
  <c r="M34" i="30"/>
  <c r="E41" i="29"/>
  <c r="C154" i="46"/>
  <c r="M34" i="29"/>
  <c r="E41" i="30"/>
  <c r="E51" i="30"/>
  <c r="E49" i="30"/>
  <c r="D49" i="27"/>
  <c r="E49" i="27" s="1"/>
  <c r="M34" i="27"/>
  <c r="CC18" i="2"/>
  <c r="O34" i="45"/>
  <c r="S34" i="45"/>
  <c r="AI34" i="45"/>
  <c r="AE34" i="45"/>
  <c r="AA34" i="45"/>
  <c r="AQ34" i="45"/>
  <c r="W34" i="45"/>
  <c r="K34" i="45"/>
  <c r="AM34" i="45"/>
  <c r="I40" i="11"/>
  <c r="R31" i="48" s="1"/>
  <c r="F26" i="59" s="1"/>
  <c r="K154" i="46"/>
  <c r="AC6" i="46"/>
  <c r="T154" i="46"/>
  <c r="AM26" i="45"/>
  <c r="W26" i="45"/>
  <c r="K26" i="45"/>
  <c r="O26" i="45"/>
  <c r="S26" i="45"/>
  <c r="AQ26" i="45"/>
  <c r="AA26" i="45"/>
  <c r="AE26" i="45"/>
  <c r="AI26" i="45"/>
  <c r="AI25" i="45"/>
  <c r="K25" i="45"/>
  <c r="W25" i="45"/>
  <c r="AE25" i="45"/>
  <c r="AA25" i="45"/>
  <c r="O25" i="45"/>
  <c r="AM25" i="45"/>
  <c r="S25" i="45"/>
  <c r="AQ25" i="45"/>
  <c r="AQ14" i="45"/>
  <c r="AM14" i="45"/>
  <c r="AI14" i="45"/>
  <c r="AE14" i="45"/>
  <c r="W14" i="45"/>
  <c r="S14" i="45"/>
  <c r="K14" i="45"/>
  <c r="O14" i="45"/>
  <c r="AA14" i="45"/>
  <c r="S17" i="45"/>
  <c r="AI17" i="45"/>
  <c r="AA17" i="45"/>
  <c r="K17" i="45"/>
  <c r="O17" i="45"/>
  <c r="W17" i="45"/>
  <c r="AE17" i="45"/>
  <c r="AM17" i="45"/>
  <c r="AQ17" i="45"/>
  <c r="AM32" i="45"/>
  <c r="AI32" i="45"/>
  <c r="S32" i="45"/>
  <c r="AE32" i="45"/>
  <c r="AQ32" i="45"/>
  <c r="O32" i="45"/>
  <c r="W32" i="45"/>
  <c r="AA32" i="45"/>
  <c r="K32" i="45"/>
  <c r="AI28" i="45"/>
  <c r="AE28" i="45"/>
  <c r="S28" i="45"/>
  <c r="W28" i="45"/>
  <c r="K28" i="45"/>
  <c r="AQ28" i="45"/>
  <c r="AA28" i="45"/>
  <c r="O28" i="45"/>
  <c r="AM28" i="45"/>
  <c r="I40" i="30"/>
  <c r="R12" i="48" s="1"/>
  <c r="F7" i="59" s="1"/>
  <c r="D51" i="27"/>
  <c r="D51" i="28" s="1"/>
  <c r="E48" i="26"/>
  <c r="D52" i="30"/>
  <c r="D53" i="30" s="1"/>
  <c r="E52" i="31"/>
  <c r="E53" i="31" s="1"/>
  <c r="E45" i="27"/>
  <c r="D45" i="28"/>
  <c r="E50" i="27"/>
  <c r="E42" i="29"/>
  <c r="D42" i="27"/>
  <c r="D39" i="27"/>
  <c r="AA35" i="58" s="1"/>
  <c r="AB35" i="58" s="1"/>
  <c r="E39" i="29"/>
  <c r="D48" i="24"/>
  <c r="E48" i="25"/>
  <c r="D47" i="27"/>
  <c r="E47" i="29"/>
  <c r="E46" i="29"/>
  <c r="D46" i="27"/>
  <c r="AQ37" i="45"/>
  <c r="AE37" i="45"/>
  <c r="AA37" i="45"/>
  <c r="AI37" i="45"/>
  <c r="AM37" i="45"/>
  <c r="W37" i="45"/>
  <c r="S37" i="45"/>
  <c r="K37" i="45"/>
  <c r="O37" i="45"/>
  <c r="AI23" i="45"/>
  <c r="S23" i="45"/>
  <c r="O23" i="45"/>
  <c r="W23" i="45"/>
  <c r="AE23" i="45"/>
  <c r="AM23" i="45"/>
  <c r="K23" i="45"/>
  <c r="AA23" i="45"/>
  <c r="AQ23" i="45"/>
  <c r="S36" i="45"/>
  <c r="AA36" i="45"/>
  <c r="W36" i="45"/>
  <c r="K36" i="45"/>
  <c r="AE36" i="45"/>
  <c r="AM36" i="45"/>
  <c r="O36" i="45"/>
  <c r="AI36" i="45"/>
  <c r="AQ36" i="45"/>
  <c r="W21" i="45"/>
  <c r="AA21" i="45"/>
  <c r="AE21" i="45"/>
  <c r="S21" i="45"/>
  <c r="AM21" i="45"/>
  <c r="K21" i="45"/>
  <c r="AI21" i="45"/>
  <c r="AQ21" i="45"/>
  <c r="O21" i="45"/>
  <c r="AE27" i="45"/>
  <c r="S27" i="45"/>
  <c r="K27" i="45"/>
  <c r="AQ27" i="45"/>
  <c r="AI27" i="45"/>
  <c r="O27" i="45"/>
  <c r="AM27" i="45"/>
  <c r="AA27" i="45"/>
  <c r="W27" i="45"/>
  <c r="D50" i="26"/>
  <c r="E50" i="28"/>
  <c r="J37" i="30"/>
  <c r="J39" i="31"/>
  <c r="Q14" i="48"/>
  <c r="W13" i="48"/>
  <c r="J43" i="27"/>
  <c r="J44" i="29"/>
  <c r="M7" i="26"/>
  <c r="M34" i="28"/>
  <c r="D38" i="27"/>
  <c r="E38" i="29"/>
  <c r="E41" i="27"/>
  <c r="D41" i="28"/>
  <c r="J56" i="22"/>
  <c r="J57" i="26"/>
  <c r="J57" i="15"/>
  <c r="J49" i="27"/>
  <c r="J50" i="29"/>
  <c r="BR32" i="1" l="1"/>
  <c r="FS32" i="1"/>
  <c r="DT32" i="1"/>
  <c r="AT32" i="1"/>
  <c r="BC32" i="1"/>
  <c r="FM32" i="1"/>
  <c r="FD32" i="1"/>
  <c r="DB32" i="1"/>
  <c r="HC32" i="1"/>
  <c r="GW32" i="1"/>
  <c r="AK32" i="1"/>
  <c r="GN32" i="1"/>
  <c r="CA32" i="1"/>
  <c r="HI32" i="1"/>
  <c r="ER32" i="1"/>
  <c r="HR32" i="1"/>
  <c r="IA32" i="1"/>
  <c r="IS32" i="1"/>
  <c r="J32" i="1"/>
  <c r="DK32" i="1"/>
  <c r="M32" i="1"/>
  <c r="CY32" i="1"/>
  <c r="IV32" i="1"/>
  <c r="IP32" i="1"/>
  <c r="Y32" i="1"/>
  <c r="GZ32" i="1"/>
  <c r="DZ32" i="1"/>
  <c r="EI32" i="1"/>
  <c r="BI32" i="1"/>
  <c r="CG32" i="1"/>
  <c r="S32" i="1"/>
  <c r="CJ32" i="1"/>
  <c r="JE32" i="1"/>
  <c r="BL32" i="1"/>
  <c r="EX32" i="1"/>
  <c r="IY32" i="1"/>
  <c r="P32" i="1"/>
  <c r="AH32" i="1"/>
  <c r="AQ32" i="1"/>
  <c r="EF32" i="1"/>
  <c r="EO32" i="1"/>
  <c r="GH32" i="1"/>
  <c r="G32" i="1"/>
  <c r="FA32" i="1"/>
  <c r="BF32" i="1"/>
  <c r="FG32" i="1"/>
  <c r="DE32" i="1"/>
  <c r="EC32" i="1"/>
  <c r="HF32" i="1"/>
  <c r="HO32" i="1"/>
  <c r="HL32" i="1"/>
  <c r="CP32" i="1"/>
  <c r="BU32" i="1"/>
  <c r="CM32" i="1"/>
  <c r="HX32" i="1"/>
  <c r="FY32" i="1"/>
  <c r="BO32" i="1"/>
  <c r="GB32" i="1"/>
  <c r="GK32" i="1"/>
  <c r="DN32" i="1"/>
  <c r="DW32" i="1"/>
  <c r="AB32" i="1"/>
  <c r="IJ32" i="1"/>
  <c r="FV32" i="1"/>
  <c r="GQ32" i="1"/>
  <c r="JB32" i="1"/>
  <c r="AN32" i="1"/>
  <c r="IG32" i="1"/>
  <c r="ID32" i="1"/>
  <c r="IM32" i="1"/>
  <c r="JH32" i="1"/>
  <c r="V32" i="1"/>
  <c r="AE32" i="1"/>
  <c r="DQ32" i="1"/>
  <c r="AZ32" i="1"/>
  <c r="CD32" i="1"/>
  <c r="CS32" i="1"/>
  <c r="X154" i="58"/>
  <c r="AI31" i="45"/>
  <c r="AM31" i="45"/>
  <c r="AA111" i="58"/>
  <c r="AB111" i="58" s="1"/>
  <c r="X111" i="46"/>
  <c r="AA111" i="46"/>
  <c r="AB111" i="46" s="1"/>
  <c r="CM25" i="1"/>
  <c r="GE25" i="1"/>
  <c r="AT25" i="1"/>
  <c r="P25" i="1"/>
  <c r="ER25" i="1"/>
  <c r="CP25" i="1"/>
  <c r="AE25" i="1"/>
  <c r="J25" i="1"/>
  <c r="CJ25" i="1"/>
  <c r="BR25" i="1"/>
  <c r="DB25" i="1"/>
  <c r="GB25" i="1"/>
  <c r="FJ25" i="1"/>
  <c r="FS25" i="1"/>
  <c r="GH25" i="1"/>
  <c r="IM25" i="1"/>
  <c r="DN25" i="1"/>
  <c r="GN25" i="1"/>
  <c r="AW25" i="1"/>
  <c r="HC25" i="1"/>
  <c r="AA31" i="45"/>
  <c r="AQ31" i="45"/>
  <c r="K31" i="45"/>
  <c r="S31" i="45"/>
  <c r="HU25" i="1"/>
  <c r="BO25" i="1"/>
  <c r="CV25" i="1"/>
  <c r="O31" i="45"/>
  <c r="CA25" i="1"/>
  <c r="IS25" i="1"/>
  <c r="FY25" i="1"/>
  <c r="W31" i="45"/>
  <c r="DH25" i="1"/>
  <c r="HL25" i="1"/>
  <c r="GT25" i="1"/>
  <c r="HF25" i="1"/>
  <c r="HI25" i="1"/>
  <c r="G25" i="1"/>
  <c r="BU25" i="1"/>
  <c r="GZ25" i="1"/>
  <c r="AQ25" i="1"/>
  <c r="EI25" i="1"/>
  <c r="BL25" i="1"/>
  <c r="EO25" i="1"/>
  <c r="AH25" i="1"/>
  <c r="FG25" i="1"/>
  <c r="DK25" i="1"/>
  <c r="ID25" i="1"/>
  <c r="CD25" i="1"/>
  <c r="FD25" i="1"/>
  <c r="IG25" i="1"/>
  <c r="BI25" i="1"/>
  <c r="EL25" i="1"/>
  <c r="BF25" i="1"/>
  <c r="JE25" i="1"/>
  <c r="FV25" i="1"/>
  <c r="IV25" i="1"/>
  <c r="BX25" i="1"/>
  <c r="FA25" i="1"/>
  <c r="FM25" i="1"/>
  <c r="EX25" i="1"/>
  <c r="S25" i="1"/>
  <c r="EU25" i="1"/>
  <c r="GK25" i="1"/>
  <c r="M25" i="1"/>
  <c r="DW25" i="1"/>
  <c r="AB25" i="1"/>
  <c r="DE25" i="1"/>
  <c r="IJ25" i="1"/>
  <c r="DT25" i="1"/>
  <c r="GW25" i="1"/>
  <c r="BC25" i="1"/>
  <c r="AJ19" i="48"/>
  <c r="D14" i="59" s="1"/>
  <c r="C18" i="45"/>
  <c r="AE18" i="45" s="1"/>
  <c r="J19" i="48"/>
  <c r="B14" i="59" s="1"/>
  <c r="AA35" i="46"/>
  <c r="AB35" i="46" s="1"/>
  <c r="X26" i="46"/>
  <c r="AA26" i="46"/>
  <c r="AB26" i="46" s="1"/>
  <c r="AN25" i="1"/>
  <c r="E19" i="1"/>
  <c r="GZ19" i="1" s="1"/>
  <c r="AK25" i="1"/>
  <c r="E26" i="2"/>
  <c r="CC26" i="2" s="1"/>
  <c r="FP25" i="1"/>
  <c r="DZ25" i="1"/>
  <c r="CY25" i="1"/>
  <c r="AZ25" i="1"/>
  <c r="IP25" i="1"/>
  <c r="HO25" i="1"/>
  <c r="JB25" i="1"/>
  <c r="IA25" i="1"/>
  <c r="EF25" i="1"/>
  <c r="I19" i="48"/>
  <c r="EC25" i="1"/>
  <c r="V25" i="1"/>
  <c r="JH25" i="1"/>
  <c r="HR25" i="1"/>
  <c r="GQ25" i="1"/>
  <c r="IY25" i="1"/>
  <c r="CG25" i="1"/>
  <c r="DQ25" i="1"/>
  <c r="CS25" i="1"/>
  <c r="Y25" i="1"/>
  <c r="X22" i="46"/>
  <c r="AA22" i="46"/>
  <c r="AB22" i="46" s="1"/>
  <c r="X11" i="48"/>
  <c r="H6" i="59" s="1"/>
  <c r="AJ11" i="48"/>
  <c r="D6" i="59" s="1"/>
  <c r="C10" i="45"/>
  <c r="W10" i="45" s="1"/>
  <c r="E11" i="1"/>
  <c r="HU11" i="1" s="1"/>
  <c r="J11" i="48"/>
  <c r="B6" i="59" s="1"/>
  <c r="I11" i="48"/>
  <c r="X12" i="46"/>
  <c r="AA12" i="46"/>
  <c r="AB12" i="46" s="1"/>
  <c r="A15" i="1"/>
  <c r="A16" i="2" s="1"/>
  <c r="AA24" i="45"/>
  <c r="AQ24" i="45"/>
  <c r="O24" i="45"/>
  <c r="AE24" i="45"/>
  <c r="X19" i="48"/>
  <c r="H14" i="59" s="1"/>
  <c r="S24" i="45"/>
  <c r="K24" i="45"/>
  <c r="J11" i="15"/>
  <c r="J11" i="14" s="1"/>
  <c r="J11" i="13" s="1"/>
  <c r="J11" i="12" s="1"/>
  <c r="J11" i="11" s="1"/>
  <c r="AI24" i="45"/>
  <c r="W24" i="45"/>
  <c r="AJ20" i="48"/>
  <c r="D15" i="59" s="1"/>
  <c r="J20" i="48"/>
  <c r="B15" i="59" s="1"/>
  <c r="I20" i="48"/>
  <c r="X20" i="48"/>
  <c r="H15" i="59" s="1"/>
  <c r="C19" i="45"/>
  <c r="E20" i="1"/>
  <c r="I45" i="33"/>
  <c r="R9" i="48"/>
  <c r="F4" i="59" s="1"/>
  <c r="J30" i="9"/>
  <c r="J30" i="8" s="1"/>
  <c r="J30" i="7" s="1"/>
  <c r="J30" i="6" s="1"/>
  <c r="J30" i="37" s="1"/>
  <c r="J30" i="4" s="1"/>
  <c r="J30" i="43" s="1"/>
  <c r="J8" i="9"/>
  <c r="J8" i="8" s="1"/>
  <c r="J8" i="7" s="1"/>
  <c r="J8" i="6" s="1"/>
  <c r="J8" i="37" s="1"/>
  <c r="J8" i="4" s="1"/>
  <c r="J8" i="43" s="1"/>
  <c r="J31" i="9"/>
  <c r="J31" i="8" s="1"/>
  <c r="J31" i="7" s="1"/>
  <c r="J31" i="6" s="1"/>
  <c r="J31" i="37" s="1"/>
  <c r="J31" i="4" s="1"/>
  <c r="J31" i="43" s="1"/>
  <c r="J10" i="10"/>
  <c r="AJ30" i="48"/>
  <c r="D25" i="59" s="1"/>
  <c r="X30" i="48"/>
  <c r="H25" i="59" s="1"/>
  <c r="I30" i="48"/>
  <c r="E30" i="1"/>
  <c r="J30" i="48"/>
  <c r="B25" i="59" s="1"/>
  <c r="C29" i="45"/>
  <c r="CV19" i="1"/>
  <c r="J9" i="12"/>
  <c r="J9" i="11" s="1"/>
  <c r="J9" i="10" s="1"/>
  <c r="CS19" i="1"/>
  <c r="J29" i="12"/>
  <c r="J29" i="11" s="1"/>
  <c r="J29" i="10" s="1"/>
  <c r="J27" i="12"/>
  <c r="J27" i="11" s="1"/>
  <c r="J27" i="10" s="1"/>
  <c r="J28" i="12"/>
  <c r="J28" i="11" s="1"/>
  <c r="J28" i="10" s="1"/>
  <c r="J25" i="14"/>
  <c r="J25" i="13" s="1"/>
  <c r="J26" i="14"/>
  <c r="J26" i="13" s="1"/>
  <c r="J23" i="15"/>
  <c r="J17" i="16"/>
  <c r="J17" i="15" s="1"/>
  <c r="J17" i="14" s="1"/>
  <c r="J17" i="13" s="1"/>
  <c r="J19" i="17"/>
  <c r="J19" i="16" s="1"/>
  <c r="J21" i="17"/>
  <c r="J21" i="16" s="1"/>
  <c r="J24" i="17"/>
  <c r="J24" i="16" s="1"/>
  <c r="J13" i="16"/>
  <c r="J13" i="15" s="1"/>
  <c r="J13" i="14" s="1"/>
  <c r="J13" i="13" s="1"/>
  <c r="J13" i="12" s="1"/>
  <c r="J13" i="11" s="1"/>
  <c r="J13" i="10" s="1"/>
  <c r="J13" i="9" s="1"/>
  <c r="J13" i="8" s="1"/>
  <c r="J13" i="7" s="1"/>
  <c r="J15" i="16"/>
  <c r="J15" i="15" s="1"/>
  <c r="J15" i="14" s="1"/>
  <c r="J15" i="13" s="1"/>
  <c r="J15" i="12" s="1"/>
  <c r="J15" i="11" s="1"/>
  <c r="J15" i="10" s="1"/>
  <c r="J15" i="9" s="1"/>
  <c r="J15" i="8" s="1"/>
  <c r="J15" i="7" s="1"/>
  <c r="J20" i="17"/>
  <c r="J20" i="16" s="1"/>
  <c r="J22" i="17"/>
  <c r="J22" i="16" s="1"/>
  <c r="J22" i="15" s="1"/>
  <c r="J16" i="16"/>
  <c r="J16" i="15" s="1"/>
  <c r="J16" i="14" s="1"/>
  <c r="J16" i="13" s="1"/>
  <c r="J16" i="12" s="1"/>
  <c r="J16" i="11" s="1"/>
  <c r="J16" i="10" s="1"/>
  <c r="J16" i="9" s="1"/>
  <c r="J16" i="8" s="1"/>
  <c r="J16" i="7" s="1"/>
  <c r="CG19" i="1"/>
  <c r="HX19" i="1"/>
  <c r="FM19" i="1"/>
  <c r="BR19" i="1"/>
  <c r="CA19" i="1"/>
  <c r="ID19" i="1"/>
  <c r="EI19" i="1"/>
  <c r="HF19" i="1"/>
  <c r="J18" i="20"/>
  <c r="J18" i="19" s="1"/>
  <c r="J18" i="18" s="1"/>
  <c r="J18" i="17" s="1"/>
  <c r="FY21" i="1"/>
  <c r="JB21" i="1"/>
  <c r="FV21" i="1"/>
  <c r="GN21" i="1"/>
  <c r="DH21" i="1"/>
  <c r="AQ21" i="1"/>
  <c r="CS21" i="1"/>
  <c r="AB21" i="1"/>
  <c r="HI21" i="1"/>
  <c r="DB21" i="1"/>
  <c r="AZ21" i="1"/>
  <c r="E22" i="2"/>
  <c r="CC22" i="2" s="1"/>
  <c r="HR21" i="1"/>
  <c r="S21" i="1"/>
  <c r="FM21" i="1"/>
  <c r="BF21" i="1"/>
  <c r="IG21" i="1"/>
  <c r="GZ21" i="1"/>
  <c r="HC21" i="1"/>
  <c r="DT21" i="1"/>
  <c r="GT21" i="1"/>
  <c r="ER21" i="1"/>
  <c r="GQ21" i="1"/>
  <c r="BI21" i="1"/>
  <c r="BX21" i="1"/>
  <c r="JE21" i="1"/>
  <c r="EX21" i="1"/>
  <c r="CY21" i="1"/>
  <c r="M21" i="1"/>
  <c r="BR21" i="1"/>
  <c r="HL21" i="1"/>
  <c r="G21" i="1"/>
  <c r="AK21" i="1"/>
  <c r="IJ21" i="1"/>
  <c r="EU21" i="1"/>
  <c r="FA21" i="1"/>
  <c r="FP21" i="1"/>
  <c r="CA21" i="1"/>
  <c r="IP21" i="1"/>
  <c r="GK21" i="1"/>
  <c r="HX21" i="1"/>
  <c r="ID21" i="1"/>
  <c r="AE21" i="1"/>
  <c r="DE21" i="1"/>
  <c r="IY21" i="1"/>
  <c r="GE21" i="1"/>
  <c r="EC21" i="1"/>
  <c r="V21" i="1"/>
  <c r="BL21" i="1"/>
  <c r="IS21" i="1"/>
  <c r="JH21" i="1"/>
  <c r="FG21" i="1"/>
  <c r="CG21" i="1"/>
  <c r="IA21" i="1"/>
  <c r="P21" i="1"/>
  <c r="CP21" i="1"/>
  <c r="AN21" i="1"/>
  <c r="HU21" i="1"/>
  <c r="DN21" i="1"/>
  <c r="FD21" i="1"/>
  <c r="AT21" i="1"/>
  <c r="DK21" i="1"/>
  <c r="EI21" i="1"/>
  <c r="AH21" i="1"/>
  <c r="CV21" i="1"/>
  <c r="AW21" i="1"/>
  <c r="CD21" i="1"/>
  <c r="GH21" i="1"/>
  <c r="EF21" i="1"/>
  <c r="HF21" i="1"/>
  <c r="IV21" i="1"/>
  <c r="EL21" i="1"/>
  <c r="CJ21" i="1"/>
  <c r="DW21" i="1"/>
  <c r="FS21" i="1"/>
  <c r="GW21" i="1"/>
  <c r="IM21" i="1"/>
  <c r="CM21" i="1"/>
  <c r="DQ21" i="1"/>
  <c r="J21" i="1"/>
  <c r="BC21" i="1"/>
  <c r="DZ21" i="1"/>
  <c r="BO21" i="1"/>
  <c r="BU21" i="1"/>
  <c r="HO21" i="1"/>
  <c r="FJ21" i="1"/>
  <c r="Y21" i="1"/>
  <c r="EO21" i="1"/>
  <c r="GB21" i="1"/>
  <c r="AQ20" i="45"/>
  <c r="S20" i="45"/>
  <c r="K20" i="45"/>
  <c r="W20" i="45"/>
  <c r="O20" i="45"/>
  <c r="AM20" i="45"/>
  <c r="AI20" i="45"/>
  <c r="AA20" i="45"/>
  <c r="AE20" i="45"/>
  <c r="E43" i="29"/>
  <c r="E52" i="29" s="1"/>
  <c r="E53" i="29" s="1"/>
  <c r="D43" i="26"/>
  <c r="E43" i="26" s="1"/>
  <c r="X159" i="58"/>
  <c r="I51" i="33"/>
  <c r="I51" i="29"/>
  <c r="I45" i="29"/>
  <c r="AA6" i="46"/>
  <c r="AB6" i="46" s="1"/>
  <c r="X6" i="46"/>
  <c r="C13" i="45"/>
  <c r="E14" i="1"/>
  <c r="X14" i="48"/>
  <c r="H9" i="59" s="1"/>
  <c r="AJ14" i="48"/>
  <c r="D9" i="59" s="1"/>
  <c r="I14" i="48"/>
  <c r="J14" i="48"/>
  <c r="B9" i="59" s="1"/>
  <c r="E44" i="25"/>
  <c r="E44" i="23"/>
  <c r="E44" i="24"/>
  <c r="D40" i="26"/>
  <c r="E40" i="26" s="1"/>
  <c r="E43" i="27"/>
  <c r="D52" i="29"/>
  <c r="D53" i="29" s="1"/>
  <c r="I8" i="54"/>
  <c r="I11" i="54" s="1"/>
  <c r="AH3" i="55"/>
  <c r="AH4" i="55"/>
  <c r="AH38" i="55"/>
  <c r="IG11" i="1"/>
  <c r="EU11" i="1"/>
  <c r="N41" i="48"/>
  <c r="G41" i="48" s="1"/>
  <c r="G9" i="48"/>
  <c r="I51" i="32"/>
  <c r="I45" i="32"/>
  <c r="J40" i="32"/>
  <c r="S10" i="45"/>
  <c r="M9" i="48"/>
  <c r="M10" i="48" s="1"/>
  <c r="M11" i="48" s="1"/>
  <c r="M12" i="48" s="1"/>
  <c r="M13" i="48" s="1"/>
  <c r="M14" i="48" s="1"/>
  <c r="L41" i="48"/>
  <c r="H41" i="48" s="1"/>
  <c r="H9" i="48"/>
  <c r="E52" i="30"/>
  <c r="E53" i="30" s="1"/>
  <c r="D49" i="28"/>
  <c r="E49" i="28" s="1"/>
  <c r="Y155" i="46"/>
  <c r="X162" i="46" s="1"/>
  <c r="I51" i="11"/>
  <c r="I45" i="11"/>
  <c r="V155" i="46"/>
  <c r="AR155" i="46" s="1"/>
  <c r="AC154" i="46"/>
  <c r="I5" i="54" s="1"/>
  <c r="E15" i="53" s="1"/>
  <c r="I51" i="30"/>
  <c r="I45" i="30"/>
  <c r="W154" i="46"/>
  <c r="E51" i="27"/>
  <c r="E45" i="28"/>
  <c r="D45" i="26"/>
  <c r="D42" i="28"/>
  <c r="E42" i="27"/>
  <c r="E46" i="27"/>
  <c r="D46" i="28"/>
  <c r="E47" i="27"/>
  <c r="D47" i="28"/>
  <c r="E48" i="24"/>
  <c r="D48" i="23"/>
  <c r="E39" i="27"/>
  <c r="D39" i="28"/>
  <c r="E51" i="28"/>
  <c r="D51" i="26"/>
  <c r="J37" i="29"/>
  <c r="J39" i="30"/>
  <c r="D50" i="25"/>
  <c r="E50" i="26"/>
  <c r="J57" i="25"/>
  <c r="M7" i="25"/>
  <c r="M34" i="26"/>
  <c r="J43" i="28"/>
  <c r="J44" i="27"/>
  <c r="Q15" i="48"/>
  <c r="W14" i="48"/>
  <c r="J50" i="27"/>
  <c r="J49" i="28"/>
  <c r="D44" i="22"/>
  <c r="E44" i="21"/>
  <c r="J57" i="14"/>
  <c r="J56" i="20"/>
  <c r="D41" i="26"/>
  <c r="E41" i="28"/>
  <c r="E38" i="27"/>
  <c r="D52" i="27"/>
  <c r="D53" i="27" s="1"/>
  <c r="D38" i="28"/>
  <c r="BX19" i="1" l="1"/>
  <c r="AM10" i="45"/>
  <c r="AA10" i="45"/>
  <c r="O10" i="45"/>
  <c r="AM18" i="45"/>
  <c r="AQ18" i="45"/>
  <c r="AI18" i="45"/>
  <c r="O18" i="45"/>
  <c r="W18" i="45"/>
  <c r="AA18" i="45"/>
  <c r="S18" i="45"/>
  <c r="K18" i="45"/>
  <c r="F40" i="53"/>
  <c r="F35" i="53"/>
  <c r="IM11" i="1"/>
  <c r="J11" i="1"/>
  <c r="Z154" i="46"/>
  <c r="DB11" i="1"/>
  <c r="GT11" i="1"/>
  <c r="FD11" i="1"/>
  <c r="CV11" i="1"/>
  <c r="AW11" i="1"/>
  <c r="BC11" i="1"/>
  <c r="EO11" i="1"/>
  <c r="CY19" i="1"/>
  <c r="M19" i="1"/>
  <c r="DW19" i="1"/>
  <c r="BL19" i="1"/>
  <c r="GK19" i="1"/>
  <c r="BF19" i="1"/>
  <c r="HR19" i="1"/>
  <c r="HI19" i="1"/>
  <c r="IS19" i="1"/>
  <c r="AB19" i="1"/>
  <c r="EU19" i="1"/>
  <c r="CJ19" i="1"/>
  <c r="IP19" i="1"/>
  <c r="DH19" i="1"/>
  <c r="EO19" i="1"/>
  <c r="GW19" i="1"/>
  <c r="S19" i="1"/>
  <c r="GT19" i="1"/>
  <c r="DB19" i="1"/>
  <c r="GE19" i="1"/>
  <c r="FJ19" i="1"/>
  <c r="EL19" i="1"/>
  <c r="IJ19" i="1"/>
  <c r="AH19" i="1"/>
  <c r="GH19" i="1"/>
  <c r="BC19" i="1"/>
  <c r="IV19" i="1"/>
  <c r="V19" i="1"/>
  <c r="EF19" i="1"/>
  <c r="JE19" i="1"/>
  <c r="CD19" i="1"/>
  <c r="FV19" i="1"/>
  <c r="AE19" i="1"/>
  <c r="HU19" i="1"/>
  <c r="AQ19" i="1"/>
  <c r="E20" i="2"/>
  <c r="CC20" i="2" s="1"/>
  <c r="FS19" i="1"/>
  <c r="AN19" i="1"/>
  <c r="EX19" i="1"/>
  <c r="IY19" i="1"/>
  <c r="FP19" i="1"/>
  <c r="DK19" i="1"/>
  <c r="IA19" i="1"/>
  <c r="FG19" i="1"/>
  <c r="P19" i="1"/>
  <c r="AW19" i="1"/>
  <c r="DT19" i="1"/>
  <c r="BU19" i="1"/>
  <c r="FD19" i="1"/>
  <c r="Y19" i="1"/>
  <c r="FA19" i="1"/>
  <c r="DQ19" i="1"/>
  <c r="G19" i="1"/>
  <c r="DN19" i="1"/>
  <c r="BO19" i="1"/>
  <c r="ER19" i="1"/>
  <c r="GQ19" i="1"/>
  <c r="DE19" i="1"/>
  <c r="HO19" i="1"/>
  <c r="IG19" i="1"/>
  <c r="J19" i="1"/>
  <c r="CM19" i="1"/>
  <c r="HC19" i="1"/>
  <c r="BI19" i="1"/>
  <c r="AT19" i="1"/>
  <c r="EC19" i="1"/>
  <c r="HL19" i="1"/>
  <c r="GB19" i="1"/>
  <c r="CP19" i="1"/>
  <c r="DZ19" i="1"/>
  <c r="IM19" i="1"/>
  <c r="JB19" i="1"/>
  <c r="GN19" i="1"/>
  <c r="FY19" i="1"/>
  <c r="JH19" i="1"/>
  <c r="AZ19" i="1"/>
  <c r="AK19" i="1"/>
  <c r="FP11" i="1"/>
  <c r="DN11" i="1"/>
  <c r="AE10" i="45"/>
  <c r="HX11" i="1"/>
  <c r="CA11" i="1"/>
  <c r="FS11" i="1"/>
  <c r="BL11" i="1"/>
  <c r="AH11" i="1"/>
  <c r="DZ11" i="1"/>
  <c r="HR11" i="1"/>
  <c r="BX11" i="1"/>
  <c r="BU11" i="1"/>
  <c r="FM11" i="1"/>
  <c r="JE11" i="1"/>
  <c r="FG11" i="1"/>
  <c r="HF11" i="1"/>
  <c r="GE11" i="1"/>
  <c r="AT11" i="1"/>
  <c r="EL11" i="1"/>
  <c r="ID11" i="1"/>
  <c r="ER11" i="1"/>
  <c r="FY11" i="1"/>
  <c r="AZ11" i="1"/>
  <c r="BO11" i="1"/>
  <c r="V11" i="1"/>
  <c r="BI11" i="1"/>
  <c r="A16" i="1"/>
  <c r="A17" i="2" s="1"/>
  <c r="DH11" i="1"/>
  <c r="DT11" i="1"/>
  <c r="CG11" i="1"/>
  <c r="E12" i="2"/>
  <c r="CC12" i="2" s="1"/>
  <c r="G11" i="1"/>
  <c r="CY11" i="1"/>
  <c r="GQ11" i="1"/>
  <c r="GZ11" i="1"/>
  <c r="BF11" i="1"/>
  <c r="EX11" i="1"/>
  <c r="IP11" i="1"/>
  <c r="GN11" i="1"/>
  <c r="CS11" i="1"/>
  <c r="GK11" i="1"/>
  <c r="EF11" i="1"/>
  <c r="IJ11" i="1"/>
  <c r="CM11" i="1"/>
  <c r="S11" i="1"/>
  <c r="DK11" i="1"/>
  <c r="HC11" i="1"/>
  <c r="AN11" i="1"/>
  <c r="BR11" i="1"/>
  <c r="FJ11" i="1"/>
  <c r="JB11" i="1"/>
  <c r="M11" i="1"/>
  <c r="DE11" i="1"/>
  <c r="GW11" i="1"/>
  <c r="HL11" i="1"/>
  <c r="IS11" i="1"/>
  <c r="DW11" i="1"/>
  <c r="HO11" i="1"/>
  <c r="GB11" i="1"/>
  <c r="FV11" i="1"/>
  <c r="P11" i="1"/>
  <c r="Y11" i="1"/>
  <c r="DQ11" i="1"/>
  <c r="HI11" i="1"/>
  <c r="IV11" i="1"/>
  <c r="IY11" i="1"/>
  <c r="FA11" i="1"/>
  <c r="K10" i="45"/>
  <c r="AE11" i="1"/>
  <c r="CD11" i="1"/>
  <c r="AQ10" i="45"/>
  <c r="AI10" i="45"/>
  <c r="AB11" i="1"/>
  <c r="AQ11" i="1"/>
  <c r="EI11" i="1"/>
  <c r="IA11" i="1"/>
  <c r="JH11" i="1"/>
  <c r="CP11" i="1"/>
  <c r="GH11" i="1"/>
  <c r="CJ11" i="1"/>
  <c r="AK11" i="1"/>
  <c r="EC11" i="1"/>
  <c r="J9" i="48"/>
  <c r="B4" i="59" s="1"/>
  <c r="IP20" i="1"/>
  <c r="EX20" i="1"/>
  <c r="BF20" i="1"/>
  <c r="GW20" i="1"/>
  <c r="HI20" i="1"/>
  <c r="HU20" i="1"/>
  <c r="GQ20" i="1"/>
  <c r="HC20" i="1"/>
  <c r="HO20" i="1"/>
  <c r="GZ20" i="1"/>
  <c r="HL20" i="1"/>
  <c r="ID20" i="1"/>
  <c r="EL20" i="1"/>
  <c r="AT20" i="1"/>
  <c r="FG20" i="1"/>
  <c r="FS20" i="1"/>
  <c r="GE20" i="1"/>
  <c r="FP20" i="1"/>
  <c r="GB20" i="1"/>
  <c r="GN20" i="1"/>
  <c r="FY20" i="1"/>
  <c r="GK20" i="1"/>
  <c r="HR20" i="1"/>
  <c r="DZ20" i="1"/>
  <c r="AH20" i="1"/>
  <c r="EF20" i="1"/>
  <c r="ER20" i="1"/>
  <c r="FD20" i="1"/>
  <c r="EO20" i="1"/>
  <c r="FA20" i="1"/>
  <c r="FM20" i="1"/>
  <c r="EI20" i="1"/>
  <c r="EU20" i="1"/>
  <c r="HF20" i="1"/>
  <c r="DN20" i="1"/>
  <c r="V20" i="1"/>
  <c r="DE20" i="1"/>
  <c r="DQ20" i="1"/>
  <c r="EC20" i="1"/>
  <c r="CY20" i="1"/>
  <c r="DK20" i="1"/>
  <c r="DW20" i="1"/>
  <c r="DH20" i="1"/>
  <c r="DT20" i="1"/>
  <c r="GT20" i="1"/>
  <c r="DB20" i="1"/>
  <c r="J20" i="1"/>
  <c r="BO20" i="1"/>
  <c r="CA20" i="1"/>
  <c r="CM20" i="1"/>
  <c r="BX20" i="1"/>
  <c r="CJ20" i="1"/>
  <c r="CV20" i="1"/>
  <c r="CG20" i="1"/>
  <c r="CS20" i="1"/>
  <c r="GH20" i="1"/>
  <c r="CP20" i="1"/>
  <c r="JH20" i="1"/>
  <c r="AN20" i="1"/>
  <c r="AZ20" i="1"/>
  <c r="BL20" i="1"/>
  <c r="AW20" i="1"/>
  <c r="BI20" i="1"/>
  <c r="BU20" i="1"/>
  <c r="AQ20" i="1"/>
  <c r="BC20" i="1"/>
  <c r="E21" i="2"/>
  <c r="CC21" i="2" s="1"/>
  <c r="FV20" i="1"/>
  <c r="CD20" i="1"/>
  <c r="IY20" i="1"/>
  <c r="M20" i="1"/>
  <c r="Y20" i="1"/>
  <c r="AK20" i="1"/>
  <c r="G20" i="1"/>
  <c r="S20" i="1"/>
  <c r="AE20" i="1"/>
  <c r="P20" i="1"/>
  <c r="AB20" i="1"/>
  <c r="JB20" i="1"/>
  <c r="FJ20" i="1"/>
  <c r="BR20" i="1"/>
  <c r="HX20" i="1"/>
  <c r="IJ20" i="1"/>
  <c r="IV20" i="1"/>
  <c r="IG20" i="1"/>
  <c r="IS20" i="1"/>
  <c r="JE20" i="1"/>
  <c r="IA20" i="1"/>
  <c r="IM20" i="1"/>
  <c r="AQ19" i="45"/>
  <c r="AE19" i="45"/>
  <c r="W19" i="45"/>
  <c r="S19" i="45"/>
  <c r="AI19" i="45"/>
  <c r="O19" i="45"/>
  <c r="AM19" i="45"/>
  <c r="K19" i="45"/>
  <c r="AA19" i="45"/>
  <c r="J27" i="9"/>
  <c r="J27" i="8" s="1"/>
  <c r="J27" i="7" s="1"/>
  <c r="J27" i="6" s="1"/>
  <c r="J27" i="37" s="1"/>
  <c r="J27" i="4" s="1"/>
  <c r="J27" i="43" s="1"/>
  <c r="J29" i="9"/>
  <c r="J29" i="8" s="1"/>
  <c r="J29" i="7" s="1"/>
  <c r="J29" i="6" s="1"/>
  <c r="J29" i="37" s="1"/>
  <c r="J29" i="4" s="1"/>
  <c r="J29" i="43" s="1"/>
  <c r="J28" i="9"/>
  <c r="J28" i="8" s="1"/>
  <c r="J28" i="7" s="1"/>
  <c r="J28" i="6" s="1"/>
  <c r="J28" i="37" s="1"/>
  <c r="J28" i="4" s="1"/>
  <c r="J28" i="43" s="1"/>
  <c r="J9" i="9"/>
  <c r="J9" i="8" s="1"/>
  <c r="J9" i="7" s="1"/>
  <c r="J9" i="6" s="1"/>
  <c r="J9" i="37" s="1"/>
  <c r="J9" i="4" s="1"/>
  <c r="J9" i="43" s="1"/>
  <c r="J10" i="9"/>
  <c r="J10" i="8" s="1"/>
  <c r="J11" i="10"/>
  <c r="O29" i="45"/>
  <c r="AM29" i="45"/>
  <c r="K29" i="45"/>
  <c r="S29" i="45"/>
  <c r="AI29" i="45"/>
  <c r="AE29" i="45"/>
  <c r="W29" i="45"/>
  <c r="AQ29" i="45"/>
  <c r="AA29" i="45"/>
  <c r="IP30" i="1"/>
  <c r="EX30" i="1"/>
  <c r="BF30" i="1"/>
  <c r="HU30" i="1"/>
  <c r="EC30" i="1"/>
  <c r="AK30" i="1"/>
  <c r="DW30" i="1"/>
  <c r="HL30" i="1"/>
  <c r="AB30" i="1"/>
  <c r="CJ30" i="1"/>
  <c r="FG30" i="1"/>
  <c r="ID30" i="1"/>
  <c r="EL30" i="1"/>
  <c r="AT30" i="1"/>
  <c r="HI30" i="1"/>
  <c r="DQ30" i="1"/>
  <c r="Y30" i="1"/>
  <c r="DH30" i="1"/>
  <c r="GE30" i="1"/>
  <c r="IM30" i="1"/>
  <c r="BC30" i="1"/>
  <c r="ER30" i="1"/>
  <c r="HR30" i="1"/>
  <c r="DZ30" i="1"/>
  <c r="AH30" i="1"/>
  <c r="GW30" i="1"/>
  <c r="DE30" i="1"/>
  <c r="M30" i="1"/>
  <c r="CA30" i="1"/>
  <c r="FP30" i="1"/>
  <c r="HX30" i="1"/>
  <c r="AN30" i="1"/>
  <c r="DK30" i="1"/>
  <c r="HF30" i="1"/>
  <c r="DN30" i="1"/>
  <c r="V30" i="1"/>
  <c r="GK30" i="1"/>
  <c r="CS30" i="1"/>
  <c r="IV30" i="1"/>
  <c r="BL30" i="1"/>
  <c r="EI30" i="1"/>
  <c r="GQ30" i="1"/>
  <c r="G30" i="1"/>
  <c r="CV30" i="1"/>
  <c r="GT30" i="1"/>
  <c r="DB30" i="1"/>
  <c r="J30" i="1"/>
  <c r="FY30" i="1"/>
  <c r="CG30" i="1"/>
  <c r="HO30" i="1"/>
  <c r="AE30" i="1"/>
  <c r="DT30" i="1"/>
  <c r="GB30" i="1"/>
  <c r="IY30" i="1"/>
  <c r="BO30" i="1"/>
  <c r="GH30" i="1"/>
  <c r="CP30" i="1"/>
  <c r="JE30" i="1"/>
  <c r="FM30" i="1"/>
  <c r="BU30" i="1"/>
  <c r="GZ30" i="1"/>
  <c r="P30" i="1"/>
  <c r="CM30" i="1"/>
  <c r="EU30" i="1"/>
  <c r="IJ30" i="1"/>
  <c r="AZ30" i="1"/>
  <c r="E31" i="2"/>
  <c r="CC31" i="2" s="1"/>
  <c r="FV30" i="1"/>
  <c r="CD30" i="1"/>
  <c r="IS30" i="1"/>
  <c r="FA30" i="1"/>
  <c r="BI30" i="1"/>
  <c r="FS30" i="1"/>
  <c r="JH30" i="1"/>
  <c r="BX30" i="1"/>
  <c r="EF30" i="1"/>
  <c r="HC30" i="1"/>
  <c r="S30" i="1"/>
  <c r="JB30" i="1"/>
  <c r="FJ30" i="1"/>
  <c r="BR30" i="1"/>
  <c r="IG30" i="1"/>
  <c r="EO30" i="1"/>
  <c r="AW30" i="1"/>
  <c r="FD30" i="1"/>
  <c r="IA30" i="1"/>
  <c r="AQ30" i="1"/>
  <c r="CY30" i="1"/>
  <c r="GN30" i="1"/>
  <c r="J26" i="12"/>
  <c r="J26" i="11" s="1"/>
  <c r="J25" i="12"/>
  <c r="J25" i="11" s="1"/>
  <c r="J23" i="14"/>
  <c r="J22" i="14"/>
  <c r="J22" i="13" s="1"/>
  <c r="J20" i="15"/>
  <c r="J20" i="14" s="1"/>
  <c r="J20" i="13" s="1"/>
  <c r="J15" i="6"/>
  <c r="J15" i="37" s="1"/>
  <c r="J15" i="4" s="1"/>
  <c r="J15" i="43" s="1"/>
  <c r="D43" i="25"/>
  <c r="D43" i="24" s="1"/>
  <c r="J13" i="6"/>
  <c r="J13" i="37" s="1"/>
  <c r="J13" i="4" s="1"/>
  <c r="J13" i="43" s="1"/>
  <c r="J19" i="15"/>
  <c r="J19" i="14" s="1"/>
  <c r="J19" i="13" s="1"/>
  <c r="J24" i="15"/>
  <c r="J21" i="15"/>
  <c r="J18" i="16"/>
  <c r="J18" i="15" s="1"/>
  <c r="J14" i="16"/>
  <c r="J14" i="15" s="1"/>
  <c r="J14" i="14" s="1"/>
  <c r="J14" i="13" s="1"/>
  <c r="J14" i="12" s="1"/>
  <c r="J14" i="11" s="1"/>
  <c r="J14" i="10" s="1"/>
  <c r="J14" i="9" s="1"/>
  <c r="J14" i="8" s="1"/>
  <c r="J14" i="7" s="1"/>
  <c r="F15" i="53"/>
  <c r="G15" i="53" s="1"/>
  <c r="X157" i="58"/>
  <c r="O42" i="53"/>
  <c r="P42" i="53" s="1"/>
  <c r="Q42" i="53" s="1"/>
  <c r="AJ9" i="48"/>
  <c r="D4" i="59" s="1"/>
  <c r="C8" i="45"/>
  <c r="I9" i="48"/>
  <c r="S9" i="48"/>
  <c r="G4" i="59" s="1"/>
  <c r="E9" i="1"/>
  <c r="X9" i="48"/>
  <c r="H4" i="59" s="1"/>
  <c r="J13" i="48"/>
  <c r="B8" i="59" s="1"/>
  <c r="E13" i="1"/>
  <c r="I13" i="48"/>
  <c r="X13" i="48"/>
  <c r="H8" i="59" s="1"/>
  <c r="C12" i="45"/>
  <c r="AJ13" i="48"/>
  <c r="D8" i="59" s="1"/>
  <c r="IA14" i="1"/>
  <c r="EI14" i="1"/>
  <c r="AQ14" i="1"/>
  <c r="HL14" i="1"/>
  <c r="DT14" i="1"/>
  <c r="AB14" i="1"/>
  <c r="GH14" i="1"/>
  <c r="CP14" i="1"/>
  <c r="IS14" i="1"/>
  <c r="AK14" i="1"/>
  <c r="IG14" i="1"/>
  <c r="FP14" i="1"/>
  <c r="AT14" i="1"/>
  <c r="BL14" i="1"/>
  <c r="HO14" i="1"/>
  <c r="DW14" i="1"/>
  <c r="AE14" i="1"/>
  <c r="GZ14" i="1"/>
  <c r="DH14" i="1"/>
  <c r="P14" i="1"/>
  <c r="FV14" i="1"/>
  <c r="CD14" i="1"/>
  <c r="FA14" i="1"/>
  <c r="HI14" i="1"/>
  <c r="EO14" i="1"/>
  <c r="FS14" i="1"/>
  <c r="GW14" i="1"/>
  <c r="HC14" i="1"/>
  <c r="DK14" i="1"/>
  <c r="S14" i="1"/>
  <c r="GN14" i="1"/>
  <c r="CV14" i="1"/>
  <c r="JB14" i="1"/>
  <c r="FJ14" i="1"/>
  <c r="BR14" i="1"/>
  <c r="BI14" i="1"/>
  <c r="JE14" i="1"/>
  <c r="AW14" i="1"/>
  <c r="CM14" i="1"/>
  <c r="ID14" i="1"/>
  <c r="CG14" i="1"/>
  <c r="E15" i="2"/>
  <c r="CC15" i="2" s="1"/>
  <c r="HR14" i="1"/>
  <c r="AH14" i="1"/>
  <c r="GQ14" i="1"/>
  <c r="CY14" i="1"/>
  <c r="G14" i="1"/>
  <c r="GB14" i="1"/>
  <c r="CJ14" i="1"/>
  <c r="IP14" i="1"/>
  <c r="EX14" i="1"/>
  <c r="BF14" i="1"/>
  <c r="GK14" i="1"/>
  <c r="FM14" i="1"/>
  <c r="FY14" i="1"/>
  <c r="EL14" i="1"/>
  <c r="CA14" i="1"/>
  <c r="Y14" i="1"/>
  <c r="IY14" i="1"/>
  <c r="FG14" i="1"/>
  <c r="BO14" i="1"/>
  <c r="IJ14" i="1"/>
  <c r="ER14" i="1"/>
  <c r="AZ14" i="1"/>
  <c r="HF14" i="1"/>
  <c r="DN14" i="1"/>
  <c r="V14" i="1"/>
  <c r="HU14" i="1"/>
  <c r="DE14" i="1"/>
  <c r="GE14" i="1"/>
  <c r="BX14" i="1"/>
  <c r="BU14" i="1"/>
  <c r="IV14" i="1"/>
  <c r="DZ14" i="1"/>
  <c r="DQ14" i="1"/>
  <c r="IM14" i="1"/>
  <c r="EU14" i="1"/>
  <c r="BC14" i="1"/>
  <c r="HX14" i="1"/>
  <c r="EF14" i="1"/>
  <c r="AN14" i="1"/>
  <c r="GT14" i="1"/>
  <c r="DB14" i="1"/>
  <c r="J14" i="1"/>
  <c r="EC14" i="1"/>
  <c r="M14" i="1"/>
  <c r="JH14" i="1"/>
  <c r="CS14" i="1"/>
  <c r="FD14" i="1"/>
  <c r="O13" i="45"/>
  <c r="K13" i="45"/>
  <c r="W13" i="45"/>
  <c r="AM13" i="45"/>
  <c r="AQ13" i="45"/>
  <c r="AE13" i="45"/>
  <c r="AI13" i="45"/>
  <c r="AA13" i="45"/>
  <c r="S13" i="45"/>
  <c r="D40" i="25"/>
  <c r="D40" i="24" s="1"/>
  <c r="E40" i="24" s="1"/>
  <c r="AA154" i="58"/>
  <c r="T3" i="54" s="1"/>
  <c r="AB154" i="58"/>
  <c r="AB155" i="58" s="1"/>
  <c r="X166" i="58" s="1"/>
  <c r="AJ31" i="48"/>
  <c r="D26" i="59" s="1"/>
  <c r="AJ12" i="48"/>
  <c r="D7" i="59" s="1"/>
  <c r="AJ10" i="48"/>
  <c r="D5" i="59" s="1"/>
  <c r="AI3" i="55"/>
  <c r="F7" i="53"/>
  <c r="G7" i="53" s="1"/>
  <c r="F27" i="53"/>
  <c r="F19" i="53"/>
  <c r="F31" i="53"/>
  <c r="F11" i="53"/>
  <c r="G11" i="53" s="1"/>
  <c r="F36" i="53"/>
  <c r="F23" i="53"/>
  <c r="F5" i="53"/>
  <c r="G5" i="53" s="1"/>
  <c r="F16" i="53"/>
  <c r="F29" i="53"/>
  <c r="F10" i="53"/>
  <c r="G10" i="53" s="1"/>
  <c r="F28" i="53"/>
  <c r="F34" i="53"/>
  <c r="F17" i="53"/>
  <c r="F38" i="53"/>
  <c r="F21" i="53"/>
  <c r="F37" i="53"/>
  <c r="F20" i="53"/>
  <c r="F4" i="53"/>
  <c r="F8" i="53"/>
  <c r="G8" i="53" s="1"/>
  <c r="F24" i="53"/>
  <c r="F9" i="53"/>
  <c r="G9" i="53" s="1"/>
  <c r="F25" i="53"/>
  <c r="F18" i="53"/>
  <c r="G18" i="53" s="1"/>
  <c r="F39" i="53"/>
  <c r="F22" i="53"/>
  <c r="F32" i="53"/>
  <c r="F26" i="53"/>
  <c r="F6" i="53"/>
  <c r="G6" i="53" s="1"/>
  <c r="F30" i="53"/>
  <c r="F33" i="53"/>
  <c r="AW155" i="46"/>
  <c r="X182" i="46" s="1"/>
  <c r="AZ155" i="46"/>
  <c r="X184" i="46" s="1"/>
  <c r="AV155" i="46"/>
  <c r="X181" i="46" s="1"/>
  <c r="AY155" i="46"/>
  <c r="AX155" i="46"/>
  <c r="J41" i="32"/>
  <c r="K57" i="32"/>
  <c r="K56" i="32"/>
  <c r="J45" i="32"/>
  <c r="J51" i="32"/>
  <c r="J40" i="31"/>
  <c r="X10" i="48"/>
  <c r="H5" i="59" s="1"/>
  <c r="E10" i="1"/>
  <c r="J10" i="48"/>
  <c r="B5" i="59" s="1"/>
  <c r="C9" i="45"/>
  <c r="I10" i="48"/>
  <c r="AF155" i="46"/>
  <c r="X167" i="46" s="1"/>
  <c r="AL155" i="46"/>
  <c r="X173" i="46" s="1"/>
  <c r="AU155" i="46"/>
  <c r="X180" i="46" s="1"/>
  <c r="AT155" i="46"/>
  <c r="X179" i="46" s="1"/>
  <c r="AQ155" i="46"/>
  <c r="X177" i="46" s="1"/>
  <c r="BA155" i="46"/>
  <c r="AI155" i="46"/>
  <c r="X170" i="46" s="1"/>
  <c r="AG155" i="46"/>
  <c r="X168" i="46" s="1"/>
  <c r="D49" i="26"/>
  <c r="E49" i="26" s="1"/>
  <c r="AC155" i="46"/>
  <c r="X164" i="46" s="1"/>
  <c r="E31" i="1"/>
  <c r="C30" i="45"/>
  <c r="I31" i="48"/>
  <c r="J31" i="48"/>
  <c r="B26" i="59" s="1"/>
  <c r="X31" i="48"/>
  <c r="H26" i="59" s="1"/>
  <c r="AN155" i="46"/>
  <c r="X174" i="46" s="1"/>
  <c r="AO155" i="46"/>
  <c r="X175" i="46" s="1"/>
  <c r="AK155" i="46"/>
  <c r="X172" i="46" s="1"/>
  <c r="AJ155" i="46"/>
  <c r="X171" i="46" s="1"/>
  <c r="AP155" i="46"/>
  <c r="X176" i="46" s="1"/>
  <c r="AS155" i="46"/>
  <c r="X178" i="46" s="1"/>
  <c r="AH155" i="46"/>
  <c r="X169" i="46" s="1"/>
  <c r="AM155" i="46"/>
  <c r="X159" i="46"/>
  <c r="X157" i="46"/>
  <c r="X154" i="46"/>
  <c r="AB154" i="46"/>
  <c r="I4" i="54" s="1"/>
  <c r="E14" i="53" s="1"/>
  <c r="F14" i="53" s="1"/>
  <c r="G14" i="53" s="1"/>
  <c r="AA154" i="46"/>
  <c r="I3" i="54" s="1"/>
  <c r="E13" i="53" s="1"/>
  <c r="J12" i="48"/>
  <c r="B7" i="59" s="1"/>
  <c r="X12" i="48"/>
  <c r="H7" i="59" s="1"/>
  <c r="I12" i="48"/>
  <c r="E12" i="1"/>
  <c r="C11" i="45"/>
  <c r="R41" i="48"/>
  <c r="AJ41" i="48" s="1"/>
  <c r="D45" i="25"/>
  <c r="E45" i="26"/>
  <c r="E52" i="27"/>
  <c r="E53" i="27" s="1"/>
  <c r="D42" i="26"/>
  <c r="E42" i="28"/>
  <c r="E39" i="28"/>
  <c r="D39" i="26"/>
  <c r="E48" i="23"/>
  <c r="D48" i="21"/>
  <c r="E47" i="28"/>
  <c r="D47" i="26"/>
  <c r="D46" i="26"/>
  <c r="E46" i="28"/>
  <c r="D51" i="25"/>
  <c r="E51" i="26"/>
  <c r="D50" i="24"/>
  <c r="E50" i="25"/>
  <c r="J39" i="29"/>
  <c r="J37" i="27"/>
  <c r="J57" i="13"/>
  <c r="E44" i="22"/>
  <c r="D44" i="20"/>
  <c r="J49" i="26"/>
  <c r="J50" i="28"/>
  <c r="J44" i="28"/>
  <c r="J43" i="26"/>
  <c r="M34" i="25"/>
  <c r="M7" i="24"/>
  <c r="E38" i="28"/>
  <c r="D52" i="28"/>
  <c r="D53" i="28" s="1"/>
  <c r="D38" i="26"/>
  <c r="E41" i="26"/>
  <c r="D41" i="25"/>
  <c r="J56" i="19"/>
  <c r="W15" i="48"/>
  <c r="Q16" i="48"/>
  <c r="A17" i="1" l="1"/>
  <c r="A18" i="2" s="1"/>
  <c r="Z155" i="46"/>
  <c r="X163" i="46" s="1"/>
  <c r="G39" i="53"/>
  <c r="H39" i="53" s="1"/>
  <c r="I2" i="54"/>
  <c r="E12" i="53" s="1"/>
  <c r="F12" i="53" s="1"/>
  <c r="G12" i="53" s="1"/>
  <c r="T2" i="54"/>
  <c r="X163" i="58"/>
  <c r="E43" i="25"/>
  <c r="J10" i="7"/>
  <c r="J10" i="6" s="1"/>
  <c r="J10" i="37" s="1"/>
  <c r="J10" i="4" s="1"/>
  <c r="J10" i="43" s="1"/>
  <c r="K9" i="48"/>
  <c r="C4" i="59" s="1"/>
  <c r="J11" i="9"/>
  <c r="J11" i="8" s="1"/>
  <c r="J25" i="10"/>
  <c r="J26" i="10"/>
  <c r="J26" i="9" s="1"/>
  <c r="J26" i="8" s="1"/>
  <c r="J26" i="7" s="1"/>
  <c r="J26" i="6" s="1"/>
  <c r="J26" i="37" s="1"/>
  <c r="J26" i="4" s="1"/>
  <c r="J26" i="43" s="1"/>
  <c r="J12" i="10"/>
  <c r="J22" i="12"/>
  <c r="J22" i="11" s="1"/>
  <c r="J19" i="12"/>
  <c r="J19" i="11" s="1"/>
  <c r="J19" i="10" s="1"/>
  <c r="J23" i="13"/>
  <c r="J23" i="12" s="1"/>
  <c r="J23" i="11" s="1"/>
  <c r="J20" i="12"/>
  <c r="J20" i="11" s="1"/>
  <c r="J20" i="10" s="1"/>
  <c r="J16" i="6"/>
  <c r="J16" i="37" s="1"/>
  <c r="J16" i="4" s="1"/>
  <c r="J16" i="43" s="1"/>
  <c r="J17" i="12"/>
  <c r="J17" i="11" s="1"/>
  <c r="J21" i="14"/>
  <c r="J21" i="13" s="1"/>
  <c r="J24" i="14"/>
  <c r="J14" i="6"/>
  <c r="J14" i="37" s="1"/>
  <c r="J14" i="4" s="1"/>
  <c r="J14" i="43" s="1"/>
  <c r="J18" i="14"/>
  <c r="J18" i="13" s="1"/>
  <c r="F42" i="53"/>
  <c r="G42" i="53" s="1"/>
  <c r="H42" i="53" s="1"/>
  <c r="D40" i="23"/>
  <c r="D40" i="21" s="1"/>
  <c r="JE9" i="1"/>
  <c r="FM9" i="1"/>
  <c r="BU9" i="1"/>
  <c r="JB9" i="1"/>
  <c r="FJ9" i="1"/>
  <c r="BR9" i="1"/>
  <c r="HC9" i="1"/>
  <c r="DK9" i="1"/>
  <c r="S9" i="1"/>
  <c r="GN9" i="1"/>
  <c r="CV9" i="1"/>
  <c r="IS9" i="1"/>
  <c r="FA9" i="1"/>
  <c r="BI9" i="1"/>
  <c r="IP9" i="1"/>
  <c r="EX9" i="1"/>
  <c r="AT9" i="1"/>
  <c r="GQ9" i="1"/>
  <c r="CY9" i="1"/>
  <c r="G9" i="1"/>
  <c r="GB9" i="1"/>
  <c r="CJ9" i="1"/>
  <c r="IG9" i="1"/>
  <c r="EO9" i="1"/>
  <c r="AW9" i="1"/>
  <c r="ID9" i="1"/>
  <c r="EL9" i="1"/>
  <c r="AH9" i="1"/>
  <c r="GE9" i="1"/>
  <c r="CM9" i="1"/>
  <c r="JH9" i="1"/>
  <c r="FP9" i="1"/>
  <c r="BX9" i="1"/>
  <c r="HU9" i="1"/>
  <c r="EC9" i="1"/>
  <c r="AK9" i="1"/>
  <c r="HR9" i="1"/>
  <c r="DZ9" i="1"/>
  <c r="J9" i="1"/>
  <c r="FS9" i="1"/>
  <c r="CA9" i="1"/>
  <c r="IV9" i="1"/>
  <c r="FD9" i="1"/>
  <c r="BL9" i="1"/>
  <c r="HI9" i="1"/>
  <c r="DQ9" i="1"/>
  <c r="Y9" i="1"/>
  <c r="HF9" i="1"/>
  <c r="DN9" i="1"/>
  <c r="IY9" i="1"/>
  <c r="FG9" i="1"/>
  <c r="BO9" i="1"/>
  <c r="IJ9" i="1"/>
  <c r="ER9" i="1"/>
  <c r="AZ9" i="1"/>
  <c r="GW9" i="1"/>
  <c r="DE9" i="1"/>
  <c r="M9" i="1"/>
  <c r="GT9" i="1"/>
  <c r="DB9" i="1"/>
  <c r="IM9" i="1"/>
  <c r="EU9" i="1"/>
  <c r="BC9" i="1"/>
  <c r="HX9" i="1"/>
  <c r="EF9" i="1"/>
  <c r="AN9" i="1"/>
  <c r="GK9" i="1"/>
  <c r="CS9" i="1"/>
  <c r="BF9" i="1"/>
  <c r="GH9" i="1"/>
  <c r="CP9" i="1"/>
  <c r="IA9" i="1"/>
  <c r="EI9" i="1"/>
  <c r="AQ9" i="1"/>
  <c r="HL9" i="1"/>
  <c r="DT9" i="1"/>
  <c r="AB9" i="1"/>
  <c r="E10" i="2"/>
  <c r="FY9" i="1"/>
  <c r="CG9" i="1"/>
  <c r="V9" i="1"/>
  <c r="FV9" i="1"/>
  <c r="CD9" i="1"/>
  <c r="HO9" i="1"/>
  <c r="DW9" i="1"/>
  <c r="AE9" i="1"/>
  <c r="GZ9" i="1"/>
  <c r="DH9" i="1"/>
  <c r="P9" i="1"/>
  <c r="Y9" i="48"/>
  <c r="I4" i="59" s="1"/>
  <c r="AK9" i="48"/>
  <c r="E4" i="59" s="1"/>
  <c r="AE8" i="45"/>
  <c r="AI8" i="45"/>
  <c r="AA8" i="45"/>
  <c r="S8" i="45"/>
  <c r="O8" i="45"/>
  <c r="AM8" i="45"/>
  <c r="K8" i="45"/>
  <c r="AQ8" i="45"/>
  <c r="W8" i="45"/>
  <c r="S10" i="48"/>
  <c r="G5" i="59" s="1"/>
  <c r="E40" i="25"/>
  <c r="AA12" i="45"/>
  <c r="AI12" i="45"/>
  <c r="AM12" i="45"/>
  <c r="S12" i="45"/>
  <c r="W12" i="45"/>
  <c r="AE12" i="45"/>
  <c r="O12" i="45"/>
  <c r="K12" i="45"/>
  <c r="AQ12" i="45"/>
  <c r="GE13" i="1"/>
  <c r="CM13" i="1"/>
  <c r="JE13" i="1"/>
  <c r="FM13" i="1"/>
  <c r="JB13" i="1"/>
  <c r="BI13" i="1"/>
  <c r="AT13" i="1"/>
  <c r="GN13" i="1"/>
  <c r="DZ13" i="1"/>
  <c r="DH13" i="1"/>
  <c r="AK13" i="1"/>
  <c r="E14" i="2"/>
  <c r="CC14" i="2" s="1"/>
  <c r="FS13" i="1"/>
  <c r="CA13" i="1"/>
  <c r="IS13" i="1"/>
  <c r="FA13" i="1"/>
  <c r="IP13" i="1"/>
  <c r="AH13" i="1"/>
  <c r="FP13" i="1"/>
  <c r="ER13" i="1"/>
  <c r="CD13" i="1"/>
  <c r="AZ13" i="1"/>
  <c r="J13" i="1"/>
  <c r="IY13" i="1"/>
  <c r="FG13" i="1"/>
  <c r="BO13" i="1"/>
  <c r="IG13" i="1"/>
  <c r="EO13" i="1"/>
  <c r="ID13" i="1"/>
  <c r="V13" i="1"/>
  <c r="IV13" i="1"/>
  <c r="CV13" i="1"/>
  <c r="AN13" i="1"/>
  <c r="Y13" i="1"/>
  <c r="IM13" i="1"/>
  <c r="EU13" i="1"/>
  <c r="BC13" i="1"/>
  <c r="HU13" i="1"/>
  <c r="EC13" i="1"/>
  <c r="HR13" i="1"/>
  <c r="HL13" i="1"/>
  <c r="FJ13" i="1"/>
  <c r="BR13" i="1"/>
  <c r="M13" i="1"/>
  <c r="GZ13" i="1"/>
  <c r="IA13" i="1"/>
  <c r="EI13" i="1"/>
  <c r="AQ13" i="1"/>
  <c r="HI13" i="1"/>
  <c r="DQ13" i="1"/>
  <c r="HF13" i="1"/>
  <c r="GB13" i="1"/>
  <c r="DN13" i="1"/>
  <c r="AB13" i="1"/>
  <c r="IJ13" i="1"/>
  <c r="GH13" i="1"/>
  <c r="HO13" i="1"/>
  <c r="DW13" i="1"/>
  <c r="AE13" i="1"/>
  <c r="GW13" i="1"/>
  <c r="DE13" i="1"/>
  <c r="GT13" i="1"/>
  <c r="EF13" i="1"/>
  <c r="BF13" i="1"/>
  <c r="DT13" i="1"/>
  <c r="AW13" i="1"/>
  <c r="EL13" i="1"/>
  <c r="HC13" i="1"/>
  <c r="DK13" i="1"/>
  <c r="S13" i="1"/>
  <c r="GK13" i="1"/>
  <c r="CS13" i="1"/>
  <c r="EX13" i="1"/>
  <c r="CJ13" i="1"/>
  <c r="P13" i="1"/>
  <c r="HX13" i="1"/>
  <c r="JH13" i="1"/>
  <c r="CP13" i="1"/>
  <c r="GQ13" i="1"/>
  <c r="CY13" i="1"/>
  <c r="G13" i="1"/>
  <c r="FY13" i="1"/>
  <c r="CG13" i="1"/>
  <c r="DB13" i="1"/>
  <c r="BU13" i="1"/>
  <c r="BX13" i="1"/>
  <c r="FV13" i="1"/>
  <c r="FD13" i="1"/>
  <c r="BL13" i="1"/>
  <c r="T4" i="54"/>
  <c r="U4" i="54" s="1"/>
  <c r="O14" i="53" s="1"/>
  <c r="P14" i="53" s="1"/>
  <c r="Q14" i="53" s="1"/>
  <c r="AA155" i="58"/>
  <c r="X165" i="58" s="1"/>
  <c r="D49" i="25"/>
  <c r="D49" i="24" s="1"/>
  <c r="D49" i="23" s="1"/>
  <c r="G33" i="53"/>
  <c r="U3" i="54"/>
  <c r="O13" i="53" s="1"/>
  <c r="N13" i="53"/>
  <c r="X183" i="46"/>
  <c r="G24" i="53"/>
  <c r="G31" i="53"/>
  <c r="F13" i="53"/>
  <c r="G13" i="53" s="1"/>
  <c r="G4" i="53"/>
  <c r="G19" i="53"/>
  <c r="G37" i="53"/>
  <c r="G16" i="53"/>
  <c r="E13" i="2"/>
  <c r="CC13" i="2" s="1"/>
  <c r="IY12" i="1"/>
  <c r="IM12" i="1"/>
  <c r="JH12" i="1"/>
  <c r="IG12" i="1"/>
  <c r="HU12" i="1"/>
  <c r="HI12" i="1"/>
  <c r="GW12" i="1"/>
  <c r="GK12" i="1"/>
  <c r="FY12" i="1"/>
  <c r="FM12" i="1"/>
  <c r="FA12" i="1"/>
  <c r="EO12" i="1"/>
  <c r="EC12" i="1"/>
  <c r="DQ12" i="1"/>
  <c r="DE12" i="1"/>
  <c r="CS12" i="1"/>
  <c r="CG12" i="1"/>
  <c r="BU12" i="1"/>
  <c r="BI12" i="1"/>
  <c r="AW12" i="1"/>
  <c r="AK12" i="1"/>
  <c r="Y12" i="1"/>
  <c r="M12" i="1"/>
  <c r="IS12" i="1"/>
  <c r="JE12" i="1"/>
  <c r="ID12" i="1"/>
  <c r="HR12" i="1"/>
  <c r="HF12" i="1"/>
  <c r="GT12" i="1"/>
  <c r="GH12" i="1"/>
  <c r="FV12" i="1"/>
  <c r="FJ12" i="1"/>
  <c r="EX12" i="1"/>
  <c r="EL12" i="1"/>
  <c r="DZ12" i="1"/>
  <c r="DN12" i="1"/>
  <c r="DB12" i="1"/>
  <c r="CP12" i="1"/>
  <c r="CD12" i="1"/>
  <c r="BR12" i="1"/>
  <c r="BF12" i="1"/>
  <c r="AT12" i="1"/>
  <c r="AH12" i="1"/>
  <c r="V12" i="1"/>
  <c r="J12" i="1"/>
  <c r="IV12" i="1"/>
  <c r="IP12" i="1"/>
  <c r="JB12" i="1"/>
  <c r="IA12" i="1"/>
  <c r="HO12" i="1"/>
  <c r="HC12" i="1"/>
  <c r="GQ12" i="1"/>
  <c r="GE12" i="1"/>
  <c r="FS12" i="1"/>
  <c r="FG12" i="1"/>
  <c r="EU12" i="1"/>
  <c r="EI12" i="1"/>
  <c r="DW12" i="1"/>
  <c r="DK12" i="1"/>
  <c r="CY12" i="1"/>
  <c r="CM12" i="1"/>
  <c r="CA12" i="1"/>
  <c r="BO12" i="1"/>
  <c r="BC12" i="1"/>
  <c r="AQ12" i="1"/>
  <c r="AE12" i="1"/>
  <c r="S12" i="1"/>
  <c r="G12" i="1"/>
  <c r="IJ12" i="1"/>
  <c r="HX12" i="1"/>
  <c r="HL12" i="1"/>
  <c r="GZ12" i="1"/>
  <c r="GN12" i="1"/>
  <c r="GB12" i="1"/>
  <c r="FP12" i="1"/>
  <c r="FD12" i="1"/>
  <c r="ER12" i="1"/>
  <c r="EF12" i="1"/>
  <c r="DT12" i="1"/>
  <c r="DH12" i="1"/>
  <c r="CV12" i="1"/>
  <c r="CJ12" i="1"/>
  <c r="BX12" i="1"/>
  <c r="BL12" i="1"/>
  <c r="AZ12" i="1"/>
  <c r="AN12" i="1"/>
  <c r="AB12" i="1"/>
  <c r="P12" i="1"/>
  <c r="JE10" i="1"/>
  <c r="FY10" i="1"/>
  <c r="EC10" i="1"/>
  <c r="BU10" i="1"/>
  <c r="M10" i="1"/>
  <c r="JB10" i="1"/>
  <c r="IP10" i="1"/>
  <c r="ID10" i="1"/>
  <c r="HR10" i="1"/>
  <c r="HF10" i="1"/>
  <c r="GT10" i="1"/>
  <c r="GH10" i="1"/>
  <c r="FV10" i="1"/>
  <c r="FJ10" i="1"/>
  <c r="EX10" i="1"/>
  <c r="EL10" i="1"/>
  <c r="DZ10" i="1"/>
  <c r="DN10" i="1"/>
  <c r="DB10" i="1"/>
  <c r="CP10" i="1"/>
  <c r="CD10" i="1"/>
  <c r="BR10" i="1"/>
  <c r="BF10" i="1"/>
  <c r="AT10" i="1"/>
  <c r="AH10" i="1"/>
  <c r="V10" i="1"/>
  <c r="J10" i="1"/>
  <c r="DQ10" i="1"/>
  <c r="Y10" i="1"/>
  <c r="HU10" i="1"/>
  <c r="EO10" i="1"/>
  <c r="AW10" i="1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CY10" i="1"/>
  <c r="CM10" i="1"/>
  <c r="CA10" i="1"/>
  <c r="BO10" i="1"/>
  <c r="BC10" i="1"/>
  <c r="AQ10" i="1"/>
  <c r="AE10" i="1"/>
  <c r="S10" i="1"/>
  <c r="G10" i="1"/>
  <c r="IS10" i="1"/>
  <c r="GK10" i="1"/>
  <c r="DE10" i="1"/>
  <c r="AK10" i="1"/>
  <c r="GW10" i="1"/>
  <c r="FM10" i="1"/>
  <c r="CG10" i="1"/>
  <c r="JH10" i="1"/>
  <c r="IV10" i="1"/>
  <c r="IJ10" i="1"/>
  <c r="HX10" i="1"/>
  <c r="HL10" i="1"/>
  <c r="GZ10" i="1"/>
  <c r="GN10" i="1"/>
  <c r="GB10" i="1"/>
  <c r="FP10" i="1"/>
  <c r="FD10" i="1"/>
  <c r="ER10" i="1"/>
  <c r="EF10" i="1"/>
  <c r="DT10" i="1"/>
  <c r="DH10" i="1"/>
  <c r="CV10" i="1"/>
  <c r="CJ10" i="1"/>
  <c r="BX10" i="1"/>
  <c r="BL10" i="1"/>
  <c r="AZ10" i="1"/>
  <c r="AN10" i="1"/>
  <c r="AB10" i="1"/>
  <c r="P10" i="1"/>
  <c r="HI10" i="1"/>
  <c r="CS10" i="1"/>
  <c r="IG10" i="1"/>
  <c r="FA10" i="1"/>
  <c r="BI10" i="1"/>
  <c r="E32" i="2"/>
  <c r="CC32" i="2" s="1"/>
  <c r="JH31" i="1"/>
  <c r="IV31" i="1"/>
  <c r="IJ31" i="1"/>
  <c r="HX31" i="1"/>
  <c r="HL31" i="1"/>
  <c r="GZ31" i="1"/>
  <c r="GN31" i="1"/>
  <c r="GB31" i="1"/>
  <c r="FP31" i="1"/>
  <c r="FD31" i="1"/>
  <c r="ER31" i="1"/>
  <c r="EF31" i="1"/>
  <c r="DT31" i="1"/>
  <c r="DH31" i="1"/>
  <c r="CV31" i="1"/>
  <c r="CJ31" i="1"/>
  <c r="BX31" i="1"/>
  <c r="BL31" i="1"/>
  <c r="AZ31" i="1"/>
  <c r="AN31" i="1"/>
  <c r="AB31" i="1"/>
  <c r="P31" i="1"/>
  <c r="JE31" i="1"/>
  <c r="IS31" i="1"/>
  <c r="IG31" i="1"/>
  <c r="HU31" i="1"/>
  <c r="HI31" i="1"/>
  <c r="GW31" i="1"/>
  <c r="GK31" i="1"/>
  <c r="FY31" i="1"/>
  <c r="FM31" i="1"/>
  <c r="FA31" i="1"/>
  <c r="EO31" i="1"/>
  <c r="EC31" i="1"/>
  <c r="DQ31" i="1"/>
  <c r="DE31" i="1"/>
  <c r="CS31" i="1"/>
  <c r="CG31" i="1"/>
  <c r="BU31" i="1"/>
  <c r="BI31" i="1"/>
  <c r="AW31" i="1"/>
  <c r="AK31" i="1"/>
  <c r="Y31" i="1"/>
  <c r="M31" i="1"/>
  <c r="JB31" i="1"/>
  <c r="IP31" i="1"/>
  <c r="ID31" i="1"/>
  <c r="HR31" i="1"/>
  <c r="HF31" i="1"/>
  <c r="GT31" i="1"/>
  <c r="GH31" i="1"/>
  <c r="FV31" i="1"/>
  <c r="FJ31" i="1"/>
  <c r="EX31" i="1"/>
  <c r="EL31" i="1"/>
  <c r="DZ31" i="1"/>
  <c r="DN31" i="1"/>
  <c r="DB31" i="1"/>
  <c r="CP31" i="1"/>
  <c r="CD31" i="1"/>
  <c r="BR31" i="1"/>
  <c r="BF31" i="1"/>
  <c r="AT31" i="1"/>
  <c r="AH31" i="1"/>
  <c r="V31" i="1"/>
  <c r="J31" i="1"/>
  <c r="IY31" i="1"/>
  <c r="IM31" i="1"/>
  <c r="IA31" i="1"/>
  <c r="HO31" i="1"/>
  <c r="HC31" i="1"/>
  <c r="GQ31" i="1"/>
  <c r="GE31" i="1"/>
  <c r="FS31" i="1"/>
  <c r="FG31" i="1"/>
  <c r="EU31" i="1"/>
  <c r="EI31" i="1"/>
  <c r="DW31" i="1"/>
  <c r="DK31" i="1"/>
  <c r="CY31" i="1"/>
  <c r="CM31" i="1"/>
  <c r="CA31" i="1"/>
  <c r="BO31" i="1"/>
  <c r="BC31" i="1"/>
  <c r="AQ31" i="1"/>
  <c r="AE31" i="1"/>
  <c r="S31" i="1"/>
  <c r="G31" i="1"/>
  <c r="AA9" i="45"/>
  <c r="S9" i="45"/>
  <c r="K9" i="45"/>
  <c r="AM9" i="45"/>
  <c r="W9" i="45"/>
  <c r="AQ9" i="45"/>
  <c r="AI9" i="45"/>
  <c r="AE9" i="45"/>
  <c r="O9" i="45"/>
  <c r="E11" i="2"/>
  <c r="J41" i="31"/>
  <c r="J40" i="30"/>
  <c r="J51" i="31"/>
  <c r="K56" i="31"/>
  <c r="J45" i="31"/>
  <c r="K57" i="31"/>
  <c r="AB155" i="46"/>
  <c r="X166" i="46" s="1"/>
  <c r="J2" i="54"/>
  <c r="J5" i="54"/>
  <c r="AA155" i="46"/>
  <c r="X165" i="46" s="1"/>
  <c r="O30" i="45"/>
  <c r="W30" i="45"/>
  <c r="AM30" i="45"/>
  <c r="K30" i="45"/>
  <c r="AA30" i="45"/>
  <c r="S30" i="45"/>
  <c r="AE30" i="45"/>
  <c r="AI30" i="45"/>
  <c r="AQ30" i="45"/>
  <c r="I41" i="48"/>
  <c r="J41" i="48"/>
  <c r="X41" i="48"/>
  <c r="AM11" i="45"/>
  <c r="O11" i="45"/>
  <c r="AI11" i="45"/>
  <c r="W11" i="45"/>
  <c r="S11" i="45"/>
  <c r="AA11" i="45"/>
  <c r="K11" i="45"/>
  <c r="AQ11" i="45"/>
  <c r="AE11" i="45"/>
  <c r="C40" i="45"/>
  <c r="E41" i="1"/>
  <c r="E45" i="25"/>
  <c r="D45" i="24"/>
  <c r="E42" i="26"/>
  <c r="D42" i="25"/>
  <c r="E52" i="28"/>
  <c r="E53" i="28" s="1"/>
  <c r="E47" i="26"/>
  <c r="D47" i="25"/>
  <c r="E48" i="21"/>
  <c r="D48" i="22"/>
  <c r="E39" i="26"/>
  <c r="D39" i="25"/>
  <c r="E46" i="26"/>
  <c r="D46" i="25"/>
  <c r="D50" i="23"/>
  <c r="E50" i="24"/>
  <c r="D51" i="24"/>
  <c r="E51" i="25"/>
  <c r="J37" i="28"/>
  <c r="J39" i="27"/>
  <c r="Q17" i="48"/>
  <c r="W16" i="48"/>
  <c r="D41" i="24"/>
  <c r="E41" i="25"/>
  <c r="E38" i="26"/>
  <c r="D38" i="25"/>
  <c r="D52" i="26"/>
  <c r="D53" i="26" s="1"/>
  <c r="M7" i="23"/>
  <c r="M34" i="24"/>
  <c r="J43" i="25"/>
  <c r="J44" i="26"/>
  <c r="D44" i="19"/>
  <c r="E44" i="20"/>
  <c r="E43" i="24"/>
  <c r="D43" i="23"/>
  <c r="J56" i="18"/>
  <c r="J49" i="25"/>
  <c r="J50" i="26"/>
  <c r="J57" i="12"/>
  <c r="A18" i="1"/>
  <c r="A19" i="2" s="1"/>
  <c r="E41" i="53" l="1"/>
  <c r="X185" i="58"/>
  <c r="X187" i="58" s="1"/>
  <c r="N12" i="53"/>
  <c r="U2" i="54"/>
  <c r="O12" i="53" s="1"/>
  <c r="P12" i="53" s="1"/>
  <c r="J11" i="7"/>
  <c r="J11" i="6" s="1"/>
  <c r="J11" i="37" s="1"/>
  <c r="J11" i="4" s="1"/>
  <c r="J11" i="43" s="1"/>
  <c r="J12" i="9"/>
  <c r="J25" i="9"/>
  <c r="J25" i="8" s="1"/>
  <c r="J25" i="7" s="1"/>
  <c r="J25" i="6" s="1"/>
  <c r="J25" i="37" s="1"/>
  <c r="J25" i="4" s="1"/>
  <c r="J25" i="43" s="1"/>
  <c r="J22" i="10"/>
  <c r="J23" i="10"/>
  <c r="J24" i="13"/>
  <c r="J24" i="12" s="1"/>
  <c r="J24" i="11" s="1"/>
  <c r="J21" i="12"/>
  <c r="J21" i="11" s="1"/>
  <c r="J18" i="12"/>
  <c r="J18" i="11" s="1"/>
  <c r="J18" i="10" s="1"/>
  <c r="E40" i="23"/>
  <c r="H12" i="53"/>
  <c r="E42" i="2"/>
  <c r="CC42" i="2" s="1"/>
  <c r="O41" i="53"/>
  <c r="O43" i="53" s="1"/>
  <c r="F41" i="53"/>
  <c r="F43" i="53" s="1"/>
  <c r="G41" i="53"/>
  <c r="G43" i="53" s="1"/>
  <c r="E49" i="24"/>
  <c r="Y10" i="48"/>
  <c r="I5" i="59" s="1"/>
  <c r="S11" i="48"/>
  <c r="G6" i="59" s="1"/>
  <c r="K10" i="48"/>
  <c r="C5" i="59" s="1"/>
  <c r="AK10" i="48"/>
  <c r="E5" i="59" s="1"/>
  <c r="CC10" i="2"/>
  <c r="F10" i="2"/>
  <c r="CD10" i="2" s="1"/>
  <c r="E49" i="25"/>
  <c r="N14" i="53"/>
  <c r="N41" i="53" s="1"/>
  <c r="P13" i="53"/>
  <c r="P41" i="53" s="1"/>
  <c r="X185" i="46"/>
  <c r="X187" i="46" s="1"/>
  <c r="H14" i="53"/>
  <c r="H4" i="53"/>
  <c r="H24" i="53"/>
  <c r="J51" i="30"/>
  <c r="K56" i="30"/>
  <c r="K57" i="30"/>
  <c r="J40" i="29"/>
  <c r="J45" i="30"/>
  <c r="J41" i="30"/>
  <c r="CC11" i="2"/>
  <c r="J3" i="54"/>
  <c r="J4" i="54"/>
  <c r="K40" i="45"/>
  <c r="W40" i="45"/>
  <c r="AE40" i="45"/>
  <c r="O40" i="45"/>
  <c r="AI40" i="45"/>
  <c r="AM40" i="45"/>
  <c r="AA40" i="45"/>
  <c r="AQ40" i="45"/>
  <c r="AY22" i="45" s="1"/>
  <c r="AY24" i="45" s="1"/>
  <c r="AY26" i="45" s="1"/>
  <c r="S40" i="45"/>
  <c r="D45" i="23"/>
  <c r="E45" i="24"/>
  <c r="E52" i="26"/>
  <c r="E53" i="26" s="1"/>
  <c r="E42" i="25"/>
  <c r="D42" i="24"/>
  <c r="D46" i="24"/>
  <c r="E46" i="25"/>
  <c r="E39" i="25"/>
  <c r="D39" i="24"/>
  <c r="E48" i="22"/>
  <c r="D48" i="20"/>
  <c r="D47" i="24"/>
  <c r="E47" i="25"/>
  <c r="J39" i="28"/>
  <c r="J37" i="26"/>
  <c r="D49" i="21"/>
  <c r="E49" i="23"/>
  <c r="D51" i="23"/>
  <c r="E51" i="24"/>
  <c r="D40" i="22"/>
  <c r="E40" i="21"/>
  <c r="E50" i="23"/>
  <c r="D50" i="21"/>
  <c r="A19" i="1"/>
  <c r="A20" i="2" s="1"/>
  <c r="J57" i="11"/>
  <c r="J49" i="24"/>
  <c r="J50" i="25"/>
  <c r="E44" i="19"/>
  <c r="D44" i="18"/>
  <c r="E41" i="24"/>
  <c r="D41" i="23"/>
  <c r="W17" i="48"/>
  <c r="Q18" i="48"/>
  <c r="J56" i="17"/>
  <c r="D43" i="21"/>
  <c r="E43" i="23"/>
  <c r="J43" i="24"/>
  <c r="J44" i="25"/>
  <c r="M7" i="21"/>
  <c r="M34" i="23"/>
  <c r="E38" i="25"/>
  <c r="D38" i="24"/>
  <c r="D52" i="25"/>
  <c r="D53" i="25" s="1"/>
  <c r="J12" i="8" l="1"/>
  <c r="J12" i="7" s="1"/>
  <c r="J12" i="6" s="1"/>
  <c r="J12" i="37" s="1"/>
  <c r="J12" i="4" s="1"/>
  <c r="J12" i="43" s="1"/>
  <c r="J20" i="9"/>
  <c r="J17" i="9"/>
  <c r="J22" i="9"/>
  <c r="J22" i="8" s="1"/>
  <c r="J22" i="7" s="1"/>
  <c r="J22" i="6" s="1"/>
  <c r="J22" i="37" s="1"/>
  <c r="J22" i="4" s="1"/>
  <c r="J22" i="43" s="1"/>
  <c r="J19" i="9"/>
  <c r="J23" i="9"/>
  <c r="J23" i="8" s="1"/>
  <c r="J23" i="7" s="1"/>
  <c r="J23" i="6" s="1"/>
  <c r="J23" i="37" s="1"/>
  <c r="J23" i="4" s="1"/>
  <c r="J23" i="43" s="1"/>
  <c r="J21" i="10"/>
  <c r="J24" i="10"/>
  <c r="F11" i="2"/>
  <c r="CD11" i="2" s="1"/>
  <c r="H41" i="53"/>
  <c r="H43" i="53" s="1"/>
  <c r="G50" i="54" s="1"/>
  <c r="AK11" i="48"/>
  <c r="E6" i="59" s="1"/>
  <c r="K11" i="48"/>
  <c r="C6" i="59" s="1"/>
  <c r="Y11" i="48"/>
  <c r="I6" i="59" s="1"/>
  <c r="S12" i="48"/>
  <c r="G7" i="59" s="1"/>
  <c r="Q12" i="53"/>
  <c r="P43" i="53"/>
  <c r="J45" i="29"/>
  <c r="K57" i="29"/>
  <c r="J40" i="27"/>
  <c r="J51" i="29"/>
  <c r="J41" i="29"/>
  <c r="K56" i="29"/>
  <c r="D45" i="21"/>
  <c r="E45" i="23"/>
  <c r="E52" i="25"/>
  <c r="E53" i="25" s="1"/>
  <c r="E42" i="24"/>
  <c r="D42" i="23"/>
  <c r="E48" i="20"/>
  <c r="D48" i="19"/>
  <c r="E39" i="24"/>
  <c r="D39" i="23"/>
  <c r="D47" i="23"/>
  <c r="E47" i="24"/>
  <c r="E46" i="24"/>
  <c r="D46" i="23"/>
  <c r="E50" i="21"/>
  <c r="D50" i="22"/>
  <c r="J39" i="26"/>
  <c r="J37" i="25"/>
  <c r="E40" i="22"/>
  <c r="D40" i="20"/>
  <c r="D51" i="21"/>
  <c r="E51" i="23"/>
  <c r="E49" i="21"/>
  <c r="D49" i="22"/>
  <c r="M7" i="22"/>
  <c r="M34" i="21"/>
  <c r="J56" i="16"/>
  <c r="M15" i="48"/>
  <c r="W18" i="48"/>
  <c r="Q19" i="48"/>
  <c r="E41" i="23"/>
  <c r="D41" i="21"/>
  <c r="D44" i="17"/>
  <c r="E44" i="18"/>
  <c r="J50" i="24"/>
  <c r="J49" i="23"/>
  <c r="J57" i="10"/>
  <c r="E38" i="24"/>
  <c r="D38" i="23"/>
  <c r="D52" i="24"/>
  <c r="D53" i="24" s="1"/>
  <c r="J43" i="23"/>
  <c r="J44" i="24"/>
  <c r="D43" i="22"/>
  <c r="E43" i="21"/>
  <c r="A20" i="1"/>
  <c r="A21" i="2" s="1"/>
  <c r="J19" i="8" l="1"/>
  <c r="J19" i="7" s="1"/>
  <c r="J19" i="6" s="1"/>
  <c r="J19" i="37" s="1"/>
  <c r="J19" i="4" s="1"/>
  <c r="J17" i="8"/>
  <c r="J17" i="7" s="1"/>
  <c r="J17" i="6" s="1"/>
  <c r="J17" i="37" s="1"/>
  <c r="J17" i="4" s="1"/>
  <c r="J17" i="43" s="1"/>
  <c r="J20" i="8"/>
  <c r="J20" i="7" s="1"/>
  <c r="J20" i="6" s="1"/>
  <c r="J20" i="37" s="1"/>
  <c r="J20" i="4" s="1"/>
  <c r="J20" i="43" s="1"/>
  <c r="J24" i="9"/>
  <c r="J24" i="8" s="1"/>
  <c r="J24" i="7" s="1"/>
  <c r="J24" i="6" s="1"/>
  <c r="J24" i="37" s="1"/>
  <c r="J24" i="4" s="1"/>
  <c r="J24" i="43" s="1"/>
  <c r="J21" i="9"/>
  <c r="J21" i="8" s="1"/>
  <c r="J21" i="7" s="1"/>
  <c r="J21" i="6" s="1"/>
  <c r="J21" i="37" s="1"/>
  <c r="J21" i="4" s="1"/>
  <c r="J21" i="43" s="1"/>
  <c r="J18" i="9"/>
  <c r="F12" i="2"/>
  <c r="CD12" i="2" s="1"/>
  <c r="Q41" i="53"/>
  <c r="Q43" i="53" s="1"/>
  <c r="AK12" i="48"/>
  <c r="E7" i="59" s="1"/>
  <c r="S13" i="48"/>
  <c r="G8" i="59" s="1"/>
  <c r="Y12" i="48"/>
  <c r="I7" i="59" s="1"/>
  <c r="K12" i="48"/>
  <c r="C7" i="59" s="1"/>
  <c r="K57" i="27"/>
  <c r="J40" i="28"/>
  <c r="J45" i="27"/>
  <c r="K56" i="27"/>
  <c r="J51" i="27"/>
  <c r="J41" i="27"/>
  <c r="D45" i="22"/>
  <c r="E45" i="21"/>
  <c r="E42" i="23"/>
  <c r="D42" i="21"/>
  <c r="D46" i="21"/>
  <c r="E46" i="23"/>
  <c r="D39" i="21"/>
  <c r="E39" i="23"/>
  <c r="D48" i="18"/>
  <c r="E48" i="19"/>
  <c r="E52" i="24"/>
  <c r="E53" i="24" s="1"/>
  <c r="E47" i="23"/>
  <c r="D47" i="21"/>
  <c r="D49" i="20"/>
  <c r="E49" i="22"/>
  <c r="D40" i="19"/>
  <c r="E40" i="20"/>
  <c r="J37" i="24"/>
  <c r="J39" i="25"/>
  <c r="D50" i="20"/>
  <c r="E50" i="22"/>
  <c r="D51" i="22"/>
  <c r="E51" i="21"/>
  <c r="J44" i="23"/>
  <c r="J43" i="21"/>
  <c r="D38" i="21"/>
  <c r="D52" i="23"/>
  <c r="D53" i="23" s="1"/>
  <c r="E38" i="23"/>
  <c r="J57" i="9"/>
  <c r="E41" i="21"/>
  <c r="D41" i="22"/>
  <c r="W19" i="48"/>
  <c r="Q20" i="48"/>
  <c r="M7" i="20"/>
  <c r="M34" i="22"/>
  <c r="A21" i="1"/>
  <c r="A22" i="2" s="1"/>
  <c r="D43" i="20"/>
  <c r="E43" i="22"/>
  <c r="J49" i="21"/>
  <c r="J50" i="23"/>
  <c r="E44" i="17"/>
  <c r="D44" i="16"/>
  <c r="M16" i="48"/>
  <c r="J56" i="15"/>
  <c r="J18" i="8" l="1"/>
  <c r="J18" i="7" s="1"/>
  <c r="J18" i="6" s="1"/>
  <c r="J18" i="4" s="1"/>
  <c r="J18" i="43" s="1"/>
  <c r="F13" i="2"/>
  <c r="AK13" i="48"/>
  <c r="E8" i="59" s="1"/>
  <c r="S14" i="48"/>
  <c r="G9" i="59" s="1"/>
  <c r="Y13" i="48"/>
  <c r="I8" i="59" s="1"/>
  <c r="K13" i="48"/>
  <c r="C8" i="59" s="1"/>
  <c r="K57" i="28"/>
  <c r="J51" i="28"/>
  <c r="J41" i="28"/>
  <c r="K56" i="28"/>
  <c r="J45" i="28"/>
  <c r="J40" i="26"/>
  <c r="CD13" i="2"/>
  <c r="F14" i="2"/>
  <c r="D45" i="20"/>
  <c r="E45" i="22"/>
  <c r="D42" i="22"/>
  <c r="E42" i="21"/>
  <c r="E52" i="23"/>
  <c r="E53" i="23" s="1"/>
  <c r="E47" i="21"/>
  <c r="D47" i="22"/>
  <c r="D48" i="17"/>
  <c r="E48" i="18"/>
  <c r="E39" i="21"/>
  <c r="D39" i="22"/>
  <c r="E46" i="21"/>
  <c r="D46" i="22"/>
  <c r="E51" i="22"/>
  <c r="D51" i="20"/>
  <c r="D50" i="19"/>
  <c r="E50" i="20"/>
  <c r="J37" i="23"/>
  <c r="J39" i="24"/>
  <c r="D40" i="18"/>
  <c r="E40" i="19"/>
  <c r="D49" i="19"/>
  <c r="E49" i="20"/>
  <c r="J56" i="14"/>
  <c r="E44" i="16"/>
  <c r="D44" i="15"/>
  <c r="J57" i="8"/>
  <c r="J43" i="22"/>
  <c r="J44" i="21"/>
  <c r="M17" i="48"/>
  <c r="J49" i="22"/>
  <c r="J50" i="21"/>
  <c r="E43" i="20"/>
  <c r="D43" i="19"/>
  <c r="A22" i="1"/>
  <c r="A23" i="2" s="1"/>
  <c r="M7" i="19"/>
  <c r="M34" i="20"/>
  <c r="W20" i="48"/>
  <c r="Q21" i="48"/>
  <c r="E41" i="22"/>
  <c r="D41" i="20"/>
  <c r="D38" i="22"/>
  <c r="E38" i="21"/>
  <c r="D52" i="21"/>
  <c r="D53" i="21" s="1"/>
  <c r="S15" i="48" l="1"/>
  <c r="G10" i="59" s="1"/>
  <c r="AK14" i="48"/>
  <c r="E9" i="59" s="1"/>
  <c r="Y14" i="48"/>
  <c r="I9" i="59" s="1"/>
  <c r="K14" i="48"/>
  <c r="C9" i="59" s="1"/>
  <c r="K57" i="26"/>
  <c r="J51" i="26"/>
  <c r="J41" i="26"/>
  <c r="K56" i="26"/>
  <c r="J45" i="26"/>
  <c r="J40" i="25"/>
  <c r="CD14" i="2"/>
  <c r="F15" i="2"/>
  <c r="E52" i="21"/>
  <c r="E53" i="21" s="1"/>
  <c r="E45" i="20"/>
  <c r="D45" i="19"/>
  <c r="E42" i="22"/>
  <c r="D42" i="20"/>
  <c r="D48" i="16"/>
  <c r="E48" i="17"/>
  <c r="E46" i="22"/>
  <c r="D46" i="20"/>
  <c r="E39" i="22"/>
  <c r="D39" i="20"/>
  <c r="D47" i="20"/>
  <c r="E47" i="22"/>
  <c r="E51" i="20"/>
  <c r="D51" i="19"/>
  <c r="E49" i="19"/>
  <c r="D49" i="18"/>
  <c r="E40" i="18"/>
  <c r="D40" i="17"/>
  <c r="J37" i="21"/>
  <c r="J39" i="23"/>
  <c r="D50" i="18"/>
  <c r="E50" i="19"/>
  <c r="E41" i="20"/>
  <c r="D41" i="19"/>
  <c r="W21" i="48"/>
  <c r="Q22" i="48"/>
  <c r="D43" i="18"/>
  <c r="E43" i="19"/>
  <c r="J49" i="20"/>
  <c r="J50" i="22"/>
  <c r="M18" i="48"/>
  <c r="J43" i="20"/>
  <c r="J44" i="22"/>
  <c r="J57" i="7"/>
  <c r="E38" i="22"/>
  <c r="D52" i="22"/>
  <c r="D53" i="22" s="1"/>
  <c r="D38" i="20"/>
  <c r="M7" i="18"/>
  <c r="M34" i="19"/>
  <c r="A23" i="1"/>
  <c r="A24" i="2" s="1"/>
  <c r="D44" i="14"/>
  <c r="E44" i="15"/>
  <c r="J56" i="13"/>
  <c r="S16" i="48" l="1"/>
  <c r="G11" i="59" s="1"/>
  <c r="K15" i="48"/>
  <c r="C10" i="59" s="1"/>
  <c r="Y15" i="48"/>
  <c r="I10" i="59" s="1"/>
  <c r="AK15" i="48"/>
  <c r="E10" i="59" s="1"/>
  <c r="J40" i="24"/>
  <c r="J51" i="25"/>
  <c r="K56" i="25"/>
  <c r="K57" i="25"/>
  <c r="J45" i="25"/>
  <c r="J41" i="25"/>
  <c r="CD15" i="2"/>
  <c r="F16" i="2"/>
  <c r="D45" i="18"/>
  <c r="E45" i="19"/>
  <c r="E52" i="22"/>
  <c r="E53" i="22" s="1"/>
  <c r="D42" i="19"/>
  <c r="E42" i="20"/>
  <c r="E39" i="20"/>
  <c r="D39" i="19"/>
  <c r="E46" i="20"/>
  <c r="D46" i="19"/>
  <c r="E47" i="20"/>
  <c r="D47" i="19"/>
  <c r="E48" i="16"/>
  <c r="D48" i="15"/>
  <c r="D50" i="17"/>
  <c r="E50" i="18"/>
  <c r="J37" i="22"/>
  <c r="J39" i="21"/>
  <c r="E51" i="19"/>
  <c r="D51" i="18"/>
  <c r="D40" i="16"/>
  <c r="E40" i="17"/>
  <c r="E49" i="18"/>
  <c r="D49" i="17"/>
  <c r="A24" i="1"/>
  <c r="A25" i="2" s="1"/>
  <c r="D52" i="20"/>
  <c r="D53" i="20" s="1"/>
  <c r="D38" i="19"/>
  <c r="E38" i="20"/>
  <c r="J43" i="19"/>
  <c r="J44" i="20"/>
  <c r="W22" i="48"/>
  <c r="Q23" i="48"/>
  <c r="E41" i="19"/>
  <c r="D41" i="18"/>
  <c r="J56" i="12"/>
  <c r="D44" i="13"/>
  <c r="E44" i="14"/>
  <c r="M7" i="17"/>
  <c r="M34" i="18"/>
  <c r="J57" i="6"/>
  <c r="M19" i="48"/>
  <c r="J50" i="20"/>
  <c r="J49" i="19"/>
  <c r="E43" i="18"/>
  <c r="D43" i="17"/>
  <c r="Y16" i="48" l="1"/>
  <c r="I11" i="59" s="1"/>
  <c r="S17" i="48"/>
  <c r="G12" i="59" s="1"/>
  <c r="K16" i="48"/>
  <c r="C11" i="59" s="1"/>
  <c r="AK16" i="48"/>
  <c r="E11" i="59" s="1"/>
  <c r="CD16" i="2"/>
  <c r="F17" i="2"/>
  <c r="J41" i="24"/>
  <c r="J40" i="23"/>
  <c r="K57" i="24"/>
  <c r="J45" i="24"/>
  <c r="K56" i="24"/>
  <c r="J51" i="24"/>
  <c r="E45" i="18"/>
  <c r="D45" i="17"/>
  <c r="E52" i="20"/>
  <c r="E53" i="20" s="1"/>
  <c r="D42" i="18"/>
  <c r="E42" i="19"/>
  <c r="E48" i="15"/>
  <c r="D48" i="14"/>
  <c r="D47" i="18"/>
  <c r="E47" i="19"/>
  <c r="E46" i="19"/>
  <c r="D46" i="18"/>
  <c r="D39" i="18"/>
  <c r="E39" i="19"/>
  <c r="E40" i="16"/>
  <c r="D40" i="15"/>
  <c r="E51" i="18"/>
  <c r="D51" i="17"/>
  <c r="D49" i="16"/>
  <c r="E49" i="17"/>
  <c r="J37" i="20"/>
  <c r="J39" i="22"/>
  <c r="E50" i="17"/>
  <c r="D50" i="16"/>
  <c r="M7" i="16"/>
  <c r="M34" i="17"/>
  <c r="J56" i="11"/>
  <c r="E41" i="18"/>
  <c r="D41" i="17"/>
  <c r="W23" i="48"/>
  <c r="Q24" i="48"/>
  <c r="J43" i="18"/>
  <c r="J44" i="19"/>
  <c r="E38" i="19"/>
  <c r="D52" i="19"/>
  <c r="D53" i="19" s="1"/>
  <c r="D38" i="18"/>
  <c r="D43" i="16"/>
  <c r="E43" i="17"/>
  <c r="J49" i="18"/>
  <c r="J50" i="19"/>
  <c r="M20" i="48"/>
  <c r="J57" i="37"/>
  <c r="D44" i="12"/>
  <c r="E44" i="13"/>
  <c r="A25" i="1"/>
  <c r="A26" i="2" s="1"/>
  <c r="Y17" i="48" l="1"/>
  <c r="I12" i="59" s="1"/>
  <c r="K17" i="48"/>
  <c r="C12" i="59" s="1"/>
  <c r="AK17" i="48"/>
  <c r="E12" i="59" s="1"/>
  <c r="S18" i="48"/>
  <c r="G13" i="59" s="1"/>
  <c r="J45" i="23"/>
  <c r="K57" i="23"/>
  <c r="J51" i="23"/>
  <c r="J41" i="23"/>
  <c r="J40" i="21"/>
  <c r="K56" i="23"/>
  <c r="CD17" i="2"/>
  <c r="F18" i="2"/>
  <c r="E45" i="17"/>
  <c r="D45" i="16"/>
  <c r="D42" i="17"/>
  <c r="E42" i="18"/>
  <c r="E52" i="19"/>
  <c r="E53" i="19" s="1"/>
  <c r="E46" i="18"/>
  <c r="D46" i="17"/>
  <c r="E48" i="14"/>
  <c r="D48" i="13"/>
  <c r="D39" i="17"/>
  <c r="E39" i="18"/>
  <c r="D47" i="17"/>
  <c r="E47" i="18"/>
  <c r="J37" i="19"/>
  <c r="J39" i="20"/>
  <c r="D49" i="15"/>
  <c r="E49" i="16"/>
  <c r="E40" i="15"/>
  <c r="D40" i="14"/>
  <c r="E50" i="16"/>
  <c r="D50" i="15"/>
  <c r="D51" i="16"/>
  <c r="E51" i="17"/>
  <c r="A26" i="1"/>
  <c r="A27" i="2" s="1"/>
  <c r="J49" i="17"/>
  <c r="J50" i="18"/>
  <c r="D43" i="15"/>
  <c r="E43" i="16"/>
  <c r="D38" i="17"/>
  <c r="E38" i="18"/>
  <c r="D52" i="18"/>
  <c r="D53" i="18" s="1"/>
  <c r="J43" i="17"/>
  <c r="J44" i="18"/>
  <c r="W24" i="48"/>
  <c r="Q25" i="48"/>
  <c r="D41" i="16"/>
  <c r="E41" i="17"/>
  <c r="J56" i="10"/>
  <c r="E44" i="12"/>
  <c r="D44" i="11"/>
  <c r="J57" i="4"/>
  <c r="M21" i="48"/>
  <c r="M34" i="16"/>
  <c r="M7" i="15"/>
  <c r="S19" i="48" l="1"/>
  <c r="G14" i="59" s="1"/>
  <c r="K18" i="48"/>
  <c r="C13" i="59" s="1"/>
  <c r="AK18" i="48"/>
  <c r="E13" i="59" s="1"/>
  <c r="Y18" i="48"/>
  <c r="I13" i="59" s="1"/>
  <c r="J41" i="21"/>
  <c r="J51" i="21"/>
  <c r="J40" i="22"/>
  <c r="J45" i="21"/>
  <c r="K57" i="21"/>
  <c r="K56" i="21"/>
  <c r="CD18" i="2"/>
  <c r="F19" i="2"/>
  <c r="D45" i="15"/>
  <c r="E45" i="16"/>
  <c r="D42" i="16"/>
  <c r="E42" i="17"/>
  <c r="E48" i="13"/>
  <c r="D48" i="12"/>
  <c r="E46" i="17"/>
  <c r="D46" i="16"/>
  <c r="E52" i="18"/>
  <c r="E53" i="18" s="1"/>
  <c r="E47" i="17"/>
  <c r="D47" i="16"/>
  <c r="E39" i="17"/>
  <c r="D39" i="16"/>
  <c r="D51" i="15"/>
  <c r="E51" i="16"/>
  <c r="D50" i="14"/>
  <c r="E50" i="15"/>
  <c r="E40" i="14"/>
  <c r="D40" i="13"/>
  <c r="D49" i="14"/>
  <c r="E49" i="15"/>
  <c r="J39" i="19"/>
  <c r="J37" i="18"/>
  <c r="J57" i="43"/>
  <c r="D41" i="15"/>
  <c r="E41" i="16"/>
  <c r="D38" i="16"/>
  <c r="D52" i="17"/>
  <c r="D53" i="17" s="1"/>
  <c r="E38" i="17"/>
  <c r="D43" i="14"/>
  <c r="E43" i="15"/>
  <c r="A27" i="1"/>
  <c r="A28" i="2" s="1"/>
  <c r="M7" i="14"/>
  <c r="M34" i="15"/>
  <c r="M22" i="48"/>
  <c r="D44" i="10"/>
  <c r="E44" i="11"/>
  <c r="J56" i="9"/>
  <c r="W25" i="48"/>
  <c r="Q26" i="48"/>
  <c r="J43" i="16"/>
  <c r="J44" i="17"/>
  <c r="J49" i="16"/>
  <c r="J50" i="17"/>
  <c r="S20" i="48" l="1"/>
  <c r="G15" i="59" s="1"/>
  <c r="K19" i="48"/>
  <c r="C14" i="59" s="1"/>
  <c r="Y19" i="48"/>
  <c r="I14" i="59" s="1"/>
  <c r="AK19" i="48"/>
  <c r="E14" i="59" s="1"/>
  <c r="K56" i="22"/>
  <c r="J51" i="22"/>
  <c r="J40" i="20"/>
  <c r="J41" i="22"/>
  <c r="K57" i="22"/>
  <c r="J45" i="22"/>
  <c r="CD19" i="2"/>
  <c r="F20" i="2"/>
  <c r="D45" i="14"/>
  <c r="E45" i="15"/>
  <c r="D42" i="15"/>
  <c r="E42" i="16"/>
  <c r="E52" i="17"/>
  <c r="E53" i="17" s="1"/>
  <c r="D46" i="15"/>
  <c r="E46" i="16"/>
  <c r="E48" i="12"/>
  <c r="D48" i="11"/>
  <c r="E39" i="16"/>
  <c r="D39" i="15"/>
  <c r="E47" i="16"/>
  <c r="D47" i="15"/>
  <c r="J37" i="17"/>
  <c r="J39" i="18"/>
  <c r="D40" i="12"/>
  <c r="E40" i="13"/>
  <c r="D49" i="13"/>
  <c r="E49" i="14"/>
  <c r="D50" i="13"/>
  <c r="E50" i="14"/>
  <c r="E51" i="15"/>
  <c r="D51" i="14"/>
  <c r="J50" i="16"/>
  <c r="J49" i="15"/>
  <c r="Q27" i="48"/>
  <c r="W26" i="48"/>
  <c r="M23" i="48"/>
  <c r="M7" i="13"/>
  <c r="M34" i="14"/>
  <c r="D43" i="13"/>
  <c r="E43" i="14"/>
  <c r="J43" i="15"/>
  <c r="J44" i="16"/>
  <c r="J56" i="8"/>
  <c r="D44" i="9"/>
  <c r="E44" i="10"/>
  <c r="A28" i="1"/>
  <c r="A29" i="2" s="1"/>
  <c r="D38" i="15"/>
  <c r="D52" i="16"/>
  <c r="D53" i="16" s="1"/>
  <c r="E38" i="16"/>
  <c r="E41" i="15"/>
  <c r="D41" i="14"/>
  <c r="Y20" i="48" l="1"/>
  <c r="I15" i="59" s="1"/>
  <c r="K20" i="48"/>
  <c r="C15" i="59" s="1"/>
  <c r="AK20" i="48"/>
  <c r="E15" i="59" s="1"/>
  <c r="S21" i="48"/>
  <c r="G16" i="59" s="1"/>
  <c r="K57" i="20"/>
  <c r="J41" i="20"/>
  <c r="J45" i="20"/>
  <c r="K56" i="20"/>
  <c r="J40" i="19"/>
  <c r="J51" i="20"/>
  <c r="CD20" i="2"/>
  <c r="F21" i="2"/>
  <c r="E45" i="14"/>
  <c r="D45" i="13"/>
  <c r="D42" i="14"/>
  <c r="E42" i="15"/>
  <c r="E47" i="15"/>
  <c r="D47" i="14"/>
  <c r="E39" i="15"/>
  <c r="D39" i="14"/>
  <c r="E48" i="11"/>
  <c r="D48" i="10"/>
  <c r="E52" i="16"/>
  <c r="E53" i="16" s="1"/>
  <c r="D46" i="14"/>
  <c r="E46" i="15"/>
  <c r="E51" i="14"/>
  <c r="D51" i="13"/>
  <c r="D49" i="12"/>
  <c r="E49" i="13"/>
  <c r="E40" i="12"/>
  <c r="D40" i="11"/>
  <c r="E50" i="13"/>
  <c r="D50" i="12"/>
  <c r="J37" i="16"/>
  <c r="J39" i="17"/>
  <c r="E41" i="14"/>
  <c r="D41" i="13"/>
  <c r="D52" i="15"/>
  <c r="D53" i="15" s="1"/>
  <c r="E38" i="15"/>
  <c r="D38" i="14"/>
  <c r="A29" i="1"/>
  <c r="A30" i="2" s="1"/>
  <c r="D44" i="8"/>
  <c r="E44" i="9"/>
  <c r="J56" i="7"/>
  <c r="D43" i="12"/>
  <c r="E43" i="13"/>
  <c r="J49" i="14"/>
  <c r="J50" i="15"/>
  <c r="J44" i="15"/>
  <c r="J43" i="14"/>
  <c r="M7" i="12"/>
  <c r="M34" i="13"/>
  <c r="M24" i="48"/>
  <c r="Q28" i="48"/>
  <c r="W27" i="48"/>
  <c r="Y21" i="48" l="1"/>
  <c r="I16" i="59" s="1"/>
  <c r="S22" i="48"/>
  <c r="G17" i="59" s="1"/>
  <c r="AK21" i="48"/>
  <c r="E16" i="59" s="1"/>
  <c r="K21" i="48"/>
  <c r="C16" i="59" s="1"/>
  <c r="J40" i="18"/>
  <c r="K56" i="19"/>
  <c r="K57" i="19"/>
  <c r="J51" i="19"/>
  <c r="J45" i="19"/>
  <c r="J41" i="19"/>
  <c r="CD21" i="2"/>
  <c r="F22" i="2"/>
  <c r="E45" i="13"/>
  <c r="D45" i="12"/>
  <c r="E52" i="15"/>
  <c r="E53" i="15" s="1"/>
  <c r="D42" i="13"/>
  <c r="E42" i="14"/>
  <c r="D46" i="13"/>
  <c r="E46" i="14"/>
  <c r="E48" i="10"/>
  <c r="D48" i="9"/>
  <c r="E39" i="14"/>
  <c r="D39" i="13"/>
  <c r="D47" i="13"/>
  <c r="E47" i="14"/>
  <c r="E50" i="12"/>
  <c r="D50" i="11"/>
  <c r="D40" i="10"/>
  <c r="E40" i="11"/>
  <c r="D51" i="12"/>
  <c r="E51" i="13"/>
  <c r="J39" i="16"/>
  <c r="J37" i="15"/>
  <c r="E49" i="12"/>
  <c r="D49" i="11"/>
  <c r="J49" i="13"/>
  <c r="J50" i="14"/>
  <c r="E43" i="12"/>
  <c r="D43" i="11"/>
  <c r="J56" i="6"/>
  <c r="A30" i="1"/>
  <c r="A31" i="2" s="1"/>
  <c r="D52" i="14"/>
  <c r="D53" i="14" s="1"/>
  <c r="D38" i="13"/>
  <c r="E38" i="14"/>
  <c r="Q29" i="48"/>
  <c r="W28" i="48"/>
  <c r="M25" i="48"/>
  <c r="M7" i="11"/>
  <c r="M34" i="12"/>
  <c r="J43" i="13"/>
  <c r="J44" i="14"/>
  <c r="D44" i="7"/>
  <c r="E44" i="8"/>
  <c r="D41" i="12"/>
  <c r="E41" i="13"/>
  <c r="S23" i="48" l="1"/>
  <c r="G18" i="59" s="1"/>
  <c r="K22" i="48"/>
  <c r="C17" i="59" s="1"/>
  <c r="Y22" i="48"/>
  <c r="I17" i="59" s="1"/>
  <c r="AK22" i="48"/>
  <c r="E17" i="59" s="1"/>
  <c r="CD22" i="2"/>
  <c r="F23" i="2"/>
  <c r="J41" i="18"/>
  <c r="K56" i="18"/>
  <c r="K57" i="18"/>
  <c r="J51" i="18"/>
  <c r="J40" i="17"/>
  <c r="J45" i="18"/>
  <c r="D45" i="11"/>
  <c r="E45" i="12"/>
  <c r="E42" i="13"/>
  <c r="D42" i="12"/>
  <c r="E52" i="14"/>
  <c r="E53" i="14" s="1"/>
  <c r="E39" i="13"/>
  <c r="D39" i="12"/>
  <c r="D48" i="8"/>
  <c r="E48" i="9"/>
  <c r="D47" i="12"/>
  <c r="E47" i="13"/>
  <c r="D46" i="12"/>
  <c r="E46" i="13"/>
  <c r="D49" i="10"/>
  <c r="E49" i="11"/>
  <c r="J37" i="14"/>
  <c r="J39" i="15"/>
  <c r="D50" i="10"/>
  <c r="E50" i="11"/>
  <c r="E51" i="12"/>
  <c r="D51" i="11"/>
  <c r="E40" i="10"/>
  <c r="D40" i="9"/>
  <c r="J56" i="37"/>
  <c r="D43" i="10"/>
  <c r="E43" i="11"/>
  <c r="J49" i="12"/>
  <c r="J50" i="13"/>
  <c r="E41" i="12"/>
  <c r="D41" i="11"/>
  <c r="D44" i="6"/>
  <c r="E44" i="7"/>
  <c r="J43" i="12"/>
  <c r="J44" i="13"/>
  <c r="M7" i="10"/>
  <c r="M34" i="11"/>
  <c r="M26" i="48"/>
  <c r="Q30" i="48"/>
  <c r="W29" i="48"/>
  <c r="D52" i="13"/>
  <c r="D53" i="13" s="1"/>
  <c r="D38" i="12"/>
  <c r="E38" i="13"/>
  <c r="A31" i="1"/>
  <c r="A32" i="2" s="1"/>
  <c r="S24" i="48" l="1"/>
  <c r="G19" i="59" s="1"/>
  <c r="Y23" i="48"/>
  <c r="I18" i="59" s="1"/>
  <c r="AK23" i="48"/>
  <c r="E18" i="59" s="1"/>
  <c r="K23" i="48"/>
  <c r="C18" i="59" s="1"/>
  <c r="J41" i="17"/>
  <c r="K56" i="17"/>
  <c r="J51" i="17"/>
  <c r="K57" i="17"/>
  <c r="J40" i="16"/>
  <c r="J45" i="17"/>
  <c r="CD23" i="2"/>
  <c r="F24" i="2"/>
  <c r="D45" i="10"/>
  <c r="E45" i="11"/>
  <c r="E42" i="12"/>
  <c r="D42" i="11"/>
  <c r="E52" i="13"/>
  <c r="E53" i="13" s="1"/>
  <c r="E39" i="12"/>
  <c r="D39" i="11"/>
  <c r="E46" i="12"/>
  <c r="D46" i="11"/>
  <c r="E47" i="12"/>
  <c r="D47" i="11"/>
  <c r="E48" i="8"/>
  <c r="D48" i="7"/>
  <c r="E40" i="9"/>
  <c r="D40" i="8"/>
  <c r="D51" i="10"/>
  <c r="E51" i="11"/>
  <c r="E50" i="10"/>
  <c r="D50" i="9"/>
  <c r="J37" i="13"/>
  <c r="J39" i="14"/>
  <c r="E49" i="10"/>
  <c r="D49" i="9"/>
  <c r="A32" i="1"/>
  <c r="A33" i="2" s="1"/>
  <c r="E38" i="12"/>
  <c r="D52" i="12"/>
  <c r="D53" i="12" s="1"/>
  <c r="D38" i="11"/>
  <c r="M27" i="48"/>
  <c r="J43" i="11"/>
  <c r="J44" i="12"/>
  <c r="D44" i="37"/>
  <c r="E44" i="6"/>
  <c r="J50" i="12"/>
  <c r="J49" i="11"/>
  <c r="D43" i="9"/>
  <c r="E43" i="10"/>
  <c r="J56" i="4"/>
  <c r="W30" i="48"/>
  <c r="Q31" i="48"/>
  <c r="M7" i="9"/>
  <c r="M34" i="10"/>
  <c r="D41" i="10"/>
  <c r="E41" i="11"/>
  <c r="S25" i="48" l="1"/>
  <c r="G20" i="59" s="1"/>
  <c r="K24" i="48"/>
  <c r="C19" i="59" s="1"/>
  <c r="AK24" i="48"/>
  <c r="E19" i="59" s="1"/>
  <c r="Y24" i="48"/>
  <c r="I19" i="59" s="1"/>
  <c r="J45" i="16"/>
  <c r="K57" i="16"/>
  <c r="J40" i="15"/>
  <c r="J51" i="16"/>
  <c r="J41" i="16"/>
  <c r="K56" i="16"/>
  <c r="F25" i="2"/>
  <c r="CD24" i="2"/>
  <c r="E45" i="10"/>
  <c r="D45" i="9"/>
  <c r="D42" i="10"/>
  <c r="E42" i="11"/>
  <c r="E52" i="12"/>
  <c r="E53" i="12" s="1"/>
  <c r="E48" i="7"/>
  <c r="D48" i="6"/>
  <c r="E47" i="11"/>
  <c r="D47" i="10"/>
  <c r="D46" i="10"/>
  <c r="E46" i="11"/>
  <c r="E39" i="11"/>
  <c r="D39" i="10"/>
  <c r="E49" i="9"/>
  <c r="D49" i="8"/>
  <c r="J37" i="12"/>
  <c r="J39" i="13"/>
  <c r="D40" i="7"/>
  <c r="E40" i="8"/>
  <c r="D50" i="8"/>
  <c r="E50" i="9"/>
  <c r="D51" i="9"/>
  <c r="E51" i="10"/>
  <c r="W31" i="48"/>
  <c r="Q32" i="48"/>
  <c r="J56" i="43"/>
  <c r="E43" i="9"/>
  <c r="D43" i="8"/>
  <c r="J43" i="10"/>
  <c r="J44" i="11"/>
  <c r="M28" i="48"/>
  <c r="E41" i="10"/>
  <c r="D41" i="9"/>
  <c r="M34" i="9"/>
  <c r="M7" i="8"/>
  <c r="J49" i="10"/>
  <c r="J50" i="11"/>
  <c r="D44" i="4"/>
  <c r="E44" i="37"/>
  <c r="E38" i="11"/>
  <c r="D38" i="10"/>
  <c r="D52" i="11"/>
  <c r="D53" i="11" s="1"/>
  <c r="A33" i="1"/>
  <c r="A34" i="2" s="1"/>
  <c r="Z156" i="58" l="1"/>
  <c r="Z156" i="46"/>
  <c r="S26" i="48"/>
  <c r="G21" i="59" s="1"/>
  <c r="Y25" i="48"/>
  <c r="I20" i="59" s="1"/>
  <c r="AK25" i="48"/>
  <c r="E20" i="59" s="1"/>
  <c r="K25" i="48"/>
  <c r="C20" i="59" s="1"/>
  <c r="J40" i="14"/>
  <c r="J51" i="15"/>
  <c r="K56" i="15"/>
  <c r="J41" i="15"/>
  <c r="J45" i="15"/>
  <c r="K57" i="15"/>
  <c r="CD25" i="2"/>
  <c r="F26" i="2"/>
  <c r="E45" i="9"/>
  <c r="D45" i="8"/>
  <c r="E42" i="10"/>
  <c r="D42" i="9"/>
  <c r="D39" i="9"/>
  <c r="E39" i="10"/>
  <c r="E47" i="10"/>
  <c r="D47" i="9"/>
  <c r="E48" i="6"/>
  <c r="D48" i="37"/>
  <c r="E52" i="11"/>
  <c r="E53" i="11" s="1"/>
  <c r="D46" i="9"/>
  <c r="E46" i="10"/>
  <c r="D51" i="8"/>
  <c r="E51" i="9"/>
  <c r="E50" i="8"/>
  <c r="D50" i="7"/>
  <c r="E49" i="8"/>
  <c r="D49" i="7"/>
  <c r="D40" i="6"/>
  <c r="E40" i="7"/>
  <c r="J37" i="11"/>
  <c r="J39" i="12"/>
  <c r="A34" i="1"/>
  <c r="A35" i="2" s="1"/>
  <c r="D52" i="10"/>
  <c r="D53" i="10" s="1"/>
  <c r="E38" i="10"/>
  <c r="D38" i="9"/>
  <c r="J49" i="9"/>
  <c r="J50" i="10"/>
  <c r="J43" i="9"/>
  <c r="J44" i="10"/>
  <c r="E43" i="8"/>
  <c r="D43" i="7"/>
  <c r="E44" i="4"/>
  <c r="D44" i="43"/>
  <c r="E44" i="43" s="1"/>
  <c r="M7" i="7"/>
  <c r="M34" i="8"/>
  <c r="E41" i="9"/>
  <c r="D41" i="8"/>
  <c r="M29" i="48"/>
  <c r="W32" i="48"/>
  <c r="Q33" i="48"/>
  <c r="Y26" i="48" l="1"/>
  <c r="I21" i="59" s="1"/>
  <c r="S27" i="48"/>
  <c r="G22" i="59" s="1"/>
  <c r="K26" i="48"/>
  <c r="C21" i="59" s="1"/>
  <c r="AK26" i="48"/>
  <c r="E21" i="59" s="1"/>
  <c r="CD26" i="2"/>
  <c r="F27" i="2"/>
  <c r="J41" i="14"/>
  <c r="K56" i="14"/>
  <c r="J45" i="14"/>
  <c r="J40" i="13"/>
  <c r="K57" i="14"/>
  <c r="J51" i="14"/>
  <c r="E45" i="8"/>
  <c r="D45" i="7"/>
  <c r="E52" i="10"/>
  <c r="E53" i="10" s="1"/>
  <c r="D42" i="8"/>
  <c r="E42" i="9"/>
  <c r="E46" i="9"/>
  <c r="D46" i="8"/>
  <c r="E48" i="37"/>
  <c r="D48" i="4"/>
  <c r="D47" i="8"/>
  <c r="E47" i="9"/>
  <c r="E39" i="9"/>
  <c r="D39" i="8"/>
  <c r="J37" i="10"/>
  <c r="J39" i="11"/>
  <c r="D40" i="37"/>
  <c r="E40" i="6"/>
  <c r="E49" i="7"/>
  <c r="D49" i="6"/>
  <c r="D50" i="6"/>
  <c r="E50" i="7"/>
  <c r="D51" i="7"/>
  <c r="E51" i="8"/>
  <c r="W33" i="48"/>
  <c r="Q34" i="48"/>
  <c r="D41" i="7"/>
  <c r="E41" i="8"/>
  <c r="D43" i="6"/>
  <c r="E43" i="7"/>
  <c r="J43" i="8"/>
  <c r="J44" i="9"/>
  <c r="E38" i="9"/>
  <c r="D52" i="9"/>
  <c r="D53" i="9" s="1"/>
  <c r="D38" i="8"/>
  <c r="A35" i="1"/>
  <c r="A36" i="2" s="1"/>
  <c r="M30" i="48"/>
  <c r="M7" i="6"/>
  <c r="M34" i="7"/>
  <c r="J49" i="8"/>
  <c r="J50" i="9"/>
  <c r="S28" i="48" l="1"/>
  <c r="G23" i="59" s="1"/>
  <c r="Y27" i="48"/>
  <c r="I22" i="59" s="1"/>
  <c r="K27" i="48"/>
  <c r="C22" i="59" s="1"/>
  <c r="AK27" i="48"/>
  <c r="E22" i="59" s="1"/>
  <c r="J51" i="13"/>
  <c r="J41" i="13"/>
  <c r="K56" i="13"/>
  <c r="J45" i="13"/>
  <c r="K57" i="13"/>
  <c r="J40" i="12"/>
  <c r="F28" i="2"/>
  <c r="CD27" i="2"/>
  <c r="E45" i="7"/>
  <c r="D45" i="6"/>
  <c r="E42" i="8"/>
  <c r="D42" i="7"/>
  <c r="D39" i="7"/>
  <c r="E39" i="8"/>
  <c r="E48" i="4"/>
  <c r="D48" i="43"/>
  <c r="E48" i="43" s="1"/>
  <c r="E46" i="8"/>
  <c r="D46" i="7"/>
  <c r="E52" i="9"/>
  <c r="E53" i="9" s="1"/>
  <c r="E47" i="8"/>
  <c r="D47" i="7"/>
  <c r="D51" i="6"/>
  <c r="E51" i="7"/>
  <c r="E50" i="6"/>
  <c r="D50" i="37"/>
  <c r="D40" i="4"/>
  <c r="E40" i="37"/>
  <c r="D49" i="37"/>
  <c r="E49" i="6"/>
  <c r="J39" i="10"/>
  <c r="J37" i="9"/>
  <c r="J50" i="8"/>
  <c r="J49" i="7"/>
  <c r="M31" i="48"/>
  <c r="D38" i="7"/>
  <c r="E38" i="8"/>
  <c r="D52" i="8"/>
  <c r="D53" i="8" s="1"/>
  <c r="D41" i="6"/>
  <c r="E41" i="7"/>
  <c r="M7" i="37"/>
  <c r="M34" i="6"/>
  <c r="A36" i="1"/>
  <c r="A37" i="2" s="1"/>
  <c r="J43" i="7"/>
  <c r="J44" i="8"/>
  <c r="D43" i="37"/>
  <c r="E43" i="6"/>
  <c r="Q35" i="48"/>
  <c r="W34" i="48"/>
  <c r="Y28" i="48" l="1"/>
  <c r="I23" i="59" s="1"/>
  <c r="K28" i="48"/>
  <c r="C23" i="59" s="1"/>
  <c r="S29" i="48"/>
  <c r="G24" i="59" s="1"/>
  <c r="AK28" i="48"/>
  <c r="E23" i="59" s="1"/>
  <c r="J40" i="11"/>
  <c r="J51" i="12"/>
  <c r="K56" i="12"/>
  <c r="K57" i="12"/>
  <c r="J41" i="12"/>
  <c r="J45" i="12"/>
  <c r="F29" i="2"/>
  <c r="CD28" i="2"/>
  <c r="D45" i="37"/>
  <c r="E45" i="6"/>
  <c r="E52" i="8"/>
  <c r="E53" i="8" s="1"/>
  <c r="D42" i="6"/>
  <c r="E42" i="7"/>
  <c r="D46" i="6"/>
  <c r="E46" i="7"/>
  <c r="D47" i="6"/>
  <c r="E47" i="7"/>
  <c r="E39" i="7"/>
  <c r="D39" i="6"/>
  <c r="J37" i="8"/>
  <c r="J39" i="9"/>
  <c r="E49" i="37"/>
  <c r="D49" i="4"/>
  <c r="D50" i="4"/>
  <c r="E50" i="37"/>
  <c r="E40" i="4"/>
  <c r="D40" i="43"/>
  <c r="E40" i="43" s="1"/>
  <c r="D51" i="37"/>
  <c r="E51" i="6"/>
  <c r="E43" i="37"/>
  <c r="D43" i="4"/>
  <c r="A37" i="1"/>
  <c r="A38" i="2" s="1"/>
  <c r="M7" i="4"/>
  <c r="M34" i="37"/>
  <c r="E41" i="6"/>
  <c r="D41" i="37"/>
  <c r="D52" i="7"/>
  <c r="D53" i="7" s="1"/>
  <c r="E38" i="7"/>
  <c r="D38" i="6"/>
  <c r="M32" i="48"/>
  <c r="W35" i="48"/>
  <c r="Q36" i="48"/>
  <c r="J43" i="6"/>
  <c r="J44" i="7"/>
  <c r="J49" i="6"/>
  <c r="J50" i="7"/>
  <c r="Y29" i="48" l="1"/>
  <c r="I24" i="59" s="1"/>
  <c r="K29" i="48"/>
  <c r="C24" i="59" s="1"/>
  <c r="AK29" i="48"/>
  <c r="E24" i="59" s="1"/>
  <c r="S30" i="48"/>
  <c r="G25" i="59" s="1"/>
  <c r="CD29" i="2"/>
  <c r="F30" i="2"/>
  <c r="J45" i="11"/>
  <c r="K56" i="11"/>
  <c r="K57" i="11"/>
  <c r="J40" i="10"/>
  <c r="J51" i="11"/>
  <c r="J41" i="11"/>
  <c r="D45" i="4"/>
  <c r="E45" i="37"/>
  <c r="D42" i="37"/>
  <c r="E42" i="6"/>
  <c r="E39" i="6"/>
  <c r="D39" i="37"/>
  <c r="E52" i="7"/>
  <c r="E53" i="7" s="1"/>
  <c r="E47" i="6"/>
  <c r="D47" i="37"/>
  <c r="E46" i="6"/>
  <c r="D46" i="37"/>
  <c r="E49" i="4"/>
  <c r="D49" i="43"/>
  <c r="E49" i="43" s="1"/>
  <c r="D51" i="4"/>
  <c r="E51" i="37"/>
  <c r="D50" i="43"/>
  <c r="E50" i="43" s="1"/>
  <c r="E50" i="4"/>
  <c r="J39" i="8"/>
  <c r="J37" i="7"/>
  <c r="J49" i="37"/>
  <c r="J50" i="6"/>
  <c r="M33" i="48"/>
  <c r="D52" i="6"/>
  <c r="D53" i="6" s="1"/>
  <c r="D38" i="37"/>
  <c r="E38" i="6"/>
  <c r="M7" i="43"/>
  <c r="M34" i="43" s="1"/>
  <c r="W156" i="58" s="1"/>
  <c r="M34" i="4"/>
  <c r="D43" i="43"/>
  <c r="E43" i="43" s="1"/>
  <c r="E43" i="4"/>
  <c r="J43" i="37"/>
  <c r="J44" i="6"/>
  <c r="Q37" i="48"/>
  <c r="W36" i="48"/>
  <c r="D41" i="4"/>
  <c r="E41" i="37"/>
  <c r="A38" i="1"/>
  <c r="A39" i="2" s="1"/>
  <c r="Y30" i="48" l="1"/>
  <c r="I25" i="59" s="1"/>
  <c r="S31" i="48"/>
  <c r="G26" i="59" s="1"/>
  <c r="AK30" i="48"/>
  <c r="E25" i="59" s="1"/>
  <c r="K30" i="48"/>
  <c r="C25" i="59" s="1"/>
  <c r="W156" i="46"/>
  <c r="K57" i="10"/>
  <c r="J45" i="10"/>
  <c r="J40" i="9"/>
  <c r="K56" i="10"/>
  <c r="J51" i="10"/>
  <c r="J41" i="10"/>
  <c r="CD30" i="2"/>
  <c r="F31" i="2"/>
  <c r="D45" i="43"/>
  <c r="E45" i="43" s="1"/>
  <c r="E45" i="4"/>
  <c r="E52" i="6"/>
  <c r="E53" i="6" s="1"/>
  <c r="E42" i="37"/>
  <c r="D42" i="4"/>
  <c r="E39" i="37"/>
  <c r="D39" i="4"/>
  <c r="E46" i="37"/>
  <c r="D46" i="4"/>
  <c r="D47" i="4"/>
  <c r="E47" i="37"/>
  <c r="J37" i="6"/>
  <c r="J39" i="7"/>
  <c r="D51" i="43"/>
  <c r="E51" i="43" s="1"/>
  <c r="E51" i="4"/>
  <c r="J43" i="4"/>
  <c r="J44" i="37"/>
  <c r="M34" i="48"/>
  <c r="J49" i="4"/>
  <c r="J50" i="37"/>
  <c r="A39" i="1"/>
  <c r="A40" i="2" s="1"/>
  <c r="E41" i="4"/>
  <c r="D41" i="43"/>
  <c r="E41" i="43" s="1"/>
  <c r="Q38" i="48"/>
  <c r="W37" i="48"/>
  <c r="D38" i="4"/>
  <c r="E38" i="37"/>
  <c r="D52" i="37"/>
  <c r="D53" i="37" s="1"/>
  <c r="S32" i="48" l="1"/>
  <c r="G27" i="59" s="1"/>
  <c r="K31" i="48"/>
  <c r="C26" i="59" s="1"/>
  <c r="AK31" i="48"/>
  <c r="E26" i="59" s="1"/>
  <c r="Y31" i="48"/>
  <c r="I26" i="59" s="1"/>
  <c r="J40" i="8"/>
  <c r="K56" i="9"/>
  <c r="J51" i="9"/>
  <c r="J45" i="9"/>
  <c r="J41" i="9"/>
  <c r="K57" i="9"/>
  <c r="CD31" i="2"/>
  <c r="F32" i="2"/>
  <c r="D42" i="43"/>
  <c r="E42" i="43" s="1"/>
  <c r="E42" i="4"/>
  <c r="D47" i="43"/>
  <c r="E47" i="43" s="1"/>
  <c r="E47" i="4"/>
  <c r="E52" i="37"/>
  <c r="E53" i="37" s="1"/>
  <c r="E46" i="4"/>
  <c r="D46" i="43"/>
  <c r="E46" i="43" s="1"/>
  <c r="E39" i="4"/>
  <c r="D39" i="43"/>
  <c r="E39" i="43" s="1"/>
  <c r="J39" i="6"/>
  <c r="J37" i="37"/>
  <c r="E38" i="4"/>
  <c r="D38" i="43"/>
  <c r="D52" i="4"/>
  <c r="D53" i="4" s="1"/>
  <c r="Q39" i="48"/>
  <c r="W39" i="48" s="1"/>
  <c r="W38" i="48"/>
  <c r="J49" i="43"/>
  <c r="J50" i="4"/>
  <c r="J43" i="43"/>
  <c r="J44" i="4"/>
  <c r="M35" i="48"/>
  <c r="AK32" i="48" l="1"/>
  <c r="E27" i="59" s="1"/>
  <c r="S33" i="48"/>
  <c r="G28" i="59" s="1"/>
  <c r="Y32" i="48"/>
  <c r="I27" i="59" s="1"/>
  <c r="K32" i="48"/>
  <c r="C27" i="59" s="1"/>
  <c r="CD32" i="2"/>
  <c r="F33" i="2"/>
  <c r="J45" i="8"/>
  <c r="J51" i="8"/>
  <c r="K57" i="8"/>
  <c r="J40" i="7"/>
  <c r="K56" i="8"/>
  <c r="J41" i="8"/>
  <c r="E52" i="4"/>
  <c r="E53" i="4" s="1"/>
  <c r="J37" i="4"/>
  <c r="J39" i="37"/>
  <c r="M36" i="48"/>
  <c r="J44" i="43"/>
  <c r="J50" i="43"/>
  <c r="D52" i="43"/>
  <c r="E38" i="43"/>
  <c r="E52" i="43" s="1"/>
  <c r="E53" i="43" s="1"/>
  <c r="S34" i="48" l="1"/>
  <c r="G29" i="59" s="1"/>
  <c r="Y33" i="48"/>
  <c r="I28" i="59" s="1"/>
  <c r="AK33" i="48"/>
  <c r="E28" i="59" s="1"/>
  <c r="K33" i="48"/>
  <c r="C28" i="59" s="1"/>
  <c r="D53" i="43"/>
  <c r="K56" i="7"/>
  <c r="K57" i="7"/>
  <c r="J45" i="7"/>
  <c r="J41" i="7"/>
  <c r="J40" i="6"/>
  <c r="J51" i="7"/>
  <c r="CD33" i="2"/>
  <c r="F34" i="2"/>
  <c r="J37" i="43"/>
  <c r="J39" i="43" s="1"/>
  <c r="J39" i="4"/>
  <c r="M37" i="48"/>
  <c r="Y34" i="48" l="1"/>
  <c r="I29" i="59" s="1"/>
  <c r="S35" i="48"/>
  <c r="G30" i="59" s="1"/>
  <c r="K34" i="48"/>
  <c r="C29" i="59" s="1"/>
  <c r="AK34" i="48"/>
  <c r="E29" i="59" s="1"/>
  <c r="J41" i="6"/>
  <c r="K56" i="6"/>
  <c r="J40" i="37"/>
  <c r="J45" i="6"/>
  <c r="J51" i="6"/>
  <c r="K57" i="6"/>
  <c r="F35" i="2"/>
  <c r="CD34" i="2"/>
  <c r="M38" i="48"/>
  <c r="S36" i="48" l="1"/>
  <c r="G31" i="59" s="1"/>
  <c r="AK35" i="48"/>
  <c r="E30" i="59" s="1"/>
  <c r="Y35" i="48"/>
  <c r="I30" i="59" s="1"/>
  <c r="K35" i="48"/>
  <c r="C30" i="59" s="1"/>
  <c r="CD35" i="2"/>
  <c r="F36" i="2"/>
  <c r="J41" i="37"/>
  <c r="K56" i="37"/>
  <c r="J45" i="37"/>
  <c r="J51" i="37"/>
  <c r="J40" i="4"/>
  <c r="K57" i="37"/>
  <c r="M39" i="48"/>
  <c r="S37" i="48" l="1"/>
  <c r="G32" i="59" s="1"/>
  <c r="AK36" i="48"/>
  <c r="E31" i="59" s="1"/>
  <c r="Y36" i="48"/>
  <c r="I31" i="59" s="1"/>
  <c r="K36" i="48"/>
  <c r="C31" i="59" s="1"/>
  <c r="K57" i="4"/>
  <c r="J51" i="4"/>
  <c r="J45" i="4"/>
  <c r="J40" i="43"/>
  <c r="J41" i="4"/>
  <c r="K56" i="4"/>
  <c r="CD36" i="2"/>
  <c r="F37" i="2"/>
  <c r="S38" i="48" l="1"/>
  <c r="G33" i="59" s="1"/>
  <c r="AK37" i="48"/>
  <c r="E32" i="59" s="1"/>
  <c r="Y37" i="48"/>
  <c r="I32" i="59" s="1"/>
  <c r="K37" i="48"/>
  <c r="C32" i="59" s="1"/>
  <c r="J51" i="43"/>
  <c r="J41" i="43"/>
  <c r="J45" i="43"/>
  <c r="K56" i="43"/>
  <c r="K57" i="43"/>
  <c r="F38" i="2"/>
  <c r="CD37" i="2"/>
  <c r="Y38" i="48" l="1"/>
  <c r="I33" i="59" s="1"/>
  <c r="AK38" i="48"/>
  <c r="E33" i="59" s="1"/>
  <c r="K38" i="48"/>
  <c r="C33" i="59" s="1"/>
  <c r="S39" i="48"/>
  <c r="F39" i="2"/>
  <c r="CD38" i="2"/>
  <c r="G34" i="59" l="1"/>
  <c r="F41" i="59" s="1"/>
  <c r="Y39" i="48"/>
  <c r="K39" i="48"/>
  <c r="AK39" i="48"/>
  <c r="CD39" i="2"/>
  <c r="F40" i="2"/>
  <c r="CD40" i="2" s="1"/>
  <c r="E34" i="59" l="1"/>
  <c r="D41" i="59" s="1"/>
  <c r="C34" i="59"/>
  <c r="B41" i="59" s="1"/>
  <c r="I34" i="59"/>
  <c r="H41" i="59" s="1"/>
  <c r="AR12" i="45"/>
  <c r="F12" i="45"/>
  <c r="G12" i="45"/>
  <c r="AR17" i="45"/>
  <c r="F17" i="45"/>
  <c r="G17" i="45"/>
  <c r="AR23" i="45"/>
  <c r="F23" i="45"/>
  <c r="G23" i="45"/>
  <c r="AR13" i="45"/>
  <c r="F13" i="45"/>
  <c r="G13" i="45"/>
  <c r="AR24" i="45"/>
  <c r="F24" i="45"/>
  <c r="G24" i="45"/>
  <c r="AR30" i="45"/>
  <c r="F30" i="45"/>
  <c r="G30" i="45"/>
  <c r="AR18" i="45"/>
  <c r="F18" i="45"/>
  <c r="G18" i="45"/>
  <c r="AR25" i="45"/>
  <c r="F25" i="45"/>
  <c r="G25" i="45"/>
  <c r="AR34" i="45"/>
  <c r="F34" i="45"/>
  <c r="G34" i="45"/>
  <c r="AR14" i="45"/>
  <c r="F14" i="45"/>
  <c r="G14" i="45"/>
  <c r="AR26" i="45"/>
  <c r="F26" i="45"/>
  <c r="G26" i="45"/>
  <c r="AR31" i="45"/>
  <c r="F31" i="45"/>
  <c r="G31" i="45"/>
  <c r="AR15" i="45"/>
  <c r="F15" i="45"/>
  <c r="G15" i="45"/>
  <c r="AR19" i="45"/>
  <c r="F19" i="45"/>
  <c r="G19" i="45"/>
  <c r="AR27" i="45"/>
  <c r="F27" i="45"/>
  <c r="G27" i="45"/>
  <c r="AR32" i="45"/>
  <c r="F32" i="45"/>
  <c r="G32" i="45"/>
  <c r="AR33" i="45"/>
  <c r="F33" i="45"/>
  <c r="G33" i="45"/>
  <c r="AR35" i="45"/>
  <c r="F35" i="45"/>
  <c r="G35" i="45"/>
  <c r="AR10" i="45"/>
  <c r="F10" i="45"/>
  <c r="G10" i="45"/>
  <c r="AR20" i="45"/>
  <c r="G20" i="45"/>
  <c r="F20" i="45"/>
  <c r="AR9" i="45"/>
  <c r="F9" i="45"/>
  <c r="G9" i="45"/>
  <c r="AR16" i="45"/>
  <c r="F16" i="45"/>
  <c r="G16" i="45"/>
  <c r="AR28" i="45"/>
  <c r="F28" i="45"/>
  <c r="G28" i="45"/>
  <c r="AR36" i="45"/>
  <c r="F36" i="45"/>
  <c r="G36" i="45"/>
  <c r="AR37" i="45"/>
  <c r="F37" i="45"/>
  <c r="G37" i="45"/>
  <c r="AR11" i="45"/>
  <c r="F11" i="45"/>
  <c r="G11" i="45"/>
  <c r="AR21" i="45"/>
  <c r="F21" i="45"/>
  <c r="G21" i="45"/>
  <c r="AR29" i="45"/>
  <c r="F29" i="45"/>
  <c r="G29" i="45"/>
  <c r="I46" i="20" l="1"/>
  <c r="AS21" i="45"/>
  <c r="AT21" i="45"/>
  <c r="I46" i="14"/>
  <c r="AS27" i="45"/>
  <c r="AT27" i="45"/>
  <c r="AR38" i="45"/>
  <c r="F38" i="45"/>
  <c r="G38" i="45"/>
  <c r="I46" i="31"/>
  <c r="AS10" i="45"/>
  <c r="AT10" i="45"/>
  <c r="I46" i="27"/>
  <c r="AS13" i="45"/>
  <c r="AT13" i="45"/>
  <c r="I46" i="22"/>
  <c r="AT20" i="45"/>
  <c r="AS20" i="45"/>
  <c r="I46" i="17"/>
  <c r="AS24" i="45"/>
  <c r="AT24" i="45"/>
  <c r="I46" i="4"/>
  <c r="AS37" i="45"/>
  <c r="AT37" i="45"/>
  <c r="I46" i="25"/>
  <c r="AS16" i="45"/>
  <c r="AT16" i="45"/>
  <c r="I46" i="21"/>
  <c r="AS19" i="45"/>
  <c r="AT19" i="45"/>
  <c r="I46" i="12"/>
  <c r="AS29" i="45"/>
  <c r="AT29" i="45"/>
  <c r="I46" i="10"/>
  <c r="AS31" i="45"/>
  <c r="AT31" i="45"/>
  <c r="I46" i="18"/>
  <c r="AS23" i="45"/>
  <c r="AT23" i="45"/>
  <c r="I46" i="30"/>
  <c r="AS11" i="45"/>
  <c r="AT11" i="45"/>
  <c r="I46" i="6"/>
  <c r="AS35" i="45"/>
  <c r="AT35" i="45"/>
  <c r="I46" i="28"/>
  <c r="AS14" i="45"/>
  <c r="AT14" i="45"/>
  <c r="I46" i="7"/>
  <c r="AS34" i="45"/>
  <c r="AT34" i="45"/>
  <c r="I46" i="11"/>
  <c r="AS30" i="45"/>
  <c r="AT30" i="45"/>
  <c r="I46" i="26"/>
  <c r="AS15" i="45"/>
  <c r="AT15" i="45"/>
  <c r="I46" i="15"/>
  <c r="AS26" i="45"/>
  <c r="AT26" i="45"/>
  <c r="I46" i="8"/>
  <c r="AS33" i="45"/>
  <c r="AT33" i="45"/>
  <c r="I46" i="16"/>
  <c r="AS25" i="45"/>
  <c r="AT25" i="45"/>
  <c r="I46" i="24"/>
  <c r="AS17" i="45"/>
  <c r="AT17" i="45"/>
  <c r="I46" i="13"/>
  <c r="AS28" i="45"/>
  <c r="AT28" i="45"/>
  <c r="I46" i="9"/>
  <c r="AS32" i="45"/>
  <c r="AT32" i="45"/>
  <c r="I46" i="23"/>
  <c r="AS18" i="45"/>
  <c r="AT18" i="45"/>
  <c r="I46" i="37"/>
  <c r="AS36" i="45"/>
  <c r="AT36" i="45"/>
  <c r="I46" i="19"/>
  <c r="I46" i="32"/>
  <c r="AS9" i="45"/>
  <c r="AT9" i="45"/>
  <c r="AR8" i="45"/>
  <c r="E40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F8" i="45"/>
  <c r="G8" i="45"/>
  <c r="I46" i="29"/>
  <c r="AS12" i="45"/>
  <c r="AT12" i="45"/>
  <c r="D22" i="45" l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I47" i="8"/>
  <c r="I48" i="8"/>
  <c r="Z34" i="48"/>
  <c r="Z16" i="48"/>
  <c r="I47" i="26"/>
  <c r="I48" i="26"/>
  <c r="I48" i="22"/>
  <c r="Z21" i="48"/>
  <c r="I47" i="22"/>
  <c r="Z19" i="48"/>
  <c r="I47" i="23"/>
  <c r="I48" i="23"/>
  <c r="I47" i="28"/>
  <c r="Z15" i="48"/>
  <c r="I48" i="28"/>
  <c r="Z30" i="48"/>
  <c r="I47" i="12"/>
  <c r="I48" i="12"/>
  <c r="I46" i="43"/>
  <c r="AS38" i="45"/>
  <c r="AT38" i="45"/>
  <c r="Z23" i="48"/>
  <c r="I47" i="19"/>
  <c r="I48" i="19"/>
  <c r="Z18" i="48"/>
  <c r="I47" i="24"/>
  <c r="I48" i="24"/>
  <c r="Z38" i="48"/>
  <c r="I47" i="4"/>
  <c r="I48" i="4"/>
  <c r="AR40" i="45"/>
  <c r="AR42" i="45" s="1"/>
  <c r="F40" i="45"/>
  <c r="G40" i="45"/>
  <c r="Z31" i="48"/>
  <c r="I47" i="11"/>
  <c r="I48" i="11"/>
  <c r="Z24" i="48"/>
  <c r="I47" i="18"/>
  <c r="I48" i="18"/>
  <c r="I47" i="27"/>
  <c r="Z14" i="48"/>
  <c r="I48" i="27"/>
  <c r="I46" i="33"/>
  <c r="AS8" i="45"/>
  <c r="AT8" i="45"/>
  <c r="Z33" i="48"/>
  <c r="I47" i="9"/>
  <c r="I48" i="9"/>
  <c r="Z36" i="48"/>
  <c r="I48" i="6"/>
  <c r="I47" i="6"/>
  <c r="I47" i="21"/>
  <c r="Z20" i="48"/>
  <c r="I48" i="21"/>
  <c r="I47" i="14"/>
  <c r="Z28" i="48"/>
  <c r="I48" i="14"/>
  <c r="I47" i="37"/>
  <c r="Z37" i="48"/>
  <c r="I48" i="37"/>
  <c r="I47" i="16"/>
  <c r="Z26" i="48"/>
  <c r="I48" i="16"/>
  <c r="I47" i="15"/>
  <c r="Z27" i="48"/>
  <c r="I48" i="15"/>
  <c r="I47" i="17"/>
  <c r="Z25" i="48"/>
  <c r="I48" i="17"/>
  <c r="Z35" i="48"/>
  <c r="I47" i="7"/>
  <c r="I48" i="7"/>
  <c r="I47" i="10"/>
  <c r="I48" i="10"/>
  <c r="Z32" i="48"/>
  <c r="I47" i="31"/>
  <c r="Z11" i="48"/>
  <c r="I48" i="31"/>
  <c r="I47" i="29"/>
  <c r="Z13" i="48"/>
  <c r="I48" i="29"/>
  <c r="Z10" i="48"/>
  <c r="I47" i="32"/>
  <c r="I48" i="32"/>
  <c r="Z29" i="48"/>
  <c r="I47" i="13"/>
  <c r="I48" i="13"/>
  <c r="Z12" i="48"/>
  <c r="I47" i="30"/>
  <c r="I48" i="30"/>
  <c r="Z17" i="48"/>
  <c r="I47" i="25"/>
  <c r="I48" i="25"/>
  <c r="Z22" i="48"/>
  <c r="I47" i="20"/>
  <c r="I48" i="20"/>
  <c r="AB35" i="48" l="1"/>
  <c r="AD35" i="48"/>
  <c r="J30" i="59" s="1"/>
  <c r="AB33" i="48"/>
  <c r="AD33" i="48"/>
  <c r="J28" i="59" s="1"/>
  <c r="I47" i="43"/>
  <c r="I48" i="43"/>
  <c r="Z39" i="48"/>
  <c r="AS40" i="45"/>
  <c r="AT40" i="45"/>
  <c r="AB18" i="48"/>
  <c r="AD18" i="48"/>
  <c r="J13" i="59" s="1"/>
  <c r="AB10" i="48"/>
  <c r="AD10" i="48"/>
  <c r="J5" i="59" s="1"/>
  <c r="AB32" i="48"/>
  <c r="AD32" i="48"/>
  <c r="J27" i="59" s="1"/>
  <c r="AB24" i="48"/>
  <c r="AD24" i="48"/>
  <c r="J19" i="59" s="1"/>
  <c r="AB25" i="48"/>
  <c r="AD25" i="48"/>
  <c r="J20" i="59" s="1"/>
  <c r="AB26" i="48"/>
  <c r="AD26" i="48"/>
  <c r="J21" i="59" s="1"/>
  <c r="AB28" i="48"/>
  <c r="AD28" i="48"/>
  <c r="J23" i="59" s="1"/>
  <c r="J46" i="33"/>
  <c r="I47" i="33"/>
  <c r="Z9" i="48"/>
  <c r="I48" i="33"/>
  <c r="AB16" i="48"/>
  <c r="AD16" i="48"/>
  <c r="J11" i="59" s="1"/>
  <c r="AB13" i="48"/>
  <c r="AD13" i="48"/>
  <c r="J8" i="59" s="1"/>
  <c r="AB36" i="48"/>
  <c r="AD36" i="48"/>
  <c r="J31" i="59" s="1"/>
  <c r="AB30" i="48"/>
  <c r="AD30" i="48"/>
  <c r="J25" i="59" s="1"/>
  <c r="AB19" i="48"/>
  <c r="AD19" i="48"/>
  <c r="J14" i="59" s="1"/>
  <c r="AB14" i="48"/>
  <c r="AD14" i="48"/>
  <c r="J9" i="59" s="1"/>
  <c r="AB38" i="48"/>
  <c r="AD38" i="48"/>
  <c r="J33" i="59" s="1"/>
  <c r="AB23" i="48"/>
  <c r="AD23" i="48"/>
  <c r="J18" i="59" s="1"/>
  <c r="AD34" i="48"/>
  <c r="J29" i="59" s="1"/>
  <c r="AB34" i="48"/>
  <c r="AB22" i="48"/>
  <c r="AD22" i="48"/>
  <c r="J17" i="59" s="1"/>
  <c r="AB31" i="48"/>
  <c r="AD31" i="48"/>
  <c r="J26" i="59" s="1"/>
  <c r="AB12" i="48"/>
  <c r="AD12" i="48"/>
  <c r="J7" i="59" s="1"/>
  <c r="AB17" i="48"/>
  <c r="AD17" i="48"/>
  <c r="J12" i="59" s="1"/>
  <c r="AB29" i="48"/>
  <c r="AD29" i="48"/>
  <c r="J24" i="59" s="1"/>
  <c r="AB11" i="48"/>
  <c r="AD11" i="48"/>
  <c r="J6" i="59" s="1"/>
  <c r="AB27" i="48"/>
  <c r="AD27" i="48"/>
  <c r="J22" i="59" s="1"/>
  <c r="AB37" i="48"/>
  <c r="AD37" i="48"/>
  <c r="J32" i="59" s="1"/>
  <c r="AB20" i="48"/>
  <c r="AD20" i="48"/>
  <c r="J15" i="59" s="1"/>
  <c r="AB15" i="48"/>
  <c r="AD15" i="48"/>
  <c r="J10" i="59" s="1"/>
  <c r="AD21" i="48"/>
  <c r="J16" i="59" s="1"/>
  <c r="AB21" i="48"/>
  <c r="AB39" i="48" l="1"/>
  <c r="AD39" i="48"/>
  <c r="J34" i="59" s="1"/>
  <c r="AA9" i="48"/>
  <c r="Z41" i="48"/>
  <c r="AD9" i="48"/>
  <c r="J4" i="59" s="1"/>
  <c r="AB9" i="48"/>
  <c r="J46" i="32"/>
  <c r="J47" i="33"/>
  <c r="J48" i="33"/>
  <c r="J46" i="31" l="1"/>
  <c r="J47" i="32"/>
  <c r="J48" i="32"/>
  <c r="AB41" i="48"/>
  <c r="AD41" i="48"/>
  <c r="AE9" i="48"/>
  <c r="K4" i="59" s="1"/>
  <c r="AC9" i="48"/>
  <c r="AA10" i="48"/>
  <c r="AA11" i="48" l="1"/>
  <c r="AE10" i="48"/>
  <c r="K5" i="59" s="1"/>
  <c r="AC10" i="48"/>
  <c r="J47" i="31"/>
  <c r="J48" i="31"/>
  <c r="J46" i="30"/>
  <c r="J46" i="29" l="1"/>
  <c r="J47" i="30"/>
  <c r="J48" i="30"/>
  <c r="AA12" i="48"/>
  <c r="AC11" i="48"/>
  <c r="AE11" i="48"/>
  <c r="K6" i="59" s="1"/>
  <c r="AA13" i="48" l="1"/>
  <c r="AC12" i="48"/>
  <c r="AE12" i="48"/>
  <c r="K7" i="59" s="1"/>
  <c r="J46" i="27"/>
  <c r="J47" i="29"/>
  <c r="J48" i="29"/>
  <c r="J47" i="27" l="1"/>
  <c r="J48" i="27"/>
  <c r="J46" i="28"/>
  <c r="AA14" i="48"/>
  <c r="AC13" i="48"/>
  <c r="AE13" i="48"/>
  <c r="K8" i="59" s="1"/>
  <c r="J46" i="26" l="1"/>
  <c r="J47" i="28"/>
  <c r="J48" i="28"/>
  <c r="AA15" i="48"/>
  <c r="AC14" i="48"/>
  <c r="AE14" i="48"/>
  <c r="K9" i="59" s="1"/>
  <c r="AA16" i="48" l="1"/>
  <c r="AC15" i="48"/>
  <c r="AE15" i="48"/>
  <c r="K10" i="59" s="1"/>
  <c r="J47" i="26"/>
  <c r="J48" i="26"/>
  <c r="J46" i="25"/>
  <c r="J47" i="25" l="1"/>
  <c r="J48" i="25"/>
  <c r="J46" i="24"/>
  <c r="AA17" i="48"/>
  <c r="AC16" i="48"/>
  <c r="AE16" i="48"/>
  <c r="K11" i="59" s="1"/>
  <c r="J47" i="24" l="1"/>
  <c r="J48" i="24"/>
  <c r="J46" i="23"/>
  <c r="AA18" i="48"/>
  <c r="AC17" i="48"/>
  <c r="AE17" i="48"/>
  <c r="K12" i="59" s="1"/>
  <c r="AA19" i="48" l="1"/>
  <c r="AC18" i="48"/>
  <c r="AE18" i="48"/>
  <c r="K13" i="59" s="1"/>
  <c r="J47" i="23"/>
  <c r="J48" i="23"/>
  <c r="J46" i="21"/>
  <c r="J47" i="21" l="1"/>
  <c r="J48" i="21"/>
  <c r="J46" i="22"/>
  <c r="AA20" i="48"/>
  <c r="AC19" i="48"/>
  <c r="AE19" i="48"/>
  <c r="K14" i="59" s="1"/>
  <c r="AA21" i="48" l="1"/>
  <c r="AC20" i="48"/>
  <c r="AE20" i="48"/>
  <c r="K15" i="59" s="1"/>
  <c r="J47" i="22"/>
  <c r="J48" i="22"/>
  <c r="J46" i="20"/>
  <c r="J47" i="20" l="1"/>
  <c r="J48" i="20"/>
  <c r="J46" i="19"/>
  <c r="AA22" i="48"/>
  <c r="AC21" i="48"/>
  <c r="AE21" i="48"/>
  <c r="K16" i="59" s="1"/>
  <c r="AA23" i="48" l="1"/>
  <c r="AC22" i="48"/>
  <c r="AE22" i="48"/>
  <c r="K17" i="59" s="1"/>
  <c r="J47" i="19"/>
  <c r="J48" i="19"/>
  <c r="J46" i="18"/>
  <c r="J47" i="18" l="1"/>
  <c r="J48" i="18"/>
  <c r="J46" i="17"/>
  <c r="AA24" i="48"/>
  <c r="AC23" i="48"/>
  <c r="AE23" i="48"/>
  <c r="K18" i="59" s="1"/>
  <c r="AA25" i="48" l="1"/>
  <c r="AC24" i="48"/>
  <c r="AE24" i="48"/>
  <c r="K19" i="59" s="1"/>
  <c r="J47" i="17"/>
  <c r="J48" i="17"/>
  <c r="J46" i="16"/>
  <c r="J47" i="16" l="1"/>
  <c r="J48" i="16"/>
  <c r="J46" i="15"/>
  <c r="AA26" i="48"/>
  <c r="AC25" i="48"/>
  <c r="AE25" i="48"/>
  <c r="K20" i="59" s="1"/>
  <c r="AA27" i="48" l="1"/>
  <c r="AC26" i="48"/>
  <c r="AE26" i="48"/>
  <c r="K21" i="59" s="1"/>
  <c r="J47" i="15"/>
  <c r="J48" i="15"/>
  <c r="J46" i="14"/>
  <c r="J47" i="14" l="1"/>
  <c r="J48" i="14"/>
  <c r="J46" i="13"/>
  <c r="AA28" i="48"/>
  <c r="AC27" i="48"/>
  <c r="AE27" i="48"/>
  <c r="K22" i="59" s="1"/>
  <c r="AA29" i="48" l="1"/>
  <c r="AC28" i="48"/>
  <c r="AE28" i="48"/>
  <c r="K23" i="59" s="1"/>
  <c r="J47" i="13"/>
  <c r="J48" i="13"/>
  <c r="J46" i="12"/>
  <c r="J47" i="12" l="1"/>
  <c r="J48" i="12"/>
  <c r="J46" i="11"/>
  <c r="AA30" i="48"/>
  <c r="AC29" i="48"/>
  <c r="AE29" i="48"/>
  <c r="K24" i="59" s="1"/>
  <c r="AA31" i="48" l="1"/>
  <c r="AC30" i="48"/>
  <c r="AE30" i="48"/>
  <c r="K25" i="59" s="1"/>
  <c r="J47" i="11"/>
  <c r="J48" i="11"/>
  <c r="J46" i="10"/>
  <c r="J47" i="10" l="1"/>
  <c r="J48" i="10"/>
  <c r="J46" i="9"/>
  <c r="AA32" i="48"/>
  <c r="AC31" i="48"/>
  <c r="AE31" i="48"/>
  <c r="K26" i="59" s="1"/>
  <c r="AA33" i="48" l="1"/>
  <c r="AC32" i="48"/>
  <c r="AE32" i="48"/>
  <c r="K27" i="59" s="1"/>
  <c r="J47" i="9"/>
  <c r="J48" i="9"/>
  <c r="J46" i="8"/>
  <c r="J47" i="8" l="1"/>
  <c r="J48" i="8"/>
  <c r="J46" i="7"/>
  <c r="AA34" i="48"/>
  <c r="AC33" i="48"/>
  <c r="AE33" i="48"/>
  <c r="K28" i="59" s="1"/>
  <c r="AA35" i="48" l="1"/>
  <c r="AC34" i="48"/>
  <c r="AE34" i="48"/>
  <c r="K29" i="59" s="1"/>
  <c r="J47" i="7"/>
  <c r="J48" i="7"/>
  <c r="J46" i="6"/>
  <c r="J47" i="6" l="1"/>
  <c r="J48" i="6"/>
  <c r="J46" i="37"/>
  <c r="AA36" i="48"/>
  <c r="AC35" i="48"/>
  <c r="AE35" i="48"/>
  <c r="K30" i="59" s="1"/>
  <c r="AA37" i="48" l="1"/>
  <c r="AC36" i="48"/>
  <c r="AE36" i="48"/>
  <c r="K31" i="59" s="1"/>
  <c r="J47" i="37"/>
  <c r="J48" i="37"/>
  <c r="J46" i="4"/>
  <c r="J47" i="4" l="1"/>
  <c r="J48" i="4"/>
  <c r="J46" i="43"/>
  <c r="AA38" i="48"/>
  <c r="AC37" i="48"/>
  <c r="AE37" i="48"/>
  <c r="K32" i="59" s="1"/>
  <c r="AA39" i="48" l="1"/>
  <c r="AC38" i="48"/>
  <c r="AE38" i="48"/>
  <c r="K33" i="59" s="1"/>
  <c r="J47" i="43"/>
  <c r="J48" i="43"/>
  <c r="AC39" i="48" l="1"/>
  <c r="AE39" i="48"/>
  <c r="K34" i="59" l="1"/>
  <c r="J41" i="59" s="1"/>
  <c r="CC41" i="1"/>
  <c r="CD18" i="1"/>
  <c r="CE18" i="1"/>
  <c r="CD41" i="1" l="1"/>
  <c r="CE41" i="1"/>
  <c r="BY27" i="1" l="1"/>
  <c r="KT27" i="1"/>
  <c r="BX27" i="1"/>
  <c r="BW41" i="1"/>
  <c r="BX41" i="1" l="1"/>
  <c r="BY41" i="1"/>
  <c r="BJ5" i="59" l="1"/>
  <c r="BL5" i="59"/>
  <c r="BK5" i="59" l="1"/>
  <c r="BM5" i="59"/>
  <c r="BJ6" i="59" l="1"/>
  <c r="BL6" i="59" l="1"/>
  <c r="BK6" i="59" l="1"/>
  <c r="BK7" i="59" l="1"/>
  <c r="BM6" i="59"/>
  <c r="BM7" i="59" l="1"/>
  <c r="BJ9" i="59" l="1"/>
  <c r="BJ8" i="59"/>
  <c r="BL9" i="59" l="1"/>
  <c r="BL8" i="59"/>
  <c r="BK8" i="59" l="1"/>
  <c r="BK9" i="59" l="1"/>
  <c r="BM8" i="59"/>
  <c r="BM9" i="59" l="1"/>
  <c r="BJ10" i="59" l="1"/>
  <c r="BL10" i="59"/>
  <c r="BK10" i="59" l="1"/>
  <c r="BM10" i="59" l="1"/>
  <c r="BK11" i="59"/>
  <c r="BM11" i="59" l="1"/>
  <c r="KV15" i="1" l="1"/>
  <c r="AJ41" i="1"/>
  <c r="AL41" i="1" s="1"/>
  <c r="AK15" i="1"/>
  <c r="AL15" i="1"/>
  <c r="KT15" i="1"/>
  <c r="AK41" i="1" l="1"/>
  <c r="BJ12" i="59" l="1"/>
  <c r="BL12" i="59" l="1"/>
  <c r="BK12" i="59" l="1"/>
  <c r="BK13" i="59" l="1"/>
  <c r="BM12" i="59"/>
  <c r="BM13" i="59" l="1"/>
  <c r="AD12" i="59" l="1"/>
  <c r="AB12" i="59"/>
  <c r="AH12" i="59"/>
  <c r="Z12" i="59"/>
  <c r="AE12" i="59" l="1"/>
  <c r="AA12" i="59" l="1"/>
  <c r="AC12" i="59"/>
  <c r="AE13" i="59"/>
  <c r="AI12" i="59"/>
  <c r="AE14" i="59" l="1"/>
  <c r="AC13" i="59"/>
  <c r="AI13" i="59"/>
  <c r="AA13" i="59"/>
  <c r="AA14" i="59" l="1"/>
  <c r="AE15" i="59"/>
  <c r="AC14" i="59"/>
  <c r="AI14" i="59"/>
  <c r="AC15" i="59" l="1"/>
  <c r="AI15" i="59"/>
  <c r="AA15" i="59"/>
  <c r="AE16" i="59"/>
  <c r="AC16" i="59" l="1"/>
  <c r="AA16" i="59"/>
  <c r="AI16" i="59"/>
  <c r="AE17" i="59"/>
  <c r="AE18" i="59" l="1"/>
  <c r="AA17" i="59"/>
  <c r="AC17" i="59"/>
  <c r="AI17" i="59"/>
  <c r="AE19" i="59" l="1"/>
  <c r="AI18" i="59"/>
  <c r="AA18" i="59"/>
  <c r="AE20" i="59" l="1"/>
  <c r="AA19" i="59"/>
  <c r="AI19" i="59"/>
  <c r="AI20" i="59" l="1"/>
  <c r="AE21" i="59"/>
  <c r="AA20" i="59"/>
  <c r="AE22" i="59" l="1"/>
  <c r="AA21" i="59"/>
  <c r="AI21" i="59"/>
  <c r="AE23" i="59" l="1"/>
  <c r="AA22" i="59"/>
  <c r="AI22" i="59"/>
  <c r="AI23" i="59" l="1"/>
  <c r="AE24" i="59"/>
  <c r="AA23" i="59"/>
  <c r="AI24" i="59" l="1"/>
  <c r="AA24" i="59"/>
  <c r="AE25" i="59"/>
  <c r="AA25" i="59" l="1"/>
  <c r="AE26" i="59"/>
  <c r="AI25" i="59"/>
  <c r="AI26" i="59" l="1"/>
  <c r="AA26" i="59"/>
  <c r="AE27" i="59"/>
  <c r="AA27" i="59" l="1"/>
  <c r="AE28" i="59"/>
  <c r="AI27" i="59"/>
  <c r="AA28" i="59" l="1"/>
  <c r="AE29" i="59"/>
  <c r="AI28" i="59"/>
  <c r="AI29" i="59" l="1"/>
  <c r="AE30" i="59"/>
  <c r="AA29" i="59"/>
  <c r="AI30" i="59" l="1"/>
  <c r="AE31" i="59"/>
  <c r="AE32" i="59" l="1"/>
  <c r="AI31" i="59"/>
  <c r="AE33" i="59" l="1"/>
  <c r="AI32" i="59"/>
  <c r="AI33" i="59" l="1"/>
  <c r="AE34" i="59"/>
  <c r="AD41" i="59" s="1"/>
  <c r="AI34" i="59" l="1"/>
  <c r="AH41" i="59" s="1"/>
  <c r="AF12" i="59" l="1"/>
  <c r="AG12" i="59" l="1"/>
  <c r="AG13" i="59" l="1"/>
  <c r="AG14" i="59" l="1"/>
  <c r="AG15" i="59" l="1"/>
  <c r="AG16" i="59" l="1"/>
  <c r="AG17" i="59" l="1"/>
  <c r="AG18" i="59" l="1"/>
  <c r="AG19" i="59" l="1"/>
  <c r="AG20" i="59" l="1"/>
  <c r="AG21" i="59" l="1"/>
  <c r="AG22" i="59" l="1"/>
  <c r="AG23" i="59" l="1"/>
  <c r="AG24" i="59" l="1"/>
  <c r="AG25" i="59" l="1"/>
  <c r="AG26" i="59" l="1"/>
  <c r="AG27" i="59" l="1"/>
  <c r="AG28" i="59" l="1"/>
  <c r="AG29" i="59" l="1"/>
  <c r="AG30" i="59" l="1"/>
  <c r="AG31" i="59" l="1"/>
  <c r="AG32" i="59" l="1"/>
  <c r="AG33" i="59" l="1"/>
  <c r="AG34" i="59" l="1"/>
  <c r="AF41" i="59" s="1"/>
  <c r="KV18" i="1" l="1"/>
  <c r="BD18" i="1"/>
  <c r="KT18" i="1" s="1"/>
  <c r="BB41" i="1"/>
  <c r="BC41" i="1" s="1"/>
  <c r="BC18" i="1"/>
  <c r="BD41" i="1" l="1"/>
  <c r="KT41" i="1" s="1"/>
  <c r="KV41" i="1"/>
  <c r="BJ14" i="59" l="1"/>
  <c r="BL14" i="59" l="1"/>
  <c r="BK14" i="59" l="1"/>
  <c r="BM14" i="59" l="1"/>
  <c r="BJ15" i="59" l="1"/>
  <c r="BJ16" i="59" l="1"/>
  <c r="BL16" i="59"/>
  <c r="BL15" i="59"/>
  <c r="BK15" i="59" l="1"/>
  <c r="BK16" i="59" l="1"/>
  <c r="BM15" i="59"/>
  <c r="BM16" i="59" l="1"/>
  <c r="BJ17" i="59" l="1"/>
  <c r="BL17" i="59"/>
  <c r="BK17" i="59" l="1"/>
  <c r="BM17" i="59" l="1"/>
  <c r="BJ18" i="59" l="1"/>
  <c r="BL18" i="59" l="1"/>
  <c r="BK18" i="59" l="1"/>
  <c r="BK19" i="59" l="1"/>
  <c r="BM18" i="59"/>
  <c r="BM19" i="59" l="1"/>
  <c r="AB18" i="59" l="1"/>
  <c r="AC18" i="59" l="1"/>
  <c r="AC19" i="59" l="1"/>
  <c r="AC20" i="59" l="1"/>
  <c r="AC21" i="59" l="1"/>
  <c r="AC22" i="59" l="1"/>
  <c r="AC23" i="59" l="1"/>
  <c r="AC24" i="59" l="1"/>
  <c r="AC25" i="59" l="1"/>
  <c r="AC26" i="59" l="1"/>
  <c r="AC27" i="59" l="1"/>
  <c r="AC28" i="59" l="1"/>
  <c r="BJ20" i="59" l="1"/>
  <c r="BL20" i="59"/>
  <c r="BK20" i="59" l="1"/>
  <c r="BM20" i="59" l="1"/>
  <c r="BJ21" i="59" l="1"/>
  <c r="BL21" i="59" l="1"/>
  <c r="BK21" i="59" l="1"/>
  <c r="BM21" i="59" l="1"/>
  <c r="BJ22" i="59" l="1"/>
  <c r="BJ23" i="59"/>
  <c r="BL22" i="59" l="1"/>
  <c r="BL23" i="59"/>
  <c r="BK22" i="59" l="1"/>
  <c r="BM22" i="59" l="1"/>
  <c r="BK23" i="59"/>
  <c r="BM23" i="59" l="1"/>
  <c r="BJ25" i="59" l="1"/>
  <c r="BL25" i="59" l="1"/>
  <c r="BJ24" i="59"/>
  <c r="BL24" i="59" l="1"/>
  <c r="BK24" i="59" l="1"/>
  <c r="BK25" i="59" l="1"/>
  <c r="BM24" i="59"/>
  <c r="BM25" i="59" l="1"/>
  <c r="BH7" i="59" l="1"/>
  <c r="BF7" i="59" l="1"/>
  <c r="BH13" i="59" l="1"/>
  <c r="BH25" i="59"/>
  <c r="BF25" i="59"/>
  <c r="BH12" i="59"/>
  <c r="BH14" i="59"/>
  <c r="BF12" i="59"/>
  <c r="BF14" i="59"/>
  <c r="BH20" i="59" l="1"/>
  <c r="BH17" i="59"/>
  <c r="BH16" i="59"/>
  <c r="BH10" i="59"/>
  <c r="BF13" i="59"/>
  <c r="BF20" i="59"/>
  <c r="BF11" i="59"/>
  <c r="BF10" i="59"/>
  <c r="BH11" i="59"/>
  <c r="BF9" i="59"/>
  <c r="BH9" i="59"/>
  <c r="BH22" i="59"/>
  <c r="BH19" i="59"/>
  <c r="BH15" i="59"/>
  <c r="BH21" i="59"/>
  <c r="BH18" i="59"/>
  <c r="BH8" i="59"/>
  <c r="BF17" i="59"/>
  <c r="BF16" i="59"/>
  <c r="BF15" i="59"/>
  <c r="BF18" i="59"/>
  <c r="BF19" i="59"/>
  <c r="BF22" i="59"/>
  <c r="BF21" i="59"/>
  <c r="BF8" i="59"/>
  <c r="BL26" i="59" l="1"/>
  <c r="BJ26" i="59"/>
  <c r="BF26" i="59"/>
  <c r="BH6" i="59" l="1"/>
  <c r="BH4" i="59"/>
  <c r="BF6" i="59"/>
  <c r="BH5" i="59" l="1"/>
  <c r="BF4" i="59"/>
  <c r="BI4" i="59"/>
  <c r="BF5" i="59"/>
  <c r="BG4" i="59" l="1"/>
  <c r="BI5" i="59" l="1"/>
  <c r="BG5" i="59"/>
  <c r="BI6" i="59" l="1"/>
  <c r="BG6" i="59"/>
  <c r="BI7" i="59" l="1"/>
  <c r="BI8" i="59"/>
  <c r="BG7" i="59"/>
  <c r="BG8" i="59"/>
  <c r="BI9" i="59" l="1"/>
  <c r="BG9" i="59"/>
  <c r="BI10" i="59" l="1"/>
  <c r="BG10" i="59"/>
  <c r="BI11" i="59" l="1"/>
  <c r="BG11" i="59"/>
  <c r="BI12" i="59" l="1"/>
  <c r="BG12" i="59"/>
  <c r="BI13" i="59" l="1"/>
  <c r="BG13" i="59"/>
  <c r="BI14" i="59" l="1"/>
  <c r="BG14" i="59"/>
  <c r="BI15" i="59" l="1"/>
  <c r="BG15" i="59"/>
  <c r="BI16" i="59" l="1"/>
  <c r="BG16" i="59"/>
  <c r="BI17" i="59" l="1"/>
  <c r="BG17" i="59"/>
  <c r="BI18" i="59" l="1"/>
  <c r="BG18" i="59"/>
  <c r="BI19" i="59" l="1"/>
  <c r="BG19" i="59"/>
  <c r="BI20" i="59" l="1"/>
  <c r="BG20" i="59"/>
  <c r="BI21" i="59" l="1"/>
  <c r="BG21" i="59"/>
  <c r="BI22" i="59" l="1"/>
  <c r="BG22" i="59"/>
  <c r="BK26" i="59" l="1"/>
  <c r="BK27" i="59" l="1"/>
  <c r="BM26" i="59"/>
  <c r="BM27" i="59" l="1"/>
  <c r="BH26" i="59" l="1"/>
  <c r="AT17" i="59" l="1"/>
  <c r="AT11" i="59"/>
  <c r="AT18" i="59"/>
  <c r="AT14" i="59"/>
  <c r="AT6" i="59"/>
  <c r="AT26" i="59"/>
  <c r="AT10" i="59"/>
  <c r="AT20" i="59"/>
  <c r="AT4" i="59"/>
  <c r="AT7" i="59"/>
  <c r="AT15" i="59"/>
  <c r="AT16" i="59"/>
  <c r="AT13" i="59"/>
  <c r="AT5" i="59"/>
  <c r="AT8" i="59"/>
  <c r="AT12" i="59"/>
  <c r="AT27" i="59"/>
  <c r="AT22" i="59" l="1"/>
  <c r="AT19" i="59"/>
  <c r="AT9" i="59"/>
  <c r="AU5" i="59"/>
  <c r="AT23" i="59"/>
  <c r="AT25" i="59"/>
  <c r="AU4" i="59"/>
  <c r="AT24" i="59"/>
  <c r="AT21" i="59"/>
  <c r="AU6" i="59" l="1"/>
  <c r="AU7" i="59" l="1"/>
  <c r="AU8" i="59" l="1"/>
  <c r="AU9" i="59" l="1"/>
  <c r="AU10" i="59" l="1"/>
  <c r="AU11" i="59" l="1"/>
  <c r="AU12" i="59" l="1"/>
  <c r="AU13" i="59" l="1"/>
  <c r="AU14" i="59" l="1"/>
  <c r="AU15" i="59" l="1"/>
  <c r="AU16" i="59" l="1"/>
  <c r="AU17" i="59" l="1"/>
  <c r="AU18" i="59" l="1"/>
  <c r="AU19" i="59" l="1"/>
  <c r="AU20" i="59" l="1"/>
  <c r="AU21" i="59" l="1"/>
  <c r="AU22" i="59" l="1"/>
  <c r="AU23" i="59" l="1"/>
  <c r="AU24" i="59" l="1"/>
  <c r="AU25" i="59" l="1"/>
  <c r="AU26" i="59" l="1"/>
  <c r="AU27" i="59" l="1"/>
  <c r="AU28" i="59" l="1"/>
  <c r="AU29" i="59" l="1"/>
  <c r="AU30" i="59" l="1"/>
  <c r="AU31" i="59" l="1"/>
  <c r="AU32" i="59" l="1"/>
  <c r="AU33" i="59" l="1"/>
  <c r="AU34" i="59" l="1"/>
  <c r="AT41" i="59" s="1"/>
  <c r="BF27" i="59" l="1"/>
  <c r="BH28" i="59" l="1"/>
  <c r="BJ28" i="59"/>
  <c r="BL28" i="59"/>
  <c r="BF28" i="59"/>
  <c r="BK28" i="59" l="1"/>
  <c r="BM28" i="59" l="1"/>
  <c r="BK29" i="59"/>
  <c r="BK30" i="59" l="1"/>
  <c r="BF29" i="59" l="1"/>
  <c r="BL29" i="59" l="1"/>
  <c r="BH29" i="59"/>
  <c r="BH30" i="59" l="1"/>
  <c r="BF30" i="59"/>
  <c r="BL30" i="59"/>
  <c r="BM29" i="59" l="1"/>
  <c r="BM30" i="59" l="1"/>
  <c r="AB29" i="59" l="1"/>
  <c r="AB30" i="59" l="1"/>
  <c r="Z30" i="59"/>
  <c r="AC29" i="59" l="1"/>
  <c r="AA30" i="59" l="1"/>
  <c r="AC30" i="59"/>
  <c r="AA31" i="59" l="1"/>
  <c r="AC31" i="59"/>
  <c r="AA32" i="59" l="1"/>
  <c r="AC32" i="59"/>
  <c r="AA33" i="59" l="1"/>
  <c r="AC33" i="59"/>
  <c r="AA34" i="59" l="1"/>
  <c r="Z41" i="59" s="1"/>
  <c r="AC34" i="59"/>
  <c r="AB41" i="59" s="1"/>
  <c r="BT13" i="59" l="1"/>
  <c r="BT27" i="59" l="1"/>
  <c r="BT11" i="59"/>
  <c r="BT14" i="59"/>
  <c r="BT5" i="59"/>
  <c r="BT25" i="59"/>
  <c r="BT29" i="59"/>
  <c r="BT24" i="59"/>
  <c r="BT23" i="59"/>
  <c r="BT20" i="59" l="1"/>
  <c r="BT9" i="59"/>
  <c r="BT30" i="59"/>
  <c r="BT15" i="59"/>
  <c r="BT26" i="59"/>
  <c r="BT28" i="59"/>
  <c r="BT8" i="59"/>
  <c r="BT17" i="59"/>
  <c r="BT7" i="59"/>
  <c r="BT10" i="59"/>
  <c r="BT21" i="59"/>
  <c r="BT19" i="59" l="1"/>
  <c r="BT6" i="59"/>
  <c r="BT18" i="59"/>
  <c r="BT22" i="59" l="1"/>
  <c r="BT4" i="59"/>
  <c r="BT12" i="59"/>
  <c r="BT16" i="59"/>
  <c r="BU4" i="59" l="1"/>
  <c r="BU5" i="59" l="1"/>
  <c r="BU7" i="59" l="1"/>
  <c r="BU6" i="59"/>
  <c r="BU8" i="59" l="1"/>
  <c r="BU9" i="59" l="1"/>
  <c r="BU10" i="59" l="1"/>
  <c r="BU11" i="59" l="1"/>
  <c r="BU12" i="59" l="1"/>
  <c r="BU13" i="59" l="1"/>
  <c r="BU14" i="59" l="1"/>
  <c r="BU15" i="59" l="1"/>
  <c r="BU16" i="59" l="1"/>
  <c r="BU17" i="59"/>
  <c r="BU18" i="59" l="1"/>
  <c r="BU19" i="59" l="1"/>
  <c r="BU20" i="59" l="1"/>
  <c r="BU21" i="59" l="1"/>
  <c r="BU22" i="59" l="1"/>
  <c r="BU23" i="59" l="1"/>
  <c r="BU24" i="59" l="1"/>
  <c r="BU25" i="59" l="1"/>
  <c r="BU26" i="59" l="1"/>
  <c r="BU27" i="59" l="1"/>
  <c r="BU28" i="59" l="1"/>
  <c r="BU29" i="59" l="1"/>
  <c r="BU30" i="59" l="1"/>
  <c r="BU31" i="59" l="1"/>
  <c r="BU32" i="59" l="1"/>
  <c r="BU33" i="59" l="1"/>
  <c r="BU34" i="59" l="1"/>
  <c r="BT41" i="59" s="1"/>
  <c r="BJ31" i="59" l="1"/>
  <c r="BH31" i="59" l="1"/>
  <c r="BF31" i="59"/>
  <c r="BL31" i="59"/>
  <c r="BK31" i="59" l="1"/>
  <c r="BK32" i="59" l="1"/>
  <c r="BM31" i="59"/>
  <c r="BM32" i="59" l="1"/>
  <c r="BK33" i="59"/>
  <c r="BM33" i="59" l="1"/>
  <c r="BK34" i="59"/>
  <c r="BJ41" i="59" s="1"/>
  <c r="AJ19" i="59" l="1"/>
  <c r="AJ16" i="59"/>
  <c r="AJ27" i="59"/>
  <c r="AJ34" i="59" l="1"/>
  <c r="AJ32" i="59"/>
  <c r="AJ4" i="59"/>
  <c r="AJ33" i="59"/>
  <c r="AJ15" i="59"/>
  <c r="AJ31" i="59"/>
  <c r="AJ17" i="59"/>
  <c r="AJ20" i="59" l="1"/>
  <c r="AJ29" i="59"/>
  <c r="AJ28" i="59"/>
  <c r="AJ13" i="59"/>
  <c r="AK4" i="59"/>
  <c r="AJ30" i="59" l="1"/>
  <c r="AJ24" i="59"/>
  <c r="AJ25" i="59"/>
  <c r="AJ26" i="59"/>
  <c r="AJ22" i="59"/>
  <c r="AJ18" i="59"/>
  <c r="AJ21" i="59"/>
  <c r="AJ23" i="59"/>
  <c r="AJ14" i="59"/>
  <c r="AJ12" i="59"/>
  <c r="AJ11" i="59"/>
  <c r="AJ10" i="59"/>
  <c r="AJ8" i="59"/>
  <c r="AJ7" i="59"/>
  <c r="AJ6" i="59"/>
  <c r="AJ5" i="59" l="1"/>
  <c r="AJ9" i="59"/>
  <c r="AK5" i="59" l="1"/>
  <c r="AK6" i="59" l="1"/>
  <c r="AK7" i="59" l="1"/>
  <c r="AK8" i="59" l="1"/>
  <c r="AK9" i="59" l="1"/>
  <c r="AK10" i="59" l="1"/>
  <c r="AK11" i="59" l="1"/>
  <c r="AK12" i="59" l="1"/>
  <c r="AK13" i="59" l="1"/>
  <c r="AK14" i="59" l="1"/>
  <c r="AK15" i="59" l="1"/>
  <c r="AK16" i="59" l="1"/>
  <c r="AK17" i="59" l="1"/>
  <c r="AK18" i="59" l="1"/>
  <c r="AK19" i="59" l="1"/>
  <c r="AK20" i="59" l="1"/>
  <c r="AK21" i="59" l="1"/>
  <c r="AK22" i="59" l="1"/>
  <c r="AK23" i="59" l="1"/>
  <c r="AK24" i="59" l="1"/>
  <c r="AK25" i="59" l="1"/>
  <c r="AK26" i="59" l="1"/>
  <c r="AK27" i="59" l="1"/>
  <c r="AK28" i="59" l="1"/>
  <c r="AK29" i="59" l="1"/>
  <c r="AK30" i="59" l="1"/>
  <c r="AK31" i="59" l="1"/>
  <c r="AK32" i="59" l="1"/>
  <c r="AK33" i="59" l="1"/>
  <c r="AK34" i="59" l="1"/>
  <c r="AJ41" i="59" s="1"/>
  <c r="BD33" i="59" l="1"/>
  <c r="BD34" i="59"/>
  <c r="AZ33" i="59" l="1"/>
  <c r="BB33" i="59"/>
  <c r="AP33" i="59"/>
  <c r="BB34" i="59"/>
  <c r="BD32" i="59"/>
  <c r="AZ34" i="59"/>
  <c r="BD12" i="59"/>
  <c r="AZ12" i="59"/>
  <c r="BD28" i="59"/>
  <c r="BB12" i="59"/>
  <c r="BD7" i="59"/>
  <c r="AP12" i="59"/>
  <c r="BD11" i="59"/>
  <c r="BB32" i="59" l="1"/>
  <c r="AP32" i="59"/>
  <c r="AZ32" i="59"/>
  <c r="AP28" i="59"/>
  <c r="BB28" i="59"/>
  <c r="AZ28" i="59"/>
  <c r="BD30" i="59"/>
  <c r="BD10" i="59"/>
  <c r="BD25" i="59"/>
  <c r="BD19" i="59"/>
  <c r="BD22" i="59"/>
  <c r="BD24" i="59"/>
  <c r="BD27" i="59"/>
  <c r="BD15" i="59"/>
  <c r="BD16" i="59"/>
  <c r="BD21" i="59"/>
  <c r="BD20" i="59"/>
  <c r="BD23" i="59"/>
  <c r="BD17" i="59"/>
  <c r="BD29" i="59"/>
  <c r="BD13" i="59"/>
  <c r="BD14" i="59"/>
  <c r="BD18" i="59"/>
  <c r="BB11" i="59"/>
  <c r="BD4" i="59"/>
  <c r="AZ24" i="59"/>
  <c r="BB24" i="59"/>
  <c r="AP24" i="59"/>
  <c r="AP23" i="59"/>
  <c r="AP7" i="59"/>
  <c r="AZ27" i="59"/>
  <c r="BB10" i="59"/>
  <c r="AZ10" i="59"/>
  <c r="BB27" i="59"/>
  <c r="AP10" i="59"/>
  <c r="BB7" i="59"/>
  <c r="AZ7" i="59"/>
  <c r="AP27" i="59"/>
  <c r="AP25" i="59"/>
  <c r="BB20" i="59"/>
  <c r="AZ20" i="59"/>
  <c r="AP20" i="59"/>
  <c r="AZ23" i="59"/>
  <c r="AP21" i="59"/>
  <c r="AP30" i="59"/>
  <c r="AP19" i="59"/>
  <c r="AP11" i="59"/>
  <c r="AP16" i="59"/>
  <c r="AP17" i="59"/>
  <c r="AP29" i="59"/>
  <c r="AP22" i="59"/>
  <c r="AP15" i="59"/>
  <c r="AP13" i="59"/>
  <c r="AP14" i="59"/>
  <c r="AP18" i="59"/>
  <c r="BB23" i="59"/>
  <c r="BB25" i="59"/>
  <c r="AZ25" i="59"/>
  <c r="BB30" i="59"/>
  <c r="AZ30" i="59"/>
  <c r="BB29" i="59"/>
  <c r="AZ29" i="59"/>
  <c r="BB22" i="59"/>
  <c r="AZ22" i="59"/>
  <c r="BB21" i="59"/>
  <c r="AZ21" i="59"/>
  <c r="BB19" i="59"/>
  <c r="AZ19" i="59"/>
  <c r="AZ18" i="59"/>
  <c r="BB18" i="59"/>
  <c r="BB17" i="59"/>
  <c r="AZ17" i="59"/>
  <c r="BB16" i="59"/>
  <c r="AZ16" i="59"/>
  <c r="BB15" i="59"/>
  <c r="AZ15" i="59"/>
  <c r="BB14" i="59"/>
  <c r="AZ14" i="59"/>
  <c r="BB13" i="59"/>
  <c r="AZ13" i="59"/>
  <c r="AZ11" i="59"/>
  <c r="BD8" i="59" l="1"/>
  <c r="BD31" i="59"/>
  <c r="BD9" i="59"/>
  <c r="AP4" i="59"/>
  <c r="BB4" i="59"/>
  <c r="AZ4" i="59"/>
  <c r="AZ31" i="59"/>
  <c r="BB31" i="59"/>
  <c r="AP31" i="59"/>
  <c r="BB9" i="59"/>
  <c r="AZ9" i="59"/>
  <c r="AP9" i="59"/>
  <c r="AZ8" i="59"/>
  <c r="BB8" i="59"/>
  <c r="AP8" i="59"/>
  <c r="BD5" i="59" l="1"/>
  <c r="BE4" i="59"/>
  <c r="AZ5" i="59"/>
  <c r="BB5" i="59"/>
  <c r="AP5" i="59"/>
  <c r="AQ4" i="59"/>
  <c r="BC4" i="59"/>
  <c r="BA4" i="59"/>
  <c r="BD6" i="59" l="1"/>
  <c r="BD26" i="59"/>
  <c r="AZ26" i="59"/>
  <c r="AP26" i="59"/>
  <c r="BB26" i="59"/>
  <c r="AP6" i="59"/>
  <c r="BE5" i="59"/>
  <c r="AZ6" i="59"/>
  <c r="BB6" i="59"/>
  <c r="AQ5" i="59" l="1"/>
  <c r="BA5" i="59"/>
  <c r="BC5" i="59"/>
  <c r="BE6" i="59"/>
  <c r="AQ6" i="59" l="1"/>
  <c r="BC6" i="59"/>
  <c r="BE7" i="59"/>
  <c r="BA6" i="59"/>
  <c r="AQ7" i="59" l="1"/>
  <c r="BA7" i="59"/>
  <c r="BC7" i="59"/>
  <c r="BE8" i="59"/>
  <c r="BC8" i="59" l="1"/>
  <c r="AQ8" i="59"/>
  <c r="BE9" i="59"/>
  <c r="BA8" i="59"/>
  <c r="BC9" i="59" l="1"/>
  <c r="BA9" i="59"/>
  <c r="AQ9" i="59"/>
  <c r="BE10" i="59"/>
  <c r="BE11" i="59" l="1"/>
  <c r="BA10" i="59"/>
  <c r="AQ10" i="59"/>
  <c r="BC10" i="59"/>
  <c r="BE12" i="59"/>
  <c r="AQ11" i="59" l="1"/>
  <c r="BA11" i="59"/>
  <c r="BC11" i="59"/>
  <c r="AQ12" i="59"/>
  <c r="BC12" i="59"/>
  <c r="BA12" i="59"/>
  <c r="BE13" i="59"/>
  <c r="AQ13" i="59" l="1"/>
  <c r="BE14" i="59"/>
  <c r="BC13" i="59"/>
  <c r="BA13" i="59"/>
  <c r="AQ14" i="59" l="1"/>
  <c r="BC14" i="59"/>
  <c r="BA14" i="59"/>
  <c r="BE15" i="59"/>
  <c r="AQ15" i="59" l="1"/>
  <c r="BE16" i="59"/>
  <c r="BA15" i="59"/>
  <c r="BC15" i="59"/>
  <c r="AQ16" i="59" l="1"/>
  <c r="BC16" i="59"/>
  <c r="BE17" i="59"/>
  <c r="BA16" i="59"/>
  <c r="AQ17" i="59" l="1"/>
  <c r="BE18" i="59"/>
  <c r="BA17" i="59"/>
  <c r="BC17" i="59"/>
  <c r="AQ18" i="59" l="1"/>
  <c r="BE19" i="59"/>
  <c r="BC18" i="59"/>
  <c r="BA18" i="59"/>
  <c r="AQ19" i="59" l="1"/>
  <c r="BE20" i="59"/>
  <c r="BC19" i="59"/>
  <c r="BA19" i="59"/>
  <c r="AQ20" i="59" l="1"/>
  <c r="BE21" i="59"/>
  <c r="BC20" i="59"/>
  <c r="BA20" i="59"/>
  <c r="AQ21" i="59" l="1"/>
  <c r="BC21" i="59"/>
  <c r="BA21" i="59"/>
  <c r="BE22" i="59"/>
  <c r="AQ22" i="59" l="1"/>
  <c r="BE23" i="59"/>
  <c r="BA22" i="59"/>
  <c r="BC22" i="59"/>
  <c r="AQ23" i="59" l="1"/>
  <c r="BC23" i="59"/>
  <c r="BE24" i="59"/>
  <c r="BA23" i="59"/>
  <c r="AQ24" i="59" l="1"/>
  <c r="BE25" i="59"/>
  <c r="BA24" i="59"/>
  <c r="BC24" i="59"/>
  <c r="BC25" i="59" l="1"/>
  <c r="BA25" i="59"/>
  <c r="BE26" i="59"/>
  <c r="AQ25" i="59"/>
  <c r="BC26" i="59" l="1"/>
  <c r="AQ26" i="59"/>
  <c r="BA26" i="59"/>
  <c r="BE27" i="59" l="1"/>
  <c r="AQ27" i="59"/>
  <c r="BC27" i="59"/>
  <c r="BA27" i="59"/>
  <c r="AQ28" i="59"/>
  <c r="BC28" i="59"/>
  <c r="BA28" i="59"/>
  <c r="AQ29" i="59" l="1"/>
  <c r="BE29" i="59"/>
  <c r="BE28" i="59"/>
  <c r="BA29" i="59"/>
  <c r="BC29" i="59"/>
  <c r="AQ30" i="59" l="1"/>
  <c r="BE30" i="59"/>
  <c r="BE31" i="59"/>
  <c r="BA30" i="59"/>
  <c r="BC30" i="59"/>
  <c r="BA31" i="59" l="1"/>
  <c r="BC31" i="59"/>
  <c r="BE32" i="59"/>
  <c r="AQ31" i="59"/>
  <c r="AQ32" i="59"/>
  <c r="BA32" i="59" l="1"/>
  <c r="BE33" i="59"/>
  <c r="BC32" i="59"/>
  <c r="AQ33" i="59"/>
  <c r="BE34" i="59"/>
  <c r="BD41" i="59" s="1"/>
  <c r="BC33" i="59"/>
  <c r="BA33" i="59"/>
  <c r="AQ34" i="59" l="1"/>
  <c r="AP41" i="59" s="1"/>
  <c r="BC34" i="59"/>
  <c r="BB41" i="59" s="1"/>
  <c r="BA34" i="59"/>
  <c r="AZ41" i="59" s="1"/>
  <c r="CB13" i="59" l="1"/>
  <c r="BV13" i="59" l="1"/>
  <c r="CD13" i="59"/>
  <c r="CB27" i="59"/>
  <c r="BV27" i="59"/>
  <c r="CD27" i="59"/>
  <c r="BV11" i="59"/>
  <c r="CB14" i="59"/>
  <c r="CD14" i="59"/>
  <c r="BV14" i="59"/>
  <c r="CD11" i="59"/>
  <c r="CB11" i="59"/>
  <c r="BV32" i="59"/>
  <c r="BV29" i="59"/>
  <c r="BV25" i="59"/>
  <c r="BV23" i="59"/>
  <c r="BV24" i="59"/>
  <c r="BV5" i="59"/>
  <c r="BV33" i="59"/>
  <c r="CB5" i="59"/>
  <c r="CD5" i="59"/>
  <c r="CB33" i="59"/>
  <c r="CD33" i="59"/>
  <c r="CB25" i="59"/>
  <c r="CD25" i="59"/>
  <c r="CD32" i="59"/>
  <c r="CB32" i="59"/>
  <c r="CD29" i="59"/>
  <c r="CB29" i="59"/>
  <c r="CB24" i="59"/>
  <c r="CD24" i="59"/>
  <c r="CD23" i="59"/>
  <c r="CB23" i="59"/>
  <c r="BV20" i="59" l="1"/>
  <c r="CD15" i="59"/>
  <c r="CB20" i="59"/>
  <c r="CD20" i="59"/>
  <c r="BV30" i="59"/>
  <c r="BV9" i="59"/>
  <c r="CD9" i="59"/>
  <c r="CB9" i="59"/>
  <c r="CB30" i="59"/>
  <c r="CD30" i="59"/>
  <c r="BV15" i="59"/>
  <c r="CB15" i="59"/>
  <c r="CD26" i="59"/>
  <c r="CB26" i="59"/>
  <c r="BV21" i="59"/>
  <c r="CD28" i="59"/>
  <c r="BV28" i="59"/>
  <c r="BV17" i="59"/>
  <c r="BV7" i="59"/>
  <c r="BV8" i="59"/>
  <c r="BV10" i="59"/>
  <c r="BV26" i="59"/>
  <c r="CB28" i="59"/>
  <c r="CB8" i="59"/>
  <c r="CD8" i="59"/>
  <c r="CD17" i="59"/>
  <c r="CB17" i="59"/>
  <c r="CD7" i="59"/>
  <c r="CB7" i="59"/>
  <c r="CB10" i="59"/>
  <c r="CD10" i="59"/>
  <c r="CD21" i="59"/>
  <c r="CB21" i="59"/>
  <c r="BV19" i="59" l="1"/>
  <c r="CD19" i="59"/>
  <c r="CB19" i="59"/>
  <c r="BV22" i="59"/>
  <c r="BV18" i="59"/>
  <c r="BV6" i="59"/>
  <c r="CB6" i="59"/>
  <c r="CD6" i="59"/>
  <c r="CD18" i="59"/>
  <c r="CB18" i="59"/>
  <c r="CD22" i="59" l="1"/>
  <c r="CD31" i="59"/>
  <c r="BV31" i="59"/>
  <c r="CB31" i="59"/>
  <c r="CB22" i="59"/>
  <c r="BV12" i="59"/>
  <c r="BV16" i="59"/>
  <c r="BV4" i="59"/>
  <c r="CB4" i="59"/>
  <c r="CD4" i="59"/>
  <c r="CD12" i="59"/>
  <c r="CB12" i="59"/>
  <c r="CD16" i="59"/>
  <c r="CB16" i="59"/>
  <c r="BW4" i="59" l="1"/>
  <c r="CC4" i="59"/>
  <c r="CE4" i="59"/>
  <c r="CE5" i="59" l="1"/>
  <c r="BW5" i="59"/>
  <c r="CC5" i="59"/>
  <c r="CC6" i="59" l="1"/>
  <c r="BW6" i="59"/>
  <c r="CE6" i="59"/>
  <c r="CE7" i="59" l="1"/>
  <c r="CC7" i="59"/>
  <c r="BW7" i="59"/>
  <c r="BW8" i="59"/>
  <c r="CE8" i="59"/>
  <c r="CC8" i="59"/>
  <c r="BW9" i="59" l="1"/>
  <c r="CC9" i="59"/>
  <c r="CE9" i="59"/>
  <c r="CC10" i="59" l="1"/>
  <c r="BW10" i="59"/>
  <c r="CE10" i="59"/>
  <c r="CC11" i="59" l="1"/>
  <c r="BW11" i="59"/>
  <c r="CE11" i="59"/>
  <c r="CE12" i="59" l="1"/>
  <c r="BW12" i="59"/>
  <c r="CC12" i="59"/>
  <c r="BW13" i="59" l="1"/>
  <c r="CC13" i="59"/>
  <c r="CE13" i="59"/>
  <c r="BW14" i="59" l="1"/>
  <c r="CE14" i="59"/>
  <c r="CC14" i="59"/>
  <c r="CE15" i="59" l="1"/>
  <c r="BW15" i="59"/>
  <c r="CC15" i="59"/>
  <c r="CC16" i="59" l="1"/>
  <c r="CE16" i="59"/>
  <c r="BW16" i="59"/>
  <c r="CC17" i="59" l="1"/>
  <c r="CE17" i="59"/>
  <c r="BW17" i="59"/>
  <c r="BW18" i="59"/>
  <c r="CE18" i="59"/>
  <c r="CC18" i="59"/>
  <c r="BW19" i="59" l="1"/>
  <c r="CE19" i="59"/>
  <c r="CC19" i="59"/>
  <c r="BW20" i="59" l="1"/>
  <c r="CE20" i="59"/>
  <c r="CC20" i="59"/>
  <c r="BW21" i="59" l="1"/>
  <c r="CC21" i="59"/>
  <c r="CE21" i="59"/>
  <c r="BW22" i="59" l="1"/>
  <c r="CE22" i="59"/>
  <c r="CC22" i="59"/>
  <c r="BW23" i="59" l="1"/>
  <c r="CC23" i="59"/>
  <c r="CE23" i="59"/>
  <c r="BW24" i="59" l="1"/>
  <c r="CC24" i="59"/>
  <c r="CE24" i="59"/>
  <c r="BW25" i="59" l="1"/>
  <c r="CC25" i="59"/>
  <c r="CE25" i="59"/>
  <c r="BW26" i="59" l="1"/>
  <c r="CC26" i="59"/>
  <c r="CE26" i="59"/>
  <c r="BW27" i="59" l="1"/>
  <c r="CE27" i="59"/>
  <c r="CC27" i="59"/>
  <c r="BW28" i="59" l="1"/>
  <c r="CE28" i="59"/>
  <c r="CC28" i="59"/>
  <c r="BW29" i="59" l="1"/>
  <c r="CE29" i="59"/>
  <c r="CC29" i="59"/>
  <c r="BW30" i="59" l="1"/>
  <c r="CE30" i="59"/>
  <c r="CC30" i="59"/>
  <c r="BW31" i="59" l="1"/>
  <c r="CE31" i="59"/>
  <c r="CC31" i="59"/>
  <c r="BW32" i="59" l="1"/>
  <c r="CE32" i="59"/>
  <c r="CC32" i="59"/>
  <c r="BW33" i="59" l="1"/>
  <c r="CE33" i="59"/>
  <c r="CC33" i="59"/>
  <c r="BW34" i="59" l="1"/>
  <c r="BV41" i="59" s="1"/>
  <c r="CE34" i="59"/>
  <c r="CD41" i="59" s="1"/>
  <c r="CC34" i="59"/>
  <c r="CB41" i="59" s="1"/>
  <c r="BF34" i="59" l="1"/>
  <c r="BH34" i="59"/>
  <c r="BL34" i="59"/>
  <c r="BM34" i="59" l="1"/>
  <c r="BL41" i="59" s="1"/>
  <c r="X15" i="59" l="1"/>
  <c r="X7" i="59"/>
  <c r="X14" i="59"/>
  <c r="X16" i="59"/>
  <c r="X11" i="59"/>
  <c r="X20" i="59"/>
  <c r="X18" i="59"/>
  <c r="X17" i="59" l="1"/>
  <c r="X31" i="59"/>
  <c r="X13" i="59"/>
  <c r="X9" i="59"/>
  <c r="L34" i="59"/>
  <c r="X19" i="59" l="1"/>
  <c r="X5" i="59"/>
  <c r="X33" i="59"/>
  <c r="X8" i="59"/>
  <c r="X21" i="59"/>
  <c r="X12" i="59"/>
  <c r="X25" i="59"/>
  <c r="X23" i="59"/>
  <c r="P34" i="59"/>
  <c r="T34" i="59"/>
  <c r="N34" i="59"/>
  <c r="R34" i="59"/>
  <c r="M34" i="59"/>
  <c r="L41" i="59" s="1"/>
  <c r="X6" i="59"/>
  <c r="X4" i="59"/>
  <c r="V20" i="59"/>
  <c r="V16" i="59"/>
  <c r="X29" i="59"/>
  <c r="X22" i="59"/>
  <c r="X26" i="59"/>
  <c r="X34" i="59"/>
  <c r="X24" i="59"/>
  <c r="X32" i="59"/>
  <c r="V24" i="59"/>
  <c r="V32" i="59"/>
  <c r="X30" i="59"/>
  <c r="X28" i="59"/>
  <c r="V25" i="59"/>
  <c r="X27" i="59"/>
  <c r="V6" i="59"/>
  <c r="X10" i="59"/>
  <c r="V10" i="59"/>
  <c r="Q34" i="59" l="1"/>
  <c r="P41" i="59" s="1"/>
  <c r="U34" i="59"/>
  <c r="T41" i="59" s="1"/>
  <c r="S34" i="59"/>
  <c r="R41" i="59" s="1"/>
  <c r="V27" i="59"/>
  <c r="V8" i="59"/>
  <c r="V23" i="59"/>
  <c r="V28" i="59"/>
  <c r="V13" i="59"/>
  <c r="V30" i="59"/>
  <c r="V33" i="59"/>
  <c r="V18" i="59"/>
  <c r="V22" i="59"/>
  <c r="V4" i="59"/>
  <c r="V11" i="59"/>
  <c r="V9" i="59"/>
  <c r="Y4" i="59"/>
  <c r="V31" i="59"/>
  <c r="V19" i="59"/>
  <c r="V26" i="59"/>
  <c r="V5" i="59"/>
  <c r="V12" i="59"/>
  <c r="V14" i="59"/>
  <c r="V17" i="59"/>
  <c r="V21" i="59"/>
  <c r="V34" i="59"/>
  <c r="V29" i="59"/>
  <c r="V15" i="59"/>
  <c r="V7" i="59"/>
  <c r="W5" i="59" l="1"/>
  <c r="W4" i="59"/>
  <c r="Y5" i="59"/>
  <c r="Y6" i="59" l="1"/>
  <c r="W6" i="59"/>
  <c r="W7" i="59" l="1"/>
  <c r="Y7" i="59"/>
  <c r="W8" i="59" l="1"/>
  <c r="Y8" i="59"/>
  <c r="W9" i="59" l="1"/>
  <c r="Y9" i="59"/>
  <c r="Y10" i="59" l="1"/>
  <c r="W10" i="59"/>
  <c r="Y11" i="59" l="1"/>
  <c r="W11" i="59"/>
  <c r="Y12" i="59" l="1"/>
  <c r="W12" i="59"/>
  <c r="Y13" i="59" l="1"/>
  <c r="W13" i="59"/>
  <c r="Y14" i="59" l="1"/>
  <c r="W14" i="59"/>
  <c r="W15" i="59" l="1"/>
  <c r="Y15" i="59"/>
  <c r="Y16" i="59" l="1"/>
  <c r="W16" i="59"/>
  <c r="Y17" i="59" l="1"/>
  <c r="W17" i="59"/>
  <c r="Y18" i="59" l="1"/>
  <c r="W18" i="59"/>
  <c r="Y19" i="59" l="1"/>
  <c r="W19" i="59"/>
  <c r="Y20" i="59" l="1"/>
  <c r="W20" i="59"/>
  <c r="W21" i="59" l="1"/>
  <c r="Y21" i="59"/>
  <c r="W22" i="59" l="1"/>
  <c r="Y22" i="59"/>
  <c r="W23" i="59" l="1"/>
  <c r="Y23" i="59"/>
  <c r="Y24" i="59" l="1"/>
  <c r="W24" i="59"/>
  <c r="Y25" i="59" l="1"/>
  <c r="W25" i="59"/>
  <c r="Y26" i="59" l="1"/>
  <c r="W26" i="59"/>
  <c r="W27" i="59" l="1"/>
  <c r="Y27" i="59"/>
  <c r="Y28" i="59" l="1"/>
  <c r="W28" i="59"/>
  <c r="Y29" i="59" l="1"/>
  <c r="W29" i="59"/>
  <c r="W30" i="59" l="1"/>
  <c r="Y30" i="59"/>
  <c r="Y31" i="59" l="1"/>
  <c r="W31" i="59"/>
  <c r="Y32" i="59" l="1"/>
  <c r="W32" i="59"/>
  <c r="W33" i="59" l="1"/>
  <c r="Y33" i="59"/>
  <c r="N41" i="59"/>
  <c r="Y34" i="59" l="1"/>
  <c r="X41" i="59" s="1"/>
  <c r="W34" i="59"/>
  <c r="V41" i="59" s="1"/>
  <c r="BH23" i="59" l="1"/>
  <c r="BH24" i="59"/>
  <c r="BF24" i="59"/>
  <c r="BF23" i="59"/>
  <c r="BI23" i="59" l="1"/>
  <c r="BG23" i="59"/>
  <c r="BI24" i="59" l="1"/>
  <c r="BG24" i="59"/>
  <c r="BI25" i="59" l="1"/>
  <c r="BG25" i="59"/>
  <c r="BI26" i="59" l="1"/>
  <c r="BG26" i="59"/>
  <c r="BI27" i="59" l="1"/>
  <c r="BG27" i="59"/>
  <c r="BI28" i="59" l="1"/>
  <c r="BG28" i="59"/>
  <c r="BI29" i="59" l="1"/>
  <c r="BG29" i="59"/>
  <c r="BI30" i="59" l="1"/>
  <c r="BG30" i="59"/>
  <c r="BI31" i="59" l="1"/>
  <c r="BG31" i="59"/>
  <c r="BI32" i="59" l="1"/>
  <c r="BG32" i="59"/>
  <c r="BI33" i="59" l="1"/>
  <c r="BG33" i="59"/>
  <c r="BI34" i="59" l="1"/>
  <c r="BH41" i="59" s="1"/>
  <c r="BG34" i="59"/>
  <c r="BF41" i="59" s="1"/>
  <c r="BP7" i="59" l="1"/>
  <c r="BP25" i="59" l="1"/>
  <c r="BP34" i="59"/>
  <c r="BP12" i="59"/>
  <c r="BP31" i="59"/>
  <c r="BP29" i="59"/>
  <c r="BP14" i="59"/>
  <c r="BP28" i="59" l="1"/>
  <c r="BP27" i="59"/>
  <c r="BP11" i="59"/>
  <c r="BP13" i="59"/>
  <c r="BP30" i="59"/>
  <c r="BP20" i="59"/>
  <c r="BP16" i="59"/>
  <c r="BP9" i="59"/>
  <c r="BP10" i="59"/>
  <c r="BP17" i="59"/>
  <c r="BP15" i="59"/>
  <c r="BP24" i="59"/>
  <c r="BP18" i="59"/>
  <c r="BP19" i="59"/>
  <c r="BP22" i="59"/>
  <c r="BP32" i="59"/>
  <c r="BP21" i="59"/>
  <c r="BP33" i="59"/>
  <c r="BP8" i="59"/>
  <c r="BP23" i="59"/>
  <c r="BP26" i="59" l="1"/>
  <c r="BP6" i="59" l="1"/>
  <c r="BP4" i="59" l="1"/>
  <c r="BP5" i="59"/>
  <c r="BQ4" i="59" l="1"/>
  <c r="BQ5" i="59" l="1"/>
  <c r="BQ6" i="59" l="1"/>
  <c r="BQ7" i="59" l="1"/>
  <c r="BQ8" i="59"/>
  <c r="BQ9" i="59" l="1"/>
  <c r="BQ10" i="59" l="1"/>
  <c r="BQ11" i="59" l="1"/>
  <c r="BQ12" i="59" l="1"/>
  <c r="BQ13" i="59" l="1"/>
  <c r="BQ14" i="59" l="1"/>
  <c r="BQ15" i="59" l="1"/>
  <c r="BQ16" i="59" l="1"/>
  <c r="BQ17" i="59" l="1"/>
  <c r="BQ18" i="59" l="1"/>
  <c r="BQ19" i="59" l="1"/>
  <c r="BQ20" i="59" l="1"/>
  <c r="BQ21" i="59" l="1"/>
  <c r="BQ22" i="59" l="1"/>
  <c r="BQ23" i="59" l="1"/>
  <c r="BQ24" i="59" l="1"/>
  <c r="BQ25" i="59" l="1"/>
  <c r="BQ26" i="59" l="1"/>
  <c r="BQ27" i="59" l="1"/>
  <c r="BQ28" i="59" l="1"/>
  <c r="BQ29" i="59" l="1"/>
  <c r="BQ30" i="59" l="1"/>
  <c r="BQ31" i="59" l="1"/>
  <c r="BQ32" i="59" l="1"/>
  <c r="BQ33" i="59" l="1"/>
  <c r="BQ34" i="59" l="1"/>
  <c r="BP41" i="59" s="1"/>
  <c r="CJ11" i="59" l="1"/>
  <c r="CJ14" i="59"/>
  <c r="CJ5" i="59"/>
  <c r="CJ29" i="59"/>
  <c r="CJ25" i="59"/>
  <c r="CF13" i="59"/>
  <c r="CJ33" i="59"/>
  <c r="CJ32" i="59"/>
  <c r="CJ24" i="59"/>
  <c r="CJ23" i="59"/>
  <c r="CJ34" i="59" l="1"/>
  <c r="BZ34" i="59"/>
  <c r="CJ27" i="59"/>
  <c r="CJ13" i="59"/>
  <c r="CH13" i="59"/>
  <c r="CH27" i="59"/>
  <c r="CJ28" i="59"/>
  <c r="CJ26" i="59"/>
  <c r="CJ15" i="59"/>
  <c r="CH14" i="59"/>
  <c r="CF11" i="59"/>
  <c r="CH11" i="59"/>
  <c r="CF29" i="59"/>
  <c r="CF5" i="59"/>
  <c r="CF32" i="59"/>
  <c r="CH5" i="59"/>
  <c r="CJ21" i="59"/>
  <c r="CH33" i="59"/>
  <c r="BZ33" i="59"/>
  <c r="CH25" i="59"/>
  <c r="BZ32" i="59"/>
  <c r="CH32" i="59"/>
  <c r="CH29" i="59"/>
  <c r="CJ8" i="59"/>
  <c r="CH24" i="59"/>
  <c r="CH23" i="59"/>
  <c r="CF33" i="59"/>
  <c r="CF25" i="59"/>
  <c r="CF14" i="59"/>
  <c r="CF23" i="59"/>
  <c r="CF24" i="59"/>
  <c r="CF27" i="59"/>
  <c r="CF34" i="59"/>
  <c r="CJ17" i="59"/>
  <c r="CJ10" i="59"/>
  <c r="CJ7" i="59"/>
  <c r="CH34" i="59" l="1"/>
  <c r="CJ20" i="59"/>
  <c r="CJ30" i="59"/>
  <c r="CJ9" i="59"/>
  <c r="CH20" i="59"/>
  <c r="CF20" i="59"/>
  <c r="CH30" i="59"/>
  <c r="CF9" i="59"/>
  <c r="CH9" i="59"/>
  <c r="CF30" i="59"/>
  <c r="CF15" i="59"/>
  <c r="CH15" i="59"/>
  <c r="CF26" i="59"/>
  <c r="CH26" i="59"/>
  <c r="CH28" i="59"/>
  <c r="CF28" i="59"/>
  <c r="CJ18" i="59"/>
  <c r="CJ6" i="59"/>
  <c r="CH8" i="59"/>
  <c r="CH17" i="59"/>
  <c r="CF17" i="59"/>
  <c r="CH7" i="59"/>
  <c r="CH10" i="59"/>
  <c r="CF10" i="59"/>
  <c r="CF8" i="59"/>
  <c r="CF7" i="59"/>
  <c r="CH21" i="59"/>
  <c r="CF21" i="59"/>
  <c r="CJ19" i="59" l="1"/>
  <c r="CH19" i="59"/>
  <c r="CF19" i="59"/>
  <c r="CH6" i="59"/>
  <c r="CF6" i="59"/>
  <c r="CH18" i="59"/>
  <c r="CF18" i="59"/>
  <c r="CJ16" i="59"/>
  <c r="CJ12" i="59"/>
  <c r="CJ4" i="59"/>
  <c r="CH22" i="59" l="1"/>
  <c r="CF22" i="59"/>
  <c r="CJ22" i="59"/>
  <c r="CJ31" i="59"/>
  <c r="CH31" i="59"/>
  <c r="CF31" i="59"/>
  <c r="BZ31" i="59"/>
  <c r="CH4" i="59"/>
  <c r="CK4" i="59"/>
  <c r="CF4" i="59"/>
  <c r="CH12" i="59"/>
  <c r="CF12" i="59"/>
  <c r="CH16" i="59"/>
  <c r="CF16" i="59"/>
  <c r="CI4" i="59" l="1"/>
  <c r="CG4" i="59"/>
  <c r="CK5" i="59" l="1"/>
  <c r="CI5" i="59"/>
  <c r="CG5" i="59"/>
  <c r="CK7" i="59" l="1"/>
  <c r="CK6" i="59"/>
  <c r="CG6" i="59"/>
  <c r="CG7" i="59"/>
  <c r="CI6" i="59"/>
  <c r="CI7" i="59" l="1"/>
  <c r="CK8" i="59"/>
  <c r="CG8" i="59"/>
  <c r="CI8" i="59"/>
  <c r="CK9" i="59" l="1"/>
  <c r="CI9" i="59"/>
  <c r="CG9" i="59"/>
  <c r="CK10" i="59" l="1"/>
  <c r="CI10" i="59"/>
  <c r="CG10" i="59"/>
  <c r="CK11" i="59" l="1"/>
  <c r="CG11" i="59"/>
  <c r="CI11" i="59"/>
  <c r="CK12" i="59" l="1"/>
  <c r="CG12" i="59"/>
  <c r="CI12" i="59"/>
  <c r="CK13" i="59" l="1"/>
  <c r="CG13" i="59"/>
  <c r="CI14" i="59"/>
  <c r="CI13" i="59"/>
  <c r="CG14" i="59" l="1"/>
  <c r="CK14" i="59"/>
  <c r="CK15" i="59"/>
  <c r="CK16" i="59" l="1"/>
  <c r="CG15" i="59"/>
  <c r="CI15" i="59"/>
  <c r="CI16" i="59" l="1"/>
  <c r="CK17" i="59"/>
  <c r="CG16" i="59"/>
  <c r="CG17" i="59" l="1"/>
  <c r="CK18" i="59"/>
  <c r="CI17" i="59"/>
  <c r="CK19" i="59"/>
  <c r="CI18" i="59"/>
  <c r="CG18" i="59"/>
  <c r="CI19" i="59" l="1"/>
  <c r="CK20" i="59"/>
  <c r="CG19" i="59"/>
  <c r="CI20" i="59" l="1"/>
  <c r="CK21" i="59"/>
  <c r="CG20" i="59"/>
  <c r="CI21" i="59" l="1"/>
  <c r="CK22" i="59"/>
  <c r="CG21" i="59"/>
  <c r="CK23" i="59" l="1"/>
  <c r="CI22" i="59"/>
  <c r="CG22" i="59"/>
  <c r="CK24" i="59" l="1"/>
  <c r="CI23" i="59"/>
  <c r="CG23" i="59"/>
  <c r="CI24" i="59" l="1"/>
  <c r="CK25" i="59"/>
  <c r="CG24" i="59"/>
  <c r="CK26" i="59" l="1"/>
  <c r="CI25" i="59"/>
  <c r="CG25" i="59"/>
  <c r="CI26" i="59" l="1"/>
  <c r="CK27" i="59"/>
  <c r="CG26" i="59"/>
  <c r="CK28" i="59" l="1"/>
  <c r="CI27" i="59"/>
  <c r="CG27" i="59"/>
  <c r="CK29" i="59" l="1"/>
  <c r="CI28" i="59"/>
  <c r="CG28" i="59"/>
  <c r="CI29" i="59" l="1"/>
  <c r="CK30" i="59"/>
  <c r="CG29" i="59"/>
  <c r="CK31" i="59" l="1"/>
  <c r="CI30" i="59"/>
  <c r="CG30" i="59"/>
  <c r="CK32" i="59" l="1"/>
  <c r="CI31" i="59"/>
  <c r="CG31" i="59"/>
  <c r="CI32" i="59" l="1"/>
  <c r="CK33" i="59"/>
  <c r="CG32" i="59"/>
  <c r="CI33" i="59" l="1"/>
  <c r="CK34" i="59"/>
  <c r="CJ41" i="59" s="1"/>
  <c r="CG33" i="59"/>
  <c r="CI34" i="59" l="1"/>
  <c r="CH41" i="59" s="1"/>
  <c r="CG34" i="59"/>
  <c r="CF41" i="59" s="1"/>
  <c r="BZ4" i="59" l="1"/>
  <c r="BZ7" i="59" l="1"/>
  <c r="BZ5" i="59"/>
  <c r="BZ6" i="59"/>
  <c r="BZ8" i="59"/>
  <c r="CA4" i="59"/>
  <c r="BZ21" i="59" l="1"/>
  <c r="BZ13" i="59"/>
  <c r="BZ16" i="59"/>
  <c r="BZ11" i="59"/>
  <c r="BZ15" i="59"/>
  <c r="BZ14" i="59"/>
  <c r="BZ20" i="59"/>
  <c r="CA5" i="59"/>
  <c r="BZ22" i="59"/>
  <c r="BZ19" i="59"/>
  <c r="BZ10" i="59"/>
  <c r="BZ26" i="59"/>
  <c r="BZ18" i="59"/>
  <c r="BZ9" i="59"/>
  <c r="BZ17" i="59"/>
  <c r="BZ28" i="59"/>
  <c r="BZ23" i="59"/>
  <c r="BZ24" i="59"/>
  <c r="BZ30" i="59"/>
  <c r="BZ27" i="59"/>
  <c r="BZ12" i="59"/>
  <c r="BZ29" i="59"/>
  <c r="BZ25" i="59"/>
  <c r="CA6" i="59" l="1"/>
  <c r="CA7" i="59" l="1"/>
  <c r="CA8" i="59" l="1"/>
  <c r="CA9" i="59" l="1"/>
  <c r="CA10" i="59" l="1"/>
  <c r="CA11" i="59" l="1"/>
  <c r="CA12" i="59" l="1"/>
  <c r="CA13" i="59" l="1"/>
  <c r="CA14" i="59" l="1"/>
  <c r="CA15" i="59" l="1"/>
  <c r="CA16" i="59" l="1"/>
  <c r="CA17" i="59" l="1"/>
  <c r="CA18" i="59" l="1"/>
  <c r="CA19" i="59" l="1"/>
  <c r="CA20" i="59" l="1"/>
  <c r="CA21" i="59" l="1"/>
  <c r="CA22" i="59" l="1"/>
  <c r="CA23" i="59" l="1"/>
  <c r="CA24" i="59" l="1"/>
  <c r="CA25" i="59" l="1"/>
  <c r="CA26" i="59" l="1"/>
  <c r="CA27" i="59" l="1"/>
  <c r="CA28" i="59" l="1"/>
  <c r="CA29" i="59" l="1"/>
  <c r="CA30" i="59" l="1"/>
  <c r="CA31" i="59" l="1"/>
  <c r="CA32" i="59" l="1"/>
  <c r="CA33" i="59" l="1"/>
  <c r="CA34" i="59" l="1"/>
  <c r="BZ41" i="59" s="1"/>
</calcChain>
</file>

<file path=xl/comments1.xml><?xml version="1.0" encoding="utf-8"?>
<comments xmlns="http://schemas.openxmlformats.org/spreadsheetml/2006/main">
  <authors>
    <author>Produksi-PM</author>
  </authors>
  <commentList>
    <comment ref="H9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H9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</commentList>
</comments>
</file>

<file path=xl/comments3.xml><?xml version="1.0" encoding="utf-8"?>
<comments xmlns="http://schemas.openxmlformats.org/spreadsheetml/2006/main">
  <authors>
    <author>win10</author>
  </authors>
  <commentList>
    <comment ref="V11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Seset Trial</t>
        </r>
      </text>
    </comment>
  </commentList>
</comments>
</file>

<file path=xl/sharedStrings.xml><?xml version="1.0" encoding="utf-8"?>
<sst xmlns="http://schemas.openxmlformats.org/spreadsheetml/2006/main" count="6201" uniqueCount="840">
  <si>
    <t xml:space="preserve"> </t>
  </si>
  <si>
    <t>Efficiency</t>
  </si>
  <si>
    <t>Total</t>
  </si>
  <si>
    <t>PRODUCTION DAILY REPORT</t>
  </si>
  <si>
    <t>GRADE</t>
  </si>
  <si>
    <t>GSM</t>
  </si>
  <si>
    <t>LOSS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</si>
  <si>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</si>
  <si>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</si>
  <si>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</si>
  <si>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</si>
  <si>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</si>
  <si>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</si>
  <si>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</si>
  <si>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</si>
  <si>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</si>
  <si>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</si>
  <si>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</si>
  <si>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</si>
  <si>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</si>
  <si>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</si>
  <si>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</si>
  <si>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</si>
  <si>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</si>
  <si>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</si>
  <si>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</si>
  <si>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</si>
  <si>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</si>
  <si>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</si>
  <si>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</si>
  <si>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</si>
  <si>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</si>
  <si>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</si>
  <si>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</si>
  <si>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</si>
  <si>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</si>
  <si>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</si>
  <si>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</si>
  <si>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</si>
  <si>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</si>
  <si>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</si>
  <si>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ASPA</t>
  </si>
  <si>
    <t>TOTAL NBKP</t>
  </si>
  <si>
    <t>LBKP RAPP MHW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</si>
  <si>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</si>
  <si>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</si>
  <si>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</si>
  <si>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</si>
  <si>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</si>
  <si>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</si>
  <si>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</si>
  <si>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</si>
  <si>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</si>
  <si>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</si>
  <si>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</si>
  <si>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</si>
  <si>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</si>
  <si>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</si>
  <si>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</si>
  <si>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</si>
  <si>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</si>
  <si>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</si>
  <si>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</si>
  <si>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</si>
  <si>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</si>
  <si>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</si>
  <si>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</si>
  <si>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</si>
  <si>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</si>
  <si>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</si>
  <si>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</si>
  <si>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</si>
  <si>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</si>
  <si>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</si>
  <si>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</si>
  <si>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</si>
  <si>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</si>
  <si>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</si>
  <si>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</si>
  <si>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</si>
  <si>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</si>
  <si>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</si>
  <si>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</si>
  <si>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</si>
  <si>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</si>
  <si>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</si>
  <si>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</si>
  <si>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</si>
  <si>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</si>
  <si>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</si>
  <si>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</si>
  <si>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</si>
  <si>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</si>
  <si>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</si>
  <si>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</si>
  <si>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</si>
  <si>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</si>
  <si>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</si>
  <si>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</si>
  <si>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</si>
  <si>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</si>
  <si>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</si>
  <si>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</si>
  <si>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</si>
  <si>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</si>
  <si>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</si>
  <si>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</si>
  <si>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</si>
  <si>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</si>
  <si>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</si>
  <si>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</si>
  <si>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</si>
  <si>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</si>
  <si>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</si>
  <si>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</si>
  <si>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</si>
  <si>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</si>
  <si>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</si>
  <si>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</si>
  <si>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</si>
  <si>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</si>
  <si>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</si>
  <si>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</si>
  <si>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</si>
  <si>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</si>
  <si>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</si>
  <si>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</si>
  <si>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</si>
  <si>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</si>
  <si>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</si>
  <si>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</si>
  <si>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</si>
  <si>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</si>
  <si>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</si>
  <si>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</si>
  <si>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</si>
  <si>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</si>
  <si>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</si>
  <si>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</si>
  <si>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</si>
  <si>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</si>
  <si>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</si>
  <si>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</si>
  <si>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</si>
  <si>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</si>
  <si>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EBKP MONDE</t>
  </si>
  <si>
    <t>Total PM11</t>
  </si>
  <si>
    <t>TISSUE MACHINE 11</t>
  </si>
  <si>
    <t>PM 11</t>
  </si>
  <si>
    <t xml:space="preserve">PM11 Efficiency Report </t>
  </si>
  <si>
    <t>TISSUE MACHINE 45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</si>
  <si>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</si>
  <si>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</si>
  <si>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</si>
  <si>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</si>
  <si>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</si>
  <si>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</si>
  <si>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</si>
  <si>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</si>
  <si>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</si>
  <si>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</si>
  <si>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</si>
  <si>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</si>
  <si>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</si>
  <si>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</si>
  <si>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</si>
  <si>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</si>
  <si>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</si>
  <si>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</si>
  <si>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</si>
  <si>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</si>
  <si>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</si>
  <si>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</si>
  <si>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</si>
  <si>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</si>
  <si>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</si>
  <si>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</si>
  <si>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</si>
  <si>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</si>
  <si>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</si>
  <si>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</si>
  <si>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</si>
  <si>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</si>
  <si>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</si>
  <si>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</si>
  <si>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</si>
  <si>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</si>
  <si>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</si>
  <si>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</si>
  <si>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</si>
  <si>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</si>
  <si>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</si>
  <si>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</si>
  <si>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</si>
  <si>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</si>
  <si>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</si>
  <si>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</si>
  <si>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</si>
  <si>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</si>
  <si>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>PAPER MACHINE 11 DAILY REPORT 1</t>
  </si>
  <si>
    <t xml:space="preserve">Kapasitas Teori Real (ton) </t>
  </si>
  <si>
    <t>Speed real (ton) with Available Time</t>
  </si>
  <si>
    <t>Change Grade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</si>
  <si>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</si>
  <si>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</si>
  <si>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</si>
  <si>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</si>
  <si>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</si>
  <si>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</si>
  <si>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</si>
  <si>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CANFOR</t>
  </si>
  <si>
    <t>LBKP TEL PELITA</t>
  </si>
  <si>
    <t>PM 12</t>
  </si>
  <si>
    <t>PM 16</t>
  </si>
  <si>
    <t>PHP (ton)</t>
  </si>
  <si>
    <t>STEAM/Ton FG</t>
  </si>
  <si>
    <t>ELECTRIC/ton FG</t>
  </si>
  <si>
    <t>STEAM /ton FG</t>
  </si>
  <si>
    <t>ELECTRIC /ton FG</t>
  </si>
  <si>
    <t>Today</t>
  </si>
  <si>
    <t>Todate</t>
  </si>
  <si>
    <t>November</t>
  </si>
  <si>
    <t>Oktober</t>
  </si>
  <si>
    <t>Juli</t>
  </si>
  <si>
    <t>Juni</t>
  </si>
  <si>
    <t>Mei</t>
  </si>
  <si>
    <t>April</t>
  </si>
  <si>
    <t>Maret</t>
  </si>
  <si>
    <t>Februari</t>
  </si>
  <si>
    <t>Januari</t>
  </si>
  <si>
    <t>Kehilangan Effisiensi PM 11 terdiri dari:</t>
  </si>
  <si>
    <t>MG</t>
  </si>
  <si>
    <t>awal bulan produksi MG mengikuti real speed karea usia felt sudah 7minggu</t>
  </si>
  <si>
    <t>CAKRAWALA</t>
  </si>
  <si>
    <t/>
  </si>
  <si>
    <t>NB : info pak hartono untuk napkin + towel speed 1600mpm, gsm tinggi 92ton(&gt;17)</t>
  </si>
  <si>
    <t>change Grade</t>
  </si>
  <si>
    <t>PM 11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</si>
  <si>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</si>
  <si>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</si>
  <si>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</si>
  <si>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</si>
  <si>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</si>
  <si>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</si>
  <si>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</si>
  <si>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</si>
  <si>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</si>
  <si>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</si>
  <si>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</si>
  <si>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</si>
  <si>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</si>
  <si>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</si>
  <si>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</si>
  <si>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</si>
  <si>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</si>
  <si>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</si>
  <si>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</si>
  <si>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</si>
  <si>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</si>
  <si>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Hole</t>
  </si>
  <si>
    <t>Maintenance</t>
  </si>
  <si>
    <t>Down Time EID</t>
  </si>
  <si>
    <t>Down Time Mekanik</t>
  </si>
  <si>
    <t>Loss Time EID</t>
  </si>
  <si>
    <t>Loss Time Mekanik</t>
  </si>
  <si>
    <t>Scheduled Shut Down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</si>
  <si>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</si>
  <si>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</si>
  <si>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</si>
  <si>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</si>
  <si>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</si>
  <si>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</si>
  <si>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</si>
  <si>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</si>
  <si>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</si>
  <si>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LT/DT Percentage</t>
  </si>
  <si>
    <t>Total LT/DT (ton)</t>
  </si>
  <si>
    <t>Tonase</t>
  </si>
  <si>
    <t>Prosentase</t>
  </si>
  <si>
    <t>Total Prosentase</t>
  </si>
  <si>
    <t>Baklog</t>
  </si>
  <si>
    <t>Sisa spool popereel</t>
  </si>
  <si>
    <t xml:space="preserve">Sisa Spool seset </t>
  </si>
  <si>
    <t>Sisa Spool rewinder</t>
  </si>
  <si>
    <t>Pending</t>
  </si>
  <si>
    <t>Ngelokor</t>
  </si>
  <si>
    <t>Keriput</t>
  </si>
  <si>
    <t>Start up</t>
  </si>
  <si>
    <t>Potongan jelek</t>
  </si>
  <si>
    <t>Trim</t>
  </si>
  <si>
    <t>Warisan</t>
  </si>
  <si>
    <t>Kertas sobek pinggir</t>
  </si>
  <si>
    <t>Joint</t>
  </si>
  <si>
    <t>Dirt</t>
  </si>
  <si>
    <t>Formasi jelek</t>
  </si>
  <si>
    <t>MDT &lt; std</t>
  </si>
  <si>
    <t>Lembab</t>
  </si>
  <si>
    <t>Seset Change Grade</t>
  </si>
  <si>
    <t>Diameter &lt; std</t>
  </si>
  <si>
    <t>soping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</si>
  <si>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</si>
  <si>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</si>
  <si>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</si>
  <si>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</si>
  <si>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</si>
  <si>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</si>
  <si>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</si>
  <si>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</si>
  <si>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warna kehijauan</t>
  </si>
  <si>
    <t>UNKNOWN</t>
  </si>
  <si>
    <t>Gripis</t>
  </si>
  <si>
    <t>TOTALIZER</t>
  </si>
  <si>
    <t>SUZANO</t>
  </si>
  <si>
    <t>PM 14</t>
  </si>
  <si>
    <t>PM 15</t>
  </si>
  <si>
    <t>PM 17</t>
  </si>
  <si>
    <t>STEAM/ton FG</t>
  </si>
  <si>
    <t>STEAM DIP/ton FG</t>
  </si>
  <si>
    <t>ELECTRIC DIP/ton FG</t>
  </si>
  <si>
    <t>GAS /ton FG</t>
  </si>
  <si>
    <t>STEAM DIP /ton FG</t>
  </si>
  <si>
    <t>ELECTRIC DIP /ton FG</t>
  </si>
  <si>
    <t>Desember</t>
  </si>
  <si>
    <t>PULP AND BROKE DAILY REPORT 11</t>
  </si>
  <si>
    <t>CHEMICAL DAILY REPORT PM 11</t>
  </si>
  <si>
    <t>SINERGY</t>
  </si>
  <si>
    <t>Loss time</t>
  </si>
  <si>
    <t>Down Time</t>
  </si>
  <si>
    <t>Backlog</t>
  </si>
  <si>
    <t>Loss Time Marketing</t>
  </si>
  <si>
    <t>Hood</t>
  </si>
  <si>
    <t>Yankee</t>
  </si>
  <si>
    <t>NBKP SCA</t>
  </si>
  <si>
    <t>LBKP ACACIA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</si>
  <si>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</si>
  <si>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</si>
  <si>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</si>
  <si>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</si>
  <si>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</si>
  <si>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</si>
  <si>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</si>
  <si>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</si>
  <si>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</si>
  <si>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</si>
  <si>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</si>
  <si>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</si>
  <si>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</si>
  <si>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</si>
  <si>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</si>
  <si>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</si>
  <si>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</si>
  <si>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</si>
  <si>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</si>
  <si>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</si>
  <si>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</si>
  <si>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</si>
  <si>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</si>
  <si>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</si>
  <si>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</si>
  <si>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</si>
  <si>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</si>
  <si>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</si>
  <si>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</si>
  <si>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</si>
  <si>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</si>
  <si>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</si>
  <si>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</si>
  <si>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</si>
  <si>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</si>
  <si>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</si>
  <si>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</si>
  <si>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</si>
  <si>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</si>
  <si>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</si>
  <si>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</si>
  <si>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</si>
  <si>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</si>
  <si>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</si>
  <si>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</si>
  <si>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</si>
  <si>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</si>
  <si>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</si>
  <si>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</si>
  <si>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</si>
  <si>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</si>
  <si>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</si>
  <si>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</si>
  <si>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</si>
  <si>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</si>
  <si>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</si>
  <si>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</si>
  <si>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</si>
  <si>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</si>
  <si>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</si>
  <si>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</si>
  <si>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</si>
  <si>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</si>
  <si>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</si>
  <si>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</si>
  <si>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</si>
  <si>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</si>
  <si>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11 Running Time</t>
  </si>
  <si>
    <t>Down Time PLN</t>
  </si>
  <si>
    <t>Eff Avaliable</t>
  </si>
  <si>
    <t>Eff Running</t>
  </si>
  <si>
    <t xml:space="preserve">Kapasitas Running (ton) </t>
  </si>
  <si>
    <t>Eff FG vs Target  Running(%)</t>
  </si>
  <si>
    <t>EBKP NAVIA/ENCE</t>
  </si>
  <si>
    <t>Seset Spol Getar &amp; Astor</t>
  </si>
  <si>
    <t>NBKP Catalyst/Crafton</t>
  </si>
  <si>
    <t>Steam, &amp; gangguan sinergy (X)</t>
  </si>
  <si>
    <t>Freq, Trip PLN (X)</t>
  </si>
  <si>
    <t>Cleaning Holes (X)</t>
  </si>
  <si>
    <t>Per hari</t>
  </si>
  <si>
    <t>NBKP METSA</t>
  </si>
  <si>
    <t>Blowing</t>
  </si>
  <si>
    <t>.06.24</t>
  </si>
  <si>
    <t>0</t>
  </si>
  <si>
    <t>- Sheet Breaks (2x)</t>
  </si>
  <si>
    <t>Vaccum Turbo</t>
  </si>
  <si>
    <t>CRESSBROOKE</t>
  </si>
  <si>
    <t>Agustus</t>
  </si>
  <si>
    <t>September</t>
  </si>
  <si>
    <t>SS</t>
  </si>
  <si>
    <t>PHP PM</t>
  </si>
  <si>
    <t xml:space="preserve">PM11 Efficiency Running Report </t>
  </si>
  <si>
    <t>Electric WPL /ton FG</t>
  </si>
  <si>
    <t>ELECTRIC WPL /ton FG</t>
  </si>
  <si>
    <t>m</t>
  </si>
  <si>
    <t>- Awal shift Prod MG 14 Gsm HW Speed 1330 Mpm/-0,35%</t>
  </si>
  <si>
    <t>14.10 Steam Pressure Dari Boiler Turun 8 Bar
14.15 Stock off 
14.30 On Reel, Speed 1100 / - 0.35 %
Sampai akhir shift lost speed masih 200 mpm &amp; steam masih 12 bar,</t>
  </si>
  <si>
    <t>DT SIN</t>
  </si>
  <si>
    <t>LT SIN</t>
  </si>
  <si>
    <t>- 15.30 PM stock off steam drop 5 bar</t>
  </si>
  <si>
    <t>Iir Endra</t>
  </si>
  <si>
    <t>Angga Permana</t>
  </si>
  <si>
    <t>Slamet A</t>
  </si>
  <si>
    <t>yankee</t>
  </si>
  <si>
    <t>reel</t>
  </si>
  <si>
    <t>creeping</t>
  </si>
  <si>
    <t>time</t>
  </si>
  <si>
    <t>trim</t>
  </si>
  <si>
    <t>Teori</t>
  </si>
  <si>
    <t>Accept</t>
  </si>
  <si>
    <t>Eff</t>
  </si>
  <si>
    <t xml:space="preserve">09.45 Steam Pressure Dari Boiler Turun 11 Bar, turun speed 1100/-0,35%
10.50 steam normal. Speed naik 1330 </t>
  </si>
  <si>
    <t>12.25 Steam Pressure Dari Boiler Turun 11 Bar, turun speed 1100/-0,35%
12.50 steam normal, naik speed 1330</t>
  </si>
  <si>
    <t>1270/1265</t>
  </si>
  <si>
    <t>- Awal shift presure steam dari boiler masih 12 bar</t>
  </si>
  <si>
    <t>1330/1325</t>
  </si>
  <si>
    <t>- 16.00 On reel MG 14 Gsm HW Speed 1220 Mpm/-0,35%</t>
  </si>
  <si>
    <t>1281/1276</t>
  </si>
  <si>
    <t>- Change Blade (0x)</t>
  </si>
  <si>
    <t>- Change Spool (8x)</t>
  </si>
  <si>
    <t>- Change Blade (3x)</t>
  </si>
  <si>
    <t>- Change Spool (9x)</t>
  </si>
  <si>
    <t>MG 14</t>
  </si>
  <si>
    <t>42*2+61*3</t>
  </si>
  <si>
    <t>High White</t>
  </si>
  <si>
    <t>- Sheet Breaks (6x)</t>
  </si>
  <si>
    <t>- Change Spool (25x)</t>
  </si>
  <si>
    <t>- 09.45 Steam Pressure Dari Boiler Turun, loss speed</t>
  </si>
  <si>
    <t>- 14.10 Steam Drop, PM Stop</t>
  </si>
  <si>
    <t>Steam Pressure Dari Boiler Turun, loss speed</t>
  </si>
  <si>
    <t>Steam Drop, PM Stop</t>
  </si>
  <si>
    <t>JULI</t>
  </si>
  <si>
    <t>- 11.40 Steam Drop Sampai 7 Bar Dari Sinergi PM turun Speed  1050 MPM</t>
  </si>
  <si>
    <t>- 12.40 Steam Normal</t>
  </si>
  <si>
    <t>- Awal shift Prod MG 14 Gsm HW Speed 1340 Mpm/-0,35%</t>
  </si>
  <si>
    <t>- 19.00-20.00 pressure steam tidak stabil/cenderung turun.</t>
  </si>
  <si>
    <t>- 20.00 Steam baru mulai stabil di 15,5 bar.</t>
  </si>
  <si>
    <t>1213/1209</t>
  </si>
  <si>
    <t>1297/1293</t>
  </si>
  <si>
    <t>- Sheet Breaks (0x)</t>
  </si>
  <si>
    <t>1340/1335</t>
  </si>
  <si>
    <t>Dicky Fahrizal</t>
  </si>
  <si>
    <t>42*5+61</t>
  </si>
  <si>
    <t>42*4+51*2</t>
  </si>
  <si>
    <t>- 10.30 Change Grade MG 17 HW, Speed 1260 / - 0.35 %</t>
  </si>
  <si>
    <t>- Awal shift Prod MG 17 Gsm HW Speed 1260 Mpm/-0,35%</t>
  </si>
  <si>
    <t xml:space="preserve">15.54 PM trip Flicker
16.17 PM persiapan jln
16.32 ON Reel </t>
  </si>
  <si>
    <t>18.30 neple selang oli Pope Reel bocor parah#Med.</t>
  </si>
  <si>
    <t>Change spool manual pakai crane</t>
  </si>
  <si>
    <t>21.12 Neple selang oli Pope Reel OK/change spool auto.</t>
  </si>
  <si>
    <t>DT</t>
  </si>
  <si>
    <t>1295/1290</t>
  </si>
  <si>
    <t>1260/1255</t>
  </si>
  <si>
    <t>1271/1267</t>
  </si>
  <si>
    <t>MG 14 VP HW</t>
  </si>
  <si>
    <t>MG 17 VP HW</t>
  </si>
  <si>
    <t>- Change Spool (26x)</t>
  </si>
  <si>
    <t>- 15.54 PM trip Flicker</t>
  </si>
  <si>
    <t>PM trip Flicker</t>
  </si>
  <si>
    <t>14</t>
  </si>
  <si>
    <t>14/17</t>
  </si>
  <si>
    <t>MG 17</t>
  </si>
  <si>
    <t>120+152</t>
  </si>
  <si>
    <t>MG 16</t>
  </si>
  <si>
    <t>153+119</t>
  </si>
  <si>
    <t>137+133</t>
  </si>
  <si>
    <t>88+101+79</t>
  </si>
  <si>
    <t>CHEMZYME CL</t>
  </si>
  <si>
    <t>SODIUM HYPOCHLORID</t>
  </si>
  <si>
    <t>- Pressure steam kurang stabil.</t>
  </si>
  <si>
    <t>- Sheet Breaks (4x)</t>
  </si>
  <si>
    <t>17</t>
  </si>
  <si>
    <t>81+93+79+19</t>
  </si>
  <si>
    <t>88+93+71+20</t>
  </si>
  <si>
    <t>- Awal shift Prod MG 16 Gsm HW Speed 1260 Mpm/-0,35%</t>
  </si>
  <si>
    <t>- 18.18 PM trip Diffential Pressure nipcoflex alarm, EID ganti pump spare.</t>
  </si>
  <si>
    <t xml:space="preserve">- 18.38 Diffential Pressure nipcoflex OK, PM persiapan jalan </t>
  </si>
  <si>
    <t>- Awal shift Prod MG 16 Gsm HW Speed 1240 Mpm/-0,35%</t>
  </si>
  <si>
    <t>- 19.20 Kertas ON Reel speed 1240/-0,35%</t>
  </si>
  <si>
    <t>MG 16 VP HW</t>
  </si>
  <si>
    <t>1249/1245</t>
  </si>
  <si>
    <t>1240/1235</t>
  </si>
  <si>
    <t>- Change Spool (24x)</t>
  </si>
  <si>
    <t>PM trip Diffential Pressure nipcoflex alarm, EID ganti pump spare.</t>
  </si>
  <si>
    <t>16</t>
  </si>
  <si>
    <t>- 12.37 secodary arm macet sirkulasi utm
- 13.10 ok</t>
  </si>
  <si>
    <t>- 17.16 Change ke MG 22 Gsm Hw speed 920 Mpm/-0,35 %
- 21.00 Change ke MG 20 Gsm Hw Speed 960 Mpm/-0,35 %</t>
  </si>
  <si>
    <t>Rew B;
Potongan MG 16; 
(51×2)+(61×2)+42
17.00 Stop ganti Potongan MG 24; (62×4)+24
20.06 Stop ganti Potongan MG 22; (60×2)+(62×2)28
Empat kali stop ganti tambor cleaning 
Joint; 6×6 mnt; 36 mnt</t>
  </si>
  <si>
    <t xml:space="preserve">LOSS TIME REWINDER;
Rew A;
Potongan MG 16; (42×2)+(61×3)
18.30 ganti Potongan MG 22; (60×2)+(62×2)+28
22.20 Stop ganti Potongan MG 20; (60×4)+32
Empat  kali stop ganti tambor cleaning 
Joint; 6×6 mnt; 36 mnt </t>
  </si>
  <si>
    <t>- Awal shift Prod MG 20 Gsm Hw Speed 960 Mpm/-0,35 %</t>
  </si>
  <si>
    <t>- 23.40 Change Grade MG 16 HW, Speed 1210 / - 0.35 %</t>
  </si>
  <si>
    <t>- 03.20 PM Trip, Nipcoflex-T Nip Closed /Loaded Alarm  Cek Eid</t>
  </si>
  <si>
    <t xml:space="preserve">- 05.10 Rew A Stop, Alarm Presure Oil Pump </t>
  </si>
  <si>
    <t>- Sampai Akhir Shift PM Belum Bisa Jalan Masih Di Cek Eid</t>
  </si>
  <si>
    <t>- Awal shift Prod MG 24 HW speed 840/-0.35%</t>
  </si>
  <si>
    <t>- 11.55 pm stop kertas lolos, cleaning uhle box 
- 12.30 Pm on reel MG 24 HW speed 840/-0.35%</t>
  </si>
  <si>
    <t>1070/1066</t>
  </si>
  <si>
    <t>907/904</t>
  </si>
  <si>
    <t>1189/1185</t>
  </si>
  <si>
    <t>1054/1051</t>
  </si>
  <si>
    <t>- 10.57 change grade MG 22 HW speed 920/-0.35%</t>
  </si>
  <si>
    <t>- Change Blade (1x)</t>
  </si>
  <si>
    <t>- Sheet Breaks (1x)</t>
  </si>
  <si>
    <t>- Change Spool (6x)</t>
  </si>
  <si>
    <t>- Sheet Breaks (7x)</t>
  </si>
  <si>
    <t>- Change Spool (23x)</t>
  </si>
  <si>
    <t>- Change Grade</t>
  </si>
  <si>
    <t>- 11.55 pm stop kertas lolos, cleaning uhle box</t>
  </si>
  <si>
    <t>- 12.37 secodary arm macet sirkulasi utm</t>
  </si>
  <si>
    <t>PM stop kertas lolos, cleaning uhle box</t>
  </si>
  <si>
    <t>Secodary arm macet sirkulasi utm</t>
  </si>
  <si>
    <t>MG 22 VP HW</t>
  </si>
  <si>
    <t>MG 24 VP HW</t>
  </si>
  <si>
    <t>MG 20 VP HW</t>
  </si>
  <si>
    <t>28+60*2+62*2</t>
  </si>
  <si>
    <t>MG 22</t>
  </si>
  <si>
    <t>61*2+42+51*2</t>
  </si>
  <si>
    <t>MG 24</t>
  </si>
  <si>
    <t>24+62*4</t>
  </si>
  <si>
    <t>MG 20</t>
  </si>
  <si>
    <t>32+60*4</t>
  </si>
  <si>
    <t>- Awal shift Prod MG 16 HW, Speed 1210 / - 0.35 %</t>
  </si>
  <si>
    <t>Slamet Ariadi</t>
  </si>
  <si>
    <t xml:space="preserve">- Awal shift PM masih stop eid perbaikan Nipcoflex-T Nip Closed </t>
  </si>
  <si>
    <t>- 08:30 Onreel Prod MG 16 HW, Speed 1180 / - 0.35 %</t>
  </si>
  <si>
    <t>- 10.00 PM stop cleaning headbox ada gejolak kertas ada lubang</t>
  </si>
  <si>
    <t>- 12.00 ON reel</t>
  </si>
  <si>
    <t>DT EID</t>
  </si>
  <si>
    <t>DT Hole</t>
  </si>
  <si>
    <t>- Awal shift pm kurang lancar kertas ada hole</t>
  </si>
  <si>
    <t>- 17.39 pm on reel</t>
  </si>
  <si>
    <t>- 17.10 pm trip (alarm felt/yankee no speed matched)</t>
  </si>
  <si>
    <t>1180/1175</t>
  </si>
  <si>
    <t>- Pm masih ada hole pm turun speed 1000 mpm
- 22.47 pm stop (cleaning silo kertas masih ada hole)</t>
  </si>
  <si>
    <t>1062/1058</t>
  </si>
  <si>
    <t>- 00.50 Kertas Masih Ada Hole Acak</t>
  </si>
  <si>
    <t>- 00.55 PM Stop Cleaning SPR &amp; Couch Pit</t>
  </si>
  <si>
    <t>- 03.30 Cleaning Selesai PM langsung Jalan</t>
  </si>
  <si>
    <t>- Awal Shift PM Masih Stop  Lanjut Cleaning Silo 
- 00.10 PM Start
- 00.30 ON Reel PM Produksi MG 16 HW, Speed 1100 / - 0.35 %</t>
  </si>
  <si>
    <t>- 03.45 On Reel PM Produksi MG 16 HW, Speed 1100 / - 0.35 %</t>
  </si>
  <si>
    <t>1100/1096</t>
  </si>
  <si>
    <t>1105/1101</t>
  </si>
  <si>
    <t>- Change Spool (7x)</t>
  </si>
  <si>
    <t>- Sheet Breaks (3x)</t>
  </si>
  <si>
    <t>- Change Spool (5x)</t>
  </si>
  <si>
    <t>- Change Spool (20x)</t>
  </si>
  <si>
    <t>PM stop cleaning headbox ada gejolak kertas ada lubang</t>
  </si>
  <si>
    <t>PM trip (alarm felt/yankee no speed matched)</t>
  </si>
  <si>
    <t>16/22/24/20</t>
  </si>
  <si>
    <t>22+60*4</t>
  </si>
  <si>
    <t>- Awal shift Prod MG 16 Gsm HW Speed 1100 Mpm/-0,35%</t>
  </si>
  <si>
    <t>- Speed pm belum maksimal rawan hole.</t>
  </si>
  <si>
    <t>- Awal shift Prod MG 16 Gsm HW Speed 1110 Mpm/-0,35%</t>
  </si>
  <si>
    <t>- Speed PM Belum Bisa Maksimal, Masih Rawan Hole.</t>
  </si>
  <si>
    <t>- Awal shift Prod MG 16 Gsm HW Speed 1111 Mpm/-0,35%</t>
  </si>
  <si>
    <t>1111/1107</t>
  </si>
  <si>
    <t>1110/1106</t>
  </si>
  <si>
    <t>- Speed belum maksimal rawan hole</t>
  </si>
  <si>
    <t>- 10.52 Change ke MG 16 Gsm Ow speed 1111 Mpm/-0,35 %</t>
  </si>
  <si>
    <t>- Speed belum target kertas rawan hole.</t>
  </si>
  <si>
    <t>- 13.00 Change ke F 12 speed 1600 Mpm/-20%</t>
  </si>
  <si>
    <t>1233/1150</t>
  </si>
  <si>
    <t>- Awal shift Prod F 12 Speed 1610 Mpm/-20%</t>
  </si>
  <si>
    <t>1608/1287</t>
  </si>
  <si>
    <t>1610/1288</t>
  </si>
  <si>
    <t>1484/1242</t>
  </si>
  <si>
    <t>- Change Blade (4x)</t>
  </si>
  <si>
    <t>- Change Spool (10x)</t>
  </si>
  <si>
    <t>- Change Blade (5x)</t>
  </si>
  <si>
    <t>F 12 VP OW</t>
  </si>
  <si>
    <t>MG 16 VP HW/OW</t>
  </si>
  <si>
    <t>Dicky F</t>
  </si>
  <si>
    <t>High White/Off White</t>
  </si>
  <si>
    <t>Facial</t>
  </si>
  <si>
    <t>Off White</t>
  </si>
  <si>
    <t>- Change Blade (10x)</t>
  </si>
  <si>
    <t>- Change Spool (27x)</t>
  </si>
  <si>
    <t>16/12</t>
  </si>
  <si>
    <t>MG/Facial</t>
  </si>
  <si>
    <t>F 12</t>
  </si>
  <si>
    <t>133*2</t>
  </si>
  <si>
    <t>14.10 Tail cutter OK/Auto</t>
  </si>
  <si>
    <t>- Awal shift Prod F 11,5 Speed 1650 Mpm/-20%</t>
  </si>
  <si>
    <t xml:space="preserve">11.40 Belting tail cutter putus kertas sirkulasi.
12.16 Kertas ON Reel dan sementara tail cutter disorong manual. </t>
  </si>
  <si>
    <t>1620/1296</t>
  </si>
  <si>
    <t>1650/1320</t>
  </si>
  <si>
    <t>- Awal shift Prod F 11,5 Speed 1620 Mpm/-20%</t>
  </si>
  <si>
    <t>1640/1312</t>
  </si>
  <si>
    <t>- Change Blade (8x)</t>
  </si>
  <si>
    <t>- Change Spool (11x)</t>
  </si>
  <si>
    <t>F 11,5 VP OW</t>
  </si>
  <si>
    <t>- Change Blade (18x)</t>
  </si>
  <si>
    <t>- Change Spool (28x)</t>
  </si>
  <si>
    <t>- 11.40 Belting tail cutter putus kertas sirkulasi.</t>
  </si>
  <si>
    <t>Belting tail cutter putus kertas sirkulasi.</t>
  </si>
  <si>
    <t>11,5</t>
  </si>
  <si>
    <t>F 11,5</t>
  </si>
  <si>
    <t>- Speed naik bertahap</t>
  </si>
  <si>
    <t>- Awal shift Prod F 10,3 Speed 1650 Mpm/-16%</t>
  </si>
  <si>
    <t>- 23.30-24.00 Rew A jalan kertas ngelokor awal start setting rider roll &amp; chuck tidak ada perubahan, info ke eid, perbaikan eid. (Press rider roll &amp; chuck error)</t>
  </si>
  <si>
    <t>- 02.37 perbaikan selesai, rew A baru bisa jalan</t>
  </si>
  <si>
    <t>- 06.35 speed 1680, kertas muncul dirt, pm turun speed 1660</t>
  </si>
  <si>
    <t>- Speed belum target kertas rawan hole</t>
  </si>
  <si>
    <t>- Awal shift kertas Dirt dan semua backlog F.10,5 Gsm Tsubonoya dipending QC.
- 08.00 terpaksa change ke F.12 Gsm pengalihan Dirt.</t>
  </si>
  <si>
    <t>- 00.30 rewinder A stop perbaikan rider roll</t>
  </si>
  <si>
    <t>- 01.45 rewinder jalan</t>
  </si>
  <si>
    <t>- 08:24 Change ke F.10,5 Gsm LB Ast Core 12" 1650 Mpm/-16%</t>
  </si>
  <si>
    <t>- 10:32 change F 10,3 core 12" speed 1650/-20%</t>
  </si>
  <si>
    <t>1650/1337</t>
  </si>
  <si>
    <t>1650/1386</t>
  </si>
  <si>
    <t>- 16:53 change grade F 10,5 Speed 1650 Mpm/-16%</t>
  </si>
  <si>
    <t>- Awal shift Prod F 10,5 Speed 1670 Mpm/-16%</t>
  </si>
  <si>
    <t>1670/1402</t>
  </si>
  <si>
    <t>F 10,5</t>
  </si>
  <si>
    <t>F 10,3</t>
  </si>
  <si>
    <t>- Change Blade (6x)</t>
  </si>
  <si>
    <t>- Awal shift Prod F 10,5 Speed 1660 Mpm/-16%</t>
  </si>
  <si>
    <t>- 08.00 Change ke F.12 Gsm/pengalihan Dirt Speed 1650 Mpm/-20%</t>
  </si>
  <si>
    <t>1651/1329</t>
  </si>
  <si>
    <t>- Awal shift Prod F 10,5 Speed 1610 Mpm/-16%</t>
  </si>
  <si>
    <t>1610/1352</t>
  </si>
  <si>
    <t>1623/1344</t>
  </si>
  <si>
    <t>F 10,5 VP OW</t>
  </si>
  <si>
    <t>F 10,3 VP OW</t>
  </si>
  <si>
    <t>- Change Blade (15x)</t>
  </si>
  <si>
    <t>- Change Blade (17x)</t>
  </si>
  <si>
    <t>11,5/10,5/10,3</t>
  </si>
  <si>
    <t>10,5/12</t>
  </si>
  <si>
    <t>277*1</t>
  </si>
  <si>
    <t>36*7+18</t>
  </si>
  <si>
    <t>- 09.15-10.10 Rew A Stop Alarm over current</t>
  </si>
  <si>
    <t>- 13.15-14.05 Rew A Stop Alarm lagi.</t>
  </si>
  <si>
    <t>- 03.20 pm mulai lancar</t>
  </si>
  <si>
    <t>- 23.40 Pm kurang lancar consintensi mixing error presure tickling refiner naik turun. Perbaikan eid sambil jalan.</t>
  </si>
  <si>
    <t>LT</t>
  </si>
  <si>
    <t>1633/1372</t>
  </si>
  <si>
    <t>- Sheet Breaks (22x)</t>
  </si>
  <si>
    <t>- Awal shift Prod F 10,5 Speed 1650 Mpm/-16%</t>
  </si>
  <si>
    <t>- Awal shift Prod F 10,5 (Tsubunoya) Speed 1640 Mpm/-16%</t>
  </si>
  <si>
    <t>- Awal shift Prod F 10,5 Speed 1611 Mpm/-16%</t>
  </si>
  <si>
    <t>1611/1353</t>
  </si>
  <si>
    <t>1640/1377</t>
  </si>
  <si>
    <t>- Sheet Breaks (24x)</t>
  </si>
  <si>
    <t>- Change Blade (13x)</t>
  </si>
  <si>
    <t>- Change Spool (21x)</t>
  </si>
  <si>
    <t>PM kurang lancar consintensi mixing error presure tickling refiner naik turun. Perbaikan eid sambil jalan.</t>
  </si>
  <si>
    <t>10,5</t>
  </si>
  <si>
    <t>F 11</t>
  </si>
  <si>
    <t>266*1</t>
  </si>
  <si>
    <t>BROKE</t>
  </si>
  <si>
    <t>- 00.42 saat change spool seconadry arm macet perbaikan eid ( sirkulasi utm)</t>
  </si>
  <si>
    <t>- 00.52 sudah bisa</t>
  </si>
  <si>
    <t>- Awal shift Prod F 10,5 Speed 1640 Mpm/-16%</t>
  </si>
  <si>
    <t>1646/1383</t>
  </si>
  <si>
    <t>- Sheet Breaks (8x)</t>
  </si>
  <si>
    <t>- Change Blade (14x)</t>
  </si>
  <si>
    <t>Secondary arm macet perbaikan eid</t>
  </si>
  <si>
    <t>- 00.42 saat change spool secondary arm macet perbaikan eid ( sirkulasi utm)</t>
  </si>
  <si>
    <t>- Awal shift Prod F 10,3 Speed 1680 Mpm/-16%</t>
  </si>
  <si>
    <t>1680/1411</t>
  </si>
  <si>
    <t>- Change Blade (2x)</t>
  </si>
  <si>
    <t>10,3</t>
  </si>
  <si>
    <t>- Awal shift Prod F 10,3 Speed 1700 Mpm/-16%</t>
  </si>
  <si>
    <t>- 04.20 Change grade F 11.5 speed 1700/20%</t>
  </si>
  <si>
    <t>00.04 rewinder A stop card inverter unwinder 2 Burning
01.00 rewinder jalan.</t>
  </si>
  <si>
    <t>02.15 Presure steam drop 11.3 bar pm turun  speed 1655 mpm
Speed naik bertahap sambil nunggu steam stabil</t>
  </si>
  <si>
    <t>1706/1410</t>
  </si>
  <si>
    <t>1700/1428</t>
  </si>
  <si>
    <t>1695/1416</t>
  </si>
  <si>
    <t>10,3/11,5</t>
  </si>
  <si>
    <t>- Awal shift Prod F 11,5 Speed 1700 Mpm/-20%</t>
  </si>
  <si>
    <t>- PM tidak lancar turun speed sampai 1600. Indikasi blade aus fs ds, sebelah ds nyiprat air. Buburan crushing.</t>
  </si>
  <si>
    <t>- Speed belum target/naik bertahap.</t>
  </si>
  <si>
    <t>1700/1360</t>
  </si>
  <si>
    <t>1720/1376</t>
  </si>
  <si>
    <t>1600/1280</t>
  </si>
  <si>
    <t>1673/1338</t>
  </si>
  <si>
    <t>- Sheet Breaks (15x)</t>
  </si>
  <si>
    <t>- Sheet Breaks (20x)</t>
  </si>
  <si>
    <t>- Awal shift Prod F 11,5 Speed 1600 Mpm/-20%</t>
  </si>
  <si>
    <t>- Awal shift Prod F 11,5 Speed 1650 Mpm/-24%</t>
  </si>
  <si>
    <t>- Awal shift Prod F10.3 Speed 1700/-20%</t>
  </si>
  <si>
    <t>- Awal shift Prod F 11,5 Gsm HB Speed 1650 Mpm/-24%</t>
  </si>
  <si>
    <t>- Awal shift pm kurang lancar kertas sering putus sebelah ds dan fs</t>
  </si>
  <si>
    <t>- 12.08 change F10.3 Speed 1700/-20%</t>
  </si>
  <si>
    <t>1667/1291</t>
  </si>
  <si>
    <t>1684/1326</t>
  </si>
  <si>
    <t>1650/1254</t>
  </si>
  <si>
    <t>1667/1290</t>
  </si>
  <si>
    <t>- 20.30 Change Grade F 11,5 Speed 1650/-24%</t>
  </si>
  <si>
    <t>- Awal shift Prod F 11,5 Gsm HB Speed 1660 Mpm/-24%</t>
  </si>
  <si>
    <t>- 08:50 Pm coba turun speed 1650 mpm, pm mulai lancar</t>
  </si>
  <si>
    <t>1652/1255</t>
  </si>
  <si>
    <t>- Change Spool (12x)</t>
  </si>
  <si>
    <t>- Sheet Breaks (16x)</t>
  </si>
  <si>
    <t>- Change Spool (33x)</t>
  </si>
  <si>
    <t>11,5/10,3</t>
  </si>
  <si>
    <t>130*2</t>
  </si>
  <si>
    <t>126+144</t>
  </si>
  <si>
    <t>144*2</t>
  </si>
  <si>
    <t>130+133</t>
  </si>
  <si>
    <t>122,5+140</t>
  </si>
  <si>
    <t>EBKP CAKRAWALA</t>
  </si>
  <si>
    <t>- PM masih kurang lancar, kertas masih sering putus.</t>
  </si>
  <si>
    <t>- Pm kurang lancar consistensi mixing dan stock flow tidak stabil. perbaikan sambil jalan.</t>
  </si>
  <si>
    <t>- Sheet Breaks (12x)</t>
  </si>
  <si>
    <t>- Sheet Breaks (19x)</t>
  </si>
  <si>
    <t>- Change Blade (9x)</t>
  </si>
  <si>
    <t>- Change Spool (29x)</t>
  </si>
  <si>
    <t xml:space="preserve">- 14.20 Kertas putus ² nozle coating buntu bergantian </t>
  </si>
  <si>
    <t>- 14.40 pm mulai lancar</t>
  </si>
  <si>
    <t>- Awal shift Prod F 12 Gsm HB Speed 1680 Mpm/-24%</t>
  </si>
  <si>
    <t>1680/1276</t>
  </si>
  <si>
    <t>1660/1261</t>
  </si>
  <si>
    <t>- Awal shift Prod F 12 Gsm HB Speed 1650 Mpm/-24%</t>
  </si>
  <si>
    <t>- Change Blade (7x)</t>
  </si>
  <si>
    <t>- Sheet Breaks (14x)</t>
  </si>
  <si>
    <t>11,5/12</t>
  </si>
  <si>
    <t xml:space="preserve">- 09.30 Rewinder A Stop Eid Perbaikan Ridder Rool </t>
  </si>
  <si>
    <t>- Sampai Akhir Shift rewinder A belum bisa jalan</t>
  </si>
  <si>
    <t>- Awal shift Prod F 12 Gsm HB Speed 1700 Mpm/-24%</t>
  </si>
  <si>
    <t xml:space="preserve">- 19.30 Rewinder A Stop Eid Perbaikan Ridder Rool </t>
  </si>
  <si>
    <t>- 22.00 rewinder A jalan</t>
  </si>
  <si>
    <t>1693/1286</t>
  </si>
  <si>
    <t>1700/1292</t>
  </si>
  <si>
    <t>12</t>
  </si>
  <si>
    <t>- Reject Rew 730 Kg/potongan+thickness&lt;std setting rewinder</t>
  </si>
  <si>
    <t>- Reject Rew 730 kg/potongan thickness&lt;std setting rewinder</t>
  </si>
  <si>
    <t>Reject Rew potongan thickness&lt;std, setting rewinder</t>
  </si>
  <si>
    <t>- 16.43 tail cutter tidak bisa full langsung ke ds sering macet di tengah, perbaikan eid dan med</t>
  </si>
  <si>
    <t>- 16.57 ok</t>
  </si>
  <si>
    <t>- 01.23 change 12.5 Speed 1680/-24%</t>
  </si>
  <si>
    <t>- 04.07 pompa ww to krofta off tidak alarm clear water habis, shower 10 bar tidak keluar yg menyebabkan wire sedikit geser jadi kertas putus2 dan keriput fs dan ds</t>
  </si>
  <si>
    <t>- 04.15 kertas normal kembali</t>
  </si>
  <si>
    <t>1685/1281</t>
  </si>
  <si>
    <t>1695/1288</t>
  </si>
  <si>
    <t>- Change Blade (11x)</t>
  </si>
  <si>
    <t>F 12,5 VP OW</t>
  </si>
  <si>
    <t>- Change Blade (24x)</t>
  </si>
  <si>
    <t>Tail cutter tidak bisa full langsung ke ds sering macet di tengah, perbaikan eid dan med</t>
  </si>
  <si>
    <t>12/12,5</t>
  </si>
  <si>
    <t>- 10.30 PM Kurang lancar kertas putus² indikasi dari felt &amp; sleave sisi Ds sudah aus (nyiprat) PM turun speed 1600 mpm</t>
  </si>
  <si>
    <t>- 11.15 Pm mulai lancar</t>
  </si>
  <si>
    <t>- 15.30 rewinder stop chuck eror perbaikan eid</t>
  </si>
  <si>
    <t>- 17.20 rewinder jalan.</t>
  </si>
  <si>
    <t>- 17.40 rewinder stop lagi  chuck eror perbaikan eid sampai pulang.</t>
  </si>
  <si>
    <t>- awal sampai akhir shift rewinder A masih belum bisa jalan</t>
  </si>
  <si>
    <t>- speed di bawah target rawan hole</t>
  </si>
  <si>
    <t>1635/1242</t>
  </si>
  <si>
    <t>1600/1216</t>
  </si>
  <si>
    <t>1611/1224</t>
  </si>
  <si>
    <t>- Change Blade (20x)</t>
  </si>
  <si>
    <t>12,5</t>
  </si>
  <si>
    <t>120+140</t>
  </si>
  <si>
    <t>- 09.00 Change Grade F 12, Speed 1600/-24 %</t>
  </si>
  <si>
    <t>- Speed PM Belum Bisa Maksimal, rawan hole</t>
  </si>
  <si>
    <t>- Awal shift Prod F 12.5 Speed 1600/-24%</t>
  </si>
  <si>
    <t>- Awal shift Prod F 12.5 Speed 1680/-24%</t>
  </si>
  <si>
    <t>- Speed blm target kertas rawan hole dan indikasi felt/sleeve kalah/aus.</t>
  </si>
  <si>
    <t>- Awal shift Prod F 12 Gsm HB Speed 1600/-24%</t>
  </si>
  <si>
    <t>- 03.45 crane macet tidak bisa jalan(cek eid)</t>
  </si>
  <si>
    <t>- 04.41 crane sudah bisa jalan(info eid power hilang 1 phase)</t>
  </si>
  <si>
    <t>- Change Blade (22x)</t>
  </si>
  <si>
    <t>- Change Blade (23x)</t>
  </si>
  <si>
    <t>12,5/12</t>
  </si>
  <si>
    <t>F 12,5</t>
  </si>
  <si>
    <t>Speed pm belum maksimal rawan hole
10.00 eid perbaikan crane</t>
  </si>
  <si>
    <t>10.35 perbaikan crane ok</t>
  </si>
  <si>
    <t>- 20.40 Change ke F.10,3 Gsm LB Speed 1630 Mpm/-16%</t>
  </si>
  <si>
    <t>- Awal shift Prod F.10,3 Gsm LB Speed 1630 Mpm/-16%</t>
  </si>
  <si>
    <t>- Speed pm belum maksimal rawan hole</t>
  </si>
  <si>
    <t>- 12.29 Change grade F10.5 speed 1600/-24%</t>
  </si>
  <si>
    <t>1608/1260</t>
  </si>
  <si>
    <t>1630/1369</t>
  </si>
  <si>
    <t>- Awal shift Prod F 10,5 Gsm HB Speed 1600/-24%</t>
  </si>
  <si>
    <t>1612/1281</t>
  </si>
  <si>
    <t>- Change Blade (19x)</t>
  </si>
  <si>
    <t>12/10,5/10,3</t>
  </si>
  <si>
    <t>- Awal shift Prod F.10,3 Gsm LB Speed 1650 Mpm/-16%</t>
  </si>
  <si>
    <t>- 23.30 change F12 Speed 1600/-24%</t>
  </si>
  <si>
    <t>- Speed di bawah target rawan hole indikasi felt/sleeve aus</t>
  </si>
  <si>
    <t>- 19.00 Change ke F.13 Gsm HB Speed 1600 Mpm/-24%</t>
  </si>
  <si>
    <t>- Awal shift Prod F.13 Gsm HB Speed 1600 Mpm/-24%</t>
  </si>
  <si>
    <t>1625/1301</t>
  </si>
  <si>
    <t>1618/1295</t>
  </si>
  <si>
    <t>10,3/13/12</t>
  </si>
  <si>
    <t>F 13 VP OW</t>
  </si>
  <si>
    <t>F 13</t>
  </si>
  <si>
    <t>- Awal shift Prod F12 Speed 1600/-24%</t>
  </si>
  <si>
    <t>- Awal shift Prod F12 Speed 1610/-24%</t>
  </si>
  <si>
    <t>- 16.30 Masak pulp lewat UTM, conveyor rell anjlok #Med</t>
  </si>
  <si>
    <t>- 21.00 Conveyor Oke.</t>
  </si>
  <si>
    <t>- Speed PM Tidak Bisa Maksimal, Rawan Hole Indikasi Dari Sleave &amp; Felt Sudah Aus</t>
  </si>
  <si>
    <t>1610/1223</t>
  </si>
  <si>
    <t>1606/1221</t>
  </si>
  <si>
    <t xml:space="preserve">- 06.55 pn stop revisi </t>
  </si>
  <si>
    <t>- 00.40 PM Stop Pompa Coating Trip &amp; Pompa Spare Juga Tidak Bisa Cek Eid</t>
  </si>
  <si>
    <t>Planned Shut</t>
  </si>
  <si>
    <t>- 01.05 Start
- 01.15 On Reel 
- 02.15 Change Grade F 13.5, Speed 1550/-24%</t>
  </si>
  <si>
    <t>1571/1194</t>
  </si>
  <si>
    <t>F 13,5 VP OW</t>
  </si>
  <si>
    <t>PM Stop Pompa Coating Trip &amp; Pompa Spare Juga Tidak Bisa Cek Eid</t>
  </si>
  <si>
    <t>PM stop revisi</t>
  </si>
  <si>
    <t xml:space="preserve">- 06.55 PM stop revisi </t>
  </si>
  <si>
    <t>12/13,5</t>
  </si>
  <si>
    <t>F 13,5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</si>
</sst>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#,##0.000"/>
    <numFmt numFmtId="171" formatCode="_(* #,##0.0_);_(* \(#,##0.0\);_(* &quot;-&quot;??_);_(@_)"/>
    <numFmt numFmtId="172" formatCode="[$-409]d\-mmm\-yy;@"/>
    <numFmt numFmtId="173" formatCode="_(* #,##0.000_);_(* \(#,##0.000\);_(* &quot;-&quot;??_);_(@_)"/>
    <numFmt numFmtId="174" formatCode="#,##0.000_);\(#,##0.000\)"/>
    <numFmt numFmtId="175" formatCode="0.0"/>
    <numFmt numFmtId="176" formatCode="0.000"/>
    <numFmt numFmtId="177" formatCode="0_);[Red]\(0\)"/>
    <numFmt numFmtId="178" formatCode="_(* #,##0.00_);_(* \(#,##0.00\);_(* &quot;-&quot;_);_(@_)"/>
    <numFmt numFmtId="179" formatCode="_(* #,##0.0_);_(* \(#,##0.0\);_(* &quot;-&quot;_);_(@_)"/>
    <numFmt numFmtId="180" formatCode="[$-409]mmm\-yy;@"/>
    <numFmt numFmtId="181" formatCode="_(* #,##0.000_);_(* \(#,##0.000\);_(* &quot;-&quot;_);_(@_)"/>
    <numFmt numFmtId="182" formatCode="_-* #,##0.000_-;\-* #,##0.000_-;_-* &quot;-&quot;???_-;_-@_-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C8E98"/>
        <bgColor indexed="64"/>
      </patternFill>
    </fill>
    <fill>
      <patternFill patternType="solid">
        <fgColor rgb="FF8C91FE"/>
        <bgColor indexed="64"/>
      </patternFill>
    </fill>
    <fill>
      <patternFill patternType="solid">
        <fgColor rgb="FFC9EE9C"/>
        <bgColor indexed="64"/>
      </patternFill>
    </fill>
    <fill>
      <patternFill patternType="solid">
        <fgColor rgb="FFEAA0C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ABF8F"/>
        <bgColor indexed="64"/>
      </patternFill>
    </fill>
  </fills>
  <borders count="10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6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9" fillId="3" borderId="0" applyNumberFormat="0" applyBorder="0" applyAlignment="0" applyProtection="0"/>
    <xf numFmtId="0" fontId="12" fillId="20" borderId="1" applyNumberFormat="0" applyAlignment="0" applyProtection="0"/>
    <xf numFmtId="0" fontId="17" fillId="21" borderId="2" applyNumberFormat="0" applyAlignment="0" applyProtection="0"/>
    <xf numFmtId="165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65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8" fillId="0" borderId="6" applyNumberFormat="0" applyFill="0" applyAlignment="0" applyProtection="0"/>
    <xf numFmtId="0" fontId="3" fillId="22" borderId="0" applyNumberFormat="0" applyBorder="0" applyAlignment="0" applyProtection="0"/>
    <xf numFmtId="0" fontId="48" fillId="0" borderId="0"/>
    <xf numFmtId="0" fontId="4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23" borderId="7" applyNumberFormat="0" applyFont="0" applyAlignment="0" applyProtection="0"/>
    <xf numFmtId="0" fontId="13" fillId="20" borderId="8" applyNumberFormat="0" applyAlignment="0" applyProtection="0"/>
    <xf numFmtId="9" fontId="45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45" fillId="0" borderId="0"/>
    <xf numFmtId="0" fontId="45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041">
    <xf numFmtId="0" fontId="0" fillId="0" borderId="0" xfId="0"/>
    <xf numFmtId="0" fontId="0" fillId="0" borderId="0" xfId="0" applyAlignment="1">
      <alignment horizontal="center"/>
    </xf>
    <xf numFmtId="0" fontId="2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8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8" fillId="0" borderId="18" xfId="0" applyFont="1" applyBorder="1"/>
    <xf numFmtId="165" fontId="28" fillId="0" borderId="18" xfId="28" applyFont="1" applyBorder="1"/>
    <xf numFmtId="165" fontId="0" fillId="0" borderId="0" xfId="0" applyNumberFormat="1"/>
    <xf numFmtId="170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8" fillId="0" borderId="11" xfId="0" applyNumberFormat="1" applyFont="1" applyBorder="1"/>
    <xf numFmtId="165" fontId="28" fillId="0" borderId="0" xfId="0" applyNumberFormat="1" applyFont="1"/>
    <xf numFmtId="165" fontId="28" fillId="0" borderId="18" xfId="28" applyFont="1" applyFill="1" applyBorder="1"/>
    <xf numFmtId="0" fontId="28" fillId="0" borderId="0" xfId="0" applyFont="1"/>
    <xf numFmtId="0" fontId="28" fillId="0" borderId="18" xfId="28" applyNumberFormat="1" applyFont="1" applyBorder="1"/>
    <xf numFmtId="0" fontId="27" fillId="24" borderId="11" xfId="0" quotePrefix="1" applyFont="1" applyFill="1" applyBorder="1"/>
    <xf numFmtId="0" fontId="41" fillId="0" borderId="0" xfId="0" applyFont="1"/>
    <xf numFmtId="0" fontId="42" fillId="0" borderId="0" xfId="0" applyFont="1" applyAlignment="1">
      <alignment horizontal="center" vertical="center" wrapText="1"/>
    </xf>
    <xf numFmtId="164" fontId="42" fillId="0" borderId="0" xfId="29" applyFont="1" applyFill="1" applyBorder="1" applyAlignment="1">
      <alignment horizontal="center" vertical="center" wrapText="1"/>
    </xf>
    <xf numFmtId="177" fontId="42" fillId="0" borderId="0" xfId="0" applyNumberFormat="1" applyFont="1" applyAlignment="1">
      <alignment horizontal="center" vertical="center" wrapText="1"/>
    </xf>
    <xf numFmtId="178" fontId="42" fillId="0" borderId="0" xfId="29" applyNumberFormat="1" applyFont="1" applyFill="1" applyBorder="1" applyAlignment="1">
      <alignment horizontal="center" vertical="center" wrapText="1"/>
    </xf>
    <xf numFmtId="166" fontId="42" fillId="0" borderId="0" xfId="51" applyNumberFormat="1" applyFont="1" applyFill="1" applyBorder="1" applyAlignment="1">
      <alignment horizontal="center" vertical="center" wrapText="1"/>
    </xf>
    <xf numFmtId="0" fontId="43" fillId="0" borderId="0" xfId="0" applyFont="1"/>
    <xf numFmtId="0" fontId="43" fillId="0" borderId="14" xfId="0" applyFont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178" fontId="42" fillId="0" borderId="11" xfId="29" applyNumberFormat="1" applyFont="1" applyFill="1" applyBorder="1" applyAlignment="1">
      <alignment horizontal="center"/>
    </xf>
    <xf numFmtId="0" fontId="42" fillId="0" borderId="0" xfId="0" applyFont="1"/>
    <xf numFmtId="0" fontId="43" fillId="25" borderId="14" xfId="0" applyFont="1" applyFill="1" applyBorder="1" applyAlignment="1">
      <alignment horizontal="center" vertical="center" wrapText="1"/>
    </xf>
    <xf numFmtId="177" fontId="43" fillId="0" borderId="14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2" fillId="0" borderId="11" xfId="0" applyFont="1" applyBorder="1"/>
    <xf numFmtId="164" fontId="42" fillId="0" borderId="11" xfId="29" applyFont="1" applyFill="1" applyBorder="1" applyAlignment="1">
      <alignment vertical="center"/>
    </xf>
    <xf numFmtId="177" fontId="42" fillId="0" borderId="11" xfId="0" applyNumberFormat="1" applyFont="1" applyBorder="1"/>
    <xf numFmtId="164" fontId="42" fillId="0" borderId="11" xfId="29" applyFont="1" applyFill="1" applyBorder="1" applyAlignment="1">
      <alignment horizontal="center"/>
    </xf>
    <xf numFmtId="178" fontId="42" fillId="0" borderId="11" xfId="29" applyNumberFormat="1" applyFont="1" applyFill="1" applyBorder="1" applyAlignment="1">
      <alignment vertical="center"/>
    </xf>
    <xf numFmtId="166" fontId="42" fillId="0" borderId="11" xfId="51" applyNumberFormat="1" applyFont="1" applyFill="1" applyBorder="1" applyAlignment="1">
      <alignment vertical="center"/>
    </xf>
    <xf numFmtId="0" fontId="42" fillId="0" borderId="11" xfId="0" applyFont="1" applyBorder="1" applyAlignment="1">
      <alignment wrapText="1"/>
    </xf>
    <xf numFmtId="172" fontId="39" fillId="0" borderId="11" xfId="45" applyNumberFormat="1" applyFont="1" applyBorder="1" applyAlignment="1">
      <alignment horizontal="center"/>
    </xf>
    <xf numFmtId="0" fontId="39" fillId="0" borderId="11" xfId="45" applyFont="1" applyBorder="1" applyAlignment="1">
      <alignment horizontal="center"/>
    </xf>
    <xf numFmtId="0" fontId="39" fillId="0" borderId="11" xfId="31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 wrapText="1"/>
    </xf>
    <xf numFmtId="9" fontId="42" fillId="0" borderId="11" xfId="0" applyNumberFormat="1" applyFont="1" applyBorder="1" applyAlignment="1">
      <alignment horizontal="center" vertical="center" wrapText="1"/>
    </xf>
    <xf numFmtId="9" fontId="42" fillId="0" borderId="11" xfId="29" applyNumberFormat="1" applyFont="1" applyFill="1" applyBorder="1" applyAlignment="1">
      <alignment vertical="center"/>
    </xf>
    <xf numFmtId="9" fontId="42" fillId="0" borderId="11" xfId="51" applyFont="1" applyFill="1" applyBorder="1" applyAlignment="1">
      <alignment vertical="center"/>
    </xf>
    <xf numFmtId="164" fontId="39" fillId="0" borderId="11" xfId="29" applyFont="1" applyFill="1" applyBorder="1" applyAlignment="1">
      <alignment horizontal="center"/>
    </xf>
    <xf numFmtId="178" fontId="39" fillId="0" borderId="11" xfId="29" applyNumberFormat="1" applyFont="1" applyFill="1" applyBorder="1" applyAlignment="1">
      <alignment horizontal="center"/>
    </xf>
    <xf numFmtId="178" fontId="42" fillId="0" borderId="11" xfId="29" applyNumberFormat="1" applyFont="1" applyBorder="1" applyAlignment="1">
      <alignment vertical="center"/>
    </xf>
    <xf numFmtId="2" fontId="42" fillId="0" borderId="11" xfId="0" applyNumberFormat="1" applyFont="1" applyBorder="1"/>
    <xf numFmtId="2" fontId="39" fillId="0" borderId="11" xfId="47" applyNumberFormat="1" applyFont="1" applyBorder="1"/>
    <xf numFmtId="178" fontId="43" fillId="0" borderId="11" xfId="29" applyNumberFormat="1" applyFont="1" applyFill="1" applyBorder="1" applyAlignment="1">
      <alignment vertical="center"/>
    </xf>
    <xf numFmtId="2" fontId="36" fillId="0" borderId="11" xfId="47" applyNumberFormat="1" applyFont="1" applyBorder="1"/>
    <xf numFmtId="0" fontId="42" fillId="0" borderId="11" xfId="0" applyFont="1" applyBorder="1" applyAlignment="1">
      <alignment horizontal="center" wrapText="1"/>
    </xf>
    <xf numFmtId="9" fontId="42" fillId="0" borderId="11" xfId="0" applyNumberFormat="1" applyFont="1" applyBorder="1" applyAlignment="1">
      <alignment horizontal="center" wrapText="1"/>
    </xf>
    <xf numFmtId="0" fontId="23" fillId="24" borderId="11" xfId="44" applyFont="1" applyFill="1" applyBorder="1"/>
    <xf numFmtId="178" fontId="42" fillId="0" borderId="0" xfId="29" applyNumberFormat="1" applyFont="1" applyFill="1" applyBorder="1" applyAlignment="1">
      <alignment vertical="center"/>
    </xf>
    <xf numFmtId="0" fontId="42" fillId="0" borderId="0" xfId="0" applyFont="1" applyAlignment="1">
      <alignment horizontal="center"/>
    </xf>
    <xf numFmtId="177" fontId="42" fillId="0" borderId="0" xfId="0" applyNumberFormat="1" applyFont="1"/>
    <xf numFmtId="172" fontId="39" fillId="0" borderId="11" xfId="43" applyNumberFormat="1" applyFont="1" applyBorder="1" applyAlignment="1">
      <alignment horizontal="center"/>
    </xf>
    <xf numFmtId="0" fontId="39" fillId="0" borderId="11" xfId="43" applyFont="1" applyBorder="1" applyAlignment="1">
      <alignment horizontal="center"/>
    </xf>
    <xf numFmtId="0" fontId="39" fillId="0" borderId="11" xfId="30" applyNumberFormat="1" applyFont="1" applyFill="1" applyBorder="1" applyAlignment="1">
      <alignment horizontal="center"/>
    </xf>
    <xf numFmtId="164" fontId="43" fillId="0" borderId="11" xfId="29" applyFont="1" applyFill="1" applyBorder="1" applyAlignment="1">
      <alignment vertical="center"/>
    </xf>
    <xf numFmtId="9" fontId="43" fillId="25" borderId="11" xfId="29" applyNumberFormat="1" applyFont="1" applyFill="1" applyBorder="1" applyAlignment="1">
      <alignment vertical="center"/>
    </xf>
    <xf numFmtId="178" fontId="43" fillId="25" borderId="11" xfId="29" applyNumberFormat="1" applyFont="1" applyFill="1" applyBorder="1" applyAlignment="1">
      <alignment vertical="center"/>
    </xf>
    <xf numFmtId="177" fontId="43" fillId="0" borderId="11" xfId="0" applyNumberFormat="1" applyFont="1" applyBorder="1"/>
    <xf numFmtId="0" fontId="43" fillId="0" borderId="11" xfId="0" applyFont="1" applyBorder="1"/>
    <xf numFmtId="164" fontId="43" fillId="25" borderId="11" xfId="29" applyFont="1" applyFill="1" applyBorder="1" applyAlignment="1">
      <alignment horizontal="center"/>
    </xf>
    <xf numFmtId="0" fontId="42" fillId="0" borderId="11" xfId="48" applyFont="1" applyBorder="1"/>
    <xf numFmtId="10" fontId="43" fillId="25" borderId="11" xfId="51" applyNumberFormat="1" applyFont="1" applyFill="1" applyBorder="1" applyAlignment="1">
      <alignment vertical="center"/>
    </xf>
    <xf numFmtId="166" fontId="43" fillId="25" borderId="11" xfId="51" applyNumberFormat="1" applyFont="1" applyFill="1" applyBorder="1" applyAlignment="1">
      <alignment vertical="center"/>
    </xf>
    <xf numFmtId="165" fontId="43" fillId="0" borderId="11" xfId="0" applyNumberFormat="1" applyFont="1" applyBorder="1" applyAlignment="1">
      <alignment horizontal="right"/>
    </xf>
    <xf numFmtId="172" fontId="39" fillId="0" borderId="0" xfId="43" applyNumberFormat="1" applyFont="1" applyAlignment="1">
      <alignment horizontal="center"/>
    </xf>
    <xf numFmtId="0" fontId="39" fillId="0" borderId="0" xfId="43" applyFont="1" applyAlignment="1">
      <alignment horizontal="center"/>
    </xf>
    <xf numFmtId="0" fontId="39" fillId="0" borderId="0" xfId="30" applyNumberFormat="1" applyFont="1" applyFill="1" applyBorder="1" applyAlignment="1">
      <alignment horizontal="center"/>
    </xf>
    <xf numFmtId="164" fontId="42" fillId="0" borderId="0" xfId="29" applyFont="1" applyFill="1" applyBorder="1" applyAlignment="1">
      <alignment vertical="center"/>
    </xf>
    <xf numFmtId="164" fontId="42" fillId="0" borderId="0" xfId="29" applyFont="1" applyFill="1" applyBorder="1" applyAlignment="1">
      <alignment horizontal="center"/>
    </xf>
    <xf numFmtId="178" fontId="42" fillId="0" borderId="0" xfId="29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right"/>
    </xf>
    <xf numFmtId="178" fontId="43" fillId="0" borderId="0" xfId="29" applyNumberFormat="1" applyFont="1" applyFill="1" applyBorder="1" applyAlignment="1">
      <alignment horizontal="right"/>
    </xf>
    <xf numFmtId="166" fontId="43" fillId="0" borderId="0" xfId="51" applyNumberFormat="1" applyFont="1" applyFill="1" applyBorder="1" applyAlignment="1">
      <alignment vertical="center"/>
    </xf>
    <xf numFmtId="0" fontId="42" fillId="0" borderId="0" xfId="0" applyFont="1" applyAlignment="1">
      <alignment wrapText="1"/>
    </xf>
    <xf numFmtId="0" fontId="43" fillId="0" borderId="0" xfId="51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horizontal="center" vertical="center" wrapText="1"/>
    </xf>
    <xf numFmtId="165" fontId="43" fillId="0" borderId="14" xfId="0" applyNumberFormat="1" applyFont="1" applyBorder="1" applyAlignment="1">
      <alignment horizontal="center" vertical="center" wrapText="1"/>
    </xf>
    <xf numFmtId="165" fontId="42" fillId="0" borderId="11" xfId="29" applyNumberFormat="1" applyFont="1" applyFill="1" applyBorder="1" applyAlignment="1">
      <alignment vertical="center"/>
    </xf>
    <xf numFmtId="165" fontId="42" fillId="0" borderId="0" xfId="0" applyNumberFormat="1" applyFont="1"/>
    <xf numFmtId="165" fontId="43" fillId="25" borderId="11" xfId="29" applyNumberFormat="1" applyFont="1" applyFill="1" applyBorder="1" applyAlignment="1">
      <alignment vertical="center"/>
    </xf>
    <xf numFmtId="165" fontId="43" fillId="0" borderId="11" xfId="29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vertical="center"/>
    </xf>
    <xf numFmtId="179" fontId="50" fillId="0" borderId="11" xfId="29" applyNumberFormat="1" applyFont="1" applyFill="1" applyBorder="1" applyAlignment="1">
      <alignment vertical="center"/>
    </xf>
    <xf numFmtId="166" fontId="50" fillId="0" borderId="0" xfId="52" applyNumberFormat="1" applyFont="1" applyFill="1" applyBorder="1" applyAlignment="1">
      <alignment vertical="center"/>
    </xf>
    <xf numFmtId="178" fontId="49" fillId="0" borderId="11" xfId="29" applyNumberFormat="1" applyFont="1" applyFill="1" applyBorder="1" applyAlignment="1">
      <alignment vertical="center"/>
    </xf>
    <xf numFmtId="10" fontId="50" fillId="25" borderId="11" xfId="51" applyNumberFormat="1" applyFont="1" applyFill="1" applyBorder="1"/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2" fillId="0" borderId="0" xfId="0" applyNumberFormat="1" applyFont="1"/>
    <xf numFmtId="15" fontId="43" fillId="0" borderId="0" xfId="0" applyNumberFormat="1" applyFont="1"/>
    <xf numFmtId="17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7" fillId="24" borderId="33" xfId="28" applyFont="1" applyFill="1" applyBorder="1" applyAlignment="1" applyProtection="1">
      <alignment horizontal="center" vertical="center"/>
    </xf>
    <xf numFmtId="165" fontId="27" fillId="24" borderId="34" xfId="28" applyFont="1" applyFill="1" applyBorder="1" applyAlignment="1" applyProtection="1">
      <alignment horizontal="center" vertical="center"/>
    </xf>
    <xf numFmtId="165" fontId="27" fillId="24" borderId="35" xfId="28" applyFont="1" applyFill="1" applyBorder="1" applyAlignment="1" applyProtection="1">
      <alignment horizontal="center" vertical="center"/>
    </xf>
    <xf numFmtId="165" fontId="27" fillId="24" borderId="36" xfId="28" applyFont="1" applyFill="1" applyBorder="1" applyAlignment="1" applyProtection="1">
      <alignment horizontal="center" vertical="center"/>
    </xf>
    <xf numFmtId="166" fontId="27" fillId="24" borderId="37" xfId="51" applyNumberFormat="1" applyFont="1" applyFill="1" applyBorder="1" applyAlignment="1" applyProtection="1">
      <alignment horizontal="center" vertical="center"/>
    </xf>
    <xf numFmtId="166" fontId="27" fillId="24" borderId="30" xfId="51" applyNumberFormat="1" applyFont="1" applyFill="1" applyBorder="1" applyAlignment="1" applyProtection="1">
      <alignment horizontal="center" vertical="center"/>
    </xf>
    <xf numFmtId="166" fontId="27" fillId="24" borderId="38" xfId="51" applyNumberFormat="1" applyFont="1" applyFill="1" applyBorder="1" applyAlignment="1" applyProtection="1">
      <alignment horizontal="center" vertical="center"/>
    </xf>
    <xf numFmtId="165" fontId="27" fillId="24" borderId="39" xfId="28" applyFont="1" applyFill="1" applyBorder="1" applyAlignment="1" applyProtection="1">
      <alignment horizontal="center" vertical="center"/>
    </xf>
    <xf numFmtId="165" fontId="27" fillId="24" borderId="39" xfId="28" applyFont="1" applyFill="1" applyBorder="1" applyAlignment="1" applyProtection="1">
      <alignment horizontal="center"/>
    </xf>
    <xf numFmtId="165" fontId="27" fillId="24" borderId="40" xfId="28" applyFont="1" applyFill="1" applyBorder="1" applyAlignment="1" applyProtection="1">
      <alignment horizontal="center"/>
    </xf>
    <xf numFmtId="166" fontId="27" fillId="24" borderId="41" xfId="51" applyNumberFormat="1" applyFont="1" applyFill="1" applyBorder="1" applyAlignment="1" applyProtection="1">
      <alignment horizontal="center" vertical="center"/>
    </xf>
    <xf numFmtId="165" fontId="23" fillId="24" borderId="0" xfId="28" applyFont="1" applyFill="1" applyProtection="1"/>
    <xf numFmtId="165" fontId="27" fillId="24" borderId="15" xfId="28" applyFont="1" applyFill="1" applyBorder="1" applyAlignment="1" applyProtection="1">
      <alignment horizontal="center" vertical="center"/>
    </xf>
    <xf numFmtId="165" fontId="27" fillId="24" borderId="42" xfId="28" applyFont="1" applyFill="1" applyBorder="1" applyAlignment="1" applyProtection="1">
      <alignment horizontal="center" vertical="center"/>
    </xf>
    <xf numFmtId="166" fontId="27" fillId="24" borderId="36" xfId="51" applyNumberFormat="1" applyFont="1" applyFill="1" applyBorder="1" applyAlignment="1" applyProtection="1">
      <alignment horizontal="center" vertical="center"/>
    </xf>
    <xf numFmtId="166" fontId="27" fillId="24" borderId="15" xfId="51" applyNumberFormat="1" applyFont="1" applyFill="1" applyBorder="1" applyAlignment="1" applyProtection="1">
      <alignment horizontal="center" vertical="center"/>
    </xf>
    <xf numFmtId="166" fontId="27" fillId="24" borderId="35" xfId="51" applyNumberFormat="1" applyFont="1" applyFill="1" applyBorder="1" applyAlignment="1" applyProtection="1">
      <alignment horizontal="center" vertical="center"/>
    </xf>
    <xf numFmtId="165" fontId="27" fillId="24" borderId="36" xfId="28" applyFont="1" applyFill="1" applyBorder="1" applyAlignment="1" applyProtection="1">
      <alignment horizontal="center"/>
    </xf>
    <xf numFmtId="165" fontId="27" fillId="24" borderId="43" xfId="28" applyFont="1" applyFill="1" applyBorder="1" applyAlignment="1" applyProtection="1">
      <alignment horizontal="center"/>
    </xf>
    <xf numFmtId="165" fontId="27" fillId="24" borderId="11" xfId="28" applyFont="1" applyFill="1" applyBorder="1" applyAlignment="1" applyProtection="1">
      <alignment horizontal="center"/>
    </xf>
    <xf numFmtId="165" fontId="27" fillId="24" borderId="44" xfId="28" applyFont="1" applyFill="1" applyBorder="1" applyAlignment="1" applyProtection="1">
      <alignment horizontal="center"/>
    </xf>
    <xf numFmtId="165" fontId="27" fillId="24" borderId="38" xfId="28" applyFont="1" applyFill="1" applyBorder="1" applyAlignment="1" applyProtection="1">
      <alignment horizontal="center"/>
    </xf>
    <xf numFmtId="0" fontId="27" fillId="24" borderId="45" xfId="0" applyFont="1" applyFill="1" applyBorder="1" applyAlignment="1">
      <alignment horizontal="left"/>
    </xf>
    <xf numFmtId="0" fontId="27" fillId="24" borderId="46" xfId="0" applyFont="1" applyFill="1" applyBorder="1" applyAlignment="1">
      <alignment horizontal="left"/>
    </xf>
    <xf numFmtId="0" fontId="27" fillId="24" borderId="47" xfId="0" applyFont="1" applyFill="1" applyBorder="1" applyAlignment="1">
      <alignment horizontal="left"/>
    </xf>
    <xf numFmtId="165" fontId="27" fillId="24" borderId="27" xfId="0" applyNumberFormat="1" applyFont="1" applyFill="1" applyBorder="1" applyAlignment="1">
      <alignment horizontal="left"/>
    </xf>
    <xf numFmtId="165" fontId="27" fillId="24" borderId="21" xfId="28" applyFont="1" applyFill="1" applyBorder="1" applyAlignment="1" applyProtection="1">
      <alignment horizontal="right" vertical="center"/>
    </xf>
    <xf numFmtId="0" fontId="27" fillId="24" borderId="48" xfId="0" applyFont="1" applyFill="1" applyBorder="1" applyAlignment="1">
      <alignment horizontal="center"/>
    </xf>
    <xf numFmtId="165" fontId="27" fillId="24" borderId="17" xfId="28" applyFont="1" applyFill="1" applyBorder="1" applyAlignment="1" applyProtection="1">
      <alignment horizontal="right" vertical="center"/>
    </xf>
    <xf numFmtId="0" fontId="27" fillId="24" borderId="49" xfId="0" applyFont="1" applyFill="1" applyBorder="1" applyAlignment="1">
      <alignment horizontal="center"/>
    </xf>
    <xf numFmtId="165" fontId="27" fillId="0" borderId="11" xfId="28" applyFont="1" applyFill="1" applyBorder="1" applyAlignment="1" applyProtection="1">
      <alignment horizontal="right"/>
    </xf>
    <xf numFmtId="0" fontId="27" fillId="24" borderId="50" xfId="0" applyFont="1" applyFill="1" applyBorder="1" applyAlignment="1">
      <alignment horizontal="center"/>
    </xf>
    <xf numFmtId="165" fontId="27" fillId="24" borderId="11" xfId="28" applyFont="1" applyFill="1" applyBorder="1" applyAlignment="1" applyProtection="1">
      <alignment horizontal="right" vertical="center"/>
    </xf>
    <xf numFmtId="165" fontId="23" fillId="20" borderId="11" xfId="28" applyFont="1" applyFill="1" applyBorder="1" applyAlignment="1" applyProtection="1">
      <alignment horizontal="right"/>
    </xf>
    <xf numFmtId="165" fontId="27" fillId="24" borderId="11" xfId="28" applyFont="1" applyFill="1" applyBorder="1" applyAlignment="1" applyProtection="1">
      <alignment horizontal="right"/>
    </xf>
    <xf numFmtId="174" fontId="27" fillId="24" borderId="11" xfId="28" applyNumberFormat="1" applyFont="1" applyFill="1" applyBorder="1" applyAlignment="1" applyProtection="1">
      <alignment horizontal="right"/>
    </xf>
    <xf numFmtId="39" fontId="27" fillId="24" borderId="11" xfId="28" applyNumberFormat="1" applyFont="1" applyFill="1" applyBorder="1" applyAlignment="1" applyProtection="1">
      <alignment horizontal="right"/>
    </xf>
    <xf numFmtId="165" fontId="27" fillId="24" borderId="14" xfId="28" applyFont="1" applyFill="1" applyBorder="1" applyAlignment="1" applyProtection="1">
      <alignment horizontal="right"/>
    </xf>
    <xf numFmtId="0" fontId="27" fillId="24" borderId="51" xfId="0" applyFont="1" applyFill="1" applyBorder="1" applyAlignment="1">
      <alignment horizontal="center"/>
    </xf>
    <xf numFmtId="165" fontId="27" fillId="24" borderId="23" xfId="0" applyNumberFormat="1" applyFont="1" applyFill="1" applyBorder="1" applyAlignment="1">
      <alignment horizontal="right"/>
    </xf>
    <xf numFmtId="0" fontId="27" fillId="24" borderId="24" xfId="0" applyFont="1" applyFill="1" applyBorder="1" applyAlignment="1">
      <alignment horizontal="center"/>
    </xf>
    <xf numFmtId="165" fontId="27" fillId="24" borderId="11" xfId="28" applyFont="1" applyFill="1" applyBorder="1" applyProtection="1"/>
    <xf numFmtId="165" fontId="27" fillId="24" borderId="14" xfId="28" applyFont="1" applyFill="1" applyBorder="1" applyProtection="1"/>
    <xf numFmtId="165" fontId="23" fillId="20" borderId="11" xfId="28" applyFont="1" applyFill="1" applyBorder="1" applyProtection="1"/>
    <xf numFmtId="165" fontId="27" fillId="24" borderId="50" xfId="28" applyFont="1" applyFill="1" applyBorder="1" applyAlignment="1" applyProtection="1">
      <alignment horizontal="center"/>
    </xf>
    <xf numFmtId="165" fontId="27" fillId="24" borderId="21" xfId="28" applyFont="1" applyFill="1" applyBorder="1" applyAlignment="1" applyProtection="1">
      <alignment horizontal="center"/>
    </xf>
    <xf numFmtId="165" fontId="27" fillId="24" borderId="48" xfId="28" applyFont="1" applyFill="1" applyBorder="1" applyAlignment="1" applyProtection="1">
      <alignment horizontal="center"/>
    </xf>
    <xf numFmtId="166" fontId="27" fillId="24" borderId="23" xfId="51" applyNumberFormat="1" applyFont="1" applyFill="1" applyBorder="1" applyProtection="1"/>
    <xf numFmtId="166" fontId="27" fillId="24" borderId="24" xfId="51" applyNumberFormat="1" applyFont="1" applyFill="1" applyBorder="1" applyProtection="1"/>
    <xf numFmtId="0" fontId="20" fillId="0" borderId="0" xfId="0" applyFont="1"/>
    <xf numFmtId="0" fontId="23" fillId="24" borderId="0" xfId="0" applyFont="1" applyFill="1"/>
    <xf numFmtId="0" fontId="21" fillId="0" borderId="0" xfId="0" applyFont="1"/>
    <xf numFmtId="0" fontId="22" fillId="0" borderId="0" xfId="0" applyFont="1"/>
    <xf numFmtId="0" fontId="24" fillId="24" borderId="0" xfId="0" applyFont="1" applyFill="1"/>
    <xf numFmtId="165" fontId="25" fillId="24" borderId="0" xfId="28" applyFont="1" applyFill="1" applyAlignment="1" applyProtection="1">
      <alignment horizontal="right"/>
    </xf>
    <xf numFmtId="0" fontId="26" fillId="24" borderId="0" xfId="0" applyFont="1" applyFill="1"/>
    <xf numFmtId="165" fontId="23" fillId="24" borderId="0" xfId="0" applyNumberFormat="1" applyFont="1" applyFill="1"/>
    <xf numFmtId="0" fontId="27" fillId="24" borderId="33" xfId="0" applyFont="1" applyFill="1" applyBorder="1" applyAlignment="1">
      <alignment horizontal="center" vertical="center"/>
    </xf>
    <xf numFmtId="0" fontId="27" fillId="24" borderId="15" xfId="0" applyFont="1" applyFill="1" applyBorder="1" applyAlignment="1">
      <alignment horizontal="center" vertical="center"/>
    </xf>
    <xf numFmtId="0" fontId="27" fillId="24" borderId="42" xfId="0" applyFont="1" applyFill="1" applyBorder="1" applyAlignment="1">
      <alignment horizontal="center" vertical="center"/>
    </xf>
    <xf numFmtId="0" fontId="27" fillId="24" borderId="52" xfId="0" applyFont="1" applyFill="1" applyBorder="1" applyAlignment="1">
      <alignment horizontal="center"/>
    </xf>
    <xf numFmtId="0" fontId="27" fillId="24" borderId="42" xfId="0" applyFont="1" applyFill="1" applyBorder="1" applyAlignment="1">
      <alignment horizontal="center" wrapText="1"/>
    </xf>
    <xf numFmtId="0" fontId="27" fillId="24" borderId="33" xfId="0" applyFont="1" applyFill="1" applyBorder="1" applyAlignment="1">
      <alignment horizontal="center"/>
    </xf>
    <xf numFmtId="0" fontId="27" fillId="24" borderId="15" xfId="0" applyFont="1" applyFill="1" applyBorder="1" applyAlignment="1">
      <alignment horizontal="center"/>
    </xf>
    <xf numFmtId="0" fontId="27" fillId="24" borderId="35" xfId="0" applyFont="1" applyFill="1" applyBorder="1" applyAlignment="1">
      <alignment horizontal="center"/>
    </xf>
    <xf numFmtId="165" fontId="27" fillId="24" borderId="11" xfId="0" applyNumberFormat="1" applyFont="1" applyFill="1" applyBorder="1" applyAlignment="1">
      <alignment horizontal="center"/>
    </xf>
    <xf numFmtId="0" fontId="27" fillId="24" borderId="53" xfId="0" applyFont="1" applyFill="1" applyBorder="1" applyAlignment="1">
      <alignment horizontal="left" vertical="center"/>
    </xf>
    <xf numFmtId="0" fontId="27" fillId="24" borderId="54" xfId="0" quotePrefix="1" applyFont="1" applyFill="1" applyBorder="1"/>
    <xf numFmtId="0" fontId="27" fillId="24" borderId="35" xfId="0" applyFont="1" applyFill="1" applyBorder="1" applyAlignment="1">
      <alignment vertical="center" wrapText="1"/>
    </xf>
    <xf numFmtId="0" fontId="27" fillId="24" borderId="30" xfId="0" applyFont="1" applyFill="1" applyBorder="1" applyAlignment="1">
      <alignment horizontal="left" vertical="center"/>
    </xf>
    <xf numFmtId="0" fontId="27" fillId="24" borderId="41" xfId="0" applyFont="1" applyFill="1" applyBorder="1" applyAlignment="1">
      <alignment vertical="center" wrapText="1"/>
    </xf>
    <xf numFmtId="0" fontId="27" fillId="24" borderId="55" xfId="0" applyFont="1" applyFill="1" applyBorder="1" applyAlignment="1">
      <alignment horizontal="left" vertical="center"/>
    </xf>
    <xf numFmtId="0" fontId="27" fillId="24" borderId="54" xfId="0" applyFont="1" applyFill="1" applyBorder="1" applyAlignment="1">
      <alignment horizontal="center"/>
    </xf>
    <xf numFmtId="0" fontId="27" fillId="24" borderId="54" xfId="0" applyFont="1" applyFill="1" applyBorder="1"/>
    <xf numFmtId="0" fontId="27" fillId="24" borderId="56" xfId="0" applyFont="1" applyFill="1" applyBorder="1" applyAlignment="1">
      <alignment horizontal="center" vertical="center"/>
    </xf>
    <xf numFmtId="0" fontId="27" fillId="24" borderId="46" xfId="0" applyFont="1" applyFill="1" applyBorder="1" applyAlignment="1">
      <alignment horizontal="left" vertical="center"/>
    </xf>
    <xf numFmtId="0" fontId="27" fillId="24" borderId="29" xfId="0" applyFont="1" applyFill="1" applyBorder="1" applyAlignment="1">
      <alignment horizontal="center"/>
    </xf>
    <xf numFmtId="0" fontId="27" fillId="24" borderId="0" xfId="0" applyFont="1" applyFill="1"/>
    <xf numFmtId="0" fontId="27" fillId="24" borderId="0" xfId="0" applyFont="1" applyFill="1" applyAlignment="1">
      <alignment horizontal="center" vertical="center" wrapText="1"/>
    </xf>
    <xf numFmtId="0" fontId="27" fillId="24" borderId="0" xfId="0" applyFont="1" applyFill="1" applyAlignment="1">
      <alignment horizontal="center"/>
    </xf>
    <xf numFmtId="0" fontId="27" fillId="24" borderId="37" xfId="0" applyFont="1" applyFill="1" applyBorder="1" applyAlignment="1">
      <alignment horizontal="center"/>
    </xf>
    <xf numFmtId="0" fontId="27" fillId="24" borderId="41" xfId="0" applyFont="1" applyFill="1" applyBorder="1" applyAlignment="1">
      <alignment horizontal="center"/>
    </xf>
    <xf numFmtId="0" fontId="23" fillId="24" borderId="33" xfId="0" applyFont="1" applyFill="1" applyBorder="1"/>
    <xf numFmtId="0" fontId="23" fillId="24" borderId="42" xfId="0" applyFont="1" applyFill="1" applyBorder="1"/>
    <xf numFmtId="0" fontId="27" fillId="24" borderId="15" xfId="0" applyFont="1" applyFill="1" applyBorder="1"/>
    <xf numFmtId="0" fontId="27" fillId="24" borderId="42" xfId="0" applyFont="1" applyFill="1" applyBorder="1" applyAlignment="1">
      <alignment horizontal="center"/>
    </xf>
    <xf numFmtId="165" fontId="23" fillId="24" borderId="0" xfId="28" applyFont="1" applyFill="1" applyBorder="1" applyProtection="1"/>
    <xf numFmtId="0" fontId="23" fillId="24" borderId="57" xfId="0" applyFont="1" applyFill="1" applyBorder="1" applyAlignment="1">
      <alignment horizontal="center"/>
    </xf>
    <xf numFmtId="0" fontId="23" fillId="24" borderId="10" xfId="0" applyFont="1" applyFill="1" applyBorder="1" applyAlignment="1">
      <alignment horizontal="center"/>
    </xf>
    <xf numFmtId="0" fontId="27" fillId="24" borderId="10" xfId="0" applyFont="1" applyFill="1" applyBorder="1" applyAlignment="1">
      <alignment horizontal="center"/>
    </xf>
    <xf numFmtId="165" fontId="27" fillId="24" borderId="0" xfId="28" applyFont="1" applyFill="1" applyBorder="1" applyProtection="1"/>
    <xf numFmtId="0" fontId="27" fillId="24" borderId="12" xfId="0" applyFont="1" applyFill="1" applyBorder="1" applyAlignment="1">
      <alignment horizontal="center"/>
    </xf>
    <xf numFmtId="0" fontId="27" fillId="24" borderId="58" xfId="0" applyFont="1" applyFill="1" applyBorder="1" applyAlignment="1">
      <alignment horizontal="center"/>
    </xf>
    <xf numFmtId="165" fontId="27" fillId="24" borderId="23" xfId="0" applyNumberFormat="1" applyFont="1" applyFill="1" applyBorder="1"/>
    <xf numFmtId="2" fontId="23" fillId="24" borderId="0" xfId="0" applyNumberFormat="1" applyFont="1" applyFill="1"/>
    <xf numFmtId="0" fontId="27" fillId="24" borderId="59" xfId="0" applyFont="1" applyFill="1" applyBorder="1"/>
    <xf numFmtId="0" fontId="27" fillId="24" borderId="60" xfId="0" applyFont="1" applyFill="1" applyBorder="1" applyAlignment="1">
      <alignment horizontal="left"/>
    </xf>
    <xf numFmtId="0" fontId="23" fillId="24" borderId="60" xfId="0" applyFont="1" applyFill="1" applyBorder="1"/>
    <xf numFmtId="165" fontId="23" fillId="24" borderId="60" xfId="28" applyFont="1" applyFill="1" applyBorder="1" applyProtection="1"/>
    <xf numFmtId="0" fontId="23" fillId="24" borderId="32" xfId="0" applyFont="1" applyFill="1" applyBorder="1"/>
    <xf numFmtId="0" fontId="23" fillId="24" borderId="11" xfId="0" applyFont="1" applyFill="1" applyBorder="1"/>
    <xf numFmtId="165" fontId="23" fillId="24" borderId="11" xfId="0" applyNumberFormat="1" applyFont="1" applyFill="1" applyBorder="1"/>
    <xf numFmtId="166" fontId="23" fillId="24" borderId="11" xfId="51" applyNumberFormat="1" applyFont="1" applyFill="1" applyBorder="1" applyProtection="1"/>
    <xf numFmtId="0" fontId="27" fillId="24" borderId="29" xfId="0" applyFont="1" applyFill="1" applyBorder="1"/>
    <xf numFmtId="0" fontId="27" fillId="24" borderId="0" xfId="0" applyFont="1" applyFill="1" applyAlignment="1">
      <alignment horizontal="left"/>
    </xf>
    <xf numFmtId="0" fontId="23" fillId="24" borderId="61" xfId="0" applyFont="1" applyFill="1" applyBorder="1"/>
    <xf numFmtId="0" fontId="23" fillId="24" borderId="29" xfId="0" applyFont="1" applyFill="1" applyBorder="1"/>
    <xf numFmtId="0" fontId="23" fillId="24" borderId="31" xfId="0" applyFont="1" applyFill="1" applyBorder="1"/>
    <xf numFmtId="0" fontId="27" fillId="24" borderId="62" xfId="0" applyFont="1" applyFill="1" applyBorder="1"/>
    <xf numFmtId="165" fontId="27" fillId="24" borderId="62" xfId="28" applyFont="1" applyFill="1" applyBorder="1" applyProtection="1"/>
    <xf numFmtId="0" fontId="23" fillId="24" borderId="16" xfId="0" applyFont="1" applyFill="1" applyBorder="1"/>
    <xf numFmtId="0" fontId="27" fillId="24" borderId="15" xfId="0" applyFont="1" applyFill="1" applyBorder="1" applyAlignment="1">
      <alignment horizontal="center" wrapText="1"/>
    </xf>
    <xf numFmtId="2" fontId="42" fillId="0" borderId="11" xfId="51" applyNumberFormat="1" applyFont="1" applyFill="1" applyBorder="1" applyAlignment="1">
      <alignment vertical="center"/>
    </xf>
    <xf numFmtId="165" fontId="27" fillId="24" borderId="17" xfId="0" applyNumberFormat="1" applyFont="1" applyFill="1" applyBorder="1" applyAlignment="1">
      <alignment horizontal="left"/>
    </xf>
    <xf numFmtId="0" fontId="27" fillId="24" borderId="14" xfId="0" applyFont="1" applyFill="1" applyBorder="1" applyAlignment="1">
      <alignment horizontal="left"/>
    </xf>
    <xf numFmtId="165" fontId="27" fillId="24" borderId="10" xfId="0" applyNumberFormat="1" applyFont="1" applyFill="1" applyBorder="1" applyAlignment="1">
      <alignment horizontal="left"/>
    </xf>
    <xf numFmtId="0" fontId="27" fillId="24" borderId="63" xfId="0" applyFont="1" applyFill="1" applyBorder="1" applyAlignment="1" applyProtection="1">
      <alignment horizontal="left" vertical="center"/>
      <protection locked="0"/>
    </xf>
    <xf numFmtId="165" fontId="27" fillId="24" borderId="61" xfId="28" applyFont="1" applyFill="1" applyBorder="1" applyAlignment="1" applyProtection="1">
      <alignment horizontal="center" vertical="center"/>
      <protection locked="0"/>
    </xf>
    <xf numFmtId="165" fontId="27" fillId="24" borderId="63" xfId="28" applyFont="1" applyFill="1" applyBorder="1" applyAlignment="1" applyProtection="1">
      <alignment horizontal="center" vertical="center"/>
      <protection locked="0"/>
    </xf>
    <xf numFmtId="165" fontId="27" fillId="24" borderId="43" xfId="28" applyFont="1" applyFill="1" applyBorder="1" applyAlignment="1" applyProtection="1">
      <alignment horizontal="center" vertical="center"/>
      <protection locked="0"/>
    </xf>
    <xf numFmtId="165" fontId="27" fillId="24" borderId="44" xfId="28" applyFont="1" applyFill="1" applyBorder="1" applyAlignment="1" applyProtection="1">
      <protection locked="0"/>
    </xf>
    <xf numFmtId="165" fontId="27" fillId="24" borderId="44" xfId="28" applyFont="1" applyFill="1" applyBorder="1" applyAlignment="1" applyProtection="1">
      <alignment horizontal="center"/>
      <protection locked="0"/>
    </xf>
    <xf numFmtId="0" fontId="27" fillId="24" borderId="64" xfId="0" applyFont="1" applyFill="1" applyBorder="1" applyAlignment="1" applyProtection="1">
      <alignment horizontal="left" vertical="center"/>
      <protection locked="0"/>
    </xf>
    <xf numFmtId="165" fontId="27" fillId="24" borderId="56" xfId="51" applyNumberFormat="1" applyFont="1" applyFill="1" applyBorder="1" applyAlignment="1" applyProtection="1">
      <alignment horizontal="center" vertical="center"/>
      <protection locked="0"/>
    </xf>
    <xf numFmtId="165" fontId="27" fillId="24" borderId="55" xfId="51" applyNumberFormat="1" applyFont="1" applyFill="1" applyBorder="1" applyAlignment="1" applyProtection="1">
      <alignment horizontal="center" vertical="center"/>
      <protection locked="0"/>
    </xf>
    <xf numFmtId="165" fontId="27" fillId="24" borderId="65" xfId="51" applyNumberFormat="1" applyFont="1" applyFill="1" applyBorder="1" applyAlignment="1" applyProtection="1">
      <alignment horizontal="center" vertical="center"/>
      <protection locked="0"/>
    </xf>
    <xf numFmtId="165" fontId="27" fillId="24" borderId="44" xfId="28" applyFont="1" applyFill="1" applyBorder="1" applyAlignment="1" applyProtection="1">
      <alignment horizontal="center" vertical="center"/>
      <protection locked="0"/>
    </xf>
    <xf numFmtId="165" fontId="27" fillId="24" borderId="0" xfId="28" applyFont="1" applyFill="1" applyBorder="1" applyAlignment="1" applyProtection="1">
      <alignment horizontal="center" vertical="center"/>
      <protection locked="0"/>
    </xf>
    <xf numFmtId="165" fontId="23" fillId="24" borderId="44" xfId="28" applyFont="1" applyFill="1" applyBorder="1" applyProtection="1">
      <protection locked="0"/>
    </xf>
    <xf numFmtId="165" fontId="27" fillId="24" borderId="10" xfId="28" applyFont="1" applyFill="1" applyBorder="1" applyAlignment="1" applyProtection="1">
      <alignment horizontal="center"/>
      <protection locked="0"/>
    </xf>
    <xf numFmtId="165" fontId="27" fillId="24" borderId="11" xfId="0" applyNumberFormat="1" applyFont="1" applyFill="1" applyBorder="1" applyAlignment="1" applyProtection="1">
      <alignment horizontal="center"/>
      <protection locked="0"/>
    </xf>
    <xf numFmtId="0" fontId="27" fillId="24" borderId="11" xfId="0" quotePrefix="1" applyFont="1" applyFill="1" applyBorder="1" applyAlignment="1" applyProtection="1">
      <alignment wrapText="1"/>
      <protection locked="0"/>
    </xf>
    <xf numFmtId="165" fontId="27" fillId="24" borderId="28" xfId="28" applyFont="1" applyFill="1" applyBorder="1" applyAlignment="1" applyProtection="1">
      <alignment horizontal="center"/>
      <protection locked="0"/>
    </xf>
    <xf numFmtId="0" fontId="27" fillId="24" borderId="14" xfId="0" applyFont="1" applyFill="1" applyBorder="1" applyAlignment="1" applyProtection="1">
      <alignment horizontal="center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0" fontId="46" fillId="24" borderId="14" xfId="0" quotePrefix="1" applyFont="1" applyFill="1" applyBorder="1" applyAlignment="1" applyProtection="1">
      <alignment wrapText="1"/>
      <protection locked="0"/>
    </xf>
    <xf numFmtId="2" fontId="27" fillId="24" borderId="0" xfId="0" applyNumberFormat="1" applyFont="1" applyFill="1" applyAlignment="1" applyProtection="1">
      <alignment horizontal="right"/>
      <protection locked="0"/>
    </xf>
    <xf numFmtId="165" fontId="27" fillId="24" borderId="12" xfId="28" applyFont="1" applyFill="1" applyBorder="1" applyAlignment="1" applyProtection="1">
      <alignment horizontal="center"/>
      <protection locked="0"/>
    </xf>
    <xf numFmtId="0" fontId="27" fillId="24" borderId="11" xfId="0" applyFont="1" applyFill="1" applyBorder="1" applyAlignment="1" applyProtection="1">
      <alignment horizontal="center"/>
      <protection locked="0"/>
    </xf>
    <xf numFmtId="165" fontId="27" fillId="24" borderId="2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right"/>
      <protection locked="0"/>
    </xf>
    <xf numFmtId="165" fontId="27" fillId="24" borderId="23" xfId="0" applyNumberFormat="1" applyFont="1" applyFill="1" applyBorder="1" applyAlignment="1" applyProtection="1">
      <alignment horizontal="left"/>
      <protection locked="0"/>
    </xf>
    <xf numFmtId="165" fontId="27" fillId="24" borderId="64" xfId="0" applyNumberFormat="1" applyFont="1" applyFill="1" applyBorder="1" applyAlignment="1" applyProtection="1">
      <alignment horizontal="left"/>
      <protection locked="0"/>
    </xf>
    <xf numFmtId="165" fontId="27" fillId="24" borderId="14" xfId="0" applyNumberFormat="1" applyFont="1" applyFill="1" applyBorder="1" applyAlignment="1" applyProtection="1">
      <alignment horizontal="left"/>
      <protection locked="0"/>
    </xf>
    <xf numFmtId="165" fontId="27" fillId="24" borderId="55" xfId="28" applyFont="1" applyFill="1" applyBorder="1" applyAlignment="1" applyProtection="1">
      <alignment horizontal="center"/>
      <protection locked="0"/>
    </xf>
    <xf numFmtId="165" fontId="27" fillId="24" borderId="11" xfId="28" applyFont="1" applyFill="1" applyBorder="1" applyAlignment="1" applyProtection="1">
      <alignment horizontal="center"/>
      <protection locked="0"/>
    </xf>
    <xf numFmtId="49" fontId="27" fillId="0" borderId="11" xfId="28" applyNumberFormat="1" applyFont="1" applyFill="1" applyBorder="1" applyAlignment="1" applyProtection="1">
      <alignment horizontal="center"/>
      <protection locked="0"/>
    </xf>
    <xf numFmtId="168" fontId="39" fillId="0" borderId="11" xfId="0" applyNumberFormat="1" applyFont="1" applyBorder="1" applyAlignment="1">
      <alignment horizontal="center"/>
    </xf>
    <xf numFmtId="178" fontId="42" fillId="0" borderId="17" xfId="29" applyNumberFormat="1" applyFont="1" applyBorder="1" applyAlignment="1">
      <alignment vertical="center"/>
    </xf>
    <xf numFmtId="178" fontId="42" fillId="0" borderId="17" xfId="29" applyNumberFormat="1" applyFont="1" applyFill="1" applyBorder="1" applyAlignment="1">
      <alignment vertical="center"/>
    </xf>
    <xf numFmtId="0" fontId="27" fillId="24" borderId="10" xfId="0" applyFont="1" applyFill="1" applyBorder="1" applyAlignment="1" applyProtection="1">
      <alignment horizontal="left"/>
      <protection locked="0"/>
    </xf>
    <xf numFmtId="0" fontId="27" fillId="24" borderId="25" xfId="0" applyFont="1" applyFill="1" applyBorder="1" applyAlignment="1" applyProtection="1">
      <alignment horizontal="left"/>
      <protection locked="0"/>
    </xf>
    <xf numFmtId="0" fontId="27" fillId="24" borderId="58" xfId="0" applyFont="1" applyFill="1" applyBorder="1" applyAlignment="1" applyProtection="1">
      <alignment horizontal="left"/>
      <protection locked="0"/>
    </xf>
    <xf numFmtId="165" fontId="34" fillId="0" borderId="0" xfId="28" applyFont="1" applyBorder="1" applyAlignment="1" applyProtection="1">
      <alignment horizontal="center"/>
    </xf>
    <xf numFmtId="0" fontId="29" fillId="0" borderId="0" xfId="0" applyFont="1"/>
    <xf numFmtId="0" fontId="0" fillId="0" borderId="66" xfId="0" applyBorder="1"/>
    <xf numFmtId="165" fontId="0" fillId="0" borderId="66" xfId="0" applyNumberFormat="1" applyBorder="1"/>
    <xf numFmtId="0" fontId="53" fillId="0" borderId="0" xfId="41" applyFont="1"/>
    <xf numFmtId="0" fontId="54" fillId="0" borderId="0" xfId="41" applyFont="1"/>
    <xf numFmtId="0" fontId="54" fillId="0" borderId="0" xfId="41" applyFont="1" applyAlignment="1">
      <alignment horizontal="center"/>
    </xf>
    <xf numFmtId="2" fontId="54" fillId="0" borderId="0" xfId="41" applyNumberFormat="1" applyFont="1" applyAlignment="1">
      <alignment horizontal="center"/>
    </xf>
    <xf numFmtId="0" fontId="48" fillId="0" borderId="0" xfId="41"/>
    <xf numFmtId="0" fontId="48" fillId="0" borderId="0" xfId="41" applyAlignment="1">
      <alignment horizontal="center"/>
    </xf>
    <xf numFmtId="2" fontId="48" fillId="0" borderId="0" xfId="41" applyNumberFormat="1" applyAlignment="1">
      <alignment horizontal="center"/>
    </xf>
    <xf numFmtId="2" fontId="48" fillId="0" borderId="0" xfId="41" applyNumberFormat="1"/>
    <xf numFmtId="0" fontId="55" fillId="0" borderId="0" xfId="41" applyFont="1"/>
    <xf numFmtId="16" fontId="48" fillId="0" borderId="10" xfId="41" applyNumberFormat="1" applyBorder="1"/>
    <xf numFmtId="0" fontId="48" fillId="0" borderId="11" xfId="41" applyBorder="1"/>
    <xf numFmtId="2" fontId="48" fillId="0" borderId="11" xfId="41" applyNumberFormat="1" applyBorder="1" applyAlignment="1">
      <alignment horizontal="center"/>
    </xf>
    <xf numFmtId="165" fontId="48" fillId="11" borderId="11" xfId="28" applyFont="1" applyFill="1" applyBorder="1" applyAlignment="1" applyProtection="1">
      <alignment horizontal="center"/>
    </xf>
    <xf numFmtId="0" fontId="56" fillId="0" borderId="0" xfId="41" applyFont="1"/>
    <xf numFmtId="0" fontId="48" fillId="0" borderId="10" xfId="41" applyBorder="1"/>
    <xf numFmtId="0" fontId="48" fillId="0" borderId="11" xfId="41" applyBorder="1" applyAlignment="1">
      <alignment horizontal="left"/>
    </xf>
    <xf numFmtId="0" fontId="48" fillId="0" borderId="11" xfId="41" applyBorder="1" applyAlignment="1">
      <alignment horizontal="right"/>
    </xf>
    <xf numFmtId="165" fontId="56" fillId="0" borderId="23" xfId="28" applyFont="1" applyBorder="1" applyProtection="1"/>
    <xf numFmtId="0" fontId="48" fillId="0" borderId="0" xfId="42" applyAlignment="1">
      <alignment horizontal="center"/>
    </xf>
    <xf numFmtId="39" fontId="48" fillId="0" borderId="0" xfId="42" quotePrefix="1" applyNumberFormat="1" applyAlignment="1">
      <alignment horizontal="left"/>
    </xf>
    <xf numFmtId="0" fontId="48" fillId="0" borderId="0" xfId="41" quotePrefix="1"/>
    <xf numFmtId="39" fontId="48" fillId="0" borderId="0" xfId="42" applyNumberFormat="1"/>
    <xf numFmtId="39" fontId="48" fillId="0" borderId="0" xfId="42" quotePrefix="1" applyNumberFormat="1"/>
    <xf numFmtId="169" fontId="30" fillId="0" borderId="0" xfId="0" applyNumberFormat="1" applyFont="1"/>
    <xf numFmtId="0" fontId="31" fillId="0" borderId="0" xfId="0" applyFont="1" applyAlignment="1">
      <alignment horizontal="center"/>
    </xf>
    <xf numFmtId="0" fontId="31" fillId="0" borderId="0" xfId="0" applyFont="1"/>
    <xf numFmtId="170" fontId="31" fillId="0" borderId="0" xfId="0" applyNumberFormat="1" applyFont="1"/>
    <xf numFmtId="4" fontId="31" fillId="0" borderId="0" xfId="0" applyNumberFormat="1" applyFont="1"/>
    <xf numFmtId="168" fontId="31" fillId="0" borderId="0" xfId="0" applyNumberFormat="1" applyFont="1"/>
    <xf numFmtId="2" fontId="31" fillId="0" borderId="0" xfId="0" applyNumberFormat="1" applyFont="1"/>
    <xf numFmtId="170" fontId="31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168" fontId="31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170" fontId="33" fillId="0" borderId="0" xfId="0" applyNumberFormat="1" applyFont="1" applyAlignment="1">
      <alignment horizontal="center"/>
    </xf>
    <xf numFmtId="168" fontId="33" fillId="0" borderId="0" xfId="0" applyNumberFormat="1" applyFont="1" applyAlignment="1">
      <alignment horizontal="center"/>
    </xf>
    <xf numFmtId="171" fontId="36" fillId="0" borderId="0" xfId="28" applyNumberFormat="1" applyFont="1" applyBorder="1" applyAlignment="1" applyProtection="1">
      <alignment horizontal="right"/>
    </xf>
    <xf numFmtId="0" fontId="31" fillId="0" borderId="11" xfId="0" applyFont="1" applyBorder="1" applyAlignment="1">
      <alignment horizontal="center"/>
    </xf>
    <xf numFmtId="169" fontId="35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3" fontId="31" fillId="0" borderId="17" xfId="28" applyNumberFormat="1" applyFont="1" applyBorder="1" applyProtection="1"/>
    <xf numFmtId="167" fontId="31" fillId="0" borderId="17" xfId="28" applyNumberFormat="1" applyFont="1" applyBorder="1" applyProtection="1"/>
    <xf numFmtId="171" fontId="31" fillId="0" borderId="17" xfId="28" applyNumberFormat="1" applyFont="1" applyBorder="1" applyProtection="1"/>
    <xf numFmtId="173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1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8" fillId="0" borderId="11" xfId="28" applyNumberFormat="1" applyFont="1" applyBorder="1" applyProtection="1"/>
    <xf numFmtId="175" fontId="0" fillId="0" borderId="11" xfId="0" applyNumberFormat="1" applyBorder="1"/>
    <xf numFmtId="171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8" fillId="0" borderId="11" xfId="0" applyNumberFormat="1" applyFont="1" applyBorder="1" applyAlignment="1">
      <alignment horizontal="center"/>
    </xf>
    <xf numFmtId="2" fontId="28" fillId="0" borderId="17" xfId="0" applyNumberFormat="1" applyFont="1" applyBorder="1" applyAlignment="1">
      <alignment horizontal="center"/>
    </xf>
    <xf numFmtId="165" fontId="28" fillId="0" borderId="11" xfId="28" applyFont="1" applyBorder="1" applyProtection="1"/>
    <xf numFmtId="173" fontId="28" fillId="0" borderId="17" xfId="28" applyNumberFormat="1" applyFont="1" applyBorder="1" applyProtection="1"/>
    <xf numFmtId="0" fontId="28" fillId="0" borderId="11" xfId="0" applyFont="1" applyBorder="1"/>
    <xf numFmtId="171" fontId="28" fillId="0" borderId="11" xfId="28" applyNumberFormat="1" applyFont="1" applyBorder="1" applyProtection="1"/>
    <xf numFmtId="38" fontId="28" fillId="0" borderId="11" xfId="28" applyNumberFormat="1" applyFont="1" applyBorder="1" applyProtection="1"/>
    <xf numFmtId="1" fontId="28" fillId="0" borderId="17" xfId="0" applyNumberFormat="1" applyFont="1" applyBorder="1" applyAlignment="1">
      <alignment horizontal="center"/>
    </xf>
    <xf numFmtId="165" fontId="28" fillId="0" borderId="17" xfId="28" applyFont="1" applyBorder="1" applyProtection="1"/>
    <xf numFmtId="177" fontId="0" fillId="0" borderId="0" xfId="0" applyNumberFormat="1"/>
    <xf numFmtId="173" fontId="31" fillId="0" borderId="0" xfId="28" applyNumberFormat="1" applyFont="1" applyBorder="1" applyProtection="1"/>
    <xf numFmtId="173" fontId="0" fillId="0" borderId="0" xfId="0" applyNumberFormat="1"/>
    <xf numFmtId="165" fontId="23" fillId="24" borderId="0" xfId="28" applyFont="1" applyFill="1" applyBorder="1" applyProtection="1">
      <protection locked="0"/>
    </xf>
    <xf numFmtId="0" fontId="23" fillId="24" borderId="0" xfId="0" applyFont="1" applyFill="1" applyProtection="1">
      <protection locked="0"/>
    </xf>
    <xf numFmtId="165" fontId="23" fillId="24" borderId="0" xfId="0" applyNumberFormat="1" applyFont="1" applyFill="1" applyProtection="1">
      <protection locked="0"/>
    </xf>
    <xf numFmtId="0" fontId="27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6" fillId="24" borderId="10" xfId="0" applyNumberFormat="1" applyFont="1" applyFill="1" applyBorder="1" applyAlignment="1">
      <alignment horizontal="left"/>
    </xf>
    <xf numFmtId="172" fontId="47" fillId="0" borderId="11" xfId="45" applyNumberFormat="1" applyFont="1" applyBorder="1" applyAlignment="1">
      <alignment horizontal="center"/>
    </xf>
    <xf numFmtId="0" fontId="53" fillId="0" borderId="0" xfId="0" applyFont="1"/>
    <xf numFmtId="0" fontId="48" fillId="0" borderId="0" xfId="0" applyFont="1"/>
    <xf numFmtId="16" fontId="23" fillId="24" borderId="0" xfId="28" applyNumberFormat="1" applyFont="1" applyFill="1" applyBorder="1" applyProtection="1">
      <protection locked="0"/>
    </xf>
    <xf numFmtId="167" fontId="56" fillId="0" borderId="11" xfId="28" applyNumberFormat="1" applyFont="1" applyBorder="1" applyProtection="1"/>
    <xf numFmtId="164" fontId="42" fillId="0" borderId="11" xfId="29" applyFont="1" applyFill="1" applyBorder="1"/>
    <xf numFmtId="164" fontId="42" fillId="0" borderId="0" xfId="29" applyFont="1" applyFill="1"/>
    <xf numFmtId="164" fontId="43" fillId="25" borderId="11" xfId="29" applyFont="1" applyFill="1" applyBorder="1" applyAlignment="1">
      <alignment vertical="center"/>
    </xf>
    <xf numFmtId="178" fontId="43" fillId="0" borderId="0" xfId="29" applyNumberFormat="1" applyFont="1" applyFill="1" applyBorder="1" applyAlignment="1">
      <alignment vertical="center"/>
    </xf>
    <xf numFmtId="178" fontId="27" fillId="24" borderId="21" xfId="29" applyNumberFormat="1" applyFont="1" applyFill="1" applyBorder="1" applyAlignment="1" applyProtection="1">
      <alignment horizontal="right" vertical="center"/>
    </xf>
    <xf numFmtId="178" fontId="27" fillId="24" borderId="17" xfId="29" applyNumberFormat="1" applyFont="1" applyFill="1" applyBorder="1" applyAlignment="1" applyProtection="1">
      <alignment horizontal="right" vertical="center"/>
    </xf>
    <xf numFmtId="178" fontId="27" fillId="0" borderId="11" xfId="29" applyNumberFormat="1" applyFont="1" applyFill="1" applyBorder="1" applyAlignment="1" applyProtection="1">
      <alignment horizontal="right"/>
    </xf>
    <xf numFmtId="178" fontId="27" fillId="24" borderId="11" xfId="29" applyNumberFormat="1" applyFont="1" applyFill="1" applyBorder="1" applyAlignment="1" applyProtection="1">
      <alignment horizontal="right" vertical="center"/>
    </xf>
    <xf numFmtId="178" fontId="23" fillId="20" borderId="11" xfId="29" applyNumberFormat="1" applyFont="1" applyFill="1" applyBorder="1" applyAlignment="1" applyProtection="1">
      <alignment horizontal="right"/>
    </xf>
    <xf numFmtId="178" fontId="27" fillId="24" borderId="11" xfId="29" applyNumberFormat="1" applyFont="1" applyFill="1" applyBorder="1" applyAlignment="1" applyProtection="1">
      <alignment horizontal="right"/>
    </xf>
    <xf numFmtId="178" fontId="27" fillId="24" borderId="14" xfId="29" applyNumberFormat="1" applyFont="1" applyFill="1" applyBorder="1" applyAlignment="1" applyProtection="1">
      <alignment horizontal="right"/>
    </xf>
    <xf numFmtId="178" fontId="27" fillId="24" borderId="23" xfId="29" applyNumberFormat="1" applyFont="1" applyFill="1" applyBorder="1" applyAlignment="1" applyProtection="1">
      <alignment horizontal="right"/>
    </xf>
    <xf numFmtId="10" fontId="42" fillId="0" borderId="0" xfId="51" applyNumberFormat="1" applyFont="1" applyFill="1" applyBorder="1"/>
    <xf numFmtId="10" fontId="43" fillId="0" borderId="11" xfId="51" applyNumberFormat="1" applyFont="1" applyFill="1" applyBorder="1"/>
    <xf numFmtId="10" fontId="42" fillId="0" borderId="0" xfId="51" applyNumberFormat="1" applyFont="1" applyFill="1" applyBorder="1" applyAlignment="1">
      <alignment vertical="center"/>
    </xf>
    <xf numFmtId="10" fontId="43" fillId="27" borderId="0" xfId="51" applyNumberFormat="1" applyFont="1" applyFill="1" applyBorder="1"/>
    <xf numFmtId="10" fontId="43" fillId="0" borderId="11" xfId="51" applyNumberFormat="1" applyFont="1" applyFill="1" applyBorder="1" applyAlignment="1">
      <alignment vertical="center"/>
    </xf>
    <xf numFmtId="0" fontId="42" fillId="28" borderId="0" xfId="0" applyFont="1" applyFill="1"/>
    <xf numFmtId="0" fontId="52" fillId="28" borderId="0" xfId="0" applyFont="1" applyFill="1"/>
    <xf numFmtId="178" fontId="42" fillId="28" borderId="0" xfId="29" applyNumberFormat="1" applyFont="1" applyFill="1" applyBorder="1" applyAlignment="1">
      <alignment vertical="center"/>
    </xf>
    <xf numFmtId="0" fontId="42" fillId="28" borderId="0" xfId="0" applyFont="1" applyFill="1" applyAlignment="1">
      <alignment horizontal="right"/>
    </xf>
    <xf numFmtId="166" fontId="42" fillId="28" borderId="0" xfId="0" applyNumberFormat="1" applyFont="1" applyFill="1" applyAlignment="1">
      <alignment horizontal="right"/>
    </xf>
    <xf numFmtId="166" fontId="42" fillId="28" borderId="0" xfId="0" applyNumberFormat="1" applyFont="1" applyFill="1"/>
    <xf numFmtId="10" fontId="42" fillId="28" borderId="0" xfId="0" applyNumberFormat="1" applyFont="1" applyFill="1"/>
    <xf numFmtId="10" fontId="42" fillId="28" borderId="0" xfId="0" applyNumberFormat="1" applyFont="1" applyFill="1" applyAlignment="1">
      <alignment horizontal="right"/>
    </xf>
    <xf numFmtId="165" fontId="43" fillId="28" borderId="0" xfId="0" applyNumberFormat="1" applyFont="1" applyFill="1" applyAlignment="1">
      <alignment horizontal="right"/>
    </xf>
    <xf numFmtId="166" fontId="43" fillId="28" borderId="0" xfId="51" applyNumberFormat="1" applyFont="1" applyFill="1" applyBorder="1" applyAlignment="1">
      <alignment vertical="center"/>
    </xf>
    <xf numFmtId="178" fontId="43" fillId="25" borderId="13" xfId="29" applyNumberFormat="1" applyFont="1" applyFill="1" applyBorder="1" applyAlignment="1">
      <alignment vertical="center"/>
    </xf>
    <xf numFmtId="178" fontId="43" fillId="25" borderId="19" xfId="29" applyNumberFormat="1" applyFont="1" applyFill="1" applyBorder="1" applyAlignment="1">
      <alignment vertical="center"/>
    </xf>
    <xf numFmtId="166" fontId="43" fillId="25" borderId="19" xfId="51" applyNumberFormat="1" applyFont="1" applyFill="1" applyBorder="1" applyAlignment="1">
      <alignment vertical="center"/>
    </xf>
    <xf numFmtId="0" fontId="42" fillId="0" borderId="17" xfId="0" applyFont="1" applyBorder="1"/>
    <xf numFmtId="10" fontId="50" fillId="29" borderId="11" xfId="51" applyNumberFormat="1" applyFont="1" applyFill="1" applyBorder="1" applyAlignment="1">
      <alignment vertical="center"/>
    </xf>
    <xf numFmtId="178" fontId="43" fillId="4" borderId="11" xfId="29" applyNumberFormat="1" applyFont="1" applyFill="1" applyBorder="1" applyAlignment="1">
      <alignment horizontal="center"/>
    </xf>
    <xf numFmtId="10" fontId="50" fillId="4" borderId="11" xfId="51" applyNumberFormat="1" applyFont="1" applyFill="1" applyBorder="1" applyAlignment="1">
      <alignment vertical="center"/>
    </xf>
    <xf numFmtId="0" fontId="45" fillId="0" borderId="0" xfId="0" applyFont="1"/>
    <xf numFmtId="0" fontId="0" fillId="0" borderId="27" xfId="0" applyBorder="1"/>
    <xf numFmtId="0" fontId="45" fillId="0" borderId="27" xfId="0" applyFont="1" applyBorder="1"/>
    <xf numFmtId="167" fontId="33" fillId="30" borderId="13" xfId="28" applyNumberFormat="1" applyFont="1" applyFill="1" applyBorder="1" applyAlignment="1" applyProtection="1">
      <alignment horizontal="center"/>
    </xf>
    <xf numFmtId="167" fontId="33" fillId="30" borderId="11" xfId="28" applyNumberFormat="1" applyFont="1" applyFill="1" applyBorder="1" applyAlignment="1" applyProtection="1">
      <alignment horizontal="center"/>
    </xf>
    <xf numFmtId="168" fontId="37" fillId="30" borderId="13" xfId="0" applyNumberFormat="1" applyFont="1" applyFill="1" applyBorder="1" applyAlignment="1">
      <alignment horizontal="center" vertical="center" wrapText="1"/>
    </xf>
    <xf numFmtId="167" fontId="33" fillId="31" borderId="13" xfId="28" applyNumberFormat="1" applyFont="1" applyFill="1" applyBorder="1" applyAlignment="1" applyProtection="1">
      <alignment horizontal="center"/>
    </xf>
    <xf numFmtId="167" fontId="33" fillId="31" borderId="11" xfId="28" applyNumberFormat="1" applyFont="1" applyFill="1" applyBorder="1" applyAlignment="1" applyProtection="1">
      <alignment horizontal="center"/>
    </xf>
    <xf numFmtId="168" fontId="37" fillId="31" borderId="13" xfId="0" applyNumberFormat="1" applyFont="1" applyFill="1" applyBorder="1" applyAlignment="1">
      <alignment horizontal="center" vertical="center" wrapText="1"/>
    </xf>
    <xf numFmtId="167" fontId="33" fillId="32" borderId="13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168" fontId="37" fillId="32" borderId="13" xfId="0" applyNumberFormat="1" applyFont="1" applyFill="1" applyBorder="1" applyAlignment="1">
      <alignment horizontal="center" vertical="center" wrapText="1"/>
    </xf>
    <xf numFmtId="167" fontId="33" fillId="33" borderId="13" xfId="28" applyNumberFormat="1" applyFont="1" applyFill="1" applyBorder="1" applyAlignment="1" applyProtection="1">
      <alignment horizontal="center"/>
    </xf>
    <xf numFmtId="167" fontId="33" fillId="33" borderId="11" xfId="28" applyNumberFormat="1" applyFont="1" applyFill="1" applyBorder="1" applyAlignment="1" applyProtection="1">
      <alignment horizontal="center"/>
    </xf>
    <xf numFmtId="168" fontId="37" fillId="33" borderId="13" xfId="0" applyNumberFormat="1" applyFont="1" applyFill="1" applyBorder="1" applyAlignment="1">
      <alignment horizontal="center" vertical="center" wrapText="1"/>
    </xf>
    <xf numFmtId="167" fontId="33" fillId="34" borderId="11" xfId="28" applyNumberFormat="1" applyFont="1" applyFill="1" applyBorder="1" applyAlignment="1" applyProtection="1">
      <alignment horizontal="center"/>
    </xf>
    <xf numFmtId="167" fontId="33" fillId="35" borderId="13" xfId="28" applyNumberFormat="1" applyFont="1" applyFill="1" applyBorder="1" applyAlignment="1" applyProtection="1">
      <alignment horizontal="center"/>
    </xf>
    <xf numFmtId="167" fontId="33" fillId="35" borderId="11" xfId="28" applyNumberFormat="1" applyFont="1" applyFill="1" applyBorder="1" applyAlignment="1" applyProtection="1">
      <alignment horizontal="center"/>
    </xf>
    <xf numFmtId="168" fontId="37" fillId="35" borderId="13" xfId="0" applyNumberFormat="1" applyFont="1" applyFill="1" applyBorder="1" applyAlignment="1">
      <alignment horizontal="center" vertical="center" wrapText="1"/>
    </xf>
    <xf numFmtId="167" fontId="33" fillId="36" borderId="11" xfId="28" applyNumberFormat="1" applyFont="1" applyFill="1" applyBorder="1" applyAlignment="1" applyProtection="1">
      <alignment horizontal="center"/>
    </xf>
    <xf numFmtId="167" fontId="33" fillId="27" borderId="11" xfId="28" applyNumberFormat="1" applyFont="1" applyFill="1" applyBorder="1" applyAlignment="1" applyProtection="1">
      <alignment horizontal="center"/>
    </xf>
    <xf numFmtId="167" fontId="33" fillId="37" borderId="11" xfId="28" applyNumberFormat="1" applyFont="1" applyFill="1" applyBorder="1" applyAlignment="1" applyProtection="1">
      <alignment horizontal="center"/>
    </xf>
    <xf numFmtId="167" fontId="33" fillId="38" borderId="11" xfId="28" applyNumberFormat="1" applyFont="1" applyFill="1" applyBorder="1" applyAlignment="1" applyProtection="1">
      <alignment horizontal="center"/>
    </xf>
    <xf numFmtId="167" fontId="33" fillId="27" borderId="17" xfId="28" applyNumberFormat="1" applyFont="1" applyFill="1" applyBorder="1" applyAlignment="1" applyProtection="1">
      <alignment horizontal="center"/>
    </xf>
    <xf numFmtId="0" fontId="28" fillId="27" borderId="11" xfId="0" applyFont="1" applyFill="1" applyBorder="1"/>
    <xf numFmtId="0" fontId="28" fillId="0" borderId="11" xfId="28" applyNumberFormat="1" applyFont="1" applyBorder="1" applyProtection="1"/>
    <xf numFmtId="178" fontId="58" fillId="0" borderId="0" xfId="29" applyNumberFormat="1" applyFont="1" applyProtection="1"/>
    <xf numFmtId="9" fontId="0" fillId="0" borderId="0" xfId="51" applyFont="1" applyProtection="1"/>
    <xf numFmtId="172" fontId="48" fillId="0" borderId="68" xfId="0" applyNumberFormat="1" applyFont="1" applyBorder="1"/>
    <xf numFmtId="0" fontId="45" fillId="0" borderId="37" xfId="0" applyFont="1" applyBorder="1"/>
    <xf numFmtId="2" fontId="0" fillId="0" borderId="70" xfId="0" applyNumberFormat="1" applyBorder="1" applyAlignment="1">
      <alignment vertical="center"/>
    </xf>
    <xf numFmtId="2" fontId="0" fillId="0" borderId="41" xfId="0" applyNumberFormat="1" applyBorder="1" applyAlignment="1">
      <alignment vertical="center"/>
    </xf>
    <xf numFmtId="10" fontId="42" fillId="0" borderId="11" xfId="51" applyNumberFormat="1" applyFont="1" applyFill="1" applyBorder="1" applyAlignment="1">
      <alignment vertical="center"/>
    </xf>
    <xf numFmtId="16" fontId="48" fillId="0" borderId="11" xfId="41" applyNumberFormat="1" applyBorder="1"/>
    <xf numFmtId="0" fontId="0" fillId="0" borderId="17" xfId="28" applyNumberFormat="1" applyFont="1" applyBorder="1" applyProtection="1"/>
    <xf numFmtId="2" fontId="39" fillId="0" borderId="11" xfId="46" applyNumberFormat="1" applyFont="1" applyBorder="1" applyAlignment="1">
      <alignment horizontal="center"/>
    </xf>
    <xf numFmtId="2" fontId="42" fillId="0" borderId="0" xfId="0" applyNumberFormat="1" applyFont="1"/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5" fillId="0" borderId="11" xfId="0" quotePrefix="1" applyFont="1" applyBorder="1" applyAlignment="1" applyProtection="1">
      <alignment horizontal="center" vertical="center"/>
      <protection locked="0"/>
    </xf>
    <xf numFmtId="0" fontId="0" fillId="0" borderId="63" xfId="0" applyBorder="1" applyAlignment="1">
      <alignment horizontal="center" vertical="center"/>
    </xf>
    <xf numFmtId="4" fontId="0" fillId="0" borderId="63" xfId="0" applyNumberFormat="1" applyBorder="1" applyAlignment="1">
      <alignment vertical="center" wrapText="1"/>
    </xf>
    <xf numFmtId="4" fontId="0" fillId="0" borderId="63" xfId="0" applyNumberFormat="1" applyBorder="1" applyAlignment="1">
      <alignment vertical="center"/>
    </xf>
    <xf numFmtId="168" fontId="0" fillId="0" borderId="63" xfId="0" applyNumberFormat="1" applyBorder="1" applyAlignment="1">
      <alignment vertical="center"/>
    </xf>
    <xf numFmtId="2" fontId="0" fillId="0" borderId="63" xfId="0" applyNumberFormat="1" applyBorder="1" applyAlignment="1">
      <alignment vertical="center" wrapText="1"/>
    </xf>
    <xf numFmtId="16" fontId="28" fillId="0" borderId="67" xfId="0" applyNumberFormat="1" applyFont="1" applyBorder="1" applyAlignment="1">
      <alignment vertical="center"/>
    </xf>
    <xf numFmtId="0" fontId="28" fillId="0" borderId="67" xfId="0" applyFont="1" applyBorder="1" applyAlignment="1">
      <alignment horizontal="center" vertical="center"/>
    </xf>
    <xf numFmtId="4" fontId="28" fillId="0" borderId="67" xfId="0" applyNumberFormat="1" applyFont="1" applyBorder="1" applyAlignment="1">
      <alignment vertical="center"/>
    </xf>
    <xf numFmtId="170" fontId="28" fillId="0" borderId="67" xfId="0" applyNumberFormat="1" applyFont="1" applyBorder="1" applyAlignment="1">
      <alignment vertical="center"/>
    </xf>
    <xf numFmtId="168" fontId="28" fillId="0" borderId="67" xfId="0" applyNumberFormat="1" applyFont="1" applyBorder="1" applyAlignment="1">
      <alignment vertical="center"/>
    </xf>
    <xf numFmtId="2" fontId="28" fillId="0" borderId="67" xfId="0" applyNumberFormat="1" applyFont="1" applyBorder="1" applyAlignment="1">
      <alignment vertical="center" wrapText="1"/>
    </xf>
    <xf numFmtId="4" fontId="28" fillId="0" borderId="67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1" applyFont="1" applyBorder="1" applyAlignment="1" applyProtection="1">
      <alignment horizontal="center" vertical="center"/>
      <protection locked="0"/>
    </xf>
    <xf numFmtId="9" fontId="0" fillId="0" borderId="63" xfId="51" applyFont="1" applyBorder="1" applyAlignment="1" applyProtection="1">
      <alignment horizontal="center" vertical="center"/>
    </xf>
    <xf numFmtId="9" fontId="28" fillId="0" borderId="67" xfId="51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2" fontId="0" fillId="0" borderId="17" xfId="28" applyNumberFormat="1" applyFont="1" applyBorder="1" applyProtection="1"/>
    <xf numFmtId="10" fontId="45" fillId="0" borderId="11" xfId="51" applyNumberFormat="1" applyFont="1" applyFill="1" applyBorder="1" applyAlignment="1" applyProtection="1">
      <alignment horizontal="center" vertical="center"/>
      <protection locked="0"/>
    </xf>
    <xf numFmtId="10" fontId="45" fillId="27" borderId="11" xfId="51" applyNumberFormat="1" applyFont="1" applyFill="1" applyBorder="1" applyAlignment="1" applyProtection="1">
      <alignment horizontal="center" vertical="center"/>
      <protection locked="0"/>
    </xf>
    <xf numFmtId="2" fontId="39" fillId="0" borderId="11" xfId="45" applyNumberFormat="1" applyFont="1" applyBorder="1" applyAlignment="1">
      <alignment horizontal="center"/>
    </xf>
    <xf numFmtId="165" fontId="43" fillId="33" borderId="11" xfId="29" applyNumberFormat="1" applyFont="1" applyFill="1" applyBorder="1" applyAlignment="1">
      <alignment vertical="center"/>
    </xf>
    <xf numFmtId="0" fontId="45" fillId="0" borderId="11" xfId="0" applyFont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horizontal="center" vertical="center" wrapText="1"/>
    </xf>
    <xf numFmtId="10" fontId="45" fillId="27" borderId="63" xfId="51" applyNumberFormat="1" applyFont="1" applyFill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vertical="center" wrapText="1"/>
    </xf>
    <xf numFmtId="0" fontId="59" fillId="0" borderId="0" xfId="0" applyFont="1"/>
    <xf numFmtId="178" fontId="43" fillId="0" borderId="17" xfId="29" applyNumberFormat="1" applyFont="1" applyFill="1" applyBorder="1" applyAlignment="1">
      <alignment horizontal="center" vertical="center" wrapText="1"/>
    </xf>
    <xf numFmtId="178" fontId="43" fillId="0" borderId="17" xfId="29" applyNumberFormat="1" applyFont="1" applyFill="1" applyBorder="1" applyAlignment="1">
      <alignment vertical="center" wrapText="1"/>
    </xf>
    <xf numFmtId="178" fontId="42" fillId="0" borderId="19" xfId="29" applyNumberFormat="1" applyFont="1" applyFill="1" applyBorder="1" applyAlignment="1">
      <alignment vertical="center"/>
    </xf>
    <xf numFmtId="0" fontId="60" fillId="41" borderId="0" xfId="0" applyFont="1" applyFill="1"/>
    <xf numFmtId="0" fontId="61" fillId="41" borderId="0" xfId="0" applyFont="1" applyFill="1"/>
    <xf numFmtId="181" fontId="43" fillId="25" borderId="11" xfId="29" applyNumberFormat="1" applyFont="1" applyFill="1" applyBorder="1" applyAlignment="1">
      <alignment vertical="center"/>
    </xf>
    <xf numFmtId="177" fontId="42" fillId="0" borderId="11" xfId="0" applyNumberFormat="1" applyFont="1" applyBorder="1" applyAlignment="1">
      <alignment horizontal="center" vertical="center" wrapText="1"/>
    </xf>
    <xf numFmtId="0" fontId="27" fillId="24" borderId="14" xfId="0" quotePrefix="1" applyFont="1" applyFill="1" applyBorder="1" applyAlignment="1" applyProtection="1">
      <alignment wrapText="1"/>
      <protection locked="0"/>
    </xf>
    <xf numFmtId="3" fontId="60" fillId="41" borderId="0" xfId="0" applyNumberFormat="1" applyFont="1" applyFill="1"/>
    <xf numFmtId="3" fontId="61" fillId="41" borderId="0" xfId="0" applyNumberFormat="1" applyFont="1" applyFill="1"/>
    <xf numFmtId="17" fontId="0" fillId="0" borderId="11" xfId="0" quotePrefix="1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2" fontId="59" fillId="27" borderId="11" xfId="0" applyNumberFormat="1" applyFont="1" applyFill="1" applyBorder="1" applyAlignment="1">
      <alignment horizontal="center" vertical="center" wrapText="1"/>
    </xf>
    <xf numFmtId="0" fontId="59" fillId="27" borderId="11" xfId="0" applyFont="1" applyFill="1" applyBorder="1" applyAlignment="1">
      <alignment horizontal="center" vertical="center" wrapText="1"/>
    </xf>
    <xf numFmtId="9" fontId="59" fillId="27" borderId="11" xfId="51" applyFont="1" applyFill="1" applyBorder="1" applyAlignment="1">
      <alignment horizontal="center" vertical="center" wrapText="1"/>
    </xf>
    <xf numFmtId="10" fontId="0" fillId="0" borderId="11" xfId="51" applyNumberFormat="1" applyFont="1" applyFill="1" applyBorder="1" applyAlignment="1">
      <alignment horizontal="center" vertical="center"/>
    </xf>
    <xf numFmtId="0" fontId="59" fillId="0" borderId="61" xfId="0" applyFont="1" applyBorder="1" applyAlignment="1">
      <alignment vertical="center"/>
    </xf>
    <xf numFmtId="10" fontId="0" fillId="0" borderId="11" xfId="51" applyNumberFormat="1" applyFont="1" applyBorder="1" applyAlignment="1">
      <alignment horizontal="center"/>
    </xf>
    <xf numFmtId="10" fontId="59" fillId="0" borderId="11" xfId="51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1" xfId="0" applyNumberFormat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14" fontId="59" fillId="0" borderId="0" xfId="0" applyNumberFormat="1" applyFont="1" applyAlignment="1">
      <alignment horizontal="center" vertical="center"/>
    </xf>
    <xf numFmtId="2" fontId="59" fillId="0" borderId="0" xfId="0" applyNumberFormat="1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0" fillId="27" borderId="11" xfId="0" applyFill="1" applyBorder="1"/>
    <xf numFmtId="10" fontId="0" fillId="0" borderId="11" xfId="51" applyNumberFormat="1" applyFont="1" applyBorder="1"/>
    <xf numFmtId="10" fontId="0" fillId="0" borderId="11" xfId="0" applyNumberFormat="1" applyBorder="1" applyAlignment="1">
      <alignment horizontal="right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2" fontId="59" fillId="39" borderId="11" xfId="0" applyNumberFormat="1" applyFont="1" applyFill="1" applyBorder="1" applyAlignment="1">
      <alignment horizontal="center"/>
    </xf>
    <xf numFmtId="10" fontId="59" fillId="39" borderId="11" xfId="51" applyNumberFormat="1" applyFont="1" applyFill="1" applyBorder="1" applyAlignment="1">
      <alignment horizontal="center"/>
    </xf>
    <xf numFmtId="0" fontId="28" fillId="39" borderId="11" xfId="0" applyFont="1" applyFill="1" applyBorder="1"/>
    <xf numFmtId="0" fontId="39" fillId="0" borderId="11" xfId="57" applyFont="1" applyBorder="1" applyAlignment="1">
      <alignment horizontal="left"/>
    </xf>
    <xf numFmtId="0" fontId="45" fillId="0" borderId="11" xfId="0" applyFont="1" applyBorder="1"/>
    <xf numFmtId="0" fontId="39" fillId="50" borderId="11" xfId="57" applyFont="1" applyFill="1" applyBorder="1" applyAlignment="1">
      <alignment horizontal="left"/>
    </xf>
    <xf numFmtId="0" fontId="0" fillId="51" borderId="11" xfId="0" applyFill="1" applyBorder="1"/>
    <xf numFmtId="0" fontId="45" fillId="51" borderId="11" xfId="0" applyFont="1" applyFill="1" applyBorder="1"/>
    <xf numFmtId="10" fontId="0" fillId="50" borderId="17" xfId="51" applyNumberFormat="1" applyFont="1" applyFill="1" applyBorder="1"/>
    <xf numFmtId="10" fontId="0" fillId="0" borderId="17" xfId="51" applyNumberFormat="1" applyFont="1" applyBorder="1"/>
    <xf numFmtId="0" fontId="39" fillId="0" borderId="19" xfId="57" applyFont="1" applyBorder="1" applyAlignment="1">
      <alignment horizontal="left"/>
    </xf>
    <xf numFmtId="0" fontId="31" fillId="0" borderId="11" xfId="57" applyFont="1" applyBorder="1" applyAlignment="1">
      <alignment horizontal="left"/>
    </xf>
    <xf numFmtId="0" fontId="65" fillId="0" borderId="11" xfId="57" applyFont="1" applyBorder="1" applyAlignment="1">
      <alignment horizontal="left"/>
    </xf>
    <xf numFmtId="10" fontId="64" fillId="27" borderId="11" xfId="51" applyNumberFormat="1" applyFont="1" applyFill="1" applyBorder="1"/>
    <xf numFmtId="10" fontId="28" fillId="0" borderId="11" xfId="0" applyNumberFormat="1" applyFont="1" applyBorder="1"/>
    <xf numFmtId="0" fontId="45" fillId="0" borderId="0" xfId="0" quotePrefix="1" applyFont="1"/>
    <xf numFmtId="0" fontId="68" fillId="24" borderId="13" xfId="0" quotePrefix="1" applyFont="1" applyFill="1" applyBorder="1" applyAlignment="1" applyProtection="1">
      <alignment wrapText="1"/>
      <protection locked="0"/>
    </xf>
    <xf numFmtId="16" fontId="45" fillId="0" borderId="11" xfId="0" quotePrefix="1" applyNumberFormat="1" applyFont="1" applyBorder="1" applyAlignment="1" applyProtection="1">
      <alignment horizontal="center" vertical="center"/>
      <protection locked="0"/>
    </xf>
    <xf numFmtId="0" fontId="0" fillId="0" borderId="0" xfId="0" quotePrefix="1"/>
    <xf numFmtId="0" fontId="0" fillId="0" borderId="11" xfId="0" applyBorder="1" applyAlignment="1">
      <alignment horizontal="center" vertical="center"/>
    </xf>
    <xf numFmtId="0" fontId="0" fillId="41" borderId="11" xfId="0" applyFill="1" applyBorder="1"/>
    <xf numFmtId="0" fontId="45" fillId="0" borderId="58" xfId="56" applyBorder="1"/>
    <xf numFmtId="0" fontId="45" fillId="0" borderId="23" xfId="56" applyBorder="1"/>
    <xf numFmtId="0" fontId="45" fillId="0" borderId="24" xfId="56" applyBorder="1"/>
    <xf numFmtId="165" fontId="0" fillId="0" borderId="11" xfId="51" applyNumberFormat="1" applyFont="1" applyFill="1" applyBorder="1"/>
    <xf numFmtId="165" fontId="0" fillId="0" borderId="50" xfId="51" applyNumberFormat="1" applyFont="1" applyFill="1" applyBorder="1"/>
    <xf numFmtId="10" fontId="45" fillId="0" borderId="10" xfId="56" applyNumberFormat="1" applyBorder="1"/>
    <xf numFmtId="10" fontId="45" fillId="0" borderId="11" xfId="56" applyNumberFormat="1" applyBorder="1"/>
    <xf numFmtId="165" fontId="45" fillId="0" borderId="11" xfId="51" applyNumberFormat="1" applyFont="1" applyFill="1" applyBorder="1"/>
    <xf numFmtId="165" fontId="45" fillId="0" borderId="50" xfId="51" applyNumberFormat="1" applyFont="1" applyFill="1" applyBorder="1"/>
    <xf numFmtId="0" fontId="22" fillId="0" borderId="0" xfId="41" applyFont="1"/>
    <xf numFmtId="178" fontId="43" fillId="4" borderId="14" xfId="29" applyNumberFormat="1" applyFont="1" applyFill="1" applyBorder="1" applyAlignment="1">
      <alignment horizontal="center" vertical="center" wrapText="1"/>
    </xf>
    <xf numFmtId="10" fontId="45" fillId="0" borderId="57" xfId="56" applyNumberFormat="1" applyBorder="1"/>
    <xf numFmtId="10" fontId="45" fillId="0" borderId="21" xfId="56" applyNumberFormat="1" applyBorder="1"/>
    <xf numFmtId="165" fontId="0" fillId="0" borderId="21" xfId="51" applyNumberFormat="1" applyFont="1" applyFill="1" applyBorder="1"/>
    <xf numFmtId="165" fontId="45" fillId="0" borderId="21" xfId="51" applyNumberFormat="1" applyFont="1" applyFill="1" applyBorder="1"/>
    <xf numFmtId="165" fontId="45" fillId="0" borderId="48" xfId="51" applyNumberFormat="1" applyFont="1" applyFill="1" applyBorder="1"/>
    <xf numFmtId="0" fontId="45" fillId="0" borderId="11" xfId="0" applyFon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0" fontId="0" fillId="27" borderId="0" xfId="0" applyNumberFormat="1" applyFill="1"/>
    <xf numFmtId="178" fontId="43" fillId="42" borderId="11" xfId="58" applyNumberFormat="1" applyFont="1" applyFill="1" applyBorder="1" applyAlignment="1">
      <alignment horizontal="center" vertical="center" wrapText="1"/>
    </xf>
    <xf numFmtId="178" fontId="43" fillId="26" borderId="14" xfId="58" applyNumberFormat="1" applyFont="1" applyFill="1" applyBorder="1" applyAlignment="1">
      <alignment horizontal="center" vertical="center" wrapText="1"/>
    </xf>
    <xf numFmtId="178" fontId="43" fillId="26" borderId="11" xfId="58" applyNumberFormat="1" applyFont="1" applyFill="1" applyBorder="1" applyAlignment="1">
      <alignment horizontal="center" vertical="center" wrapText="1"/>
    </xf>
    <xf numFmtId="178" fontId="43" fillId="42" borderId="14" xfId="58" applyNumberFormat="1" applyFont="1" applyFill="1" applyBorder="1" applyAlignment="1">
      <alignment horizontal="center" vertical="center" wrapText="1"/>
    </xf>
    <xf numFmtId="10" fontId="43" fillId="28" borderId="0" xfId="0" applyNumberFormat="1" applyFont="1" applyFill="1"/>
    <xf numFmtId="2" fontId="0" fillId="0" borderId="0" xfId="28" applyNumberFormat="1" applyFont="1" applyAlignment="1"/>
    <xf numFmtId="2" fontId="28" fillId="0" borderId="87" xfId="28" applyNumberFormat="1" applyFont="1" applyFill="1" applyBorder="1" applyAlignment="1" applyProtection="1">
      <alignment horizontal="center" vertical="center"/>
    </xf>
    <xf numFmtId="2" fontId="28" fillId="0" borderId="89" xfId="28" applyNumberFormat="1" applyFont="1" applyBorder="1" applyAlignment="1">
      <alignment horizontal="center" vertical="center"/>
    </xf>
    <xf numFmtId="2" fontId="28" fillId="0" borderId="89" xfId="28" applyNumberFormat="1" applyFont="1" applyFill="1" applyBorder="1" applyAlignment="1" applyProtection="1">
      <alignment horizontal="center" vertical="center"/>
    </xf>
    <xf numFmtId="2" fontId="0" fillId="0" borderId="90" xfId="28" applyNumberFormat="1" applyFont="1" applyBorder="1" applyAlignment="1"/>
    <xf numFmtId="2" fontId="0" fillId="0" borderId="90" xfId="28" applyNumberFormat="1" applyFont="1" applyBorder="1" applyAlignment="1" applyProtection="1">
      <alignment horizontal="center" vertical="center"/>
      <protection hidden="1"/>
    </xf>
    <xf numFmtId="2" fontId="28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0" fontId="43" fillId="0" borderId="14" xfId="0" applyFont="1" applyBorder="1" applyAlignment="1">
      <alignment horizontal="center" vertical="center" wrapText="1"/>
    </xf>
    <xf numFmtId="178" fontId="43" fillId="4" borderId="14" xfId="29" applyNumberFormat="1" applyFont="1" applyFill="1" applyBorder="1" applyAlignment="1">
      <alignment horizontal="center" vertical="center" wrapText="1"/>
    </xf>
    <xf numFmtId="178" fontId="43" fillId="0" borderId="17" xfId="29" applyNumberFormat="1" applyFont="1" applyFill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0" fontId="59" fillId="0" borderId="11" xfId="0" applyFont="1" applyBorder="1" applyAlignment="1">
      <alignment horizontal="left" vertical="center"/>
    </xf>
    <xf numFmtId="0" fontId="59" fillId="27" borderId="1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1" applyNumberFormat="1" applyFont="1" applyFill="1" applyBorder="1" applyAlignment="1">
      <alignment horizontal="center" vertical="center"/>
    </xf>
    <xf numFmtId="0" fontId="45" fillId="0" borderId="11" xfId="0" applyFont="1" applyBorder="1" applyAlignment="1">
      <alignment vertical="top" wrapText="1"/>
    </xf>
    <xf numFmtId="0" fontId="45" fillId="0" borderId="89" xfId="56" applyBorder="1"/>
    <xf numFmtId="0" fontId="45" fillId="0" borderId="92" xfId="56" applyBorder="1"/>
    <xf numFmtId="165" fontId="0" fillId="0" borderId="48" xfId="51" applyNumberFormat="1" applyFont="1" applyFill="1" applyBorder="1"/>
    <xf numFmtId="173" fontId="27" fillId="24" borderId="11" xfId="28" applyNumberFormat="1" applyFont="1" applyFill="1" applyBorder="1" applyAlignment="1" applyProtection="1">
      <alignment horizontal="center"/>
      <protection locked="0"/>
    </xf>
    <xf numFmtId="0" fontId="45" fillId="0" borderId="0" xfId="0" applyFont="1" applyFill="1" applyBorder="1"/>
    <xf numFmtId="172" fontId="45" fillId="0" borderId="68" xfId="0" applyNumberFormat="1" applyFont="1" applyBorder="1"/>
    <xf numFmtId="0" fontId="0" fillId="0" borderId="0" xfId="0" applyBorder="1"/>
    <xf numFmtId="172" fontId="45" fillId="0" borderId="36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5" fillId="0" borderId="36" xfId="0" applyFont="1" applyBorder="1" applyAlignment="1">
      <alignment horizontal="center" vertical="center" wrapText="1"/>
    </xf>
    <xf numFmtId="1" fontId="48" fillId="0" borderId="40" xfId="0" applyNumberFormat="1" applyFont="1" applyBorder="1" applyAlignment="1">
      <alignment horizontal="center" vertical="center"/>
    </xf>
    <xf numFmtId="0" fontId="0" fillId="0" borderId="70" xfId="0" applyBorder="1"/>
    <xf numFmtId="0" fontId="45" fillId="0" borderId="94" xfId="56" applyBorder="1"/>
    <xf numFmtId="173" fontId="23" fillId="24" borderId="0" xfId="0" applyNumberFormat="1" applyFont="1" applyFill="1"/>
    <xf numFmtId="16" fontId="45" fillId="0" borderId="97" xfId="56" applyNumberFormat="1" applyBorder="1" applyAlignment="1">
      <alignment horizontal="center"/>
    </xf>
    <xf numFmtId="16" fontId="45" fillId="0" borderId="98" xfId="56" applyNumberFormat="1" applyBorder="1" applyAlignment="1">
      <alignment horizontal="center"/>
    </xf>
    <xf numFmtId="0" fontId="28" fillId="49" borderId="98" xfId="56" applyFont="1" applyFill="1" applyBorder="1" applyAlignment="1"/>
    <xf numFmtId="16" fontId="28" fillId="34" borderId="98" xfId="56" applyNumberFormat="1" applyFont="1" applyFill="1" applyBorder="1" applyAlignment="1"/>
    <xf numFmtId="16" fontId="28" fillId="44" borderId="98" xfId="56" applyNumberFormat="1" applyFont="1" applyFill="1" applyBorder="1" applyAlignment="1"/>
    <xf numFmtId="16" fontId="28" fillId="40" borderId="98" xfId="56" applyNumberFormat="1" applyFont="1" applyFill="1" applyBorder="1" applyAlignment="1"/>
    <xf numFmtId="16" fontId="28" fillId="35" borderId="98" xfId="56" applyNumberFormat="1" applyFont="1" applyFill="1" applyBorder="1" applyAlignment="1"/>
    <xf numFmtId="0" fontId="28" fillId="45" borderId="98" xfId="56" applyFont="1" applyFill="1" applyBorder="1" applyAlignment="1"/>
    <xf numFmtId="0" fontId="28" fillId="46" borderId="98" xfId="56" applyFont="1" applyFill="1" applyBorder="1" applyAlignment="1"/>
    <xf numFmtId="0" fontId="28" fillId="47" borderId="98" xfId="56" applyFont="1" applyFill="1" applyBorder="1" applyAlignment="1"/>
    <xf numFmtId="0" fontId="28" fillId="48" borderId="98" xfId="56" applyFont="1" applyFill="1" applyBorder="1" applyAlignment="1"/>
    <xf numFmtId="0" fontId="28" fillId="40" borderId="98" xfId="56" applyFont="1" applyFill="1" applyBorder="1" applyAlignment="1"/>
    <xf numFmtId="0" fontId="28" fillId="44" borderId="99" xfId="56" applyFont="1" applyFill="1" applyBorder="1" applyAlignment="1"/>
    <xf numFmtId="170" fontId="0" fillId="0" borderId="11" xfId="0" applyNumberFormat="1" applyBorder="1" applyAlignment="1" applyProtection="1">
      <alignment vertical="center" wrapText="1"/>
      <protection locked="0"/>
    </xf>
    <xf numFmtId="0" fontId="28" fillId="0" borderId="17" xfId="0" applyFont="1" applyBorder="1" applyAlignment="1">
      <alignment horizontal="center" vertical="center" wrapText="1"/>
    </xf>
    <xf numFmtId="1" fontId="43" fillId="0" borderId="0" xfId="51" applyNumberFormat="1" applyFont="1" applyFill="1" applyBorder="1" applyAlignment="1">
      <alignment vertical="center"/>
    </xf>
    <xf numFmtId="0" fontId="45" fillId="0" borderId="11" xfId="0" applyFont="1" applyBorder="1" applyAlignment="1">
      <alignment wrapText="1"/>
    </xf>
    <xf numFmtId="0" fontId="28" fillId="24" borderId="13" xfId="0" quotePrefix="1" applyFont="1" applyFill="1" applyBorder="1" applyAlignment="1" applyProtection="1">
      <alignment wrapText="1"/>
      <protection locked="0"/>
    </xf>
    <xf numFmtId="0" fontId="28" fillId="24" borderId="101" xfId="0" quotePrefix="1" applyFont="1" applyFill="1" applyBorder="1" applyAlignment="1" applyProtection="1">
      <alignment wrapText="1"/>
      <protection locked="0"/>
    </xf>
    <xf numFmtId="0" fontId="0" fillId="0" borderId="11" xfId="0" applyBorder="1" applyAlignment="1">
      <alignment horizontal="center"/>
    </xf>
    <xf numFmtId="176" fontId="23" fillId="24" borderId="0" xfId="0" applyNumberFormat="1" applyFont="1" applyFill="1"/>
    <xf numFmtId="0" fontId="45" fillId="0" borderId="91" xfId="56" applyBorder="1"/>
    <xf numFmtId="165" fontId="0" fillId="0" borderId="101" xfId="51" applyNumberFormat="1" applyFont="1" applyFill="1" applyBorder="1"/>
    <xf numFmtId="0" fontId="0" fillId="0" borderId="11" xfId="0" applyBorder="1" applyAlignment="1">
      <alignment horizontal="center" vertical="center"/>
    </xf>
    <xf numFmtId="170" fontId="0" fillId="0" borderId="11" xfId="0" applyNumberFormat="1" applyBorder="1" applyAlignment="1">
      <alignment vertical="justify"/>
    </xf>
    <xf numFmtId="0" fontId="45" fillId="0" borderId="0" xfId="56"/>
    <xf numFmtId="0" fontId="45" fillId="0" borderId="11" xfId="56" applyBorder="1"/>
    <xf numFmtId="0" fontId="45" fillId="0" borderId="0" xfId="56" applyFont="1" applyAlignment="1"/>
    <xf numFmtId="0" fontId="45" fillId="0" borderId="0" xfId="56" quotePrefix="1" applyFont="1"/>
    <xf numFmtId="0" fontId="45" fillId="0" borderId="0" xfId="56" applyAlignment="1"/>
    <xf numFmtId="1" fontId="45" fillId="27" borderId="40" xfId="0" applyNumberFormat="1" applyFont="1" applyFill="1" applyBorder="1" applyAlignment="1">
      <alignment horizontal="center" vertical="center"/>
    </xf>
    <xf numFmtId="0" fontId="27" fillId="24" borderId="101" xfId="0" quotePrefix="1" applyFont="1" applyFill="1" applyBorder="1" applyAlignment="1" applyProtection="1">
      <alignment wrapText="1"/>
      <protection locked="0"/>
    </xf>
    <xf numFmtId="0" fontId="45" fillId="0" borderId="26" xfId="56" applyBorder="1"/>
    <xf numFmtId="165" fontId="0" fillId="0" borderId="17" xfId="51" applyNumberFormat="1" applyFont="1" applyFill="1" applyBorder="1"/>
    <xf numFmtId="165" fontId="0" fillId="0" borderId="31" xfId="51" applyNumberFormat="1" applyFont="1" applyFill="1" applyBorder="1"/>
    <xf numFmtId="0" fontId="45" fillId="0" borderId="14" xfId="56" applyBorder="1"/>
    <xf numFmtId="0" fontId="45" fillId="0" borderId="51" xfId="56" applyBorder="1"/>
    <xf numFmtId="10" fontId="45" fillId="0" borderId="17" xfId="56" applyNumberFormat="1" applyBorder="1"/>
    <xf numFmtId="165" fontId="45" fillId="0" borderId="17" xfId="51" applyNumberFormat="1" applyFont="1" applyFill="1" applyBorder="1"/>
    <xf numFmtId="0" fontId="23" fillId="24" borderId="15" xfId="0" applyFont="1" applyFill="1" applyBorder="1"/>
    <xf numFmtId="0" fontId="23" fillId="24" borderId="15" xfId="0" applyFont="1" applyFill="1" applyBorder="1" applyAlignment="1">
      <alignment horizontal="center" wrapText="1"/>
    </xf>
    <xf numFmtId="0" fontId="23" fillId="24" borderId="57" xfId="0" applyFont="1" applyFill="1" applyBorder="1"/>
    <xf numFmtId="9" fontId="23" fillId="0" borderId="21" xfId="51" applyFont="1" applyFill="1" applyBorder="1" applyAlignment="1">
      <alignment vertical="center"/>
    </xf>
    <xf numFmtId="0" fontId="23" fillId="24" borderId="21" xfId="0" applyFont="1" applyFill="1" applyBorder="1"/>
    <xf numFmtId="2" fontId="23" fillId="24" borderId="21" xfId="0" applyNumberFormat="1" applyFont="1" applyFill="1" applyBorder="1"/>
    <xf numFmtId="165" fontId="23" fillId="0" borderId="11" xfId="29" applyNumberFormat="1" applyFont="1" applyFill="1" applyBorder="1" applyAlignment="1">
      <alignment vertical="center"/>
    </xf>
    <xf numFmtId="165" fontId="23" fillId="24" borderId="21" xfId="0" applyNumberFormat="1" applyFont="1" applyFill="1" applyBorder="1"/>
    <xf numFmtId="10" fontId="42" fillId="0" borderId="101" xfId="51" applyNumberFormat="1" applyFont="1" applyFill="1" applyBorder="1" applyAlignment="1">
      <alignment vertical="center"/>
    </xf>
    <xf numFmtId="43" fontId="23" fillId="24" borderId="0" xfId="0" applyNumberFormat="1" applyFont="1" applyFill="1"/>
    <xf numFmtId="0" fontId="45" fillId="0" borderId="69" xfId="0" applyFont="1" applyFill="1" applyBorder="1"/>
    <xf numFmtId="0" fontId="0" fillId="0" borderId="0" xfId="0" applyFill="1" applyBorder="1"/>
    <xf numFmtId="10" fontId="45" fillId="0" borderId="76" xfId="56" applyNumberFormat="1" applyBorder="1"/>
    <xf numFmtId="10" fontId="45" fillId="0" borderId="103" xfId="56" applyNumberFormat="1" applyBorder="1"/>
    <xf numFmtId="10" fontId="45" fillId="0" borderId="16" xfId="56" applyNumberFormat="1" applyBorder="1"/>
    <xf numFmtId="182" fontId="23" fillId="24" borderId="0" xfId="0" applyNumberFormat="1" applyFont="1" applyFill="1"/>
    <xf numFmtId="0" fontId="45" fillId="0" borderId="56" xfId="0" applyFont="1" applyFill="1" applyBorder="1"/>
    <xf numFmtId="0" fontId="0" fillId="0" borderId="46" xfId="0" applyFill="1" applyBorder="1"/>
    <xf numFmtId="0" fontId="45" fillId="0" borderId="46" xfId="0" applyFont="1" applyFill="1" applyBorder="1"/>
    <xf numFmtId="0" fontId="0" fillId="0" borderId="46" xfId="0" applyBorder="1"/>
    <xf numFmtId="0" fontId="0" fillId="0" borderId="65" xfId="0" applyBorder="1"/>
    <xf numFmtId="0" fontId="0" fillId="0" borderId="37" xfId="0" applyBorder="1"/>
    <xf numFmtId="0" fontId="0" fillId="0" borderId="41" xfId="0" applyBorder="1"/>
    <xf numFmtId="2" fontId="0" fillId="0" borderId="65" xfId="0" applyNumberFormat="1" applyBorder="1" applyAlignment="1">
      <alignment vertical="center"/>
    </xf>
    <xf numFmtId="0" fontId="0" fillId="0" borderId="69" xfId="0" applyBorder="1"/>
    <xf numFmtId="172" fontId="45" fillId="0" borderId="69" xfId="0" applyNumberFormat="1" applyFont="1" applyBorder="1"/>
    <xf numFmtId="9" fontId="42" fillId="27" borderId="11" xfId="0" applyNumberFormat="1" applyFont="1" applyFill="1" applyBorder="1" applyAlignment="1">
      <alignment horizontal="center" vertical="center" wrapText="1"/>
    </xf>
    <xf numFmtId="9" fontId="42" fillId="0" borderId="11" xfId="0" applyNumberFormat="1" applyFont="1" applyFill="1" applyBorder="1" applyAlignment="1">
      <alignment horizontal="center" vertical="center" wrapText="1"/>
    </xf>
    <xf numFmtId="178" fontId="42" fillId="0" borderId="11" xfId="0" applyNumberFormat="1" applyFont="1" applyBorder="1"/>
    <xf numFmtId="178" fontId="42" fillId="0" borderId="0" xfId="0" applyNumberFormat="1" applyFont="1"/>
    <xf numFmtId="178" fontId="43" fillId="25" borderId="11" xfId="51" applyNumberFormat="1" applyFont="1" applyFill="1" applyBorder="1" applyAlignment="1">
      <alignment vertical="center"/>
    </xf>
    <xf numFmtId="178" fontId="42" fillId="28" borderId="0" xfId="0" applyNumberFormat="1" applyFont="1" applyFill="1"/>
    <xf numFmtId="2" fontId="28" fillId="48" borderId="103" xfId="56" applyNumberFormat="1" applyFont="1" applyFill="1" applyBorder="1" applyAlignment="1">
      <alignment horizontal="center"/>
    </xf>
    <xf numFmtId="2" fontId="28" fillId="48" borderId="50" xfId="56" applyNumberFormat="1" applyFont="1" applyFill="1" applyBorder="1" applyAlignment="1">
      <alignment horizontal="center"/>
    </xf>
    <xf numFmtId="4" fontId="28" fillId="49" borderId="103" xfId="56" applyNumberFormat="1" applyFont="1" applyFill="1" applyBorder="1" applyAlignment="1">
      <alignment horizontal="center"/>
    </xf>
    <xf numFmtId="4" fontId="28" fillId="49" borderId="50" xfId="56" applyNumberFormat="1" applyFont="1" applyFill="1" applyBorder="1" applyAlignment="1">
      <alignment horizontal="center"/>
    </xf>
    <xf numFmtId="2" fontId="28" fillId="40" borderId="103" xfId="56" applyNumberFormat="1" applyFont="1" applyFill="1" applyBorder="1" applyAlignment="1">
      <alignment horizontal="center"/>
    </xf>
    <xf numFmtId="2" fontId="28" fillId="40" borderId="50" xfId="56" applyNumberFormat="1" applyFont="1" applyFill="1" applyBorder="1" applyAlignment="1">
      <alignment horizontal="center"/>
    </xf>
    <xf numFmtId="2" fontId="28" fillId="44" borderId="22" xfId="56" applyNumberFormat="1" applyFont="1" applyFill="1" applyBorder="1" applyAlignment="1">
      <alignment horizontal="center"/>
    </xf>
    <xf numFmtId="2" fontId="28" fillId="44" borderId="24" xfId="56" applyNumberFormat="1" applyFont="1" applyFill="1" applyBorder="1" applyAlignment="1">
      <alignment horizontal="center"/>
    </xf>
    <xf numFmtId="0" fontId="28" fillId="33" borderId="56" xfId="56" applyFont="1" applyFill="1" applyBorder="1" applyAlignment="1">
      <alignment horizontal="center" vertical="center" wrapText="1"/>
    </xf>
    <xf numFmtId="0" fontId="28" fillId="33" borderId="46" xfId="56" applyFont="1" applyFill="1" applyBorder="1" applyAlignment="1">
      <alignment horizontal="center" vertical="center" wrapText="1"/>
    </xf>
    <xf numFmtId="0" fontId="28" fillId="33" borderId="65" xfId="56" applyFont="1" applyFill="1" applyBorder="1" applyAlignment="1">
      <alignment horizontal="center" vertical="center" wrapText="1"/>
    </xf>
    <xf numFmtId="0" fontId="45" fillId="0" borderId="21" xfId="56" applyBorder="1" applyAlignment="1">
      <alignment horizontal="center"/>
    </xf>
    <xf numFmtId="0" fontId="45" fillId="0" borderId="48" xfId="56" applyBorder="1" applyAlignment="1">
      <alignment horizontal="center"/>
    </xf>
    <xf numFmtId="2" fontId="28" fillId="49" borderId="11" xfId="56" applyNumberFormat="1" applyFont="1" applyFill="1" applyBorder="1" applyAlignment="1">
      <alignment horizontal="center"/>
    </xf>
    <xf numFmtId="2" fontId="28" fillId="49" borderId="50" xfId="56" applyNumberFormat="1" applyFont="1" applyFill="1" applyBorder="1" applyAlignment="1">
      <alignment horizontal="center"/>
    </xf>
    <xf numFmtId="2" fontId="28" fillId="34" borderId="11" xfId="56" applyNumberFormat="1" applyFont="1" applyFill="1" applyBorder="1" applyAlignment="1">
      <alignment horizontal="center"/>
    </xf>
    <xf numFmtId="2" fontId="28" fillId="34" borderId="50" xfId="56" applyNumberFormat="1" applyFont="1" applyFill="1" applyBorder="1" applyAlignment="1">
      <alignment horizontal="center"/>
    </xf>
    <xf numFmtId="2" fontId="28" fillId="44" borderId="11" xfId="56" applyNumberFormat="1" applyFont="1" applyFill="1" applyBorder="1" applyAlignment="1">
      <alignment horizontal="center"/>
    </xf>
    <xf numFmtId="2" fontId="28" fillId="44" borderId="50" xfId="56" applyNumberFormat="1" applyFont="1" applyFill="1" applyBorder="1" applyAlignment="1">
      <alignment horizontal="center"/>
    </xf>
    <xf numFmtId="2" fontId="28" fillId="40" borderId="11" xfId="56" applyNumberFormat="1" applyFont="1" applyFill="1" applyBorder="1" applyAlignment="1">
      <alignment horizontal="center"/>
    </xf>
    <xf numFmtId="2" fontId="28" fillId="35" borderId="11" xfId="56" applyNumberFormat="1" applyFont="1" applyFill="1" applyBorder="1" applyAlignment="1">
      <alignment horizontal="center"/>
    </xf>
    <xf numFmtId="2" fontId="28" fillId="35" borderId="50" xfId="56" applyNumberFormat="1" applyFont="1" applyFill="1" applyBorder="1" applyAlignment="1">
      <alignment horizontal="center"/>
    </xf>
    <xf numFmtId="2" fontId="28" fillId="45" borderId="11" xfId="56" applyNumberFormat="1" applyFont="1" applyFill="1" applyBorder="1" applyAlignment="1">
      <alignment horizontal="center"/>
    </xf>
    <xf numFmtId="2" fontId="28" fillId="45" borderId="50" xfId="56" applyNumberFormat="1" applyFont="1" applyFill="1" applyBorder="1" applyAlignment="1">
      <alignment horizontal="center"/>
    </xf>
    <xf numFmtId="2" fontId="28" fillId="46" borderId="11" xfId="56" applyNumberFormat="1" applyFont="1" applyFill="1" applyBorder="1" applyAlignment="1">
      <alignment horizontal="center"/>
    </xf>
    <xf numFmtId="2" fontId="28" fillId="46" borderId="50" xfId="56" applyNumberFormat="1" applyFont="1" applyFill="1" applyBorder="1" applyAlignment="1">
      <alignment horizontal="center"/>
    </xf>
    <xf numFmtId="2" fontId="28" fillId="47" borderId="28" xfId="56" applyNumberFormat="1" applyFont="1" applyFill="1" applyBorder="1" applyAlignment="1">
      <alignment horizontal="center"/>
    </xf>
    <xf numFmtId="2" fontId="28" fillId="47" borderId="102" xfId="56" applyNumberFormat="1" applyFont="1" applyFill="1" applyBorder="1" applyAlignment="1">
      <alignment horizontal="center"/>
    </xf>
    <xf numFmtId="4" fontId="28" fillId="44" borderId="23" xfId="56" applyNumberFormat="1" applyFont="1" applyFill="1" applyBorder="1" applyAlignment="1">
      <alignment horizontal="center"/>
    </xf>
    <xf numFmtId="2" fontId="28" fillId="44" borderId="23" xfId="56" applyNumberFormat="1" applyFont="1" applyFill="1" applyBorder="1" applyAlignment="1">
      <alignment horizontal="center"/>
    </xf>
    <xf numFmtId="4" fontId="28" fillId="40" borderId="11" xfId="56" applyNumberFormat="1" applyFont="1" applyFill="1" applyBorder="1" applyAlignment="1">
      <alignment horizontal="center"/>
    </xf>
    <xf numFmtId="2" fontId="28" fillId="49" borderId="101" xfId="56" applyNumberFormat="1" applyFont="1" applyFill="1" applyBorder="1" applyAlignment="1">
      <alignment horizontal="center"/>
    </xf>
    <xf numFmtId="2" fontId="28" fillId="40" borderId="101" xfId="56" applyNumberFormat="1" applyFont="1" applyFill="1" applyBorder="1" applyAlignment="1">
      <alignment horizontal="center"/>
    </xf>
    <xf numFmtId="2" fontId="28" fillId="44" borderId="26" xfId="56" applyNumberFormat="1" applyFont="1" applyFill="1" applyBorder="1" applyAlignment="1">
      <alignment horizontal="center"/>
    </xf>
    <xf numFmtId="0" fontId="28" fillId="27" borderId="36" xfId="56" applyFont="1" applyFill="1" applyBorder="1" applyAlignment="1">
      <alignment horizontal="center" vertical="center" wrapText="1"/>
    </xf>
    <xf numFmtId="0" fontId="28" fillId="27" borderId="54" xfId="56" applyFont="1" applyFill="1" applyBorder="1" applyAlignment="1">
      <alignment horizontal="center" vertical="center" wrapText="1"/>
    </xf>
    <xf numFmtId="0" fontId="28" fillId="27" borderId="35" xfId="56" applyFont="1" applyFill="1" applyBorder="1" applyAlignment="1">
      <alignment horizontal="center" vertical="center" wrapText="1"/>
    </xf>
    <xf numFmtId="2" fontId="28" fillId="53" borderId="11" xfId="56" applyNumberFormat="1" applyFont="1" applyFill="1" applyBorder="1" applyAlignment="1">
      <alignment horizontal="center"/>
    </xf>
    <xf numFmtId="2" fontId="28" fillId="53" borderId="50" xfId="56" applyNumberFormat="1" applyFont="1" applyFill="1" applyBorder="1" applyAlignment="1">
      <alignment horizontal="center"/>
    </xf>
    <xf numFmtId="2" fontId="28" fillId="49" borderId="103" xfId="56" applyNumberFormat="1" applyFont="1" applyFill="1" applyBorder="1" applyAlignment="1">
      <alignment horizontal="center"/>
    </xf>
    <xf numFmtId="0" fontId="28" fillId="35" borderId="36" xfId="56" applyFont="1" applyFill="1" applyBorder="1" applyAlignment="1">
      <alignment horizontal="center" vertical="center" wrapText="1"/>
    </xf>
    <xf numFmtId="0" fontId="28" fillId="35" borderId="54" xfId="56" applyFont="1" applyFill="1" applyBorder="1" applyAlignment="1">
      <alignment horizontal="center" vertical="center" wrapText="1"/>
    </xf>
    <xf numFmtId="0" fontId="28" fillId="35" borderId="35" xfId="56" applyFont="1" applyFill="1" applyBorder="1" applyAlignment="1">
      <alignment horizontal="center" vertical="center" wrapText="1"/>
    </xf>
    <xf numFmtId="10" fontId="28" fillId="40" borderId="11" xfId="56" applyNumberFormat="1" applyFont="1" applyFill="1" applyBorder="1" applyAlignment="1">
      <alignment horizontal="center"/>
    </xf>
    <xf numFmtId="175" fontId="28" fillId="40" borderId="11" xfId="56" applyNumberFormat="1" applyFont="1" applyFill="1" applyBorder="1" applyAlignment="1">
      <alignment horizontal="center"/>
    </xf>
    <xf numFmtId="10" fontId="28" fillId="35" borderId="11" xfId="56" applyNumberFormat="1" applyFont="1" applyFill="1" applyBorder="1" applyAlignment="1">
      <alignment horizontal="center"/>
    </xf>
    <xf numFmtId="10" fontId="28" fillId="35" borderId="10" xfId="56" applyNumberFormat="1" applyFont="1" applyFill="1" applyBorder="1" applyAlignment="1">
      <alignment horizontal="center"/>
    </xf>
    <xf numFmtId="2" fontId="28" fillId="35" borderId="101" xfId="56" applyNumberFormat="1" applyFont="1" applyFill="1" applyBorder="1" applyAlignment="1">
      <alignment horizontal="center"/>
    </xf>
    <xf numFmtId="2" fontId="28" fillId="35" borderId="103" xfId="56" applyNumberFormat="1" applyFont="1" applyFill="1" applyBorder="1" applyAlignment="1">
      <alignment horizontal="center"/>
    </xf>
    <xf numFmtId="4" fontId="28" fillId="44" borderId="26" xfId="56" applyNumberFormat="1" applyFont="1" applyFill="1" applyBorder="1" applyAlignment="1">
      <alignment horizontal="center"/>
    </xf>
    <xf numFmtId="4" fontId="28" fillId="44" borderId="22" xfId="56" applyNumberFormat="1" applyFont="1" applyFill="1" applyBorder="1" applyAlignment="1">
      <alignment horizontal="center"/>
    </xf>
    <xf numFmtId="4" fontId="28" fillId="44" borderId="79" xfId="56" applyNumberFormat="1" applyFont="1" applyFill="1" applyBorder="1" applyAlignment="1">
      <alignment horizontal="center"/>
    </xf>
    <xf numFmtId="10" fontId="28" fillId="44" borderId="58" xfId="56" applyNumberFormat="1" applyFont="1" applyFill="1" applyBorder="1" applyAlignment="1">
      <alignment horizontal="center"/>
    </xf>
    <xf numFmtId="10" fontId="28" fillId="44" borderId="23" xfId="56" applyNumberFormat="1" applyFont="1" applyFill="1" applyBorder="1" applyAlignment="1">
      <alignment horizontal="center"/>
    </xf>
    <xf numFmtId="10" fontId="28" fillId="44" borderId="78" xfId="56" applyNumberFormat="1" applyFont="1" applyFill="1" applyBorder="1" applyAlignment="1">
      <alignment horizontal="center"/>
    </xf>
    <xf numFmtId="10" fontId="28" fillId="44" borderId="22" xfId="56" applyNumberFormat="1" applyFont="1" applyFill="1" applyBorder="1" applyAlignment="1">
      <alignment horizontal="center"/>
    </xf>
    <xf numFmtId="10" fontId="28" fillId="44" borderId="26" xfId="56" applyNumberFormat="1" applyFont="1" applyFill="1" applyBorder="1" applyAlignment="1">
      <alignment horizontal="center"/>
    </xf>
    <xf numFmtId="175" fontId="28" fillId="44" borderId="23" xfId="56" applyNumberFormat="1" applyFont="1" applyFill="1" applyBorder="1" applyAlignment="1">
      <alignment horizontal="center"/>
    </xf>
    <xf numFmtId="2" fontId="28" fillId="44" borderId="100" xfId="56" applyNumberFormat="1" applyFont="1" applyFill="1" applyBorder="1" applyAlignment="1">
      <alignment horizontal="center"/>
    </xf>
    <xf numFmtId="4" fontId="28" fillId="40" borderId="101" xfId="56" applyNumberFormat="1" applyFont="1" applyFill="1" applyBorder="1" applyAlignment="1">
      <alignment horizontal="center"/>
    </xf>
    <xf numFmtId="4" fontId="28" fillId="40" borderId="103" xfId="56" applyNumberFormat="1" applyFont="1" applyFill="1" applyBorder="1" applyAlignment="1">
      <alignment horizontal="center"/>
    </xf>
    <xf numFmtId="4" fontId="28" fillId="40" borderId="104" xfId="56" applyNumberFormat="1" applyFont="1" applyFill="1" applyBorder="1" applyAlignment="1">
      <alignment horizontal="center"/>
    </xf>
    <xf numFmtId="10" fontId="28" fillId="40" borderId="10" xfId="56" applyNumberFormat="1" applyFont="1" applyFill="1" applyBorder="1" applyAlignment="1">
      <alignment horizontal="center"/>
    </xf>
    <xf numFmtId="10" fontId="28" fillId="40" borderId="28" xfId="56" applyNumberFormat="1" applyFont="1" applyFill="1" applyBorder="1" applyAlignment="1">
      <alignment horizontal="center"/>
    </xf>
    <xf numFmtId="10" fontId="28" fillId="40" borderId="103" xfId="56" applyNumberFormat="1" applyFont="1" applyFill="1" applyBorder="1" applyAlignment="1">
      <alignment horizontal="center"/>
    </xf>
    <xf numFmtId="10" fontId="28" fillId="40" borderId="101" xfId="56" applyNumberFormat="1" applyFont="1" applyFill="1" applyBorder="1" applyAlignment="1">
      <alignment horizontal="center"/>
    </xf>
    <xf numFmtId="10" fontId="28" fillId="49" borderId="101" xfId="56" applyNumberFormat="1" applyFont="1" applyFill="1" applyBorder="1" applyAlignment="1">
      <alignment horizontal="center"/>
    </xf>
    <xf numFmtId="10" fontId="28" fillId="49" borderId="103" xfId="56" applyNumberFormat="1" applyFont="1" applyFill="1" applyBorder="1" applyAlignment="1">
      <alignment horizontal="center"/>
    </xf>
    <xf numFmtId="4" fontId="28" fillId="49" borderId="101" xfId="56" applyNumberFormat="1" applyFont="1" applyFill="1" applyBorder="1" applyAlignment="1">
      <alignment horizontal="center"/>
    </xf>
    <xf numFmtId="4" fontId="28" fillId="49" borderId="104" xfId="56" applyNumberFormat="1" applyFont="1" applyFill="1" applyBorder="1" applyAlignment="1">
      <alignment horizontal="center"/>
    </xf>
    <xf numFmtId="4" fontId="28" fillId="49" borderId="11" xfId="56" applyNumberFormat="1" applyFont="1" applyFill="1" applyBorder="1" applyAlignment="1">
      <alignment horizontal="center"/>
    </xf>
    <xf numFmtId="10" fontId="28" fillId="49" borderId="10" xfId="56" applyNumberFormat="1" applyFont="1" applyFill="1" applyBorder="1" applyAlignment="1">
      <alignment horizontal="center"/>
    </xf>
    <xf numFmtId="10" fontId="28" fillId="49" borderId="11" xfId="56" applyNumberFormat="1" applyFont="1" applyFill="1" applyBorder="1" applyAlignment="1">
      <alignment horizontal="center"/>
    </xf>
    <xf numFmtId="2" fontId="28" fillId="40" borderId="102" xfId="56" applyNumberFormat="1" applyFont="1" applyFill="1" applyBorder="1" applyAlignment="1">
      <alignment horizontal="center"/>
    </xf>
    <xf numFmtId="10" fontId="28" fillId="49" borderId="28" xfId="56" applyNumberFormat="1" applyFont="1" applyFill="1" applyBorder="1" applyAlignment="1">
      <alignment horizontal="center"/>
    </xf>
    <xf numFmtId="175" fontId="28" fillId="49" borderId="11" xfId="56" applyNumberFormat="1" applyFont="1" applyFill="1" applyBorder="1" applyAlignment="1">
      <alignment horizontal="center"/>
    </xf>
    <xf numFmtId="2" fontId="28" fillId="49" borderId="102" xfId="56" applyNumberFormat="1" applyFont="1" applyFill="1" applyBorder="1" applyAlignment="1">
      <alignment horizontal="center"/>
    </xf>
    <xf numFmtId="2" fontId="28" fillId="48" borderId="11" xfId="56" applyNumberFormat="1" applyFont="1" applyFill="1" applyBorder="1" applyAlignment="1">
      <alignment horizontal="center"/>
    </xf>
    <xf numFmtId="4" fontId="28" fillId="48" borderId="11" xfId="56" applyNumberFormat="1" applyFont="1" applyFill="1" applyBorder="1" applyAlignment="1">
      <alignment horizontal="center"/>
    </xf>
    <xf numFmtId="10" fontId="28" fillId="48" borderId="28" xfId="56" applyNumberFormat="1" applyFont="1" applyFill="1" applyBorder="1" applyAlignment="1">
      <alignment horizontal="center"/>
    </xf>
    <xf numFmtId="10" fontId="28" fillId="48" borderId="103" xfId="56" applyNumberFormat="1" applyFont="1" applyFill="1" applyBorder="1" applyAlignment="1">
      <alignment horizontal="center"/>
    </xf>
    <xf numFmtId="10" fontId="28" fillId="48" borderId="101" xfId="56" applyNumberFormat="1" applyFont="1" applyFill="1" applyBorder="1" applyAlignment="1">
      <alignment horizontal="center"/>
    </xf>
    <xf numFmtId="2" fontId="28" fillId="48" borderId="101" xfId="56" applyNumberFormat="1" applyFont="1" applyFill="1" applyBorder="1" applyAlignment="1">
      <alignment horizontal="center"/>
    </xf>
    <xf numFmtId="10" fontId="28" fillId="48" borderId="10" xfId="56" applyNumberFormat="1" applyFont="1" applyFill="1" applyBorder="1" applyAlignment="1">
      <alignment horizontal="center"/>
    </xf>
    <xf numFmtId="10" fontId="28" fillId="48" borderId="11" xfId="56" applyNumberFormat="1" applyFont="1" applyFill="1" applyBorder="1" applyAlignment="1">
      <alignment horizontal="center"/>
    </xf>
    <xf numFmtId="175" fontId="28" fillId="48" borderId="11" xfId="56" applyNumberFormat="1" applyFont="1" applyFill="1" applyBorder="1" applyAlignment="1">
      <alignment horizontal="center"/>
    </xf>
    <xf numFmtId="10" fontId="28" fillId="47" borderId="101" xfId="56" applyNumberFormat="1" applyFont="1" applyFill="1" applyBorder="1" applyAlignment="1">
      <alignment horizontal="center"/>
    </xf>
    <xf numFmtId="10" fontId="28" fillId="47" borderId="103" xfId="56" applyNumberFormat="1" applyFont="1" applyFill="1" applyBorder="1" applyAlignment="1">
      <alignment horizontal="center"/>
    </xf>
    <xf numFmtId="2" fontId="28" fillId="47" borderId="101" xfId="56" applyNumberFormat="1" applyFont="1" applyFill="1" applyBorder="1" applyAlignment="1">
      <alignment horizontal="center"/>
    </xf>
    <xf numFmtId="2" fontId="28" fillId="47" borderId="103" xfId="56" applyNumberFormat="1" applyFont="1" applyFill="1" applyBorder="1" applyAlignment="1">
      <alignment horizontal="center"/>
    </xf>
    <xf numFmtId="4" fontId="28" fillId="47" borderId="101" xfId="56" applyNumberFormat="1" applyFont="1" applyFill="1" applyBorder="1" applyAlignment="1">
      <alignment horizontal="center"/>
    </xf>
    <xf numFmtId="4" fontId="28" fillId="47" borderId="103" xfId="56" applyNumberFormat="1" applyFont="1" applyFill="1" applyBorder="1" applyAlignment="1">
      <alignment horizontal="center"/>
    </xf>
    <xf numFmtId="4" fontId="28" fillId="48" borderId="101" xfId="56" applyNumberFormat="1" applyFont="1" applyFill="1" applyBorder="1" applyAlignment="1">
      <alignment horizontal="center"/>
    </xf>
    <xf numFmtId="4" fontId="28" fillId="48" borderId="103" xfId="56" applyNumberFormat="1" applyFont="1" applyFill="1" applyBorder="1" applyAlignment="1">
      <alignment horizontal="center"/>
    </xf>
    <xf numFmtId="2" fontId="28" fillId="48" borderId="104" xfId="56" applyNumberFormat="1" applyFont="1" applyFill="1" applyBorder="1" applyAlignment="1">
      <alignment horizontal="center"/>
    </xf>
    <xf numFmtId="10" fontId="28" fillId="47" borderId="28" xfId="56" applyNumberFormat="1" applyFont="1" applyFill="1" applyBorder="1" applyAlignment="1">
      <alignment horizontal="center"/>
    </xf>
    <xf numFmtId="2" fontId="28" fillId="48" borderId="102" xfId="56" applyNumberFormat="1" applyFont="1" applyFill="1" applyBorder="1" applyAlignment="1">
      <alignment horizontal="center"/>
    </xf>
    <xf numFmtId="4" fontId="28" fillId="48" borderId="104" xfId="56" applyNumberFormat="1" applyFont="1" applyFill="1" applyBorder="1" applyAlignment="1">
      <alignment horizontal="center"/>
    </xf>
    <xf numFmtId="2" fontId="28" fillId="46" borderId="101" xfId="56" applyNumberFormat="1" applyFont="1" applyFill="1" applyBorder="1" applyAlignment="1">
      <alignment horizontal="center"/>
    </xf>
    <xf numFmtId="2" fontId="28" fillId="46" borderId="104" xfId="56" applyNumberFormat="1" applyFont="1" applyFill="1" applyBorder="1" applyAlignment="1">
      <alignment horizontal="center"/>
    </xf>
    <xf numFmtId="10" fontId="28" fillId="46" borderId="10" xfId="56" applyNumberFormat="1" applyFont="1" applyFill="1" applyBorder="1" applyAlignment="1">
      <alignment horizontal="center"/>
    </xf>
    <xf numFmtId="10" fontId="28" fillId="46" borderId="11" xfId="56" applyNumberFormat="1" applyFont="1" applyFill="1" applyBorder="1" applyAlignment="1">
      <alignment horizontal="center"/>
    </xf>
    <xf numFmtId="175" fontId="28" fillId="47" borderId="101" xfId="56" applyNumberFormat="1" applyFont="1" applyFill="1" applyBorder="1" applyAlignment="1">
      <alignment horizontal="center"/>
    </xf>
    <xf numFmtId="175" fontId="28" fillId="47" borderId="103" xfId="56" applyNumberFormat="1" applyFont="1" applyFill="1" applyBorder="1" applyAlignment="1">
      <alignment horizontal="center"/>
    </xf>
    <xf numFmtId="10" fontId="28" fillId="46" borderId="101" xfId="56" applyNumberFormat="1" applyFont="1" applyFill="1" applyBorder="1" applyAlignment="1">
      <alignment horizontal="center"/>
    </xf>
    <xf numFmtId="10" fontId="28" fillId="46" borderId="103" xfId="56" applyNumberFormat="1" applyFont="1" applyFill="1" applyBorder="1" applyAlignment="1">
      <alignment horizontal="center"/>
    </xf>
    <xf numFmtId="2" fontId="28" fillId="46" borderId="103" xfId="56" applyNumberFormat="1" applyFont="1" applyFill="1" applyBorder="1" applyAlignment="1">
      <alignment horizontal="center"/>
    </xf>
    <xf numFmtId="4" fontId="28" fillId="46" borderId="101" xfId="56" applyNumberFormat="1" applyFont="1" applyFill="1" applyBorder="1" applyAlignment="1">
      <alignment horizontal="center"/>
    </xf>
    <xf numFmtId="4" fontId="28" fillId="46" borderId="103" xfId="56" applyNumberFormat="1" applyFont="1" applyFill="1" applyBorder="1" applyAlignment="1">
      <alignment horizontal="center"/>
    </xf>
    <xf numFmtId="4" fontId="28" fillId="46" borderId="11" xfId="56" applyNumberFormat="1" applyFont="1" applyFill="1" applyBorder="1" applyAlignment="1">
      <alignment horizontal="center"/>
    </xf>
    <xf numFmtId="2" fontId="28" fillId="46" borderId="102" xfId="56" applyNumberFormat="1" applyFont="1" applyFill="1" applyBorder="1" applyAlignment="1">
      <alignment horizontal="center"/>
    </xf>
    <xf numFmtId="10" fontId="28" fillId="46" borderId="28" xfId="56" applyNumberFormat="1" applyFont="1" applyFill="1" applyBorder="1" applyAlignment="1">
      <alignment horizontal="center"/>
    </xf>
    <xf numFmtId="175" fontId="28" fillId="46" borderId="11" xfId="56" applyNumberFormat="1" applyFont="1" applyFill="1" applyBorder="1" applyAlignment="1">
      <alignment horizontal="center"/>
    </xf>
    <xf numFmtId="4" fontId="28" fillId="45" borderId="101" xfId="56" applyNumberFormat="1" applyFont="1" applyFill="1" applyBorder="1" applyAlignment="1">
      <alignment horizontal="center"/>
    </xf>
    <xf numFmtId="4" fontId="28" fillId="45" borderId="103" xfId="56" applyNumberFormat="1" applyFont="1" applyFill="1" applyBorder="1" applyAlignment="1">
      <alignment horizontal="center"/>
    </xf>
    <xf numFmtId="2" fontId="28" fillId="45" borderId="101" xfId="56" applyNumberFormat="1" applyFont="1" applyFill="1" applyBorder="1" applyAlignment="1">
      <alignment horizontal="center"/>
    </xf>
    <xf numFmtId="2" fontId="28" fillId="45" borderId="103" xfId="56" applyNumberFormat="1" applyFont="1" applyFill="1" applyBorder="1" applyAlignment="1">
      <alignment horizontal="center"/>
    </xf>
    <xf numFmtId="2" fontId="28" fillId="45" borderId="102" xfId="56" applyNumberFormat="1" applyFont="1" applyFill="1" applyBorder="1" applyAlignment="1">
      <alignment horizontal="center"/>
    </xf>
    <xf numFmtId="10" fontId="28" fillId="45" borderId="28" xfId="56" applyNumberFormat="1" applyFont="1" applyFill="1" applyBorder="1" applyAlignment="1">
      <alignment horizontal="center"/>
    </xf>
    <xf numFmtId="10" fontId="28" fillId="45" borderId="103" xfId="56" applyNumberFormat="1" applyFont="1" applyFill="1" applyBorder="1" applyAlignment="1">
      <alignment horizontal="center"/>
    </xf>
    <xf numFmtId="10" fontId="28" fillId="45" borderId="101" xfId="56" applyNumberFormat="1" applyFont="1" applyFill="1" applyBorder="1" applyAlignment="1">
      <alignment horizontal="center"/>
    </xf>
    <xf numFmtId="2" fontId="28" fillId="52" borderId="101" xfId="56" applyNumberFormat="1" applyFont="1" applyFill="1" applyBorder="1" applyAlignment="1">
      <alignment horizontal="center"/>
    </xf>
    <xf numFmtId="2" fontId="28" fillId="52" borderId="103" xfId="56" applyNumberFormat="1" applyFont="1" applyFill="1" applyBorder="1" applyAlignment="1">
      <alignment horizontal="center"/>
    </xf>
    <xf numFmtId="10" fontId="28" fillId="52" borderId="101" xfId="56" applyNumberFormat="1" applyFont="1" applyFill="1" applyBorder="1" applyAlignment="1">
      <alignment horizontal="center"/>
    </xf>
    <xf numFmtId="10" fontId="28" fillId="52" borderId="103" xfId="56" applyNumberFormat="1" applyFont="1" applyFill="1" applyBorder="1" applyAlignment="1">
      <alignment horizontal="center"/>
    </xf>
    <xf numFmtId="175" fontId="28" fillId="52" borderId="11" xfId="56" applyNumberFormat="1" applyFont="1" applyFill="1" applyBorder="1" applyAlignment="1">
      <alignment horizontal="center"/>
    </xf>
    <xf numFmtId="4" fontId="28" fillId="45" borderId="11" xfId="56" applyNumberFormat="1" applyFont="1" applyFill="1" applyBorder="1" applyAlignment="1">
      <alignment horizontal="center"/>
    </xf>
    <xf numFmtId="2" fontId="28" fillId="52" borderId="11" xfId="56" applyNumberFormat="1" applyFont="1" applyFill="1" applyBorder="1" applyAlignment="1">
      <alignment horizontal="center"/>
    </xf>
    <xf numFmtId="10" fontId="28" fillId="45" borderId="11" xfId="56" applyNumberFormat="1" applyFont="1" applyFill="1" applyBorder="1" applyAlignment="1">
      <alignment horizontal="center"/>
    </xf>
    <xf numFmtId="2" fontId="28" fillId="45" borderId="104" xfId="56" applyNumberFormat="1" applyFont="1" applyFill="1" applyBorder="1" applyAlignment="1">
      <alignment horizontal="center"/>
    </xf>
    <xf numFmtId="10" fontId="28" fillId="45" borderId="10" xfId="56" applyNumberFormat="1" applyFont="1" applyFill="1" applyBorder="1" applyAlignment="1">
      <alignment horizontal="center"/>
    </xf>
    <xf numFmtId="10" fontId="28" fillId="35" borderId="28" xfId="56" applyNumberFormat="1" applyFont="1" applyFill="1" applyBorder="1" applyAlignment="1">
      <alignment horizontal="center"/>
    </xf>
    <xf numFmtId="10" fontId="28" fillId="35" borderId="103" xfId="56" applyNumberFormat="1" applyFont="1" applyFill="1" applyBorder="1" applyAlignment="1">
      <alignment horizontal="center"/>
    </xf>
    <xf numFmtId="10" fontId="28" fillId="35" borderId="101" xfId="56" applyNumberFormat="1" applyFont="1" applyFill="1" applyBorder="1" applyAlignment="1">
      <alignment horizontal="center"/>
    </xf>
    <xf numFmtId="2" fontId="28" fillId="35" borderId="104" xfId="56" applyNumberFormat="1" applyFont="1" applyFill="1" applyBorder="1" applyAlignment="1">
      <alignment horizontal="center"/>
    </xf>
    <xf numFmtId="4" fontId="28" fillId="35" borderId="101" xfId="56" applyNumberFormat="1" applyFont="1" applyFill="1" applyBorder="1" applyAlignment="1">
      <alignment horizontal="center"/>
    </xf>
    <xf numFmtId="4" fontId="28" fillId="35" borderId="103" xfId="56" applyNumberFormat="1" applyFont="1" applyFill="1" applyBorder="1" applyAlignment="1">
      <alignment horizontal="center"/>
    </xf>
    <xf numFmtId="10" fontId="28" fillId="35" borderId="104" xfId="56" applyNumberFormat="1" applyFont="1" applyFill="1" applyBorder="1" applyAlignment="1">
      <alignment horizontal="center"/>
    </xf>
    <xf numFmtId="2" fontId="28" fillId="53" borderId="101" xfId="56" applyNumberFormat="1" applyFont="1" applyFill="1" applyBorder="1" applyAlignment="1">
      <alignment horizontal="center"/>
    </xf>
    <xf numFmtId="175" fontId="28" fillId="35" borderId="11" xfId="56" applyNumberFormat="1" applyFont="1" applyFill="1" applyBorder="1" applyAlignment="1">
      <alignment horizontal="center"/>
    </xf>
    <xf numFmtId="4" fontId="28" fillId="53" borderId="11" xfId="56" applyNumberFormat="1" applyFont="1" applyFill="1" applyBorder="1" applyAlignment="1">
      <alignment horizontal="center"/>
    </xf>
    <xf numFmtId="10" fontId="28" fillId="44" borderId="28" xfId="56" applyNumberFormat="1" applyFont="1" applyFill="1" applyBorder="1" applyAlignment="1">
      <alignment horizontal="center"/>
    </xf>
    <xf numFmtId="10" fontId="28" fillId="44" borderId="103" xfId="56" applyNumberFormat="1" applyFont="1" applyFill="1" applyBorder="1" applyAlignment="1">
      <alignment horizontal="center"/>
    </xf>
    <xf numFmtId="10" fontId="28" fillId="44" borderId="101" xfId="56" applyNumberFormat="1" applyFont="1" applyFill="1" applyBorder="1" applyAlignment="1">
      <alignment horizontal="center"/>
    </xf>
    <xf numFmtId="2" fontId="28" fillId="44" borderId="101" xfId="56" applyNumberFormat="1" applyFont="1" applyFill="1" applyBorder="1" applyAlignment="1">
      <alignment horizontal="center"/>
    </xf>
    <xf numFmtId="2" fontId="28" fillId="44" borderId="103" xfId="56" applyNumberFormat="1" applyFont="1" applyFill="1" applyBorder="1" applyAlignment="1">
      <alignment horizontal="center"/>
    </xf>
    <xf numFmtId="2" fontId="28" fillId="44" borderId="102" xfId="56" applyNumberFormat="1" applyFont="1" applyFill="1" applyBorder="1" applyAlignment="1">
      <alignment horizontal="center"/>
    </xf>
    <xf numFmtId="175" fontId="28" fillId="53" borderId="11" xfId="56" applyNumberFormat="1" applyFont="1" applyFill="1" applyBorder="1" applyAlignment="1">
      <alignment horizontal="center"/>
    </xf>
    <xf numFmtId="4" fontId="28" fillId="44" borderId="101" xfId="56" applyNumberFormat="1" applyFont="1" applyFill="1" applyBorder="1" applyAlignment="1">
      <alignment horizontal="center"/>
    </xf>
    <xf numFmtId="4" fontId="28" fillId="44" borderId="103" xfId="56" applyNumberFormat="1" applyFont="1" applyFill="1" applyBorder="1" applyAlignment="1">
      <alignment horizontal="center"/>
    </xf>
    <xf numFmtId="165" fontId="28" fillId="44" borderId="101" xfId="56" applyNumberFormat="1" applyFont="1" applyFill="1" applyBorder="1" applyAlignment="1">
      <alignment horizontal="center"/>
    </xf>
    <xf numFmtId="0" fontId="28" fillId="44" borderId="103" xfId="56" applyFont="1" applyFill="1" applyBorder="1" applyAlignment="1">
      <alignment horizontal="center"/>
    </xf>
    <xf numFmtId="0" fontId="28" fillId="44" borderId="102" xfId="56" applyFont="1" applyFill="1" applyBorder="1" applyAlignment="1">
      <alignment horizontal="center"/>
    </xf>
    <xf numFmtId="4" fontId="28" fillId="44" borderId="11" xfId="56" applyNumberFormat="1" applyFont="1" applyFill="1" applyBorder="1" applyAlignment="1">
      <alignment horizontal="center"/>
    </xf>
    <xf numFmtId="10" fontId="28" fillId="44" borderId="10" xfId="56" applyNumberFormat="1" applyFont="1" applyFill="1" applyBorder="1" applyAlignment="1">
      <alignment horizontal="center"/>
    </xf>
    <xf numFmtId="10" fontId="28" fillId="44" borderId="11" xfId="56" applyNumberFormat="1" applyFont="1" applyFill="1" applyBorder="1" applyAlignment="1">
      <alignment horizontal="center"/>
    </xf>
    <xf numFmtId="2" fontId="28" fillId="34" borderId="101" xfId="56" applyNumberFormat="1" applyFont="1" applyFill="1" applyBorder="1" applyAlignment="1">
      <alignment horizontal="center"/>
    </xf>
    <xf numFmtId="2" fontId="28" fillId="34" borderId="103" xfId="56" applyNumberFormat="1" applyFont="1" applyFill="1" applyBorder="1" applyAlignment="1">
      <alignment horizontal="center"/>
    </xf>
    <xf numFmtId="2" fontId="28" fillId="34" borderId="102" xfId="56" applyNumberFormat="1" applyFont="1" applyFill="1" applyBorder="1" applyAlignment="1">
      <alignment horizontal="center"/>
    </xf>
    <xf numFmtId="10" fontId="28" fillId="34" borderId="28" xfId="56" applyNumberFormat="1" applyFont="1" applyFill="1" applyBorder="1" applyAlignment="1">
      <alignment horizontal="center"/>
    </xf>
    <xf numFmtId="10" fontId="28" fillId="34" borderId="103" xfId="56" applyNumberFormat="1" applyFont="1" applyFill="1" applyBorder="1" applyAlignment="1">
      <alignment horizontal="center"/>
    </xf>
    <xf numFmtId="10" fontId="28" fillId="34" borderId="101" xfId="56" applyNumberFormat="1" applyFont="1" applyFill="1" applyBorder="1" applyAlignment="1">
      <alignment horizontal="center"/>
    </xf>
    <xf numFmtId="2" fontId="28" fillId="44" borderId="104" xfId="56" applyNumberFormat="1" applyFont="1" applyFill="1" applyBorder="1" applyAlignment="1">
      <alignment horizontal="center"/>
    </xf>
    <xf numFmtId="2" fontId="28" fillId="34" borderId="104" xfId="56" applyNumberFormat="1" applyFont="1" applyFill="1" applyBorder="1" applyAlignment="1">
      <alignment horizontal="center"/>
    </xf>
    <xf numFmtId="0" fontId="45" fillId="0" borderId="74" xfId="56" applyBorder="1" applyAlignment="1">
      <alignment horizontal="center"/>
    </xf>
    <xf numFmtId="0" fontId="45" fillId="0" borderId="76" xfId="56" applyBorder="1" applyAlignment="1">
      <alignment horizontal="center"/>
    </xf>
    <xf numFmtId="0" fontId="45" fillId="0" borderId="29" xfId="56" applyBorder="1" applyAlignment="1">
      <alignment horizontal="center"/>
    </xf>
    <xf numFmtId="0" fontId="45" fillId="0" borderId="0" xfId="56" applyAlignment="1">
      <alignment horizontal="center"/>
    </xf>
    <xf numFmtId="4" fontId="28" fillId="34" borderId="101" xfId="56" applyNumberFormat="1" applyFont="1" applyFill="1" applyBorder="1" applyAlignment="1">
      <alignment horizontal="center"/>
    </xf>
    <xf numFmtId="4" fontId="28" fillId="34" borderId="103" xfId="56" applyNumberFormat="1" applyFont="1" applyFill="1" applyBorder="1" applyAlignment="1">
      <alignment horizontal="center"/>
    </xf>
    <xf numFmtId="165" fontId="28" fillId="34" borderId="101" xfId="56" applyNumberFormat="1" applyFont="1" applyFill="1" applyBorder="1" applyAlignment="1">
      <alignment horizontal="center"/>
    </xf>
    <xf numFmtId="0" fontId="28" fillId="34" borderId="103" xfId="56" applyFont="1" applyFill="1" applyBorder="1" applyAlignment="1">
      <alignment horizontal="center"/>
    </xf>
    <xf numFmtId="0" fontId="28" fillId="34" borderId="102" xfId="56" applyFont="1" applyFill="1" applyBorder="1" applyAlignment="1">
      <alignment horizontal="center"/>
    </xf>
    <xf numFmtId="10" fontId="28" fillId="34" borderId="10" xfId="56" applyNumberFormat="1" applyFont="1" applyFill="1" applyBorder="1" applyAlignment="1">
      <alignment horizontal="center"/>
    </xf>
    <xf numFmtId="10" fontId="28" fillId="34" borderId="11" xfId="56" applyNumberFormat="1" applyFont="1" applyFill="1" applyBorder="1" applyAlignment="1">
      <alignment horizontal="center"/>
    </xf>
    <xf numFmtId="4" fontId="28" fillId="34" borderId="11" xfId="56" applyNumberFormat="1" applyFont="1" applyFill="1" applyBorder="1" applyAlignment="1">
      <alignment horizontal="center"/>
    </xf>
    <xf numFmtId="0" fontId="45" fillId="0" borderId="77" xfId="56" applyBorder="1" applyAlignment="1">
      <alignment horizontal="center"/>
    </xf>
    <xf numFmtId="0" fontId="45" fillId="0" borderId="75" xfId="56" applyBorder="1" applyAlignment="1">
      <alignment horizontal="center"/>
    </xf>
    <xf numFmtId="2" fontId="28" fillId="49" borderId="104" xfId="56" applyNumberFormat="1" applyFont="1" applyFill="1" applyBorder="1" applyAlignment="1">
      <alignment horizontal="center"/>
    </xf>
    <xf numFmtId="0" fontId="45" fillId="0" borderId="95" xfId="56" applyBorder="1" applyAlignment="1">
      <alignment horizontal="center" vertical="center"/>
    </xf>
    <xf numFmtId="0" fontId="45" fillId="0" borderId="68" xfId="56" applyBorder="1" applyAlignment="1">
      <alignment horizontal="center" vertical="center"/>
    </xf>
    <xf numFmtId="0" fontId="45" fillId="0" borderId="96" xfId="56" applyBorder="1" applyAlignment="1">
      <alignment horizontal="center" vertical="center"/>
    </xf>
    <xf numFmtId="0" fontId="28" fillId="42" borderId="36" xfId="56" applyFont="1" applyFill="1" applyBorder="1" applyAlignment="1">
      <alignment horizontal="center" vertical="center"/>
    </xf>
    <xf numFmtId="0" fontId="28" fillId="42" borderId="54" xfId="56" applyFont="1" applyFill="1" applyBorder="1" applyAlignment="1">
      <alignment horizontal="center" vertical="center"/>
    </xf>
    <xf numFmtId="0" fontId="28" fillId="42" borderId="35" xfId="56" applyFont="1" applyFill="1" applyBorder="1" applyAlignment="1">
      <alignment horizontal="center" vertical="center"/>
    </xf>
    <xf numFmtId="0" fontId="28" fillId="43" borderId="36" xfId="56" applyFont="1" applyFill="1" applyBorder="1" applyAlignment="1">
      <alignment horizontal="center" vertical="center"/>
    </xf>
    <xf numFmtId="0" fontId="28" fillId="43" borderId="54" xfId="56" applyFont="1" applyFill="1" applyBorder="1" applyAlignment="1">
      <alignment horizontal="center" vertical="center"/>
    </xf>
    <xf numFmtId="0" fontId="28" fillId="43" borderId="35" xfId="56" applyFont="1" applyFill="1" applyBorder="1" applyAlignment="1">
      <alignment horizontal="center" vertical="center"/>
    </xf>
    <xf numFmtId="0" fontId="28" fillId="32" borderId="36" xfId="56" applyFont="1" applyFill="1" applyBorder="1" applyAlignment="1">
      <alignment horizontal="center" vertical="center" wrapText="1"/>
    </xf>
    <xf numFmtId="0" fontId="28" fillId="32" borderId="54" xfId="56" applyFont="1" applyFill="1" applyBorder="1" applyAlignment="1">
      <alignment horizontal="center" vertical="center" wrapText="1"/>
    </xf>
    <xf numFmtId="0" fontId="28" fillId="32" borderId="35" xfId="56" applyFont="1" applyFill="1" applyBorder="1" applyAlignment="1">
      <alignment horizontal="center" vertical="center" wrapText="1"/>
    </xf>
    <xf numFmtId="165" fontId="28" fillId="49" borderId="101" xfId="56" applyNumberFormat="1" applyFont="1" applyFill="1" applyBorder="1" applyAlignment="1">
      <alignment horizontal="center"/>
    </xf>
    <xf numFmtId="0" fontId="28" fillId="49" borderId="103" xfId="56" applyFont="1" applyFill="1" applyBorder="1" applyAlignment="1">
      <alignment horizontal="center"/>
    </xf>
    <xf numFmtId="0" fontId="28" fillId="49" borderId="102" xfId="56" applyFont="1" applyFill="1" applyBorder="1" applyAlignment="1">
      <alignment horizontal="center"/>
    </xf>
    <xf numFmtId="0" fontId="38" fillId="27" borderId="59" xfId="0" applyFont="1" applyFill="1" applyBorder="1" applyAlignment="1">
      <alignment horizontal="center" vertical="center" wrapText="1"/>
    </xf>
    <xf numFmtId="0" fontId="38" fillId="27" borderId="32" xfId="0" applyFont="1" applyFill="1" applyBorder="1" applyAlignment="1">
      <alignment horizontal="center" vertical="center" wrapText="1"/>
    </xf>
    <xf numFmtId="0" fontId="38" fillId="27" borderId="29" xfId="0" applyFont="1" applyFill="1" applyBorder="1" applyAlignment="1">
      <alignment horizontal="center" vertical="center" wrapText="1"/>
    </xf>
    <xf numFmtId="0" fontId="38" fillId="27" borderId="61" xfId="0" applyFont="1" applyFill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5" fillId="0" borderId="61" xfId="0" applyFont="1" applyBorder="1" applyAlignment="1">
      <alignment horizontal="center" vertical="center"/>
    </xf>
    <xf numFmtId="170" fontId="38" fillId="0" borderId="11" xfId="0" applyNumberFormat="1" applyFont="1" applyBorder="1" applyAlignment="1">
      <alignment horizontal="center" vertical="center" wrapText="1"/>
    </xf>
    <xf numFmtId="168" fontId="38" fillId="0" borderId="11" xfId="0" applyNumberFormat="1" applyFont="1" applyBorder="1" applyAlignment="1">
      <alignment horizontal="center" vertical="center" wrapText="1"/>
    </xf>
    <xf numFmtId="2" fontId="38" fillId="0" borderId="11" xfId="0" applyNumberFormat="1" applyFont="1" applyBorder="1" applyAlignment="1">
      <alignment horizontal="center" vertical="center" wrapText="1"/>
    </xf>
    <xf numFmtId="4" fontId="38" fillId="0" borderId="11" xfId="0" applyNumberFormat="1" applyFont="1" applyBorder="1" applyAlignment="1">
      <alignment horizontal="center" vertical="center" wrapText="1"/>
    </xf>
    <xf numFmtId="0" fontId="38" fillId="27" borderId="91" xfId="0" applyFont="1" applyFill="1" applyBorder="1" applyAlignment="1">
      <alignment horizontal="center" vertical="center" wrapText="1"/>
    </xf>
    <xf numFmtId="0" fontId="38" fillId="27" borderId="93" xfId="0" applyFont="1" applyFill="1" applyBorder="1" applyAlignment="1">
      <alignment horizontal="center" vertical="center" wrapText="1"/>
    </xf>
    <xf numFmtId="169" fontId="35" fillId="0" borderId="0" xfId="0" applyNumberFormat="1" applyFont="1" applyAlignment="1">
      <alignment horizontal="center" vertical="center"/>
    </xf>
    <xf numFmtId="0" fontId="38" fillId="0" borderId="11" xfId="0" applyFont="1" applyBorder="1" applyAlignment="1">
      <alignment horizontal="center" vertical="center" wrapText="1"/>
    </xf>
    <xf numFmtId="0" fontId="38" fillId="0" borderId="71" xfId="0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38" fillId="0" borderId="73" xfId="0" applyFont="1" applyBorder="1" applyAlignment="1">
      <alignment horizontal="center" vertical="center" wrapText="1"/>
    </xf>
    <xf numFmtId="169" fontId="35" fillId="0" borderId="0" xfId="0" applyNumberFormat="1" applyFont="1" applyAlignment="1">
      <alignment horizontal="center" vertical="justify" wrapText="1"/>
    </xf>
    <xf numFmtId="0" fontId="40" fillId="4" borderId="14" xfId="0" applyFont="1" applyFill="1" applyBorder="1" applyAlignment="1">
      <alignment horizontal="center" vertical="center"/>
    </xf>
    <xf numFmtId="0" fontId="40" fillId="4" borderId="63" xfId="0" applyFont="1" applyFill="1" applyBorder="1" applyAlignment="1">
      <alignment horizontal="center" vertical="center"/>
    </xf>
    <xf numFmtId="0" fontId="40" fillId="4" borderId="1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 wrapText="1"/>
    </xf>
    <xf numFmtId="0" fontId="33" fillId="4" borderId="63" xfId="0" applyFont="1" applyFill="1" applyBorder="1" applyAlignment="1">
      <alignment horizontal="center" vertical="center" wrapText="1"/>
    </xf>
    <xf numFmtId="0" fontId="33" fillId="4" borderId="17" xfId="0" applyFont="1" applyFill="1" applyBorder="1" applyAlignment="1">
      <alignment horizontal="center" vertical="center" wrapText="1"/>
    </xf>
    <xf numFmtId="167" fontId="33" fillId="30" borderId="13" xfId="28" applyNumberFormat="1" applyFont="1" applyFill="1" applyBorder="1" applyAlignment="1" applyProtection="1">
      <alignment horizontal="center"/>
    </xf>
    <xf numFmtId="167" fontId="57" fillId="30" borderId="20" xfId="28" applyNumberFormat="1" applyFont="1" applyFill="1" applyBorder="1" applyAlignment="1" applyProtection="1">
      <alignment horizontal="center"/>
    </xf>
    <xf numFmtId="167" fontId="57" fillId="30" borderId="19" xfId="28" applyNumberFormat="1" applyFont="1" applyFill="1" applyBorder="1" applyAlignment="1" applyProtection="1">
      <alignment horizontal="center"/>
    </xf>
    <xf numFmtId="167" fontId="33" fillId="34" borderId="13" xfId="28" applyNumberFormat="1" applyFont="1" applyFill="1" applyBorder="1" applyAlignment="1" applyProtection="1">
      <alignment horizontal="center"/>
    </xf>
    <xf numFmtId="167" fontId="57" fillId="34" borderId="20" xfId="28" applyNumberFormat="1" applyFont="1" applyFill="1" applyBorder="1" applyAlignment="1" applyProtection="1">
      <alignment horizontal="center"/>
    </xf>
    <xf numFmtId="167" fontId="57" fillId="34" borderId="19" xfId="28" applyNumberFormat="1" applyFont="1" applyFill="1" applyBorder="1" applyAlignment="1" applyProtection="1">
      <alignment horizontal="center"/>
    </xf>
    <xf numFmtId="167" fontId="33" fillId="36" borderId="13" xfId="28" applyNumberFormat="1" applyFont="1" applyFill="1" applyBorder="1" applyAlignment="1" applyProtection="1">
      <alignment horizontal="center"/>
    </xf>
    <xf numFmtId="167" fontId="57" fillId="36" borderId="20" xfId="28" applyNumberFormat="1" applyFont="1" applyFill="1" applyBorder="1" applyAlignment="1" applyProtection="1">
      <alignment horizontal="center"/>
    </xf>
    <xf numFmtId="167" fontId="57" fillId="36" borderId="19" xfId="28" applyNumberFormat="1" applyFont="1" applyFill="1" applyBorder="1" applyAlignment="1" applyProtection="1">
      <alignment horizontal="center"/>
    </xf>
    <xf numFmtId="167" fontId="33" fillId="38" borderId="13" xfId="28" applyNumberFormat="1" applyFont="1" applyFill="1" applyBorder="1" applyAlignment="1" applyProtection="1">
      <alignment horizontal="center"/>
    </xf>
    <xf numFmtId="167" fontId="57" fillId="38" borderId="20" xfId="28" applyNumberFormat="1" applyFont="1" applyFill="1" applyBorder="1" applyAlignment="1" applyProtection="1">
      <alignment horizontal="center"/>
    </xf>
    <xf numFmtId="167" fontId="57" fillId="38" borderId="19" xfId="28" applyNumberFormat="1" applyFont="1" applyFill="1" applyBorder="1" applyAlignment="1" applyProtection="1">
      <alignment horizontal="center"/>
    </xf>
    <xf numFmtId="167" fontId="33" fillId="31" borderId="13" xfId="28" applyNumberFormat="1" applyFont="1" applyFill="1" applyBorder="1" applyAlignment="1" applyProtection="1">
      <alignment horizontal="center"/>
    </xf>
    <xf numFmtId="167" fontId="57" fillId="31" borderId="20" xfId="28" applyNumberFormat="1" applyFont="1" applyFill="1" applyBorder="1" applyAlignment="1" applyProtection="1">
      <alignment horizontal="center"/>
    </xf>
    <xf numFmtId="167" fontId="57" fillId="31" borderId="19" xfId="28" applyNumberFormat="1" applyFont="1" applyFill="1" applyBorder="1" applyAlignment="1" applyProtection="1">
      <alignment horizontal="center"/>
    </xf>
    <xf numFmtId="167" fontId="33" fillId="27" borderId="91" xfId="28" applyNumberFormat="1" applyFont="1" applyFill="1" applyBorder="1" applyAlignment="1" applyProtection="1">
      <alignment horizontal="center" vertical="center"/>
    </xf>
    <xf numFmtId="167" fontId="33" fillId="27" borderId="105" xfId="28" applyNumberFormat="1" applyFont="1" applyFill="1" applyBorder="1" applyAlignment="1" applyProtection="1">
      <alignment horizontal="center" vertical="center"/>
    </xf>
    <xf numFmtId="167" fontId="33" fillId="27" borderId="93" xfId="28" applyNumberFormat="1" applyFont="1" applyFill="1" applyBorder="1" applyAlignment="1" applyProtection="1">
      <alignment horizontal="center" vertical="center"/>
    </xf>
    <xf numFmtId="167" fontId="33" fillId="27" borderId="31" xfId="28" applyNumberFormat="1" applyFont="1" applyFill="1" applyBorder="1" applyAlignment="1" applyProtection="1">
      <alignment horizontal="center" vertical="center"/>
    </xf>
    <xf numFmtId="167" fontId="33" fillId="27" borderId="62" xfId="28" applyNumberFormat="1" applyFont="1" applyFill="1" applyBorder="1" applyAlignment="1" applyProtection="1">
      <alignment horizontal="center" vertical="center"/>
    </xf>
    <xf numFmtId="167" fontId="33" fillId="27" borderId="16" xfId="28" applyNumberFormat="1" applyFont="1" applyFill="1" applyBorder="1" applyAlignment="1" applyProtection="1">
      <alignment horizontal="center" vertical="center"/>
    </xf>
    <xf numFmtId="167" fontId="33" fillId="33" borderId="13" xfId="28" applyNumberFormat="1" applyFont="1" applyFill="1" applyBorder="1" applyAlignment="1" applyProtection="1">
      <alignment horizontal="center"/>
    </xf>
    <xf numFmtId="167" fontId="57" fillId="33" borderId="20" xfId="28" applyNumberFormat="1" applyFont="1" applyFill="1" applyBorder="1" applyAlignment="1" applyProtection="1">
      <alignment horizontal="center"/>
    </xf>
    <xf numFmtId="167" fontId="57" fillId="33" borderId="19" xfId="28" applyNumberFormat="1" applyFont="1" applyFill="1" applyBorder="1" applyAlignment="1" applyProtection="1">
      <alignment horizontal="center"/>
    </xf>
    <xf numFmtId="167" fontId="33" fillId="35" borderId="13" xfId="28" applyNumberFormat="1" applyFont="1" applyFill="1" applyBorder="1" applyAlignment="1" applyProtection="1">
      <alignment horizontal="center"/>
    </xf>
    <xf numFmtId="167" fontId="57" fillId="35" borderId="20" xfId="28" applyNumberFormat="1" applyFont="1" applyFill="1" applyBorder="1" applyAlignment="1" applyProtection="1">
      <alignment horizontal="center"/>
    </xf>
    <xf numFmtId="167" fontId="57" fillId="35" borderId="19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167" fontId="57" fillId="32" borderId="11" xfId="28" applyNumberFormat="1" applyFont="1" applyFill="1" applyBorder="1" applyAlignment="1" applyProtection="1">
      <alignment horizontal="center"/>
    </xf>
    <xf numFmtId="167" fontId="33" fillId="27" borderId="13" xfId="28" applyNumberFormat="1" applyFont="1" applyFill="1" applyBorder="1" applyAlignment="1" applyProtection="1">
      <alignment horizontal="center"/>
    </xf>
    <xf numFmtId="167" fontId="57" fillId="27" borderId="20" xfId="28" applyNumberFormat="1" applyFont="1" applyFill="1" applyBorder="1" applyAlignment="1" applyProtection="1">
      <alignment horizontal="center"/>
    </xf>
    <xf numFmtId="167" fontId="57" fillId="27" borderId="19" xfId="28" applyNumberFormat="1" applyFont="1" applyFill="1" applyBorder="1" applyAlignment="1" applyProtection="1">
      <alignment horizontal="center"/>
    </xf>
    <xf numFmtId="167" fontId="33" fillId="37" borderId="13" xfId="28" applyNumberFormat="1" applyFont="1" applyFill="1" applyBorder="1" applyAlignment="1" applyProtection="1">
      <alignment horizontal="center"/>
    </xf>
    <xf numFmtId="167" fontId="57" fillId="37" borderId="20" xfId="28" applyNumberFormat="1" applyFont="1" applyFill="1" applyBorder="1" applyAlignment="1" applyProtection="1">
      <alignment horizontal="center"/>
    </xf>
    <xf numFmtId="167" fontId="57" fillId="37" borderId="19" xfId="28" applyNumberFormat="1" applyFont="1" applyFill="1" applyBorder="1" applyAlignment="1" applyProtection="1">
      <alignment horizontal="center"/>
    </xf>
    <xf numFmtId="167" fontId="57" fillId="0" borderId="13" xfId="28" applyNumberFormat="1" applyFont="1" applyFill="1" applyBorder="1" applyAlignment="1" applyProtection="1">
      <alignment horizontal="center"/>
    </xf>
    <xf numFmtId="167" fontId="57" fillId="0" borderId="20" xfId="28" applyNumberFormat="1" applyFont="1" applyFill="1" applyBorder="1" applyAlignment="1" applyProtection="1">
      <alignment horizontal="center"/>
    </xf>
    <xf numFmtId="167" fontId="57" fillId="0" borderId="19" xfId="28" applyNumberFormat="1" applyFont="1" applyFill="1" applyBorder="1" applyAlignment="1" applyProtection="1">
      <alignment horizontal="center"/>
    </xf>
    <xf numFmtId="178" fontId="43" fillId="42" borderId="89" xfId="58" applyNumberFormat="1" applyFont="1" applyFill="1" applyBorder="1" applyAlignment="1">
      <alignment horizontal="center" vertical="center" wrapText="1"/>
    </xf>
    <xf numFmtId="178" fontId="43" fillId="42" borderId="63" xfId="58" applyNumberFormat="1" applyFont="1" applyFill="1" applyBorder="1" applyAlignment="1">
      <alignment horizontal="center" vertical="center" wrapText="1"/>
    </xf>
    <xf numFmtId="178" fontId="43" fillId="42" borderId="17" xfId="58" applyNumberFormat="1" applyFont="1" applyFill="1" applyBorder="1" applyAlignment="1">
      <alignment horizontal="center" vertical="center" wrapText="1"/>
    </xf>
    <xf numFmtId="178" fontId="43" fillId="26" borderId="89" xfId="58" applyNumberFormat="1" applyFont="1" applyFill="1" applyBorder="1" applyAlignment="1">
      <alignment horizontal="center" vertical="center" wrapText="1"/>
    </xf>
    <xf numFmtId="178" fontId="43" fillId="26" borderId="63" xfId="58" applyNumberFormat="1" applyFont="1" applyFill="1" applyBorder="1" applyAlignment="1">
      <alignment horizontal="center" vertical="center" wrapText="1"/>
    </xf>
    <xf numFmtId="178" fontId="43" fillId="26" borderId="17" xfId="58" applyNumberFormat="1" applyFont="1" applyFill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43" fillId="0" borderId="89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63" xfId="0" applyFont="1" applyBorder="1" applyAlignment="1">
      <alignment horizontal="center" vertical="center" wrapText="1"/>
    </xf>
    <xf numFmtId="166" fontId="43" fillId="25" borderId="14" xfId="51" applyNumberFormat="1" applyFont="1" applyFill="1" applyBorder="1" applyAlignment="1">
      <alignment horizontal="center" vertical="center" wrapText="1"/>
    </xf>
    <xf numFmtId="166" fontId="43" fillId="25" borderId="63" xfId="51" applyNumberFormat="1" applyFont="1" applyFill="1" applyBorder="1" applyAlignment="1">
      <alignment horizontal="center" vertical="center" wrapText="1"/>
    </xf>
    <xf numFmtId="166" fontId="43" fillId="25" borderId="17" xfId="51" applyNumberFormat="1" applyFont="1" applyFill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177" fontId="43" fillId="0" borderId="59" xfId="0" applyNumberFormat="1" applyFont="1" applyBorder="1" applyAlignment="1">
      <alignment horizontal="center" vertical="center"/>
    </xf>
    <xf numFmtId="177" fontId="43" fillId="0" borderId="60" xfId="0" applyNumberFormat="1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177" fontId="43" fillId="0" borderId="31" xfId="0" applyNumberFormat="1" applyFont="1" applyBorder="1" applyAlignment="1">
      <alignment horizontal="center" vertical="center"/>
    </xf>
    <xf numFmtId="177" fontId="43" fillId="0" borderId="62" xfId="0" applyNumberFormat="1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164" fontId="43" fillId="0" borderId="14" xfId="29" applyFont="1" applyFill="1" applyBorder="1" applyAlignment="1">
      <alignment horizontal="center" vertical="center" wrapText="1"/>
    </xf>
    <xf numFmtId="164" fontId="43" fillId="0" borderId="63" xfId="29" applyFont="1" applyFill="1" applyBorder="1" applyAlignment="1">
      <alignment horizontal="center" vertical="center" wrapText="1"/>
    </xf>
    <xf numFmtId="178" fontId="43" fillId="25" borderId="14" xfId="29" applyNumberFormat="1" applyFont="1" applyFill="1" applyBorder="1" applyAlignment="1">
      <alignment horizontal="center" vertical="center" wrapText="1"/>
    </xf>
    <xf numFmtId="178" fontId="43" fillId="25" borderId="63" xfId="29" applyNumberFormat="1" applyFont="1" applyFill="1" applyBorder="1" applyAlignment="1">
      <alignment horizontal="center" vertical="center" wrapText="1"/>
    </xf>
    <xf numFmtId="178" fontId="43" fillId="22" borderId="14" xfId="29" applyNumberFormat="1" applyFont="1" applyFill="1" applyBorder="1" applyAlignment="1">
      <alignment horizontal="center" vertical="center" wrapText="1"/>
    </xf>
    <xf numFmtId="178" fontId="43" fillId="22" borderId="63" xfId="29" applyNumberFormat="1" applyFont="1" applyFill="1" applyBorder="1" applyAlignment="1">
      <alignment horizontal="center" vertical="center" wrapText="1"/>
    </xf>
    <xf numFmtId="178" fontId="43" fillId="22" borderId="17" xfId="29" applyNumberFormat="1" applyFont="1" applyFill="1" applyBorder="1" applyAlignment="1">
      <alignment horizontal="center" vertical="center" wrapText="1"/>
    </xf>
    <xf numFmtId="178" fontId="43" fillId="25" borderId="11" xfId="29" applyNumberFormat="1" applyFont="1" applyFill="1" applyBorder="1" applyAlignment="1">
      <alignment horizontal="center" vertical="center" wrapText="1"/>
    </xf>
    <xf numFmtId="178" fontId="43" fillId="0" borderId="13" xfId="29" applyNumberFormat="1" applyFont="1" applyFill="1" applyBorder="1" applyAlignment="1">
      <alignment horizontal="center" vertical="center" wrapText="1"/>
    </xf>
    <xf numFmtId="178" fontId="43" fillId="0" borderId="20" xfId="29" applyNumberFormat="1" applyFont="1" applyFill="1" applyBorder="1" applyAlignment="1">
      <alignment horizontal="center" vertical="center" wrapText="1"/>
    </xf>
    <xf numFmtId="178" fontId="43" fillId="0" borderId="19" xfId="29" applyNumberFormat="1" applyFont="1" applyFill="1" applyBorder="1" applyAlignment="1">
      <alignment horizontal="center" vertical="center" wrapText="1"/>
    </xf>
    <xf numFmtId="178" fontId="43" fillId="0" borderId="63" xfId="29" applyNumberFormat="1" applyFont="1" applyFill="1" applyBorder="1" applyAlignment="1">
      <alignment horizontal="center" vertical="center" wrapText="1"/>
    </xf>
    <xf numFmtId="178" fontId="43" fillId="0" borderId="17" xfId="29" applyNumberFormat="1" applyFont="1" applyFill="1" applyBorder="1" applyAlignment="1">
      <alignment horizontal="center" vertical="center" wrapText="1"/>
    </xf>
    <xf numFmtId="164" fontId="43" fillId="0" borderId="59" xfId="29" applyFont="1" applyFill="1" applyBorder="1" applyAlignment="1">
      <alignment horizontal="center" vertical="center"/>
    </xf>
    <xf numFmtId="164" fontId="43" fillId="0" borderId="60" xfId="29" applyFont="1" applyFill="1" applyBorder="1" applyAlignment="1">
      <alignment horizontal="center" vertical="center"/>
    </xf>
    <xf numFmtId="164" fontId="43" fillId="0" borderId="32" xfId="29" applyFont="1" applyFill="1" applyBorder="1" applyAlignment="1">
      <alignment horizontal="center" vertical="center"/>
    </xf>
    <xf numFmtId="164" fontId="43" fillId="0" borderId="31" xfId="29" applyFont="1" applyFill="1" applyBorder="1" applyAlignment="1">
      <alignment horizontal="center" vertical="center"/>
    </xf>
    <xf numFmtId="164" fontId="43" fillId="0" borderId="62" xfId="29" applyFont="1" applyFill="1" applyBorder="1" applyAlignment="1">
      <alignment horizontal="center" vertical="center"/>
    </xf>
    <xf numFmtId="164" fontId="43" fillId="0" borderId="16" xfId="29" applyFont="1" applyFill="1" applyBorder="1" applyAlignment="1">
      <alignment horizontal="center" vertical="center"/>
    </xf>
    <xf numFmtId="178" fontId="43" fillId="0" borderId="13" xfId="29" applyNumberFormat="1" applyFont="1" applyFill="1" applyBorder="1" applyAlignment="1">
      <alignment horizontal="right"/>
    </xf>
    <xf numFmtId="178" fontId="43" fillId="0" borderId="19" xfId="29" applyNumberFormat="1" applyFont="1" applyFill="1" applyBorder="1" applyAlignment="1">
      <alignment horizontal="right"/>
    </xf>
    <xf numFmtId="0" fontId="50" fillId="0" borderId="14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52" fillId="22" borderId="11" xfId="0" applyFont="1" applyFill="1" applyBorder="1" applyAlignment="1">
      <alignment horizontal="center"/>
    </xf>
    <xf numFmtId="178" fontId="43" fillId="0" borderId="14" xfId="29" applyNumberFormat="1" applyFont="1" applyFill="1" applyBorder="1" applyAlignment="1">
      <alignment horizontal="center" vertical="center" wrapText="1"/>
    </xf>
    <xf numFmtId="178" fontId="43" fillId="0" borderId="11" xfId="29" applyNumberFormat="1" applyFont="1" applyFill="1" applyBorder="1" applyAlignment="1">
      <alignment horizontal="center" vertical="center" wrapText="1"/>
    </xf>
    <xf numFmtId="178" fontId="44" fillId="25" borderId="11" xfId="29" applyNumberFormat="1" applyFont="1" applyFill="1" applyBorder="1" applyAlignment="1">
      <alignment horizontal="center"/>
    </xf>
    <xf numFmtId="178" fontId="43" fillId="4" borderId="11" xfId="29" applyNumberFormat="1" applyFont="1" applyFill="1" applyBorder="1" applyAlignment="1">
      <alignment horizontal="center" vertical="center" wrapText="1"/>
    </xf>
    <xf numFmtId="178" fontId="43" fillId="4" borderId="14" xfId="29" applyNumberFormat="1" applyFont="1" applyFill="1" applyBorder="1" applyAlignment="1">
      <alignment horizontal="center" vertical="center" wrapText="1"/>
    </xf>
    <xf numFmtId="178" fontId="43" fillId="4" borderId="59" xfId="29" applyNumberFormat="1" applyFont="1" applyFill="1" applyBorder="1" applyAlignment="1">
      <alignment horizontal="center" vertical="center" wrapText="1"/>
    </xf>
    <xf numFmtId="178" fontId="43" fillId="4" borderId="32" xfId="29" applyNumberFormat="1" applyFont="1" applyFill="1" applyBorder="1" applyAlignment="1">
      <alignment horizontal="center" vertical="center" wrapText="1"/>
    </xf>
    <xf numFmtId="178" fontId="43" fillId="4" borderId="31" xfId="29" applyNumberFormat="1" applyFont="1" applyFill="1" applyBorder="1" applyAlignment="1">
      <alignment horizontal="center" vertical="center" wrapText="1"/>
    </xf>
    <xf numFmtId="178" fontId="43" fillId="4" borderId="16" xfId="29" applyNumberFormat="1" applyFont="1" applyFill="1" applyBorder="1" applyAlignment="1">
      <alignment horizontal="center" vertical="center" wrapText="1"/>
    </xf>
    <xf numFmtId="178" fontId="43" fillId="42" borderId="59" xfId="58" applyNumberFormat="1" applyFont="1" applyFill="1" applyBorder="1" applyAlignment="1">
      <alignment horizontal="center" vertical="center" wrapText="1"/>
    </xf>
    <xf numFmtId="178" fontId="43" fillId="42" borderId="32" xfId="58" applyNumberFormat="1" applyFont="1" applyFill="1" applyBorder="1" applyAlignment="1">
      <alignment horizontal="center" vertical="center" wrapText="1"/>
    </xf>
    <xf numFmtId="178" fontId="43" fillId="26" borderId="13" xfId="58" applyNumberFormat="1" applyFont="1" applyFill="1" applyBorder="1" applyAlignment="1">
      <alignment horizontal="center" vertical="center" wrapText="1"/>
    </xf>
    <xf numFmtId="178" fontId="43" fillId="26" borderId="19" xfId="58" applyNumberFormat="1" applyFont="1" applyFill="1" applyBorder="1" applyAlignment="1">
      <alignment horizontal="center" vertical="center" wrapText="1"/>
    </xf>
    <xf numFmtId="178" fontId="43" fillId="26" borderId="14" xfId="29" applyNumberFormat="1" applyFont="1" applyFill="1" applyBorder="1" applyAlignment="1">
      <alignment horizontal="center" vertical="center" wrapText="1"/>
    </xf>
    <xf numFmtId="178" fontId="43" fillId="26" borderId="63" xfId="29" applyNumberFormat="1" applyFont="1" applyFill="1" applyBorder="1" applyAlignment="1">
      <alignment horizontal="center" vertical="center" wrapText="1"/>
    </xf>
    <xf numFmtId="178" fontId="43" fillId="26" borderId="17" xfId="29" applyNumberFormat="1" applyFont="1" applyFill="1" applyBorder="1" applyAlignment="1">
      <alignment horizontal="center" vertical="center" wrapText="1"/>
    </xf>
    <xf numFmtId="0" fontId="28" fillId="0" borderId="81" xfId="0" applyFont="1" applyBorder="1" applyAlignment="1">
      <alignment horizontal="center" vertical="center" wrapText="1"/>
    </xf>
    <xf numFmtId="0" fontId="28" fillId="0" borderId="82" xfId="0" applyFont="1" applyBorder="1" applyAlignment="1">
      <alignment horizontal="center" vertical="center" wrapText="1"/>
    </xf>
    <xf numFmtId="0" fontId="28" fillId="0" borderId="83" xfId="0" applyFont="1" applyBorder="1" applyAlignment="1">
      <alignment horizontal="center" vertical="center" wrapText="1"/>
    </xf>
    <xf numFmtId="0" fontId="28" fillId="0" borderId="84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84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85" xfId="0" applyFont="1" applyBorder="1" applyAlignment="1">
      <alignment horizontal="center" vertical="center" wrapText="1"/>
    </xf>
    <xf numFmtId="0" fontId="28" fillId="0" borderId="86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2" fontId="28" fillId="0" borderId="13" xfId="28" applyNumberFormat="1" applyFont="1" applyBorder="1" applyAlignment="1">
      <alignment horizontal="center" vertical="center"/>
    </xf>
    <xf numFmtId="2" fontId="28" fillId="0" borderId="88" xfId="28" applyNumberFormat="1" applyFont="1" applyBorder="1" applyAlignment="1">
      <alignment horizontal="center" vertical="center"/>
    </xf>
    <xf numFmtId="0" fontId="56" fillId="0" borderId="55" xfId="41" applyFont="1" applyBorder="1" applyAlignment="1">
      <alignment horizontal="center" vertical="center"/>
    </xf>
    <xf numFmtId="0" fontId="56" fillId="0" borderId="63" xfId="41" applyFont="1" applyBorder="1" applyAlignment="1">
      <alignment horizontal="center" vertical="center"/>
    </xf>
    <xf numFmtId="0" fontId="56" fillId="0" borderId="30" xfId="41" applyFont="1" applyBorder="1" applyAlignment="1">
      <alignment horizontal="center" vertical="center"/>
    </xf>
    <xf numFmtId="2" fontId="28" fillId="0" borderId="87" xfId="28" applyNumberFormat="1" applyFont="1" applyBorder="1" applyAlignment="1">
      <alignment horizontal="center" vertical="center"/>
    </xf>
    <xf numFmtId="2" fontId="28" fillId="0" borderId="31" xfId="28" applyNumberFormat="1" applyFont="1" applyBorder="1" applyAlignment="1">
      <alignment horizontal="center" vertical="center"/>
    </xf>
    <xf numFmtId="2" fontId="28" fillId="0" borderId="62" xfId="28" applyNumberFormat="1" applyFont="1" applyBorder="1" applyAlignment="1">
      <alignment horizontal="center" vertical="center"/>
    </xf>
    <xf numFmtId="2" fontId="28" fillId="0" borderId="16" xfId="28" applyNumberFormat="1" applyFont="1" applyBorder="1" applyAlignment="1">
      <alignment horizontal="center" vertical="center"/>
    </xf>
    <xf numFmtId="0" fontId="56" fillId="0" borderId="78" xfId="41" applyFont="1" applyBorder="1" applyAlignment="1">
      <alignment horizontal="center"/>
    </xf>
    <xf numFmtId="0" fontId="56" fillId="0" borderId="79" xfId="41" applyFont="1" applyBorder="1" applyAlignment="1">
      <alignment horizontal="center"/>
    </xf>
    <xf numFmtId="0" fontId="56" fillId="0" borderId="22" xfId="41" applyFont="1" applyBorder="1" applyAlignment="1">
      <alignment horizontal="center"/>
    </xf>
    <xf numFmtId="0" fontId="56" fillId="11" borderId="55" xfId="41" applyFont="1" applyFill="1" applyBorder="1" applyAlignment="1">
      <alignment horizontal="center" vertical="center" wrapText="1"/>
    </xf>
    <xf numFmtId="0" fontId="56" fillId="11" borderId="63" xfId="41" applyFont="1" applyFill="1" applyBorder="1" applyAlignment="1">
      <alignment horizontal="center" vertical="center" wrapText="1"/>
    </xf>
    <xf numFmtId="0" fontId="56" fillId="11" borderId="30" xfId="41" applyFont="1" applyFill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56" fillId="0" borderId="45" xfId="41" applyFont="1" applyBorder="1" applyAlignment="1">
      <alignment horizontal="center" vertical="center"/>
    </xf>
    <xf numFmtId="0" fontId="56" fillId="0" borderId="80" xfId="41" applyFont="1" applyBorder="1" applyAlignment="1">
      <alignment horizontal="center" vertical="center"/>
    </xf>
    <xf numFmtId="0" fontId="56" fillId="0" borderId="47" xfId="41" applyFont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87" xfId="28" applyNumberFormat="1" applyFont="1" applyBorder="1" applyAlignment="1">
      <alignment horizontal="center"/>
    </xf>
    <xf numFmtId="2" fontId="0" fillId="0" borderId="88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8" fillId="0" borderId="31" xfId="28" quotePrefix="1" applyNumberFormat="1" applyFont="1" applyBorder="1" applyAlignment="1">
      <alignment horizontal="center" vertical="center"/>
    </xf>
    <xf numFmtId="2" fontId="28" fillId="0" borderId="11" xfId="28" applyNumberFormat="1" applyFont="1" applyBorder="1" applyAlignment="1">
      <alignment horizontal="center" vertical="center"/>
    </xf>
    <xf numFmtId="10" fontId="64" fillId="27" borderId="11" xfId="0" applyNumberFormat="1" applyFont="1" applyFill="1" applyBorder="1" applyAlignment="1">
      <alignment horizontal="center" vertical="center"/>
    </xf>
    <xf numFmtId="0" fontId="64" fillId="27" borderId="11" xfId="0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0" fontId="59" fillId="27" borderId="89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0" borderId="11" xfId="0" applyFont="1" applyBorder="1" applyAlignment="1">
      <alignment horizontal="left" vertical="center"/>
    </xf>
    <xf numFmtId="0" fontId="59" fillId="0" borderId="11" xfId="0" applyFont="1" applyBorder="1" applyAlignment="1">
      <alignment horizontal="center" vertical="center"/>
    </xf>
    <xf numFmtId="10" fontId="63" fillId="0" borderId="11" xfId="0" applyNumberFormat="1" applyFont="1" applyBorder="1" applyAlignment="1">
      <alignment horizontal="center" vertical="center"/>
    </xf>
    <xf numFmtId="10" fontId="1" fillId="0" borderId="11" xfId="51" applyNumberFormat="1" applyFont="1" applyFill="1" applyBorder="1" applyAlignment="1">
      <alignment horizontal="center" vertical="center"/>
    </xf>
    <xf numFmtId="0" fontId="59" fillId="0" borderId="89" xfId="0" applyFont="1" applyBorder="1" applyAlignment="1">
      <alignment horizontal="left" vertical="center"/>
    </xf>
    <xf numFmtId="0" fontId="59" fillId="0" borderId="63" xfId="0" applyFont="1" applyBorder="1" applyAlignment="1">
      <alignment horizontal="left" vertical="center"/>
    </xf>
    <xf numFmtId="0" fontId="59" fillId="0" borderId="17" xfId="0" applyFont="1" applyBorder="1" applyAlignment="1">
      <alignment horizontal="left" vertical="center"/>
    </xf>
    <xf numFmtId="10" fontId="1" fillId="0" borderId="89" xfId="51" applyNumberFormat="1" applyFont="1" applyFill="1" applyBorder="1" applyAlignment="1">
      <alignment horizontal="center" vertical="center"/>
    </xf>
    <xf numFmtId="10" fontId="1" fillId="0" borderId="63" xfId="51" applyNumberFormat="1" applyFont="1" applyFill="1" applyBorder="1" applyAlignment="1">
      <alignment horizontal="center" vertical="center"/>
    </xf>
    <xf numFmtId="10" fontId="1" fillId="0" borderId="17" xfId="51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top" wrapText="1"/>
    </xf>
    <xf numFmtId="10" fontId="59" fillId="0" borderId="11" xfId="0" applyNumberFormat="1" applyFont="1" applyBorder="1" applyAlignment="1">
      <alignment horizontal="center" vertical="center"/>
    </xf>
    <xf numFmtId="10" fontId="59" fillId="0" borderId="89" xfId="51" applyNumberFormat="1" applyFont="1" applyFill="1" applyBorder="1" applyAlignment="1">
      <alignment horizontal="center" vertical="center"/>
    </xf>
    <xf numFmtId="10" fontId="59" fillId="0" borderId="17" xfId="51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/>
    </xf>
    <xf numFmtId="10" fontId="62" fillId="0" borderId="11" xfId="0" applyNumberFormat="1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59" fillId="0" borderId="89" xfId="0" applyFont="1" applyBorder="1" applyAlignment="1">
      <alignment horizontal="center" vertical="center"/>
    </xf>
    <xf numFmtId="0" fontId="59" fillId="0" borderId="63" xfId="0" applyFont="1" applyBorder="1" applyAlignment="1">
      <alignment horizontal="center" vertical="center"/>
    </xf>
    <xf numFmtId="0" fontId="27" fillId="24" borderId="28" xfId="0" applyFont="1" applyFill="1" applyBorder="1" applyAlignment="1">
      <alignment horizontal="center"/>
    </xf>
    <xf numFmtId="0" fontId="27" fillId="24" borderId="19" xfId="0" applyFont="1" applyFill="1" applyBorder="1" applyAlignment="1">
      <alignment horizontal="center"/>
    </xf>
    <xf numFmtId="0" fontId="27" fillId="24" borderId="45" xfId="0" applyFont="1" applyFill="1" applyBorder="1" applyAlignment="1" applyProtection="1">
      <alignment horizontal="center" vertical="center" textRotation="180" wrapText="1"/>
      <protection locked="0"/>
    </xf>
    <xf numFmtId="0" fontId="45" fillId="0" borderId="80" xfId="0" applyFont="1" applyBorder="1" applyAlignment="1" applyProtection="1">
      <alignment horizontal="center" vertical="center" textRotation="180" wrapText="1"/>
      <protection locked="0"/>
    </xf>
    <xf numFmtId="0" fontId="45" fillId="0" borderId="47" xfId="0" applyFont="1" applyBorder="1" applyAlignment="1" applyProtection="1">
      <alignment horizontal="center" vertical="center" textRotation="180" wrapText="1"/>
      <protection locked="0"/>
    </xf>
    <xf numFmtId="0" fontId="27" fillId="24" borderId="43" xfId="0" applyFont="1" applyFill="1" applyBorder="1" applyAlignment="1" applyProtection="1">
      <alignment horizontal="center" vertical="center" wrapText="1"/>
      <protection locked="0"/>
    </xf>
    <xf numFmtId="0" fontId="0" fillId="0" borderId="44" xfId="0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alignment horizontal="center" vertical="center" wrapText="1"/>
      <protection locked="0"/>
    </xf>
    <xf numFmtId="0" fontId="0" fillId="0" borderId="80" xfId="0" applyBorder="1" applyAlignment="1" applyProtection="1">
      <alignment horizontal="center" vertical="center" textRotation="180" wrapText="1"/>
      <protection locked="0"/>
    </xf>
    <xf numFmtId="0" fontId="0" fillId="0" borderId="47" xfId="0" applyBorder="1" applyAlignment="1" applyProtection="1">
      <alignment horizontal="center" vertical="center" textRotation="180" wrapText="1"/>
      <protection locked="0"/>
    </xf>
    <xf numFmtId="0" fontId="27" fillId="24" borderId="80" xfId="0" applyFont="1" applyFill="1" applyBorder="1" applyAlignment="1" applyProtection="1">
      <alignment horizontal="center" vertical="center" textRotation="180" wrapText="1"/>
      <protection locked="0"/>
    </xf>
    <xf numFmtId="0" fontId="27" fillId="24" borderId="47" xfId="0" applyFont="1" applyFill="1" applyBorder="1" applyAlignment="1" applyProtection="1">
      <alignment horizontal="center" vertical="center" textRotation="180" wrapText="1"/>
      <protection locked="0"/>
    </xf>
    <xf numFmtId="0" fontId="27" fillId="24" borderId="69" xfId="0" applyFont="1" applyFill="1" applyBorder="1" applyAlignment="1">
      <alignment horizontal="center"/>
    </xf>
    <xf numFmtId="0" fontId="27" fillId="24" borderId="70" xfId="0" applyFont="1" applyFill="1" applyBorder="1" applyAlignment="1">
      <alignment horizontal="center"/>
    </xf>
    <xf numFmtId="0" fontId="27" fillId="24" borderId="36" xfId="0" applyFont="1" applyFill="1" applyBorder="1" applyAlignment="1">
      <alignment horizontal="center"/>
    </xf>
    <xf numFmtId="0" fontId="27" fillId="24" borderId="34" xfId="0" applyFont="1" applyFill="1" applyBorder="1" applyAlignment="1">
      <alignment horizontal="center"/>
    </xf>
    <xf numFmtId="0" fontId="27" fillId="24" borderId="77" xfId="0" applyFont="1" applyFill="1" applyBorder="1" applyAlignment="1">
      <alignment horizontal="center"/>
    </xf>
    <xf numFmtId="0" fontId="27" fillId="24" borderId="76" xfId="0" applyFont="1" applyFill="1" applyBorder="1" applyAlignment="1">
      <alignment horizontal="center"/>
    </xf>
    <xf numFmtId="0" fontId="23" fillId="24" borderId="78" xfId="0" applyFont="1" applyFill="1" applyBorder="1" applyAlignment="1">
      <alignment horizontal="center"/>
    </xf>
    <xf numFmtId="0" fontId="23" fillId="24" borderId="22" xfId="0" applyFont="1" applyFill="1" applyBorder="1" applyAlignment="1">
      <alignment horizontal="center"/>
    </xf>
    <xf numFmtId="0" fontId="27" fillId="24" borderId="78" xfId="0" applyFont="1" applyFill="1" applyBorder="1" applyAlignment="1">
      <alignment horizontal="center"/>
    </xf>
    <xf numFmtId="0" fontId="27" fillId="24" borderId="22" xfId="0" applyFont="1" applyFill="1" applyBorder="1" applyAlignment="1">
      <alignment horizontal="center"/>
    </xf>
    <xf numFmtId="0" fontId="46" fillId="24" borderId="28" xfId="0" applyFont="1" applyFill="1" applyBorder="1" applyAlignment="1">
      <alignment horizontal="center"/>
    </xf>
  </cellXfs>
  <cellStyles count="6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8"/>
    <cellStyle name="Comma 2" xfId="59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6"/>
    <cellStyle name="Normal 5" xfId="60"/>
    <cellStyle name="Normal_April_3" xfId="43"/>
    <cellStyle name="Normal_DES 11_1" xfId="57"/>
    <cellStyle name="Normal_Juli_37" xfId="44"/>
    <cellStyle name="Normal_Juni" xfId="45"/>
    <cellStyle name="Normal_Juni_4" xfId="46"/>
    <cellStyle name="Normal_Mar_18" xfId="47"/>
    <cellStyle name="Normal_Mar_6" xfId="48"/>
    <cellStyle name="Note" xfId="49" builtinId="10" customBuiltin="1"/>
    <cellStyle name="Output" xfId="50" builtinId="21" customBuiltin="1"/>
    <cellStyle name="Percent" xfId="51" builtinId="5"/>
    <cellStyle name="Percent 2" xfId="61"/>
    <cellStyle name="Percent_Okt_6" xfId="52"/>
    <cellStyle name="Title" xfId="53" builtinId="15" customBuiltin="1"/>
    <cellStyle name="Total" xfId="54" builtinId="25" customBuiltin="1"/>
    <cellStyle name="Warning Text" xfId="55" builtinId="11" customBuiltin="1"/>
  </cellStyles>
  <dxfs count="188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</dxfs>
  <tableStyles count="0" defaultTableStyle="TableStyleMedium9" defaultPivotStyle="PivotStyleLight16"/>
  <colors>
    <mruColors>
      <color rgb="FFEAA0C1"/>
      <color rgb="FFFABF8F"/>
      <color rgb="FF9BBB59"/>
      <color rgb="FF8C91FE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4.xml"/><Relationship Id="rId50" Type="http://schemas.openxmlformats.org/officeDocument/2006/relationships/externalLink" Target="externalLinks/externalLink7.xml"/><Relationship Id="rId55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3" Type="http://schemas.openxmlformats.org/officeDocument/2006/relationships/externalLink" Target="externalLinks/externalLink10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6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52" Type="http://schemas.openxmlformats.org/officeDocument/2006/relationships/externalLink" Target="externalLinks/externalLink9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5.xml"/><Relationship Id="rId56" Type="http://schemas.openxmlformats.org/officeDocument/2006/relationships/externalLink" Target="externalLinks/externalLink1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68.671999999999997</c:v>
                </c:pt>
                <c:pt idx="1">
                  <c:v>69.626999999999995</c:v>
                </c:pt>
                <c:pt idx="2">
                  <c:v>74.578999999999994</c:v>
                </c:pt>
                <c:pt idx="3">
                  <c:v>78.611000000000004</c:v>
                </c:pt>
                <c:pt idx="4">
                  <c:v>74.552000000000007</c:v>
                </c:pt>
                <c:pt idx="5">
                  <c:v>70.131</c:v>
                </c:pt>
                <c:pt idx="6">
                  <c:v>60.798000000000002</c:v>
                </c:pt>
                <c:pt idx="7">
                  <c:v>12.112</c:v>
                </c:pt>
                <c:pt idx="8">
                  <c:v>65.429000000000002</c:v>
                </c:pt>
                <c:pt idx="9">
                  <c:v>58.366</c:v>
                </c:pt>
                <c:pt idx="10">
                  <c:v>52.795999999999999</c:v>
                </c:pt>
                <c:pt idx="11">
                  <c:v>46.07</c:v>
                </c:pt>
                <c:pt idx="12">
                  <c:v>36.353999999999999</c:v>
                </c:pt>
                <c:pt idx="13">
                  <c:v>45.256999999999998</c:v>
                </c:pt>
                <c:pt idx="14">
                  <c:v>50.311</c:v>
                </c:pt>
                <c:pt idx="15">
                  <c:v>53.802999999999997</c:v>
                </c:pt>
                <c:pt idx="16">
                  <c:v>54.225999999999999</c:v>
                </c:pt>
                <c:pt idx="17">
                  <c:v>53.707000000000001</c:v>
                </c:pt>
                <c:pt idx="18">
                  <c:v>50.598999999999997</c:v>
                </c:pt>
                <c:pt idx="19">
                  <c:v>45.067999999999998</c:v>
                </c:pt>
                <c:pt idx="20">
                  <c:v>44.09</c:v>
                </c:pt>
                <c:pt idx="21">
                  <c:v>47.679000000000002</c:v>
                </c:pt>
                <c:pt idx="22">
                  <c:v>42.927999999999997</c:v>
                </c:pt>
                <c:pt idx="23">
                  <c:v>55.439</c:v>
                </c:pt>
                <c:pt idx="24">
                  <c:v>41.302999999999997</c:v>
                </c:pt>
                <c:pt idx="25">
                  <c:v>59.515000000000001</c:v>
                </c:pt>
                <c:pt idx="26">
                  <c:v>51.79</c:v>
                </c:pt>
                <c:pt idx="27">
                  <c:v>48.252000000000002</c:v>
                </c:pt>
                <c:pt idx="28">
                  <c:v>53.576000000000001</c:v>
                </c:pt>
                <c:pt idx="29">
                  <c:v>52.741999999999997</c:v>
                </c:pt>
                <c:pt idx="30">
                  <c:v>50.648000000000003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669120"/>
        <c:axId val="379683200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FC6D-4B8B-91BF-BF47FD5D2F2B}"/>
              </c:ext>
            </c:extLst>
          </c:dPt>
          <c:cat>
            <c:numRef>
              <c:f>Report1!$A$9</c:f>
              <c:numCache>
                <c:formatCode>d\-mmm</c:formatCode>
                <c:ptCount val="1"/>
                <c:pt idx="0">
                  <c:v>45839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0.9909427254801737</c:v>
                </c:pt>
                <c:pt idx="1">
                  <c:v>0.99122113681913193</c:v>
                </c:pt>
                <c:pt idx="2">
                  <c:v>0.91407730485331939</c:v>
                </c:pt>
                <c:pt idx="3">
                  <c:v>0.94664245258088509</c:v>
                </c:pt>
                <c:pt idx="4">
                  <c:v>0.95324641323525505</c:v>
                </c:pt>
                <c:pt idx="5">
                  <c:v>0.89766144927108837</c:v>
                </c:pt>
                <c:pt idx="6">
                  <c:v>0.76519490080738828</c:v>
                </c:pt>
                <c:pt idx="7">
                  <c:v>0.15586048424485982</c:v>
                </c:pt>
                <c:pt idx="8">
                  <c:v>0.8406252877929733</c:v>
                </c:pt>
                <c:pt idx="9">
                  <c:v>0.88034016925384084</c:v>
                </c:pt>
                <c:pt idx="10">
                  <c:v>0.88129263909988098</c:v>
                </c:pt>
                <c:pt idx="11">
                  <c:v>0.78168732173426547</c:v>
                </c:pt>
                <c:pt idx="12">
                  <c:v>0.60333694021081286</c:v>
                </c:pt>
                <c:pt idx="13">
                  <c:v>0.76641177822860218</c:v>
                </c:pt>
                <c:pt idx="14">
                  <c:v>0.85451837087790183</c:v>
                </c:pt>
                <c:pt idx="15">
                  <c:v>0.93382964604170882</c:v>
                </c:pt>
                <c:pt idx="16">
                  <c:v>0.94110836908639406</c:v>
                </c:pt>
                <c:pt idx="17">
                  <c:v>0.89649942738346289</c:v>
                </c:pt>
                <c:pt idx="18">
                  <c:v>0.90712458255772299</c:v>
                </c:pt>
                <c:pt idx="19">
                  <c:v>0.80139310798957797</c:v>
                </c:pt>
                <c:pt idx="20">
                  <c:v>0.78503305720966243</c:v>
                </c:pt>
                <c:pt idx="21">
                  <c:v>0.82502237366406905</c:v>
                </c:pt>
                <c:pt idx="22">
                  <c:v>0.73249572733576862</c:v>
                </c:pt>
                <c:pt idx="23">
                  <c:v>0.93638366459845312</c:v>
                </c:pt>
                <c:pt idx="24">
                  <c:v>0.68308261226217881</c:v>
                </c:pt>
                <c:pt idx="25">
                  <c:v>1.0217425580265307</c:v>
                </c:pt>
                <c:pt idx="26">
                  <c:v>0.8922084072045372</c:v>
                </c:pt>
                <c:pt idx="27">
                  <c:v>0.86198207855311371</c:v>
                </c:pt>
                <c:pt idx="28">
                  <c:v>0.90739687363668242</c:v>
                </c:pt>
                <c:pt idx="29">
                  <c:v>0.89963119048086371</c:v>
                </c:pt>
                <c:pt idx="30">
                  <c:v>0.84132217307710055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C6D-4B8B-91BF-BF47FD5D2F2B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</c:f>
              <c:numCache>
                <c:formatCode>d\-mmm</c:formatCode>
                <c:ptCount val="1"/>
                <c:pt idx="0">
                  <c:v>45839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0.9909427254801737</c:v>
                </c:pt>
                <c:pt idx="1">
                  <c:v>0.99108287285882679</c:v>
                </c:pt>
                <c:pt idx="2">
                  <c:v>0.96267080914719638</c:v>
                </c:pt>
                <c:pt idx="3">
                  <c:v>0.95829494965514939</c:v>
                </c:pt>
                <c:pt idx="4">
                  <c:v>0.95726237640656375</c:v>
                </c:pt>
                <c:pt idx="5">
                  <c:v>0.94715096235074236</c:v>
                </c:pt>
                <c:pt idx="6">
                  <c:v>0.92037659924773518</c:v>
                </c:pt>
                <c:pt idx="7">
                  <c:v>0.82419168298980816</c:v>
                </c:pt>
                <c:pt idx="8">
                  <c:v>0.82603075417425698</c:v>
                </c:pt>
                <c:pt idx="9">
                  <c:v>0.83075725094017017</c:v>
                </c:pt>
                <c:pt idx="10">
                  <c:v>0.83444155409629261</c:v>
                </c:pt>
                <c:pt idx="11">
                  <c:v>0.83091103631758045</c:v>
                </c:pt>
                <c:pt idx="12">
                  <c:v>0.81633737328539069</c:v>
                </c:pt>
                <c:pt idx="13">
                  <c:v>0.81338911457210228</c:v>
                </c:pt>
                <c:pt idx="14">
                  <c:v>0.81567610751034803</c:v>
                </c:pt>
                <c:pt idx="15">
                  <c:v>0.82177353709882495</c:v>
                </c:pt>
                <c:pt idx="16">
                  <c:v>0.82763008783305636</c:v>
                </c:pt>
                <c:pt idx="17">
                  <c:v>0.83097357972888819</c:v>
                </c:pt>
                <c:pt idx="18">
                  <c:v>0.83426697155667517</c:v>
                </c:pt>
                <c:pt idx="19">
                  <c:v>0.83289346439263168</c:v>
                </c:pt>
                <c:pt idx="20">
                  <c:v>0.83097641888999407</c:v>
                </c:pt>
                <c:pt idx="21">
                  <c:v>0.83074073135838422</c:v>
                </c:pt>
                <c:pt idx="22">
                  <c:v>0.82694918401814799</c:v>
                </c:pt>
                <c:pt idx="23">
                  <c:v>0.83105571985926641</c:v>
                </c:pt>
                <c:pt idx="24">
                  <c:v>0.82559414058467395</c:v>
                </c:pt>
                <c:pt idx="25">
                  <c:v>0.83232891857764291</c:v>
                </c:pt>
                <c:pt idx="26">
                  <c:v>0.83430998858323713</c:v>
                </c:pt>
                <c:pt idx="27">
                  <c:v>0.83516557021497562</c:v>
                </c:pt>
                <c:pt idx="28">
                  <c:v>0.83744677232052744</c:v>
                </c:pt>
                <c:pt idx="29">
                  <c:v>0.8393375011815174</c:v>
                </c:pt>
                <c:pt idx="30">
                  <c:v>0.83939758980569712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686272"/>
        <c:axId val="379684736"/>
      </c:lineChart>
      <c:dateAx>
        <c:axId val="3796691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379683200"/>
        <c:crosses val="autoZero"/>
        <c:auto val="1"/>
        <c:lblOffset val="100"/>
        <c:baseTimeUnit val="days"/>
      </c:dateAx>
      <c:valAx>
        <c:axId val="379683200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379669120"/>
        <c:crosses val="autoZero"/>
        <c:crossBetween val="between"/>
      </c:valAx>
      <c:valAx>
        <c:axId val="3796847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79686272"/>
        <c:crosses val="max"/>
        <c:crossBetween val="between"/>
      </c:valAx>
      <c:dateAx>
        <c:axId val="379686272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379684736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504824</xdr:colOff>
      <xdr:row>25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2%20JUL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4%20JULI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1.%20JANUARI\DAILY%20REPORT%20PM%2014%20JANUARI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5%20JULI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6%20JULI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7%20JULI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6.%20JUNI\DAILY%20REPORT%20PM%2011%20JUNI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5.%20MEI\DAILY%20REPORT%20PM%2011%20MEI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4.%20APRIL\DAILY%20REPORT%20PM%2011%20APRIL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3.%20MARET\DAILY%20REPORT%20PM%2011%20MARET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.%20FEBRUARI\DAILY%20REPORT%20PM%2011%20FEBRUARI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1.%20JANUARI\DAILY%20REPORT%20PM%2011%20JANUARI%20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0.872838230792776</v>
          </cell>
          <cell r="K9">
            <v>0.872838230792776</v>
          </cell>
          <cell r="R9">
            <v>59.786999999999999</v>
          </cell>
          <cell r="S9">
            <v>59.786999999999999</v>
          </cell>
          <cell r="AL9">
            <v>2.0316791275695385</v>
          </cell>
          <cell r="AM9">
            <v>2.0316791275695385</v>
          </cell>
          <cell r="AR9">
            <v>0.26761670597287035</v>
          </cell>
          <cell r="AS9">
            <v>0.26761670597287035</v>
          </cell>
          <cell r="AX9">
            <v>622.43614832658352</v>
          </cell>
          <cell r="AY9">
            <v>622.43614832658352</v>
          </cell>
          <cell r="BD9">
            <v>530.73410607657183</v>
          </cell>
          <cell r="BE9">
            <v>530.73410607657183</v>
          </cell>
          <cell r="BJ9">
            <v>0.90228790548571269</v>
          </cell>
          <cell r="BK9">
            <v>0.90228790548571269</v>
          </cell>
        </row>
        <row r="10">
          <cell r="J10">
            <v>0.96540933835973952</v>
          </cell>
          <cell r="K10">
            <v>0.91888568371748258</v>
          </cell>
          <cell r="R10">
            <v>65.450999999999993</v>
          </cell>
          <cell r="S10">
            <v>125.238</v>
          </cell>
          <cell r="AL10">
            <v>2.1193564651418622</v>
          </cell>
          <cell r="AM10">
            <v>2.0775004391638321</v>
          </cell>
          <cell r="AR10">
            <v>0.22917908053352892</v>
          </cell>
          <cell r="AS10">
            <v>0.24752870534502308</v>
          </cell>
          <cell r="AX10">
            <v>610.97003865484851</v>
          </cell>
          <cell r="AY10">
            <v>616.44381098388624</v>
          </cell>
          <cell r="BD10">
            <v>452.68979847519523</v>
          </cell>
          <cell r="BE10">
            <v>489.94714064421339</v>
          </cell>
          <cell r="BJ10">
            <v>0.99655157508102143</v>
          </cell>
          <cell r="BK10">
            <v>0.94921109573780504</v>
          </cell>
        </row>
        <row r="11">
          <cell r="J11">
            <v>0.99304793185736051</v>
          </cell>
          <cell r="K11">
            <v>0.94406248407450344</v>
          </cell>
          <cell r="R11">
            <v>69.563000000000002</v>
          </cell>
          <cell r="S11">
            <v>194.80099999999999</v>
          </cell>
          <cell r="AL11">
            <v>2.1498497764616249</v>
          </cell>
          <cell r="AM11">
            <v>2.1033362251733823</v>
          </cell>
          <cell r="AR11">
            <v>0.2228196023748257</v>
          </cell>
          <cell r="AS11">
            <v>0.23870514011735053</v>
          </cell>
          <cell r="AX11">
            <v>589.34088524072251</v>
          </cell>
          <cell r="AY11">
            <v>606.76541701531471</v>
          </cell>
          <cell r="BD11">
            <v>435.14512025070803</v>
          </cell>
          <cell r="BE11">
            <v>470.37746212801784</v>
          </cell>
          <cell r="BJ11">
            <v>1.0020946193935525</v>
          </cell>
          <cell r="BK11">
            <v>0.96744266330064133</v>
          </cell>
        </row>
        <row r="12">
          <cell r="J12">
            <v>0.98739656072138016</v>
          </cell>
          <cell r="K12">
            <v>0.95489406107926766</v>
          </cell>
          <cell r="R12">
            <v>67.897999999999996</v>
          </cell>
          <cell r="S12">
            <v>262.69899999999996</v>
          </cell>
          <cell r="AL12">
            <v>2.1459542254558306</v>
          </cell>
          <cell r="AM12">
            <v>2.1143514059817514</v>
          </cell>
          <cell r="AR12">
            <v>0.247429968482135</v>
          </cell>
          <cell r="AS12">
            <v>0.24096018637299726</v>
          </cell>
          <cell r="AX12">
            <v>611.17485051105336</v>
          </cell>
          <cell r="AY12">
            <v>607.90509290100022</v>
          </cell>
          <cell r="BD12">
            <v>498.8806739521093</v>
          </cell>
          <cell r="BE12">
            <v>477.74449084313358</v>
          </cell>
          <cell r="BJ12">
            <v>0.98739656072138016</v>
          </cell>
          <cell r="BK12">
            <v>0.97252231885604867</v>
          </cell>
        </row>
        <row r="13">
          <cell r="J13">
            <v>0.99590509770458568</v>
          </cell>
          <cell r="K13">
            <v>0.96316811625599463</v>
          </cell>
          <cell r="R13">
            <v>69.247</v>
          </cell>
          <cell r="S13">
            <v>331.94599999999997</v>
          </cell>
          <cell r="AL13">
            <v>2.1263015004260111</v>
          </cell>
          <cell r="AM13">
            <v>2.1168443060015787</v>
          </cell>
          <cell r="AR13">
            <v>0.22528051756754805</v>
          </cell>
          <cell r="AS13">
            <v>0.23768926271140486</v>
          </cell>
          <cell r="AX13">
            <v>591.68093924647587</v>
          </cell>
          <cell r="AY13">
            <v>604.52058467341237</v>
          </cell>
          <cell r="BD13">
            <v>458.73467442632693</v>
          </cell>
          <cell r="BE13">
            <v>473.77886764714805</v>
          </cell>
          <cell r="BJ13">
            <v>0.99590509770458568</v>
          </cell>
          <cell r="BK13">
            <v>0.97730910067846599</v>
          </cell>
        </row>
        <row r="14">
          <cell r="J14">
            <v>0.99404704515444942</v>
          </cell>
          <cell r="K14">
            <v>0.96849148167877053</v>
          </cell>
          <cell r="R14">
            <v>71.363</v>
          </cell>
          <cell r="S14">
            <v>403.30899999999997</v>
          </cell>
          <cell r="AL14">
            <v>2.1418101817468438</v>
          </cell>
          <cell r="AM14">
            <v>2.1212618612527865</v>
          </cell>
          <cell r="AR14">
            <v>0.20598909799195661</v>
          </cell>
          <cell r="AS14">
            <v>0.23208011723021307</v>
          </cell>
          <cell r="AX14">
            <v>558.14763953308977</v>
          </cell>
          <cell r="AY14">
            <v>596.31518265151635</v>
          </cell>
          <cell r="BD14">
            <v>409.17562322211279</v>
          </cell>
          <cell r="BE14">
            <v>462.34772841667274</v>
          </cell>
          <cell r="BJ14">
            <v>0.99404704515444942</v>
          </cell>
          <cell r="BK14">
            <v>0.98022960723423358</v>
          </cell>
        </row>
        <row r="15">
          <cell r="J15">
            <v>0.99039365124454748</v>
          </cell>
          <cell r="K15">
            <v>0.9716780349712284</v>
          </cell>
          <cell r="R15">
            <v>70.221000000000004</v>
          </cell>
          <cell r="S15">
            <v>473.53</v>
          </cell>
          <cell r="AL15">
            <v>2.0121188818159808</v>
          </cell>
          <cell r="AM15">
            <v>2.1050767638797967</v>
          </cell>
          <cell r="AR15">
            <v>0.13955939106535081</v>
          </cell>
          <cell r="AS15">
            <v>0.21835997719257491</v>
          </cell>
          <cell r="AX15">
            <v>508.55627234019676</v>
          </cell>
          <cell r="AY15">
            <v>583.30118471902813</v>
          </cell>
          <cell r="BD15">
            <v>363.42404693753099</v>
          </cell>
          <cell r="BE15">
            <v>447.67807741853773</v>
          </cell>
          <cell r="BJ15">
            <v>1.1068627438370344</v>
          </cell>
          <cell r="BK15">
            <v>0.99714695484687377</v>
          </cell>
        </row>
        <row r="16">
          <cell r="J16">
            <v>3.2789365823796532E-2</v>
          </cell>
          <cell r="K16">
            <v>0.87991137916553974</v>
          </cell>
          <cell r="R16">
            <v>1.7310000000000001</v>
          </cell>
          <cell r="S16">
            <v>475.26099999999997</v>
          </cell>
          <cell r="AL16">
            <v>15.581744656268054</v>
          </cell>
          <cell r="AM16">
            <v>2.1541616080427386</v>
          </cell>
          <cell r="AR16">
            <v>2.8307336799537839</v>
          </cell>
          <cell r="AS16">
            <v>0.22787478880025924</v>
          </cell>
          <cell r="AX16">
            <v>4360.0404390517851</v>
          </cell>
          <cell r="AY16">
            <v>597.05685928363584</v>
          </cell>
          <cell r="BD16">
            <v>12597.342576545296</v>
          </cell>
          <cell r="BE16">
            <v>491.92969757670016</v>
          </cell>
          <cell r="BJ16">
            <v>0.27774521638980587</v>
          </cell>
          <cell r="BK16">
            <v>0.9878279168802534</v>
          </cell>
        </row>
        <row r="17">
          <cell r="J17">
            <v>0.31866177928636874</v>
          </cell>
          <cell r="K17">
            <v>0.82217007904983919</v>
          </cell>
          <cell r="R17">
            <v>19.738</v>
          </cell>
          <cell r="S17">
            <v>494.99899999999997</v>
          </cell>
          <cell r="AL17">
            <v>5.2952173472489621</v>
          </cell>
          <cell r="AM17">
            <v>2.2794106654760919</v>
          </cell>
          <cell r="AR17">
            <v>0.29891579693991288</v>
          </cell>
          <cell r="AS17">
            <v>0.23070753678290262</v>
          </cell>
          <cell r="AX17">
            <v>1216.2321410477482</v>
          </cell>
          <cell r="AY17">
            <v>621.74636716437919</v>
          </cell>
          <cell r="BD17">
            <v>1196.5751342587926</v>
          </cell>
          <cell r="BE17">
            <v>520.02731318649148</v>
          </cell>
          <cell r="BJ17">
            <v>0.31866177928636874</v>
          </cell>
          <cell r="BK17">
            <v>0.91150388144022498</v>
          </cell>
        </row>
        <row r="18">
          <cell r="J18">
            <v>0.77901132762559921</v>
          </cell>
          <cell r="K18">
            <v>0.818253513456215</v>
          </cell>
          <cell r="R18">
            <v>46.81</v>
          </cell>
          <cell r="S18">
            <v>541.80899999999997</v>
          </cell>
          <cell r="AL18">
            <v>4.0257209997863708</v>
          </cell>
          <cell r="AM18">
            <v>2.430284472941572</v>
          </cell>
          <cell r="AR18">
            <v>0.20081179235206154</v>
          </cell>
          <cell r="AS18">
            <v>0.22812467124023414</v>
          </cell>
          <cell r="AX18">
            <v>708.01602221747112</v>
          </cell>
          <cell r="AY18">
            <v>629.19969952510985</v>
          </cell>
          <cell r="BD18">
            <v>676.86391796624741</v>
          </cell>
          <cell r="BE18">
            <v>533.57733075677993</v>
          </cell>
          <cell r="BJ18">
            <v>0.77901132762559921</v>
          </cell>
          <cell r="BK18">
            <v>0.89830419685898566</v>
          </cell>
        </row>
        <row r="19">
          <cell r="J19">
            <v>0.80273199959590158</v>
          </cell>
          <cell r="K19">
            <v>0.81674935419275718</v>
          </cell>
          <cell r="R19">
            <v>57.036999999999999</v>
          </cell>
          <cell r="S19">
            <v>598.846</v>
          </cell>
          <cell r="AL19">
            <v>3.2793975840244056</v>
          </cell>
          <cell r="AM19">
            <v>2.511158127465158</v>
          </cell>
          <cell r="AR19">
            <v>0.16480530182162456</v>
          </cell>
          <cell r="AS19">
            <v>0.22209382712750858</v>
          </cell>
          <cell r="AX19">
            <v>767.86033627293568</v>
          </cell>
          <cell r="AY19">
            <v>642.40641166510204</v>
          </cell>
          <cell r="BD19">
            <v>625.34845801848076</v>
          </cell>
          <cell r="BE19">
            <v>542.31805839898777</v>
          </cell>
          <cell r="BJ19">
            <v>0.80273199959590158</v>
          </cell>
          <cell r="BK19">
            <v>0.88823189160863347</v>
          </cell>
        </row>
        <row r="20">
          <cell r="J20">
            <v>0.86502012539495809</v>
          </cell>
          <cell r="K20">
            <v>0.82101069638515445</v>
          </cell>
          <cell r="R20">
            <v>61.411999999999999</v>
          </cell>
          <cell r="S20">
            <v>660.25800000000004</v>
          </cell>
          <cell r="AL20">
            <v>3.0745619748583337</v>
          </cell>
          <cell r="AM20">
            <v>2.5635615168615904</v>
          </cell>
          <cell r="AR20">
            <v>0.19377320393408456</v>
          </cell>
          <cell r="AS20">
            <v>0.21945966576701834</v>
          </cell>
          <cell r="AX20">
            <v>742.35540285288289</v>
          </cell>
          <cell r="AY20">
            <v>651.70287978335887</v>
          </cell>
          <cell r="BD20">
            <v>599.24770403178161</v>
          </cell>
          <cell r="BE20">
            <v>547.61320574684441</v>
          </cell>
          <cell r="BJ20">
            <v>0.86502012539495809</v>
          </cell>
          <cell r="BK20">
            <v>0.88602050173590463</v>
          </cell>
        </row>
        <row r="21">
          <cell r="J21">
            <v>0.97995064220302108</v>
          </cell>
          <cell r="K21">
            <v>0.83287988961801718</v>
          </cell>
          <cell r="R21">
            <v>63.600999999999999</v>
          </cell>
          <cell r="S21">
            <v>723.85900000000004</v>
          </cell>
          <cell r="AL21">
            <v>2.9070297636829614</v>
          </cell>
          <cell r="AM21">
            <v>2.5937399410658708</v>
          </cell>
          <cell r="AR21">
            <v>0.16037483687363405</v>
          </cell>
          <cell r="AS21">
            <v>0.21426824837433808</v>
          </cell>
          <cell r="AX21">
            <v>612.93674627757878</v>
          </cell>
          <cell r="AY21">
            <v>648.2967401109903</v>
          </cell>
          <cell r="BD21">
            <v>523.73390355497634</v>
          </cell>
          <cell r="BE21">
            <v>545.51507959423043</v>
          </cell>
          <cell r="BJ21">
            <v>0.97995064220302108</v>
          </cell>
          <cell r="BK21">
            <v>0.89354586702605376</v>
          </cell>
        </row>
        <row r="22">
          <cell r="J22">
            <v>0.8913199252449201</v>
          </cell>
          <cell r="K22">
            <v>0.83675642595409006</v>
          </cell>
          <cell r="R22">
            <v>55.036000000000001</v>
          </cell>
          <cell r="S22">
            <v>778.89499999999998</v>
          </cell>
          <cell r="AL22">
            <v>2.9801221018969399</v>
          </cell>
          <cell r="AM22">
            <v>2.621041347036507</v>
          </cell>
          <cell r="AR22">
            <v>0.23257504179082783</v>
          </cell>
          <cell r="AS22">
            <v>0.21556178945814264</v>
          </cell>
          <cell r="AX22">
            <v>682.13823679045936</v>
          </cell>
          <cell r="AY22">
            <v>650.68794895332621</v>
          </cell>
          <cell r="BD22">
            <v>709.62642633912344</v>
          </cell>
          <cell r="BE22">
            <v>557.11103550542759</v>
          </cell>
          <cell r="BJ22">
            <v>0.8913199252449201</v>
          </cell>
          <cell r="BK22">
            <v>0.89338821906674115</v>
          </cell>
        </row>
        <row r="23">
          <cell r="J23">
            <v>0.96596621978828778</v>
          </cell>
          <cell r="K23">
            <v>0.84689051465617726</v>
          </cell>
          <cell r="R23">
            <v>76.525000000000006</v>
          </cell>
          <cell r="S23">
            <v>855.42</v>
          </cell>
          <cell r="AL23">
            <v>2.3465795491669388</v>
          </cell>
          <cell r="AM23">
            <v>2.5964882747656124</v>
          </cell>
          <cell r="AR23">
            <v>0.22214962430578242</v>
          </cell>
          <cell r="AS23">
            <v>0.21615113043884876</v>
          </cell>
          <cell r="AX23">
            <v>497.81496243057683</v>
          </cell>
          <cell r="AY23">
            <v>637.01208762946965</v>
          </cell>
          <cell r="BD23">
            <v>543.4955896765739</v>
          </cell>
          <cell r="BE23">
            <v>555.89301162002278</v>
          </cell>
          <cell r="BJ23">
            <v>0.96596621978828778</v>
          </cell>
          <cell r="BK23">
            <v>0.89943377427177174</v>
          </cell>
        </row>
        <row r="24">
          <cell r="J24">
            <v>0.97791778780278849</v>
          </cell>
          <cell r="K24">
            <v>0.85725831738289815</v>
          </cell>
          <cell r="R24">
            <v>84.875</v>
          </cell>
          <cell r="S24">
            <v>940.29499999999996</v>
          </cell>
          <cell r="AL24">
            <v>2.1858026509572901</v>
          </cell>
          <cell r="AM24">
            <v>2.5594180549721099</v>
          </cell>
          <cell r="AR24">
            <v>0.20029455081001474</v>
          </cell>
          <cell r="AS24">
            <v>0.21471984855816528</v>
          </cell>
          <cell r="AX24">
            <v>438.54480117819202</v>
          </cell>
          <cell r="AY24">
            <v>619.09759171323901</v>
          </cell>
          <cell r="BD24">
            <v>528.05891016200405</v>
          </cell>
          <cell r="BE24">
            <v>553.38058800695524</v>
          </cell>
          <cell r="BJ24">
            <v>0.97791778780278849</v>
          </cell>
          <cell r="BK24">
            <v>0.90599705993463231</v>
          </cell>
        </row>
        <row r="25">
          <cell r="J25">
            <v>1.0120812144568765</v>
          </cell>
          <cell r="K25">
            <v>0.86839841034344312</v>
          </cell>
          <cell r="R25">
            <v>86.07</v>
          </cell>
          <cell r="S25">
            <v>1026.365</v>
          </cell>
          <cell r="AL25">
            <v>2.232206343673754</v>
          </cell>
          <cell r="AM25">
            <v>2.5319783897541326</v>
          </cell>
          <cell r="AR25">
            <v>0.16846752643197399</v>
          </cell>
          <cell r="AS25">
            <v>0.21084117248737047</v>
          </cell>
          <cell r="AX25">
            <v>467.5037759962911</v>
          </cell>
          <cell r="AY25">
            <v>606.38507743346736</v>
          </cell>
          <cell r="BD25">
            <v>497.54850702916752</v>
          </cell>
          <cell r="BE25">
            <v>548.69856240226477</v>
          </cell>
          <cell r="BJ25">
            <v>1.0120812144568765</v>
          </cell>
          <cell r="BK25">
            <v>0.91403132591034197</v>
          </cell>
        </row>
        <row r="26">
          <cell r="J26">
            <v>1.0025551090305316</v>
          </cell>
          <cell r="K26">
            <v>0.87756050985333622</v>
          </cell>
          <cell r="R26">
            <v>86.855000000000004</v>
          </cell>
          <cell r="S26">
            <v>1113.22</v>
          </cell>
          <cell r="AL26">
            <v>2.3019975821771919</v>
          </cell>
          <cell r="AM26">
            <v>2.5140349616428024</v>
          </cell>
          <cell r="AR26">
            <v>0.1669449081803005</v>
          </cell>
          <cell r="AS26">
            <v>0.20741632381739458</v>
          </cell>
          <cell r="AX26">
            <v>433.59173334869269</v>
          </cell>
          <cell r="AY26">
            <v>592.90349616428148</v>
          </cell>
          <cell r="BD26">
            <v>566.25410166368817</v>
          </cell>
          <cell r="BE26">
            <v>550.06827042273778</v>
          </cell>
          <cell r="BJ26">
            <v>1.0025551090305316</v>
          </cell>
          <cell r="BK26">
            <v>0.92037190447572292</v>
          </cell>
        </row>
        <row r="27">
          <cell r="J27">
            <v>0.96537690120832464</v>
          </cell>
          <cell r="K27">
            <v>0.88294615922814479</v>
          </cell>
          <cell r="R27">
            <v>80.010999999999996</v>
          </cell>
          <cell r="S27">
            <v>1193.231</v>
          </cell>
          <cell r="AL27">
            <v>2.4269662921348316</v>
          </cell>
          <cell r="AM27">
            <v>2.5081966526179764</v>
          </cell>
          <cell r="AR27">
            <v>0.21247078526702579</v>
          </cell>
          <cell r="AS27">
            <v>0.20775524605042947</v>
          </cell>
          <cell r="AX27">
            <v>431.83162315179777</v>
          </cell>
          <cell r="AY27">
            <v>582.10297084135425</v>
          </cell>
          <cell r="BD27">
            <v>558.5232030595804</v>
          </cell>
          <cell r="BE27">
            <v>550.63520810304146</v>
          </cell>
          <cell r="BJ27">
            <v>0.96537690120832464</v>
          </cell>
          <cell r="BK27">
            <v>0.92325800920056234</v>
          </cell>
        </row>
        <row r="28">
          <cell r="J28">
            <v>0.59696221251314896</v>
          </cell>
          <cell r="K28">
            <v>0.86911079892692766</v>
          </cell>
          <cell r="R28">
            <v>41.012999999999998</v>
          </cell>
          <cell r="S28">
            <v>1234.2439999999999</v>
          </cell>
          <cell r="AL28">
            <v>2.2799843951917684</v>
          </cell>
          <cell r="AM28">
            <v>2.5006133309134992</v>
          </cell>
          <cell r="AR28">
            <v>0.30478141077219417</v>
          </cell>
          <cell r="AS28">
            <v>0.21097935254293315</v>
          </cell>
          <cell r="AX28">
            <v>457.43374052131793</v>
          </cell>
          <cell r="AY28">
            <v>577.96030606590011</v>
          </cell>
          <cell r="BD28">
            <v>757.73535220539168</v>
          </cell>
          <cell r="BE28">
            <v>557.51699015753775</v>
          </cell>
          <cell r="BJ28">
            <v>0.59696221251314896</v>
          </cell>
          <cell r="BK28">
            <v>0.90678810899273787</v>
          </cell>
        </row>
        <row r="29">
          <cell r="J29">
            <v>0.93240491528880731</v>
          </cell>
          <cell r="K29">
            <v>0.87157574731723997</v>
          </cell>
          <cell r="R29">
            <v>53.656999999999996</v>
          </cell>
          <cell r="S29">
            <v>1287.9009999999998</v>
          </cell>
          <cell r="AL29">
            <v>3.099204204484038</v>
          </cell>
          <cell r="AM29">
            <v>2.5255520416553763</v>
          </cell>
          <cell r="AR29">
            <v>0.24600704474719048</v>
          </cell>
          <cell r="AS29">
            <v>0.21243868899861093</v>
          </cell>
          <cell r="AX29">
            <v>763.55592001042385</v>
          </cell>
          <cell r="AY29">
            <v>585.69265805368593</v>
          </cell>
          <cell r="BD29">
            <v>421.51070689751566</v>
          </cell>
          <cell r="BE29">
            <v>551.85064690531351</v>
          </cell>
          <cell r="BJ29">
            <v>0.93909338368829864</v>
          </cell>
          <cell r="BK29">
            <v>0.90808958827960007</v>
          </cell>
        </row>
        <row r="30">
          <cell r="J30">
            <v>0.81731945386552518</v>
          </cell>
          <cell r="K30">
            <v>0.86976119335548607</v>
          </cell>
          <cell r="R30">
            <v>41.789000000000001</v>
          </cell>
          <cell r="S30">
            <v>1329.6899999999998</v>
          </cell>
          <cell r="AL30">
            <v>3.3820144057048509</v>
          </cell>
          <cell r="AM30">
            <v>2.552468620505532</v>
          </cell>
          <cell r="AR30">
            <v>0.24408337122209192</v>
          </cell>
          <cell r="AS30">
            <v>0.21343320623603998</v>
          </cell>
          <cell r="AX30">
            <v>968.03393237457362</v>
          </cell>
          <cell r="AY30">
            <v>597.70873662282281</v>
          </cell>
          <cell r="BD30">
            <v>443.58563258273711</v>
          </cell>
          <cell r="BE30">
            <v>548.44813452759672</v>
          </cell>
          <cell r="BJ30">
            <v>0.81731945386552518</v>
          </cell>
          <cell r="BK30">
            <v>0.90493110751690287</v>
          </cell>
        </row>
        <row r="31">
          <cell r="J31">
            <v>0.76869638450581879</v>
          </cell>
          <cell r="K31">
            <v>0.86649916496758961</v>
          </cell>
          <cell r="R31">
            <v>39.195999999999998</v>
          </cell>
          <cell r="S31">
            <v>1368.8859999999997</v>
          </cell>
          <cell r="AL31">
            <v>3.8813144198387586</v>
          </cell>
          <cell r="AM31">
            <v>2.5905181293402091</v>
          </cell>
          <cell r="AR31">
            <v>0.28319216246555773</v>
          </cell>
          <cell r="AS31">
            <v>0.21543064944779919</v>
          </cell>
          <cell r="AX31">
            <v>985.89881620575181</v>
          </cell>
          <cell r="AY31">
            <v>608.82397803761739</v>
          </cell>
          <cell r="BD31">
            <v>460.91437901826714</v>
          </cell>
          <cell r="BE31">
            <v>545.94173656535327</v>
          </cell>
          <cell r="BJ31">
            <v>0.76869638450581879</v>
          </cell>
          <cell r="BK31">
            <v>0.9003620709559409</v>
          </cell>
        </row>
        <row r="32">
          <cell r="J32">
            <v>0.80971975997680934</v>
          </cell>
          <cell r="K32">
            <v>0.86472072992320692</v>
          </cell>
          <cell r="R32">
            <v>41.362000000000002</v>
          </cell>
          <cell r="S32">
            <v>1410.2479999999998</v>
          </cell>
          <cell r="AL32">
            <v>3.3839514530245154</v>
          </cell>
          <cell r="AM32">
            <v>2.6137892058701739</v>
          </cell>
          <cell r="AR32">
            <v>0.22726173782699097</v>
          </cell>
          <cell r="AS32">
            <v>0.21577765045580635</v>
          </cell>
          <cell r="AX32">
            <v>893.1591799235681</v>
          </cell>
          <cell r="AY32">
            <v>617.16341381090456</v>
          </cell>
          <cell r="BD32">
            <v>423.64972680237901</v>
          </cell>
          <cell r="BE32">
            <v>542.35496168049883</v>
          </cell>
          <cell r="BJ32">
            <v>0.80971975997680934</v>
          </cell>
          <cell r="BK32">
            <v>0.89741564246769656</v>
          </cell>
        </row>
        <row r="33">
          <cell r="J33">
            <v>0.97487914419975419</v>
          </cell>
          <cell r="K33">
            <v>0.868100449969748</v>
          </cell>
          <cell r="R33">
            <v>50.323</v>
          </cell>
          <cell r="S33">
            <v>1460.5709999999999</v>
          </cell>
          <cell r="AL33">
            <v>2.8759016751783482</v>
          </cell>
          <cell r="AM33">
            <v>2.62282011624221</v>
          </cell>
          <cell r="AR33">
            <v>0.25435685471851838</v>
          </cell>
          <cell r="AS33">
            <v>0.21710687121680491</v>
          </cell>
          <cell r="AX33">
            <v>673.31220316754127</v>
          </cell>
          <cell r="AY33">
            <v>619.09798291216282</v>
          </cell>
          <cell r="BD33">
            <v>339.0894819466248</v>
          </cell>
          <cell r="BE33">
            <v>535.35158509925225</v>
          </cell>
          <cell r="BJ33">
            <v>0.97487914419975419</v>
          </cell>
          <cell r="BK33">
            <v>0.89987926655574901</v>
          </cell>
        </row>
        <row r="34">
          <cell r="J34">
            <v>0.71432607017197502</v>
          </cell>
          <cell r="K34">
            <v>0.86350197059033884</v>
          </cell>
          <cell r="R34">
            <v>37.048000000000002</v>
          </cell>
          <cell r="S34">
            <v>1497.6189999999999</v>
          </cell>
          <cell r="AL34">
            <v>3.7268948391276182</v>
          </cell>
          <cell r="AM34">
            <v>2.6501326438833916</v>
          </cell>
          <cell r="AR34">
            <v>0.36709134096307489</v>
          </cell>
          <cell r="AS34">
            <v>0.22081717713250165</v>
          </cell>
          <cell r="AX34">
            <v>1002.9423990498811</v>
          </cell>
          <cell r="AY34">
            <v>628.5935007501912</v>
          </cell>
          <cell r="BD34">
            <v>728.78427985316341</v>
          </cell>
          <cell r="BE34">
            <v>540.13671033821015</v>
          </cell>
          <cell r="BJ34">
            <v>0.71432607017197502</v>
          </cell>
          <cell r="BK34">
            <v>0.89413363466492457</v>
          </cell>
        </row>
        <row r="35">
          <cell r="J35">
            <v>0.85883334706464498</v>
          </cell>
          <cell r="K35">
            <v>0.86333667562279115</v>
          </cell>
          <cell r="R35">
            <v>54.673000000000002</v>
          </cell>
          <cell r="S35">
            <v>1552.2919999999999</v>
          </cell>
          <cell r="AL35">
            <v>3.1261500192050917</v>
          </cell>
          <cell r="AM35">
            <v>2.6668983670598068</v>
          </cell>
          <cell r="AR35">
            <v>0.32191392460629564</v>
          </cell>
          <cell r="AS35">
            <v>0.22437788766546501</v>
          </cell>
          <cell r="AX35">
            <v>654.3816874874251</v>
          </cell>
          <cell r="AY35">
            <v>629.50178188124437</v>
          </cell>
          <cell r="BD35">
            <v>530.42635304446435</v>
          </cell>
          <cell r="BE35">
            <v>539.79470357381206</v>
          </cell>
          <cell r="BJ35">
            <v>0.85484017991458683</v>
          </cell>
          <cell r="BK35">
            <v>0.89268841231059282</v>
          </cell>
        </row>
        <row r="36">
          <cell r="J36">
            <v>0.99983929760361601</v>
          </cell>
          <cell r="K36">
            <v>0.86852061062368024</v>
          </cell>
          <cell r="R36">
            <v>70.966999999999999</v>
          </cell>
          <cell r="S36">
            <v>1623.259</v>
          </cell>
          <cell r="AL36">
            <v>2.2774810827567742</v>
          </cell>
          <cell r="AM36">
            <v>2.6498734952339715</v>
          </cell>
          <cell r="AR36">
            <v>0.2592754378795778</v>
          </cell>
          <cell r="AS36">
            <v>0.225903568068928</v>
          </cell>
          <cell r="AX36">
            <v>536.61546916171517</v>
          </cell>
          <cell r="AY36">
            <v>625.4409000658552</v>
          </cell>
          <cell r="BD36">
            <v>466.86488086011809</v>
          </cell>
          <cell r="BE36">
            <v>536.606296345808</v>
          </cell>
          <cell r="BJ36">
            <v>0.99983929760361601</v>
          </cell>
          <cell r="BK36">
            <v>0.8968905826446566</v>
          </cell>
        </row>
        <row r="37">
          <cell r="J37">
            <v>0.97220522144783683</v>
          </cell>
          <cell r="K37">
            <v>0.87253570649791845</v>
          </cell>
          <cell r="R37">
            <v>73.197999999999993</v>
          </cell>
          <cell r="S37">
            <v>1696.4570000000001</v>
          </cell>
          <cell r="AL37">
            <v>2.2845432935326104</v>
          </cell>
          <cell r="AM37">
            <v>2.634110384171247</v>
          </cell>
          <cell r="AR37">
            <v>0.26230224869531954</v>
          </cell>
          <cell r="AS37">
            <v>0.227474082750108</v>
          </cell>
          <cell r="AX37">
            <v>493.91445121451426</v>
          </cell>
          <cell r="AY37">
            <v>619.76585318696539</v>
          </cell>
          <cell r="BD37">
            <v>442.22519740976531</v>
          </cell>
          <cell r="BE37">
            <v>532.5339811147586</v>
          </cell>
          <cell r="BJ37">
            <v>0.97220522144783683</v>
          </cell>
          <cell r="BK37">
            <v>0.89989853777356799</v>
          </cell>
        </row>
        <row r="38">
          <cell r="J38">
            <v>0.98781386155987561</v>
          </cell>
          <cell r="K38">
            <v>0.8768513971198757</v>
          </cell>
          <cell r="R38">
            <v>74.697999999999993</v>
          </cell>
          <cell r="S38">
            <v>1771.1550000000002</v>
          </cell>
          <cell r="AL38">
            <v>2.2916410077913736</v>
          </cell>
          <cell r="AM38">
            <v>2.6196668275786141</v>
          </cell>
          <cell r="AR38">
            <v>0.23561541138986322</v>
          </cell>
          <cell r="AS38">
            <v>0.22781744116127609</v>
          </cell>
          <cell r="AX38">
            <v>456.5779538943595</v>
          </cell>
          <cell r="AY38">
            <v>612.88344611284765</v>
          </cell>
          <cell r="BD38">
            <v>381.44260890519155</v>
          </cell>
          <cell r="BE38">
            <v>526.16174191417451</v>
          </cell>
          <cell r="BJ38">
            <v>0.98781386155987561</v>
          </cell>
          <cell r="BK38">
            <v>0.90328907585249718</v>
          </cell>
        </row>
        <row r="39">
          <cell r="J39">
            <v>1.0064662978848784</v>
          </cell>
          <cell r="K39">
            <v>0.88164645374478923</v>
          </cell>
          <cell r="R39">
            <v>78.097999999999999</v>
          </cell>
          <cell r="S39">
            <v>1849.2530000000002</v>
          </cell>
          <cell r="AL39">
            <v>2.2478168455018057</v>
          </cell>
          <cell r="AM39">
            <v>2.6039627892992474</v>
          </cell>
          <cell r="AR39">
            <v>0.24584496401956515</v>
          </cell>
          <cell r="AS39">
            <v>0.22857878289233541</v>
          </cell>
          <cell r="AX39">
            <v>419.64621373146156</v>
          </cell>
          <cell r="AY39">
            <v>604.72261502347192</v>
          </cell>
          <cell r="BD39">
            <v>422.54603190862758</v>
          </cell>
          <cell r="BE39">
            <v>521.7858237893895</v>
          </cell>
          <cell r="BJ39">
            <v>1.0064662978848784</v>
          </cell>
          <cell r="BK39">
            <v>0.90721678437063535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0.79605809707092079</v>
          </cell>
          <cell r="K9">
            <v>0.79605809707092079</v>
          </cell>
          <cell r="R9">
            <v>35.332000000000001</v>
          </cell>
          <cell r="S9">
            <v>35.332000000000001</v>
          </cell>
          <cell r="X9">
            <v>111.72372702149258</v>
          </cell>
          <cell r="Y9">
            <v>111.72372702149258</v>
          </cell>
          <cell r="AD9">
            <v>1.6330804936035324</v>
          </cell>
          <cell r="AE9">
            <v>1.6330804936035324</v>
          </cell>
          <cell r="AJ9">
            <v>1031.502886901382</v>
          </cell>
          <cell r="AK9">
            <v>1031.502886901382</v>
          </cell>
          <cell r="BC9">
            <v>0.84102784932927188</v>
          </cell>
          <cell r="BD9">
            <v>0.84102784932927188</v>
          </cell>
        </row>
        <row r="10">
          <cell r="J10">
            <v>0.8370307996553662</v>
          </cell>
          <cell r="K10">
            <v>0.81659189458267634</v>
          </cell>
          <cell r="R10">
            <v>37.323</v>
          </cell>
          <cell r="S10">
            <v>72.655000000000001</v>
          </cell>
          <cell r="X10">
            <v>100.50053641630683</v>
          </cell>
          <cell r="Y10">
            <v>105.95835446685287</v>
          </cell>
          <cell r="AD10">
            <v>1.5888326233153818</v>
          </cell>
          <cell r="AE10">
            <v>1.6103502855963112</v>
          </cell>
          <cell r="AJ10">
            <v>926.51716099991472</v>
          </cell>
          <cell r="AK10">
            <v>977.57153671460264</v>
          </cell>
          <cell r="BC10">
            <v>0.8370307996553662</v>
          </cell>
          <cell r="BD10">
            <v>0.83896980145408628</v>
          </cell>
        </row>
        <row r="11">
          <cell r="J11">
            <v>0.91724470964022242</v>
          </cell>
          <cell r="K11">
            <v>0.84957779005359535</v>
          </cell>
          <cell r="R11">
            <v>39.783000000000001</v>
          </cell>
          <cell r="S11">
            <v>112.438</v>
          </cell>
          <cell r="X11">
            <v>102.53545879020847</v>
          </cell>
          <cell r="Y11">
            <v>104.74725983066274</v>
          </cell>
          <cell r="AD11">
            <v>1.5433727974260361</v>
          </cell>
          <cell r="AE11">
            <v>1.586652199434355</v>
          </cell>
          <cell r="AJ11">
            <v>933.37053515320611</v>
          </cell>
          <cell r="AK11">
            <v>961.93226489264703</v>
          </cell>
          <cell r="BC11">
            <v>0.91724470964022242</v>
          </cell>
          <cell r="BD11">
            <v>0.86509040851563834</v>
          </cell>
        </row>
        <row r="12">
          <cell r="J12">
            <v>0.9626202585735566</v>
          </cell>
          <cell r="K12">
            <v>0.87755786381605383</v>
          </cell>
          <cell r="R12">
            <v>41.905999999999999</v>
          </cell>
          <cell r="S12">
            <v>154.34399999999999</v>
          </cell>
          <cell r="X12">
            <v>102.76158632160944</v>
          </cell>
          <cell r="Y12">
            <v>104.2081288371004</v>
          </cell>
          <cell r="AD12">
            <v>1.4818880351262349</v>
          </cell>
          <cell r="AE12">
            <v>1.5582076400767118</v>
          </cell>
          <cell r="AJ12">
            <v>920.86813344152495</v>
          </cell>
          <cell r="AK12">
            <v>950.78292645000784</v>
          </cell>
          <cell r="BC12">
            <v>0.9626202585735566</v>
          </cell>
          <cell r="BD12">
            <v>0.88956101646031027</v>
          </cell>
        </row>
        <row r="13">
          <cell r="J13">
            <v>0.90884412876151144</v>
          </cell>
          <cell r="K13">
            <v>0.88399029931109951</v>
          </cell>
          <cell r="R13">
            <v>41.37</v>
          </cell>
          <cell r="S13">
            <v>195.714</v>
          </cell>
          <cell r="X13">
            <v>103.37770286076348</v>
          </cell>
          <cell r="Y13">
            <v>104.03259350165654</v>
          </cell>
          <cell r="AD13">
            <v>1.4914189025864155</v>
          </cell>
          <cell r="AE13">
            <v>1.5440898453866356</v>
          </cell>
          <cell r="AJ13">
            <v>961.87623882040134</v>
          </cell>
          <cell r="AK13">
            <v>953.12782938369264</v>
          </cell>
          <cell r="BC13">
            <v>0.90884412876151144</v>
          </cell>
          <cell r="BD13">
            <v>0.89356856910904359</v>
          </cell>
        </row>
        <row r="14">
          <cell r="J14">
            <v>0.91062768740505562</v>
          </cell>
          <cell r="K14">
            <v>0.88860181346137534</v>
          </cell>
          <cell r="R14">
            <v>42.210999999999999</v>
          </cell>
          <cell r="S14">
            <v>237.92500000000001</v>
          </cell>
          <cell r="X14">
            <v>97.936678932780623</v>
          </cell>
          <cell r="Y14">
            <v>102.95109870343515</v>
          </cell>
          <cell r="AD14">
            <v>1.4925019544668452</v>
          </cell>
          <cell r="AE14">
            <v>1.5349374802984133</v>
          </cell>
          <cell r="AJ14">
            <v>886.27751060148921</v>
          </cell>
          <cell r="AK14">
            <v>941.26771041294296</v>
          </cell>
          <cell r="BC14">
            <v>0.91062768740505562</v>
          </cell>
          <cell r="BD14">
            <v>0.89654828582631274</v>
          </cell>
        </row>
        <row r="15">
          <cell r="J15">
            <v>0.88237814726272978</v>
          </cell>
          <cell r="K15">
            <v>0.88769390400974901</v>
          </cell>
          <cell r="R15">
            <v>40.351999999999997</v>
          </cell>
          <cell r="S15">
            <v>278.27699999999999</v>
          </cell>
          <cell r="X15">
            <v>102.87942922539953</v>
          </cell>
          <cell r="Y15">
            <v>102.94070615652079</v>
          </cell>
          <cell r="AD15">
            <v>1.5439135606661381</v>
          </cell>
          <cell r="AE15">
            <v>1.5362390711413449</v>
          </cell>
          <cell r="AJ15">
            <v>944.20648295004867</v>
          </cell>
          <cell r="AK15">
            <v>941.69385180952736</v>
          </cell>
          <cell r="BC15">
            <v>0.88237814726272978</v>
          </cell>
          <cell r="BD15">
            <v>0.89446537518418023</v>
          </cell>
        </row>
        <row r="16">
          <cell r="J16">
            <v>0.81886143372854725</v>
          </cell>
          <cell r="K16">
            <v>0.87867824468594724</v>
          </cell>
          <cell r="R16">
            <v>38.69</v>
          </cell>
          <cell r="S16">
            <v>316.96699999999998</v>
          </cell>
          <cell r="X16">
            <v>112.52800966972831</v>
          </cell>
          <cell r="Y16">
            <v>104.11096291172242</v>
          </cell>
          <cell r="AD16">
            <v>1.6257430860687516</v>
          </cell>
          <cell r="AE16">
            <v>1.547164215833194</v>
          </cell>
          <cell r="AJ16">
            <v>949.04678211424618</v>
          </cell>
          <cell r="AK16">
            <v>942.5913738654184</v>
          </cell>
          <cell r="BC16">
            <v>0.81886143372854725</v>
          </cell>
          <cell r="BD16">
            <v>0.88449721133418424</v>
          </cell>
        </row>
        <row r="17">
          <cell r="J17">
            <v>1.0134813644140392</v>
          </cell>
          <cell r="K17">
            <v>0.89354808556276255</v>
          </cell>
          <cell r="R17">
            <v>45.328000000000003</v>
          </cell>
          <cell r="S17">
            <v>362.29499999999996</v>
          </cell>
          <cell r="X17">
            <v>99.106889780527851</v>
          </cell>
          <cell r="Y17">
            <v>103.48488574562633</v>
          </cell>
          <cell r="AD17">
            <v>1.3744264031062476</v>
          </cell>
          <cell r="AE17">
            <v>1.5255523813466927</v>
          </cell>
          <cell r="AJ17">
            <v>811.93655135898337</v>
          </cell>
          <cell r="AK17">
            <v>926.24469010060898</v>
          </cell>
          <cell r="BC17">
            <v>1.0134813644140392</v>
          </cell>
          <cell r="BD17">
            <v>0.89880894319148152</v>
          </cell>
        </row>
        <row r="18">
          <cell r="J18">
            <v>0.94552493080734612</v>
          </cell>
          <cell r="K18">
            <v>0.8988431307687067</v>
          </cell>
          <cell r="R18">
            <v>43.484999999999999</v>
          </cell>
          <cell r="S18">
            <v>405.78</v>
          </cell>
          <cell r="X18">
            <v>99.934950687117265</v>
          </cell>
          <cell r="Y18">
            <v>103.10446057430377</v>
          </cell>
          <cell r="AD18">
            <v>1.5062665286880534</v>
          </cell>
          <cell r="AE18">
            <v>1.5234856326088027</v>
          </cell>
          <cell r="AJ18">
            <v>836.83615039666336</v>
          </cell>
          <cell r="AK18">
            <v>916.66331509684801</v>
          </cell>
          <cell r="BC18">
            <v>0.94552493080734612</v>
          </cell>
          <cell r="BD18">
            <v>0.90359319841825803</v>
          </cell>
        </row>
        <row r="19">
          <cell r="J19">
            <v>0.94659439498501918</v>
          </cell>
          <cell r="K19">
            <v>0.90321315895651733</v>
          </cell>
          <cell r="R19">
            <v>43.048000000000002</v>
          </cell>
          <cell r="S19">
            <v>448.82799999999997</v>
          </cell>
          <cell r="X19">
            <v>103.18729309748917</v>
          </cell>
          <cell r="Y19">
            <v>103.1124052089034</v>
          </cell>
          <cell r="AD19">
            <v>1.5471102025645789</v>
          </cell>
          <cell r="AE19">
            <v>1.5257515128289678</v>
          </cell>
          <cell r="AJ19">
            <v>873.67821966179827</v>
          </cell>
          <cell r="AK19">
            <v>912.54052777455968</v>
          </cell>
          <cell r="BC19">
            <v>0.94659439498501918</v>
          </cell>
          <cell r="BD19">
            <v>0.90754740146362656</v>
          </cell>
        </row>
        <row r="20">
          <cell r="J20">
            <v>0.94875897033512024</v>
          </cell>
          <cell r="K20">
            <v>0.90706214467120394</v>
          </cell>
          <cell r="R20">
            <v>43.52</v>
          </cell>
          <cell r="S20">
            <v>492.34799999999996</v>
          </cell>
          <cell r="X20">
            <v>98.125608204844156</v>
          </cell>
          <cell r="Y20">
            <v>102.67160844397969</v>
          </cell>
          <cell r="AD20">
            <v>1.5372242647058825</v>
          </cell>
          <cell r="AE20">
            <v>1.5267656210647753</v>
          </cell>
          <cell r="AJ20">
            <v>856.90303308821012</v>
          </cell>
          <cell r="AK20">
            <v>907.62257590159606</v>
          </cell>
          <cell r="BC20">
            <v>0.94875897033512024</v>
          </cell>
          <cell r="BD20">
            <v>0.91104540289144553</v>
          </cell>
        </row>
        <row r="21">
          <cell r="J21">
            <v>0.89669885768638002</v>
          </cell>
          <cell r="K21">
            <v>0.90627990932827196</v>
          </cell>
          <cell r="R21">
            <v>39.738</v>
          </cell>
          <cell r="S21">
            <v>532.08600000000001</v>
          </cell>
          <cell r="X21">
            <v>99.788035851917314</v>
          </cell>
          <cell r="Y21">
            <v>102.45625339298535</v>
          </cell>
          <cell r="AD21">
            <v>1.5224721928632543</v>
          </cell>
          <cell r="AE21">
            <v>1.526444973181027</v>
          </cell>
          <cell r="AJ21">
            <v>876.74920730789404</v>
          </cell>
          <cell r="AK21">
            <v>905.3168472765683</v>
          </cell>
          <cell r="BC21">
            <v>0.89669885768638002</v>
          </cell>
          <cell r="BD21">
            <v>0.90995811065212073</v>
          </cell>
        </row>
        <row r="22">
          <cell r="J22">
            <v>0.2446175519865843</v>
          </cell>
          <cell r="K22">
            <v>0.86060540137754704</v>
          </cell>
          <cell r="R22">
            <v>10.648999999999999</v>
          </cell>
          <cell r="S22">
            <v>542.73500000000001</v>
          </cell>
          <cell r="X22">
            <v>143.98712779023705</v>
          </cell>
          <cell r="Y22">
            <v>103.27113041668261</v>
          </cell>
          <cell r="AD22">
            <v>2.657526528312518</v>
          </cell>
          <cell r="AE22">
            <v>1.5486379172155837</v>
          </cell>
          <cell r="AJ22">
            <v>1515.6014649262156</v>
          </cell>
          <cell r="AK22">
            <v>917.29123789694665</v>
          </cell>
          <cell r="BC22">
            <v>0.2446175519865843</v>
          </cell>
          <cell r="BD22">
            <v>0.86385620902618176</v>
          </cell>
        </row>
        <row r="23">
          <cell r="J23">
            <v>0.85563426804771892</v>
          </cell>
          <cell r="K23">
            <v>0.86026052409819276</v>
          </cell>
          <cell r="R23">
            <v>40.225999999999999</v>
          </cell>
          <cell r="S23">
            <v>582.96100000000001</v>
          </cell>
          <cell r="X23">
            <v>102.77519771216859</v>
          </cell>
          <cell r="Y23">
            <v>103.23690962151487</v>
          </cell>
          <cell r="AD23">
            <v>1.5064883408740617</v>
          </cell>
          <cell r="AE23">
            <v>1.5457294741843792</v>
          </cell>
          <cell r="AJ23">
            <v>908.15542186648167</v>
          </cell>
          <cell r="AK23">
            <v>916.66084009050428</v>
          </cell>
          <cell r="BC23">
            <v>0.85563426804771892</v>
          </cell>
          <cell r="BD23">
            <v>0.86328379914290698</v>
          </cell>
        </row>
        <row r="24">
          <cell r="J24">
            <v>0.94264268825144581</v>
          </cell>
          <cell r="K24">
            <v>0.86544602049824337</v>
          </cell>
          <cell r="R24">
            <v>42.908999999999999</v>
          </cell>
          <cell r="S24">
            <v>625.87</v>
          </cell>
          <cell r="X24">
            <v>98.380173135817046</v>
          </cell>
          <cell r="Y24">
            <v>102.90393679031222</v>
          </cell>
          <cell r="AD24">
            <v>1.4029690740870215</v>
          </cell>
          <cell r="AE24">
            <v>1.5359419687794589</v>
          </cell>
          <cell r="AJ24">
            <v>877.98037707703622</v>
          </cell>
          <cell r="AK24">
            <v>914.00894754501576</v>
          </cell>
          <cell r="BC24">
            <v>0.94264268825144581</v>
          </cell>
          <cell r="BD24">
            <v>0.86829544364649902</v>
          </cell>
        </row>
        <row r="25">
          <cell r="J25">
            <v>0.95386056760261961</v>
          </cell>
          <cell r="K25">
            <v>0.87068658592210935</v>
          </cell>
          <cell r="R25">
            <v>43.463000000000001</v>
          </cell>
          <cell r="S25">
            <v>669.33299999999997</v>
          </cell>
          <cell r="X25">
            <v>92.063680423122037</v>
          </cell>
          <cell r="Y25">
            <v>102.20002698385238</v>
          </cell>
          <cell r="AD25">
            <v>1.4241998941628511</v>
          </cell>
          <cell r="AE25">
            <v>1.5286860202619623</v>
          </cell>
          <cell r="AJ25">
            <v>866.61068034881919</v>
          </cell>
          <cell r="AK25">
            <v>910.9311508621264</v>
          </cell>
          <cell r="BC25">
            <v>0.95386056760261961</v>
          </cell>
          <cell r="BD25">
            <v>0.87338282151420421</v>
          </cell>
        </row>
        <row r="26">
          <cell r="J26">
            <v>0.95298113713059562</v>
          </cell>
          <cell r="K26">
            <v>0.87553627048731086</v>
          </cell>
          <cell r="R26">
            <v>45.875999999999998</v>
          </cell>
          <cell r="S26">
            <v>715.20899999999995</v>
          </cell>
          <cell r="X26">
            <v>92.773411679448131</v>
          </cell>
          <cell r="Y26">
            <v>101.59537099699421</v>
          </cell>
          <cell r="AD26">
            <v>1.3819862237335427</v>
          </cell>
          <cell r="AE26">
            <v>1.5192761836050721</v>
          </cell>
          <cell r="AJ26">
            <v>798.34205248931903</v>
          </cell>
          <cell r="AK26">
            <v>903.70929336739277</v>
          </cell>
          <cell r="BC26">
            <v>0.95298113713059562</v>
          </cell>
          <cell r="BD26">
            <v>0.87808728209019826</v>
          </cell>
        </row>
        <row r="27">
          <cell r="J27">
            <v>0.9657710375063332</v>
          </cell>
          <cell r="K27">
            <v>0.88051674921497836</v>
          </cell>
          <cell r="R27">
            <v>46.088000000000001</v>
          </cell>
          <cell r="S27">
            <v>761.29699999999991</v>
          </cell>
          <cell r="X27">
            <v>93.657329832932518</v>
          </cell>
          <cell r="Y27">
            <v>101.11481158172097</v>
          </cell>
          <cell r="AD27">
            <v>1.3908175663947231</v>
          </cell>
          <cell r="AE27">
            <v>1.5114994542208888</v>
          </cell>
          <cell r="AJ27">
            <v>861.07273042876091</v>
          </cell>
          <cell r="AK27">
            <v>901.12812739312051</v>
          </cell>
          <cell r="BC27">
            <v>0.9657710375063332</v>
          </cell>
          <cell r="BD27">
            <v>0.88294027926115459</v>
          </cell>
        </row>
        <row r="28">
          <cell r="J28">
            <v>1.0140633183244934</v>
          </cell>
          <cell r="K28">
            <v>0.88695769626102816</v>
          </cell>
          <cell r="R28">
            <v>44.429000000000002</v>
          </cell>
          <cell r="S28">
            <v>805.72599999999989</v>
          </cell>
          <cell r="X28">
            <v>94.766775861772445</v>
          </cell>
          <cell r="Y28">
            <v>100.76477089915446</v>
          </cell>
          <cell r="AD28">
            <v>1.361723198811587</v>
          </cell>
          <cell r="AE28">
            <v>1.5032405557224169</v>
          </cell>
          <cell r="AJ28">
            <v>811.43442346215306</v>
          </cell>
          <cell r="AK28">
            <v>896.1822753640821</v>
          </cell>
          <cell r="BC28">
            <v>1.0140633183244934</v>
          </cell>
          <cell r="BD28">
            <v>0.88928090413338734</v>
          </cell>
        </row>
        <row r="29">
          <cell r="J29">
            <v>0.91235652710721393</v>
          </cell>
          <cell r="K29">
            <v>0.88807273655535601</v>
          </cell>
          <cell r="R29">
            <v>38.055999999999997</v>
          </cell>
          <cell r="S29">
            <v>843.78199999999993</v>
          </cell>
          <cell r="X29">
            <v>104.02659833940206</v>
          </cell>
          <cell r="Y29">
            <v>100.91188485165173</v>
          </cell>
          <cell r="AD29">
            <v>1.5713685095648517</v>
          </cell>
          <cell r="AE29">
            <v>1.5063132420459311</v>
          </cell>
          <cell r="AJ29">
            <v>1011.9424006726833</v>
          </cell>
          <cell r="AK29">
            <v>901.40325344698044</v>
          </cell>
          <cell r="BC29">
            <v>0.91235652710721393</v>
          </cell>
          <cell r="BD29">
            <v>0.89029648940483619</v>
          </cell>
        </row>
        <row r="30">
          <cell r="J30">
            <v>0.86093664954417926</v>
          </cell>
          <cell r="K30">
            <v>0.88677022423853946</v>
          </cell>
          <cell r="R30">
            <v>41.243000000000002</v>
          </cell>
          <cell r="S30">
            <v>885.02499999999998</v>
          </cell>
          <cell r="X30">
            <v>99.979440338703853</v>
          </cell>
          <cell r="Y30">
            <v>100.86843205760918</v>
          </cell>
          <cell r="AD30">
            <v>1.5105593676502678</v>
          </cell>
          <cell r="AE30">
            <v>1.5065111155052116</v>
          </cell>
          <cell r="AJ30">
            <v>873.48107557645267</v>
          </cell>
          <cell r="AK30">
            <v>900.10205361430417</v>
          </cell>
          <cell r="BC30">
            <v>0.86093664954417926</v>
          </cell>
          <cell r="BD30">
            <v>0.88888387956818404</v>
          </cell>
        </row>
        <row r="31">
          <cell r="J31">
            <v>0.54686543507681717</v>
          </cell>
          <cell r="K31">
            <v>0.87106313389311762</v>
          </cell>
          <cell r="R31">
            <v>26.443000000000001</v>
          </cell>
          <cell r="S31">
            <v>911.46799999999996</v>
          </cell>
          <cell r="X31">
            <v>79.898872531195934</v>
          </cell>
          <cell r="Y31">
            <v>100.26007492103726</v>
          </cell>
          <cell r="AD31">
            <v>1.3538554626933401</v>
          </cell>
          <cell r="AE31">
            <v>1.502082355057994</v>
          </cell>
          <cell r="AJ31">
            <v>843.83239420643372</v>
          </cell>
          <cell r="AK31">
            <v>898.46958971680885</v>
          </cell>
          <cell r="BC31">
            <v>0.54686543507681717</v>
          </cell>
          <cell r="BD31">
            <v>0.87304319007112874</v>
          </cell>
        </row>
        <row r="32">
          <cell r="J32">
            <v>0.7652765782847083</v>
          </cell>
          <cell r="K32">
            <v>0.86639062692126068</v>
          </cell>
          <cell r="R32">
            <v>37.003999999999998</v>
          </cell>
          <cell r="S32">
            <v>948.47199999999998</v>
          </cell>
          <cell r="X32">
            <v>112.99688426802823</v>
          </cell>
          <cell r="Y32">
            <v>100.75699300936886</v>
          </cell>
          <cell r="AD32">
            <v>1.7457572154361689</v>
          </cell>
          <cell r="AE32">
            <v>1.5115891665752912</v>
          </cell>
          <cell r="AJ32">
            <v>926.81061506864114</v>
          </cell>
          <cell r="AK32">
            <v>899.57529584426356</v>
          </cell>
          <cell r="BC32">
            <v>0.7652765782847083</v>
          </cell>
          <cell r="BD32">
            <v>0.86827288445832418</v>
          </cell>
        </row>
        <row r="33">
          <cell r="J33">
            <v>0.90864297593727716</v>
          </cell>
          <cell r="K33">
            <v>0.86813158730114259</v>
          </cell>
          <cell r="R33">
            <v>42.747999999999998</v>
          </cell>
          <cell r="S33">
            <v>991.22</v>
          </cell>
          <cell r="X33">
            <v>97.921051486286984</v>
          </cell>
          <cell r="Y33">
            <v>100.63468834619751</v>
          </cell>
          <cell r="AD33">
            <v>1.47141386731543</v>
          </cell>
          <cell r="AE33">
            <v>1.5098565404249304</v>
          </cell>
          <cell r="AJ33">
            <v>799.77589594832284</v>
          </cell>
          <cell r="AK33">
            <v>895.27128185468325</v>
          </cell>
          <cell r="BC33">
            <v>0.90864297593727716</v>
          </cell>
          <cell r="BD33">
            <v>0.86993975311853144</v>
          </cell>
        </row>
        <row r="34">
          <cell r="J34">
            <v>0.90149494390086438</v>
          </cell>
          <cell r="K34">
            <v>0.86951321787737401</v>
          </cell>
          <cell r="R34">
            <v>44.466999999999999</v>
          </cell>
          <cell r="S34">
            <v>1035.6870000000001</v>
          </cell>
          <cell r="X34">
            <v>90.410679723970318</v>
          </cell>
          <cell r="Y34">
            <v>100.19572272105731</v>
          </cell>
          <cell r="AD34">
            <v>1.3875458204960984</v>
          </cell>
          <cell r="AE34">
            <v>1.5046051558047939</v>
          </cell>
          <cell r="AJ34">
            <v>817.04050194527088</v>
          </cell>
          <cell r="AK34">
            <v>891.91246003860181</v>
          </cell>
          <cell r="BC34">
            <v>0.90149494390086438</v>
          </cell>
          <cell r="BD34">
            <v>0.87124911342052036</v>
          </cell>
        </row>
        <row r="35">
          <cell r="J35">
            <v>0.93086522002853345</v>
          </cell>
          <cell r="K35">
            <v>0.87189507621134132</v>
          </cell>
          <cell r="R35">
            <v>44.783999999999999</v>
          </cell>
          <cell r="S35">
            <v>1080.4710000000002</v>
          </cell>
          <cell r="X35">
            <v>85.488939551208986</v>
          </cell>
          <cell r="Y35">
            <v>99.586147288233562</v>
          </cell>
          <cell r="AD35">
            <v>1.3844230082172204</v>
          </cell>
          <cell r="AE35">
            <v>1.4996237751869317</v>
          </cell>
          <cell r="AJ35">
            <v>770.61763129690792</v>
          </cell>
          <cell r="AK35">
            <v>886.88496035525247</v>
          </cell>
          <cell r="BC35">
            <v>0.93086522002853345</v>
          </cell>
          <cell r="BD35">
            <v>0.87356802024659452</v>
          </cell>
        </row>
        <row r="36">
          <cell r="J36">
            <v>0.96140589623814954</v>
          </cell>
          <cell r="K36">
            <v>0.87487676392460134</v>
          </cell>
          <cell r="R36">
            <v>41.054000000000002</v>
          </cell>
          <cell r="S36">
            <v>1121.5250000000003</v>
          </cell>
          <cell r="X36">
            <v>92.028255128138568</v>
          </cell>
          <cell r="Y36">
            <v>99.309486754816518</v>
          </cell>
          <cell r="AD36">
            <v>1.4468748477614848</v>
          </cell>
          <cell r="AE36">
            <v>1.4976928735427202</v>
          </cell>
          <cell r="AJ36">
            <v>894.88235007551032</v>
          </cell>
          <cell r="AK36">
            <v>887.17770892311808</v>
          </cell>
          <cell r="BC36">
            <v>0.96140589623814954</v>
          </cell>
          <cell r="BD36">
            <v>0.87649940746680455</v>
          </cell>
        </row>
        <row r="37">
          <cell r="J37">
            <v>0.93739574162159067</v>
          </cell>
          <cell r="K37">
            <v>0.87696851322373648</v>
          </cell>
          <cell r="R37">
            <v>41.597000000000001</v>
          </cell>
          <cell r="S37">
            <v>1163.1220000000003</v>
          </cell>
          <cell r="X37">
            <v>91.966404853093621</v>
          </cell>
          <cell r="Y37">
            <v>99.046874425356705</v>
          </cell>
          <cell r="AD37">
            <v>1.4568358295069357</v>
          </cell>
          <cell r="AE37">
            <v>1.4962316936658402</v>
          </cell>
          <cell r="AJ37">
            <v>941.82032358100128</v>
          </cell>
          <cell r="AK37">
            <v>889.13190533753027</v>
          </cell>
          <cell r="BC37">
            <v>0.93739574162159067</v>
          </cell>
          <cell r="BD37">
            <v>0.87854051887242701</v>
          </cell>
        </row>
        <row r="38">
          <cell r="J38">
            <v>0.93418120338973043</v>
          </cell>
          <cell r="K38">
            <v>0.87894880591694469</v>
          </cell>
          <cell r="R38">
            <v>44.423000000000002</v>
          </cell>
          <cell r="S38">
            <v>1207.5450000000003</v>
          </cell>
          <cell r="X38">
            <v>93.001999742368426</v>
          </cell>
          <cell r="Y38">
            <v>98.824496403798591</v>
          </cell>
          <cell r="AD38">
            <v>1.4024266708686941</v>
          </cell>
          <cell r="AE38">
            <v>1.4927808073405127</v>
          </cell>
          <cell r="AJ38">
            <v>841.06521396573839</v>
          </cell>
          <cell r="AK38">
            <v>887.36363448152974</v>
          </cell>
          <cell r="BC38">
            <v>0.93418120338973043</v>
          </cell>
          <cell r="BD38">
            <v>0.88046973254377647</v>
          </cell>
        </row>
        <row r="39">
          <cell r="J39">
            <v>0.96785843453719056</v>
          </cell>
          <cell r="K39">
            <v>0.88193173114859524</v>
          </cell>
          <cell r="R39">
            <v>46.16</v>
          </cell>
          <cell r="S39">
            <v>1253.7050000000004</v>
          </cell>
          <cell r="X39">
            <v>90.473737788659889</v>
          </cell>
          <cell r="Y39">
            <v>98.517030917360543</v>
          </cell>
          <cell r="AD39">
            <v>1.3388214904679376</v>
          </cell>
          <cell r="AE39">
            <v>1.4871121994408565</v>
          </cell>
          <cell r="AJ39">
            <v>830.24306759097988</v>
          </cell>
          <cell r="AK39">
            <v>885.26051981925434</v>
          </cell>
          <cell r="BC39">
            <v>0.96785843453719056</v>
          </cell>
          <cell r="BD39">
            <v>0.88340653340367237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 refreshError="1">
        <row r="9">
          <cell r="J9">
            <v>0.94257305293041049</v>
          </cell>
          <cell r="AP9">
            <v>0</v>
          </cell>
          <cell r="AQ9">
            <v>0</v>
          </cell>
        </row>
        <row r="10">
          <cell r="AP10">
            <v>0</v>
          </cell>
          <cell r="AQ10">
            <v>0</v>
          </cell>
        </row>
        <row r="11">
          <cell r="AP11">
            <v>0</v>
          </cell>
          <cell r="AQ11">
            <v>0</v>
          </cell>
        </row>
        <row r="12">
          <cell r="AP12">
            <v>0</v>
          </cell>
          <cell r="AQ12">
            <v>0</v>
          </cell>
        </row>
        <row r="13">
          <cell r="AP13">
            <v>0</v>
          </cell>
          <cell r="AQ13">
            <v>0</v>
          </cell>
        </row>
        <row r="14">
          <cell r="AP14">
            <v>0</v>
          </cell>
          <cell r="AQ14">
            <v>0</v>
          </cell>
        </row>
        <row r="15">
          <cell r="AP15">
            <v>0</v>
          </cell>
          <cell r="AQ15">
            <v>0</v>
          </cell>
        </row>
        <row r="16">
          <cell r="AP16">
            <v>0</v>
          </cell>
          <cell r="AQ16">
            <v>0</v>
          </cell>
        </row>
        <row r="17">
          <cell r="AP17">
            <v>0</v>
          </cell>
          <cell r="AQ17">
            <v>0</v>
          </cell>
        </row>
        <row r="18">
          <cell r="AP18">
            <v>0</v>
          </cell>
          <cell r="AQ18">
            <v>0</v>
          </cell>
        </row>
        <row r="19">
          <cell r="AP19">
            <v>0</v>
          </cell>
          <cell r="AQ19">
            <v>0</v>
          </cell>
        </row>
        <row r="20">
          <cell r="AP20">
            <v>0</v>
          </cell>
          <cell r="AQ20">
            <v>0</v>
          </cell>
        </row>
        <row r="21">
          <cell r="AP21">
            <v>0</v>
          </cell>
          <cell r="AQ21">
            <v>0</v>
          </cell>
        </row>
        <row r="22">
          <cell r="AP22">
            <v>0</v>
          </cell>
          <cell r="AQ22">
            <v>0</v>
          </cell>
        </row>
        <row r="23">
          <cell r="AP23">
            <v>0</v>
          </cell>
          <cell r="AQ23">
            <v>0</v>
          </cell>
        </row>
        <row r="24">
          <cell r="AP24">
            <v>0</v>
          </cell>
          <cell r="AQ24">
            <v>0</v>
          </cell>
        </row>
        <row r="25">
          <cell r="AP25">
            <v>0</v>
          </cell>
          <cell r="AQ25">
            <v>0</v>
          </cell>
        </row>
        <row r="26">
          <cell r="AP26">
            <v>0</v>
          </cell>
          <cell r="AQ26">
            <v>0</v>
          </cell>
        </row>
        <row r="27">
          <cell r="AP27">
            <v>0</v>
          </cell>
          <cell r="AQ27">
            <v>0</v>
          </cell>
        </row>
        <row r="28">
          <cell r="AP28">
            <v>0</v>
          </cell>
          <cell r="AQ28">
            <v>0</v>
          </cell>
        </row>
        <row r="29">
          <cell r="AP29">
            <v>0</v>
          </cell>
          <cell r="AQ29">
            <v>0</v>
          </cell>
        </row>
        <row r="30">
          <cell r="AP30">
            <v>0</v>
          </cell>
          <cell r="AQ30">
            <v>0</v>
          </cell>
        </row>
        <row r="31">
          <cell r="AP31">
            <v>0</v>
          </cell>
          <cell r="AQ31">
            <v>0</v>
          </cell>
        </row>
        <row r="32">
          <cell r="AP32">
            <v>0</v>
          </cell>
          <cell r="AQ32">
            <v>0</v>
          </cell>
        </row>
        <row r="33">
          <cell r="AP33">
            <v>0</v>
          </cell>
          <cell r="AQ33">
            <v>0</v>
          </cell>
        </row>
        <row r="34">
          <cell r="AP34">
            <v>0</v>
          </cell>
          <cell r="AQ34">
            <v>0</v>
          </cell>
        </row>
        <row r="35">
          <cell r="AP35">
            <v>0</v>
          </cell>
          <cell r="AQ35">
            <v>0</v>
          </cell>
        </row>
        <row r="36">
          <cell r="AP36">
            <v>0</v>
          </cell>
          <cell r="AQ36">
            <v>0</v>
          </cell>
        </row>
        <row r="37">
          <cell r="AP37">
            <v>0</v>
          </cell>
          <cell r="AQ37">
            <v>0</v>
          </cell>
        </row>
        <row r="38">
          <cell r="AP38">
            <v>0</v>
          </cell>
          <cell r="AQ38">
            <v>0</v>
          </cell>
        </row>
        <row r="39">
          <cell r="AP39">
            <v>0</v>
          </cell>
          <cell r="AQ3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0.55958666170274241</v>
          </cell>
          <cell r="K9">
            <v>0.55958666170274241</v>
          </cell>
          <cell r="R9">
            <v>28.594999999999999</v>
          </cell>
          <cell r="S9">
            <v>28.594999999999999</v>
          </cell>
          <cell r="AF9">
            <v>151.92344940520624</v>
          </cell>
          <cell r="AG9">
            <v>151.92344940520624</v>
          </cell>
          <cell r="AL9">
            <v>2.0108410561286938</v>
          </cell>
          <cell r="AM9">
            <v>2.0108410561286938</v>
          </cell>
          <cell r="AR9">
            <v>0.26927784577723379</v>
          </cell>
          <cell r="AS9">
            <v>0.26927784577723379</v>
          </cell>
          <cell r="AX9">
            <v>1170.3115929358303</v>
          </cell>
          <cell r="AY9">
            <v>1170.3115929358303</v>
          </cell>
          <cell r="BD9">
            <v>758.87392900858549</v>
          </cell>
          <cell r="BE9">
            <v>758.87392900858549</v>
          </cell>
          <cell r="BJ9">
            <v>0</v>
          </cell>
          <cell r="BK9">
            <v>0</v>
          </cell>
          <cell r="BN9">
            <v>0.55958666170274241</v>
          </cell>
          <cell r="BO9">
            <v>0.55958666170274241</v>
          </cell>
        </row>
        <row r="10">
          <cell r="J10">
            <v>0.59463543635249294</v>
          </cell>
          <cell r="K10">
            <v>0.57711104902761756</v>
          </cell>
          <cell r="R10">
            <v>30.385999999999999</v>
          </cell>
          <cell r="S10">
            <v>58.980999999999995</v>
          </cell>
          <cell r="AF10">
            <v>124.90049707400922</v>
          </cell>
          <cell r="AG10">
            <v>138.00168765929226</v>
          </cell>
          <cell r="AL10">
            <v>1.9318107022971107</v>
          </cell>
          <cell r="AM10">
            <v>1.9701259727708926</v>
          </cell>
          <cell r="AR10">
            <v>8.8856710327124347E-2</v>
          </cell>
          <cell r="AS10">
            <v>0.17632797002424511</v>
          </cell>
          <cell r="AX10">
            <v>1152.5176067926016</v>
          </cell>
          <cell r="AY10">
            <v>1161.1444363439082</v>
          </cell>
          <cell r="BD10">
            <v>434.73968274862227</v>
          </cell>
          <cell r="BE10">
            <v>591.88552245638675</v>
          </cell>
          <cell r="BJ10">
            <v>0</v>
          </cell>
          <cell r="BK10">
            <v>0</v>
          </cell>
          <cell r="BN10">
            <v>0.65115971737459299</v>
          </cell>
          <cell r="BO10">
            <v>0.60329576087097603</v>
          </cell>
        </row>
        <row r="11">
          <cell r="J11">
            <v>0.60619656555668755</v>
          </cell>
          <cell r="K11">
            <v>0.58678600734732378</v>
          </cell>
          <cell r="R11">
            <v>30.88</v>
          </cell>
          <cell r="S11">
            <v>89.86099999999999</v>
          </cell>
          <cell r="AF11">
            <v>113.48987995832084</v>
          </cell>
          <cell r="AG11">
            <v>129.57840479124053</v>
          </cell>
          <cell r="AL11">
            <v>1.6547927461139897</v>
          </cell>
          <cell r="AM11">
            <v>1.8617642803886005</v>
          </cell>
          <cell r="AR11">
            <v>8.4196891191709852E-2</v>
          </cell>
          <cell r="AS11">
            <v>0.14466787594173225</v>
          </cell>
          <cell r="AX11">
            <v>1138.6748704663203</v>
          </cell>
          <cell r="AY11">
            <v>1153.4229532277634</v>
          </cell>
          <cell r="BD11">
            <v>239.63730569948038</v>
          </cell>
          <cell r="BE11">
            <v>470.83829469959272</v>
          </cell>
          <cell r="BJ11">
            <v>0</v>
          </cell>
          <cell r="BK11">
            <v>0</v>
          </cell>
          <cell r="BN11">
            <v>0.82055154047259837</v>
          </cell>
          <cell r="BO11">
            <v>0.66368101717022565</v>
          </cell>
        </row>
        <row r="12">
          <cell r="J12">
            <v>8.682278214805185E-2</v>
          </cell>
          <cell r="K12">
            <v>0.45840061957279221</v>
          </cell>
          <cell r="R12">
            <v>4.5940000000000003</v>
          </cell>
          <cell r="S12">
            <v>94.454999999999984</v>
          </cell>
          <cell r="AF12">
            <v>371.94786336797904</v>
          </cell>
          <cell r="AG12">
            <v>141.3665080435992</v>
          </cell>
          <cell r="AL12">
            <v>6.8785372224640833</v>
          </cell>
          <cell r="AM12">
            <v>2.1057646498332545</v>
          </cell>
          <cell r="AR12">
            <v>0</v>
          </cell>
          <cell r="AS12">
            <v>0.13763167645968982</v>
          </cell>
          <cell r="AX12">
            <v>4505.8554636482359</v>
          </cell>
          <cell r="AY12">
            <v>1316.4749351543066</v>
          </cell>
          <cell r="BD12">
            <v>0</v>
          </cell>
          <cell r="BE12">
            <v>447.93817161611452</v>
          </cell>
          <cell r="BJ12">
            <v>0</v>
          </cell>
          <cell r="BK12">
            <v>0</v>
          </cell>
          <cell r="BN12">
            <v>9.3651540294527838E-2</v>
          </cell>
          <cell r="BO12">
            <v>0.51208427516043453</v>
          </cell>
        </row>
        <row r="13">
          <cell r="J13">
            <v>0.85459483237680567</v>
          </cell>
          <cell r="K13">
            <v>0.5338183323068425</v>
          </cell>
          <cell r="R13">
            <v>41.401000000000003</v>
          </cell>
          <cell r="S13">
            <v>135.85599999999999</v>
          </cell>
          <cell r="AF13">
            <v>109.18777054822472</v>
          </cell>
          <cell r="AG13">
            <v>131.56030212670188</v>
          </cell>
          <cell r="AL13">
            <v>1.6883650153377938</v>
          </cell>
          <cell r="AM13">
            <v>1.978565539983512</v>
          </cell>
          <cell r="AR13">
            <v>0</v>
          </cell>
          <cell r="AS13">
            <v>9.5689553645035924E-2</v>
          </cell>
          <cell r="AX13">
            <v>1086.9983816816027</v>
          </cell>
          <cell r="AY13">
            <v>1246.5438405370394</v>
          </cell>
          <cell r="BD13">
            <v>0</v>
          </cell>
          <cell r="BE13">
            <v>311.43269344011378</v>
          </cell>
          <cell r="BJ13">
            <v>0</v>
          </cell>
          <cell r="BK13">
            <v>0</v>
          </cell>
          <cell r="BN13">
            <v>0.85459483237680567</v>
          </cell>
          <cell r="BO13">
            <v>0.58333022623501218</v>
          </cell>
        </row>
        <row r="14">
          <cell r="J14">
            <v>0.82134858496677587</v>
          </cell>
          <cell r="K14">
            <v>0.57733186850519846</v>
          </cell>
          <cell r="R14">
            <v>37.274999999999999</v>
          </cell>
          <cell r="S14">
            <v>173.131</v>
          </cell>
          <cell r="AF14">
            <v>105.98292232623652</v>
          </cell>
          <cell r="AG14">
            <v>126.05350766434478</v>
          </cell>
          <cell r="AL14">
            <v>1.8189134808853118</v>
          </cell>
          <cell r="AM14">
            <v>1.9441925478394975</v>
          </cell>
          <cell r="AR14">
            <v>0</v>
          </cell>
          <cell r="AS14">
            <v>7.5087650391899768E-2</v>
          </cell>
          <cell r="AX14">
            <v>1139.118980549966</v>
          </cell>
          <cell r="AY14">
            <v>1223.4153328982102</v>
          </cell>
          <cell r="BD14">
            <v>0</v>
          </cell>
          <cell r="BE14">
            <v>244.38142216009896</v>
          </cell>
          <cell r="BJ14">
            <v>0</v>
          </cell>
          <cell r="BK14">
            <v>0</v>
          </cell>
          <cell r="BN14">
            <v>0.82134858496677587</v>
          </cell>
          <cell r="BO14">
            <v>0.62214693636055773</v>
          </cell>
        </row>
        <row r="15">
          <cell r="J15">
            <v>0.90295751671413049</v>
          </cell>
          <cell r="K15">
            <v>0.61997289600135452</v>
          </cell>
          <cell r="R15">
            <v>40.802</v>
          </cell>
          <cell r="S15">
            <v>213.93299999999999</v>
          </cell>
          <cell r="AF15">
            <v>94.988414166692692</v>
          </cell>
          <cell r="AG15">
            <v>120.12867164142546</v>
          </cell>
          <cell r="AL15">
            <v>1.6249203470418117</v>
          </cell>
          <cell r="AM15">
            <v>1.8832999116545837</v>
          </cell>
          <cell r="AR15">
            <v>0</v>
          </cell>
          <cell r="AS15">
            <v>6.0766688636161789E-2</v>
          </cell>
          <cell r="AX15">
            <v>1064.4238027547656</v>
          </cell>
          <cell r="AY15">
            <v>1193.0919493486278</v>
          </cell>
          <cell r="BD15">
            <v>0</v>
          </cell>
          <cell r="BE15">
            <v>197.77219970738545</v>
          </cell>
          <cell r="BJ15">
            <v>0</v>
          </cell>
          <cell r="BK15">
            <v>0</v>
          </cell>
          <cell r="BN15">
            <v>0.90295751671413049</v>
          </cell>
          <cell r="BO15">
            <v>0.66137506941674362</v>
          </cell>
        </row>
        <row r="16">
          <cell r="J16">
            <v>0.79964255350864444</v>
          </cell>
          <cell r="K16">
            <v>0.64151510203495865</v>
          </cell>
          <cell r="R16">
            <v>37.591000000000001</v>
          </cell>
          <cell r="S16">
            <v>251.524</v>
          </cell>
          <cell r="AF16">
            <v>109.88355550404303</v>
          </cell>
          <cell r="AG16">
            <v>118.59750896621217</v>
          </cell>
          <cell r="AL16">
            <v>1.7983027852411479</v>
          </cell>
          <cell r="AM16">
            <v>1.8705968416532817</v>
          </cell>
          <cell r="AR16">
            <v>0</v>
          </cell>
          <cell r="AS16">
            <v>5.168492867479843E-2</v>
          </cell>
          <cell r="AX16">
            <v>1130.0210156686458</v>
          </cell>
          <cell r="AY16">
            <v>1183.6658132027164</v>
          </cell>
          <cell r="BD16">
            <v>0</v>
          </cell>
          <cell r="BE16">
            <v>168.21456401774819</v>
          </cell>
          <cell r="BJ16">
            <v>28.99630230640313</v>
          </cell>
          <cell r="BK16">
            <v>4.3335824811946377</v>
          </cell>
          <cell r="BN16">
            <v>0.79964255350864444</v>
          </cell>
          <cell r="BO16">
            <v>0.67891981585035177</v>
          </cell>
        </row>
        <row r="17">
          <cell r="J17">
            <v>0.95244055839990127</v>
          </cell>
          <cell r="K17">
            <v>0.67528993305774998</v>
          </cell>
          <cell r="R17">
            <v>45.508000000000003</v>
          </cell>
          <cell r="S17">
            <v>297.03199999999998</v>
          </cell>
          <cell r="AF17">
            <v>94.812259053287036</v>
          </cell>
          <cell r="AG17">
            <v>114.95339266548567</v>
          </cell>
          <cell r="AL17">
            <v>1.5535729981541706</v>
          </cell>
          <cell r="AM17">
            <v>1.8220259096662987</v>
          </cell>
          <cell r="AR17">
            <v>0</v>
          </cell>
          <cell r="AS17">
            <v>4.3766328207061868E-2</v>
          </cell>
          <cell r="AX17">
            <v>975.7286630922041</v>
          </cell>
          <cell r="AY17">
            <v>1151.8079533518278</v>
          </cell>
          <cell r="BD17">
            <v>0</v>
          </cell>
          <cell r="BE17">
            <v>142.44256511083012</v>
          </cell>
          <cell r="BJ17">
            <v>82.842577129295947</v>
          </cell>
          <cell r="BK17">
            <v>16.361873468178512</v>
          </cell>
          <cell r="BN17">
            <v>0.95244055839990127</v>
          </cell>
          <cell r="BO17">
            <v>0.71016598374038242</v>
          </cell>
        </row>
        <row r="18">
          <cell r="J18">
            <v>0.88444197849655959</v>
          </cell>
          <cell r="K18">
            <v>0.69578331600878018</v>
          </cell>
          <cell r="R18">
            <v>42.259</v>
          </cell>
          <cell r="S18">
            <v>339.291</v>
          </cell>
          <cell r="AF18">
            <v>106.03575895248406</v>
          </cell>
          <cell r="AG18">
            <v>113.84269334520386</v>
          </cell>
          <cell r="AL18">
            <v>1.6990463569890437</v>
          </cell>
          <cell r="AM18">
            <v>1.8067086954855862</v>
          </cell>
          <cell r="AR18">
            <v>0</v>
          </cell>
          <cell r="AS18">
            <v>3.8315192563315857E-2</v>
          </cell>
          <cell r="AX18">
            <v>987.95096902434864</v>
          </cell>
          <cell r="AY18">
            <v>1131.3994181985377</v>
          </cell>
          <cell r="BD18">
            <v>0</v>
          </cell>
          <cell r="BE18">
            <v>124.70121518106905</v>
          </cell>
          <cell r="BJ18">
            <v>85.662225798054848</v>
          </cell>
          <cell r="BK18">
            <v>24.99329484130142</v>
          </cell>
          <cell r="BN18">
            <v>0.88444197849655959</v>
          </cell>
          <cell r="BO18">
            <v>0.72803359601987627</v>
          </cell>
        </row>
        <row r="19">
          <cell r="J19">
            <v>0.93233824082716144</v>
          </cell>
          <cell r="K19">
            <v>0.71696211205325344</v>
          </cell>
          <cell r="R19">
            <v>44.707000000000001</v>
          </cell>
          <cell r="S19">
            <v>383.99799999999999</v>
          </cell>
          <cell r="AF19">
            <v>104.99133013291025</v>
          </cell>
          <cell r="AG19">
            <v>112.81217262600215</v>
          </cell>
          <cell r="AL19">
            <v>1.6820632115776053</v>
          </cell>
          <cell r="AM19">
            <v>1.7921968343585124</v>
          </cell>
          <cell r="AR19">
            <v>0</v>
          </cell>
          <cell r="AS19">
            <v>3.3854342991369746E-2</v>
          </cell>
          <cell r="AX19">
            <v>1016.6215581452565</v>
          </cell>
          <cell r="AY19">
            <v>1118.0363960228958</v>
          </cell>
          <cell r="BD19">
            <v>0</v>
          </cell>
          <cell r="BE19">
            <v>110.18286553575825</v>
          </cell>
          <cell r="BJ19">
            <v>85.668910908806225</v>
          </cell>
          <cell r="BK19">
            <v>32.057458632597047</v>
          </cell>
          <cell r="BN19">
            <v>0.93233824082716144</v>
          </cell>
          <cell r="BO19">
            <v>0.74709375030597558</v>
          </cell>
        </row>
        <row r="20">
          <cell r="J20">
            <v>1.0099745984597002</v>
          </cell>
          <cell r="K20">
            <v>0.74096101155950089</v>
          </cell>
          <cell r="R20">
            <v>48.256999999999998</v>
          </cell>
          <cell r="S20">
            <v>432.255</v>
          </cell>
          <cell r="AF20">
            <v>93.853042576195477</v>
          </cell>
          <cell r="AG20">
            <v>110.69557307524271</v>
          </cell>
          <cell r="AL20">
            <v>1.5458897154816917</v>
          </cell>
          <cell r="AM20">
            <v>1.7646990780904792</v>
          </cell>
          <cell r="AR20">
            <v>0</v>
          </cell>
          <cell r="AS20">
            <v>3.0074840082821484E-2</v>
          </cell>
          <cell r="AX20">
            <v>936.90904946432647</v>
          </cell>
          <cell r="AY20">
            <v>1097.8153173473991</v>
          </cell>
          <cell r="BD20">
            <v>0</v>
          </cell>
          <cell r="BE20">
            <v>97.882037223398441</v>
          </cell>
          <cell r="BJ20">
            <v>78.537828708788368</v>
          </cell>
          <cell r="BK20">
            <v>37.246532717955837</v>
          </cell>
          <cell r="BN20">
            <v>1.0099745984597002</v>
          </cell>
          <cell r="BO20">
            <v>0.76945266390487699</v>
          </cell>
        </row>
        <row r="21">
          <cell r="J21">
            <v>0.99454986673031798</v>
          </cell>
          <cell r="K21">
            <v>0.76015859789737716</v>
          </cell>
          <cell r="R21">
            <v>47.52</v>
          </cell>
          <cell r="S21">
            <v>479.77499999999998</v>
          </cell>
          <cell r="AF21">
            <v>98.802557282053328</v>
          </cell>
          <cell r="AG21">
            <v>109.51761234262355</v>
          </cell>
          <cell r="AL21">
            <v>1.5677609427609427</v>
          </cell>
          <cell r="AM21">
            <v>1.7451930592465221</v>
          </cell>
          <cell r="AR21">
            <v>0</v>
          </cell>
          <cell r="AS21">
            <v>2.7096034599551875E-2</v>
          </cell>
          <cell r="AX21">
            <v>940.45159932659897</v>
          </cell>
          <cell r="AY21">
            <v>1082.2290031785731</v>
          </cell>
          <cell r="BD21">
            <v>0</v>
          </cell>
          <cell r="BE21">
            <v>88.187171069772489</v>
          </cell>
          <cell r="BJ21">
            <v>86.279461279461273</v>
          </cell>
          <cell r="BK21">
            <v>42.103069146995985</v>
          </cell>
          <cell r="BN21">
            <v>0.99454986673031798</v>
          </cell>
          <cell r="BO21">
            <v>0.78709721976344349</v>
          </cell>
        </row>
        <row r="22">
          <cell r="J22">
            <v>0.96106408362740436</v>
          </cell>
          <cell r="K22">
            <v>0.77437273756293823</v>
          </cell>
          <cell r="R22">
            <v>46.183</v>
          </cell>
          <cell r="S22">
            <v>525.95799999999997</v>
          </cell>
          <cell r="AF22">
            <v>102.60684784275269</v>
          </cell>
          <cell r="AG22">
            <v>108.91079613886292</v>
          </cell>
          <cell r="AL22">
            <v>1.5849988090855944</v>
          </cell>
          <cell r="AM22">
            <v>1.7311268200122447</v>
          </cell>
          <cell r="AR22">
            <v>0</v>
          </cell>
          <cell r="AS22">
            <v>2.4716802482327487E-2</v>
          </cell>
          <cell r="AX22">
            <v>961.81798497282648</v>
          </cell>
          <cell r="AY22">
            <v>1071.6560257663159</v>
          </cell>
          <cell r="BD22">
            <v>0</v>
          </cell>
          <cell r="BE22">
            <v>80.443685617482942</v>
          </cell>
          <cell r="BJ22">
            <v>79.033410562328129</v>
          </cell>
          <cell r="BK22">
            <v>45.345826092577738</v>
          </cell>
          <cell r="BN22">
            <v>0.96106408362740436</v>
          </cell>
          <cell r="BO22">
            <v>0.79980974874489841</v>
          </cell>
        </row>
        <row r="23">
          <cell r="J23">
            <v>0.88819863888254214</v>
          </cell>
          <cell r="K23">
            <v>0.78292877281102835</v>
          </cell>
          <cell r="R23">
            <v>49.031999999999996</v>
          </cell>
          <cell r="S23">
            <v>574.99</v>
          </cell>
          <cell r="AF23">
            <v>104.03818657028596</v>
          </cell>
          <cell r="AG23">
            <v>108.49528666501735</v>
          </cell>
          <cell r="AL23">
            <v>1.4439549681840431</v>
          </cell>
          <cell r="AM23">
            <v>1.7066383763195883</v>
          </cell>
          <cell r="AR23">
            <v>0</v>
          </cell>
          <cell r="AS23">
            <v>2.2609088853719195E-2</v>
          </cell>
          <cell r="AX23">
            <v>854.57374775656626</v>
          </cell>
          <cell r="AY23">
            <v>1053.1444372945616</v>
          </cell>
          <cell r="BD23">
            <v>0</v>
          </cell>
          <cell r="BE23">
            <v>73.583888415450872</v>
          </cell>
          <cell r="BJ23">
            <v>0</v>
          </cell>
          <cell r="BK23">
            <v>41.478982243169447</v>
          </cell>
          <cell r="BN23">
            <v>0.88819863888254214</v>
          </cell>
          <cell r="BO23">
            <v>0.80665508473912706</v>
          </cell>
        </row>
        <row r="24">
          <cell r="J24">
            <v>0.97590394564520533</v>
          </cell>
          <cell r="K24">
            <v>0.79592368457975515</v>
          </cell>
          <cell r="R24">
            <v>51.747999999999998</v>
          </cell>
          <cell r="S24">
            <v>626.73800000000006</v>
          </cell>
          <cell r="AF24">
            <v>93.42934686355477</v>
          </cell>
          <cell r="AG24">
            <v>107.25133424335775</v>
          </cell>
          <cell r="AL24">
            <v>1.4242096312900983</v>
          </cell>
          <cell r="AM24">
            <v>1.6833190264512443</v>
          </cell>
          <cell r="AR24">
            <v>0</v>
          </cell>
          <cell r="AS24">
            <v>2.0742319757219123E-2</v>
          </cell>
          <cell r="AX24">
            <v>897.87547344825123</v>
          </cell>
          <cell r="AY24">
            <v>1040.3243141472194</v>
          </cell>
          <cell r="BD24">
            <v>0</v>
          </cell>
          <cell r="BE24">
            <v>67.508272994457158</v>
          </cell>
          <cell r="BJ24">
            <v>0</v>
          </cell>
          <cell r="BK24">
            <v>38.054178939205855</v>
          </cell>
          <cell r="BN24">
            <v>0.97590394564520533</v>
          </cell>
          <cell r="BO24">
            <v>0.81837374354626846</v>
          </cell>
        </row>
        <row r="25">
          <cell r="J25">
            <v>0.9360176341927896</v>
          </cell>
          <cell r="K25">
            <v>0.80476238811315248</v>
          </cell>
          <cell r="R25">
            <v>49.633000000000003</v>
          </cell>
          <cell r="S25">
            <v>676.37100000000009</v>
          </cell>
          <cell r="AF25">
            <v>97.357712946552581</v>
          </cell>
          <cell r="AG25">
            <v>106.52532720605969</v>
          </cell>
          <cell r="AL25">
            <v>1.4889287369290594</v>
          </cell>
          <cell r="AM25">
            <v>1.6690544094882838</v>
          </cell>
          <cell r="AR25">
            <v>0</v>
          </cell>
          <cell r="AS25">
            <v>1.9220220855122407E-2</v>
          </cell>
          <cell r="AX25">
            <v>913.41446215219491</v>
          </cell>
          <cell r="AY25">
            <v>1031.0115010844636</v>
          </cell>
          <cell r="BD25">
            <v>0</v>
          </cell>
          <cell r="BE25">
            <v>62.554426490786987</v>
          </cell>
          <cell r="BJ25">
            <v>0</v>
          </cell>
          <cell r="BK25">
            <v>35.26171287651303</v>
          </cell>
          <cell r="BN25">
            <v>0.9360176341927896</v>
          </cell>
          <cell r="BO25">
            <v>0.82599184328823305</v>
          </cell>
        </row>
        <row r="26">
          <cell r="J26">
            <v>0.95587592542654554</v>
          </cell>
          <cell r="K26">
            <v>0.81373052054065209</v>
          </cell>
          <cell r="R26">
            <v>50.686</v>
          </cell>
          <cell r="S26">
            <v>727.05700000000013</v>
          </cell>
          <cell r="AF26">
            <v>96.24441664926924</v>
          </cell>
          <cell r="AG26">
            <v>105.80860453853639</v>
          </cell>
          <cell r="AL26">
            <v>1.4678609477962357</v>
          </cell>
          <cell r="AM26">
            <v>1.6550284228059147</v>
          </cell>
          <cell r="AR26">
            <v>0</v>
          </cell>
          <cell r="AS26">
            <v>1.7880303745098386E-2</v>
          </cell>
          <cell r="AX26">
            <v>897.77729550566448</v>
          </cell>
          <cell r="AY26">
            <v>1021.7232211504736</v>
          </cell>
          <cell r="BD26">
            <v>0</v>
          </cell>
          <cell r="BE26">
            <v>58.193511650393418</v>
          </cell>
          <cell r="BJ26">
            <v>0</v>
          </cell>
          <cell r="BK26">
            <v>32.80348033235358</v>
          </cell>
          <cell r="BN26">
            <v>0.95587592542654554</v>
          </cell>
          <cell r="BO26">
            <v>0.83389104630707733</v>
          </cell>
        </row>
        <row r="27">
          <cell r="J27">
            <v>0.94195814866442595</v>
          </cell>
          <cell r="K27">
            <v>0.82091411846126028</v>
          </cell>
          <cell r="R27">
            <v>49.948</v>
          </cell>
          <cell r="S27">
            <v>777.00500000000011</v>
          </cell>
          <cell r="AF27">
            <v>97.033505907809541</v>
          </cell>
          <cell r="AG27">
            <v>105.24451727216417</v>
          </cell>
          <cell r="AL27">
            <v>1.4915512132617923</v>
          </cell>
          <cell r="AM27">
            <v>1.6445196620356368</v>
          </cell>
          <cell r="AR27">
            <v>0</v>
          </cell>
          <cell r="AS27">
            <v>1.6730909067509216E-2</v>
          </cell>
          <cell r="AX27">
            <v>888.82677985104442</v>
          </cell>
          <cell r="AY27">
            <v>1013.1802755452022</v>
          </cell>
          <cell r="BD27">
            <v>0</v>
          </cell>
          <cell r="BE27">
            <v>54.452674049716656</v>
          </cell>
          <cell r="BJ27">
            <v>0</v>
          </cell>
          <cell r="BK27">
            <v>30.694783173853445</v>
          </cell>
          <cell r="BN27">
            <v>0.94195814866442595</v>
          </cell>
          <cell r="BO27">
            <v>0.84008660174186944</v>
          </cell>
        </row>
        <row r="28">
          <cell r="J28">
            <v>0.93654567992360171</v>
          </cell>
          <cell r="K28">
            <v>0.82704840044616246</v>
          </cell>
          <cell r="R28">
            <v>49.661000000000001</v>
          </cell>
          <cell r="S28">
            <v>826.66600000000017</v>
          </cell>
          <cell r="AF28">
            <v>99.870137773058119</v>
          </cell>
          <cell r="AG28">
            <v>104.92165766465024</v>
          </cell>
          <cell r="AL28">
            <v>1.4840619399528805</v>
          </cell>
          <cell r="AM28">
            <v>1.6348803507099603</v>
          </cell>
          <cell r="AR28">
            <v>0</v>
          </cell>
          <cell r="AS28">
            <v>1.5725819133725106E-2</v>
          </cell>
          <cell r="AX28">
            <v>925.29791989690057</v>
          </cell>
          <cell r="AY28">
            <v>1007.9008450813265</v>
          </cell>
          <cell r="BD28">
            <v>0</v>
          </cell>
          <cell r="BE28">
            <v>51.181492888300824</v>
          </cell>
          <cell r="BJ28">
            <v>0</v>
          </cell>
          <cell r="BK28">
            <v>28.850829718411056</v>
          </cell>
          <cell r="BN28">
            <v>0.93654567992360171</v>
          </cell>
          <cell r="BO28">
            <v>0.84531681060985331</v>
          </cell>
        </row>
        <row r="29">
          <cell r="J29">
            <v>1.0031170560144493</v>
          </cell>
          <cell r="K29">
            <v>0.83608475771403568</v>
          </cell>
          <cell r="R29">
            <v>54.243000000000002</v>
          </cell>
          <cell r="S29">
            <v>880.90900000000022</v>
          </cell>
          <cell r="AF29">
            <v>102.23769727643041</v>
          </cell>
          <cell r="AG29">
            <v>104.75638967063701</v>
          </cell>
          <cell r="AL29">
            <v>1.3365779916302565</v>
          </cell>
          <cell r="AM29">
            <v>1.6165120347277639</v>
          </cell>
          <cell r="AR29">
            <v>0</v>
          </cell>
          <cell r="AS29">
            <v>1.4757483463104584E-2</v>
          </cell>
          <cell r="AX29">
            <v>826.29058127316034</v>
          </cell>
          <cell r="AY29">
            <v>996.71798108544681</v>
          </cell>
          <cell r="BD29">
            <v>483.01163283741266</v>
          </cell>
          <cell r="BE29">
            <v>77.771937850561017</v>
          </cell>
          <cell r="BJ29">
            <v>0</v>
          </cell>
          <cell r="BK29">
            <v>27.074306199618796</v>
          </cell>
          <cell r="BN29">
            <v>1.0031170560144493</v>
          </cell>
          <cell r="BO29">
            <v>0.85358509750687228</v>
          </cell>
        </row>
        <row r="30">
          <cell r="J30">
            <v>0.95281367535189587</v>
          </cell>
          <cell r="K30">
            <v>0.84178233923030954</v>
          </cell>
          <cell r="R30">
            <v>51.515000000000001</v>
          </cell>
          <cell r="S30">
            <v>932.42400000000021</v>
          </cell>
          <cell r="AF30">
            <v>108.60535214692658</v>
          </cell>
          <cell r="AG30">
            <v>104.96903896105215</v>
          </cell>
          <cell r="AL30">
            <v>1.4073570804620013</v>
          </cell>
          <cell r="AM30">
            <v>1.6049565433751167</v>
          </cell>
          <cell r="AR30">
            <v>0.26400077647287196</v>
          </cell>
          <cell r="AS30">
            <v>2.8527794222370933E-2</v>
          </cell>
          <cell r="AX30">
            <v>840.4344365718714</v>
          </cell>
          <cell r="AY30">
            <v>988.08355426286732</v>
          </cell>
          <cell r="BD30">
            <v>716.29622440067328</v>
          </cell>
          <cell r="BE30">
            <v>113.04942815714796</v>
          </cell>
          <cell r="BJ30">
            <v>0</v>
          </cell>
          <cell r="BK30">
            <v>25.578492188103262</v>
          </cell>
          <cell r="BN30">
            <v>0.95281367535189587</v>
          </cell>
          <cell r="BO30">
            <v>0.85852481255939483</v>
          </cell>
        </row>
        <row r="31">
          <cell r="J31">
            <v>0.96832653888341624</v>
          </cell>
          <cell r="K31">
            <v>0.84773311571964227</v>
          </cell>
          <cell r="R31">
            <v>52.927999999999997</v>
          </cell>
          <cell r="S31">
            <v>985.3520000000002</v>
          </cell>
          <cell r="AF31">
            <v>104.16349519193371</v>
          </cell>
          <cell r="AG31">
            <v>104.92576932683828</v>
          </cell>
          <cell r="AL31">
            <v>1.3660066505441355</v>
          </cell>
          <cell r="AM31">
            <v>1.5921213941819774</v>
          </cell>
          <cell r="AR31">
            <v>0.19271463119709795</v>
          </cell>
          <cell r="AS31">
            <v>3.7347059730938784E-2</v>
          </cell>
          <cell r="AX31">
            <v>837.24040205562358</v>
          </cell>
          <cell r="AY31">
            <v>979.98104230772344</v>
          </cell>
          <cell r="BD31">
            <v>561.32859733977625</v>
          </cell>
          <cell r="BE31">
            <v>137.12866062077327</v>
          </cell>
          <cell r="BJ31">
            <v>0</v>
          </cell>
          <cell r="BK31">
            <v>24.20454822236114</v>
          </cell>
          <cell r="BN31">
            <v>0.96832653888341624</v>
          </cell>
          <cell r="BO31">
            <v>0.86378604632621725</v>
          </cell>
        </row>
        <row r="32">
          <cell r="J32">
            <v>0.94571994357901601</v>
          </cell>
          <cell r="K32">
            <v>0.85213862694026565</v>
          </cell>
          <cell r="R32">
            <v>51.749000000000002</v>
          </cell>
          <cell r="S32">
            <v>1037.1010000000001</v>
          </cell>
          <cell r="AF32">
            <v>113.52644055310647</v>
          </cell>
          <cell r="AG32">
            <v>105.35492341625501</v>
          </cell>
          <cell r="AL32">
            <v>1.3488183346538096</v>
          </cell>
          <cell r="AM32">
            <v>1.5799811204501779</v>
          </cell>
          <cell r="AR32">
            <v>0.16038957274536705</v>
          </cell>
          <cell r="AS32">
            <v>4.3486603522704143E-2</v>
          </cell>
          <cell r="AX32">
            <v>829.88463545189234</v>
          </cell>
          <cell r="AY32">
            <v>972.49157025207762</v>
          </cell>
          <cell r="BD32">
            <v>412.93551566213932</v>
          </cell>
          <cell r="BE32">
            <v>150.89080041384616</v>
          </cell>
          <cell r="BJ32">
            <v>0</v>
          </cell>
          <cell r="BK32">
            <v>22.996795876197204</v>
          </cell>
          <cell r="BN32">
            <v>0.94571994357901601</v>
          </cell>
          <cell r="BO32">
            <v>0.86753637792427429</v>
          </cell>
        </row>
        <row r="33">
          <cell r="J33">
            <v>0.98994566791038774</v>
          </cell>
          <cell r="K33">
            <v>0.85805080795822741</v>
          </cell>
          <cell r="R33">
            <v>54.006</v>
          </cell>
          <cell r="S33">
            <v>1091.1070000000002</v>
          </cell>
          <cell r="AF33">
            <v>104.72370452560699</v>
          </cell>
          <cell r="AG33">
            <v>105.3236802774901</v>
          </cell>
          <cell r="AL33">
            <v>1.3276302633040773</v>
          </cell>
          <cell r="AM33">
            <v>1.567490631074679</v>
          </cell>
          <cell r="AR33">
            <v>0.17405473465911195</v>
          </cell>
          <cell r="AS33">
            <v>4.9949271702958542E-2</v>
          </cell>
          <cell r="AX33">
            <v>743.04373588119813</v>
          </cell>
          <cell r="AY33">
            <v>961.13470081302728</v>
          </cell>
          <cell r="BD33">
            <v>500.87027367329398</v>
          </cell>
          <cell r="BE33">
            <v>168.21356658879483</v>
          </cell>
          <cell r="BJ33">
            <v>0</v>
          </cell>
          <cell r="BK33">
            <v>21.858534497533235</v>
          </cell>
          <cell r="BN33">
            <v>0.98994566791038774</v>
          </cell>
          <cell r="BO33">
            <v>0.87287871879341261</v>
          </cell>
        </row>
        <row r="34">
          <cell r="J34">
            <v>1.0095925932398147</v>
          </cell>
          <cell r="K34">
            <v>0.86426635233919125</v>
          </cell>
          <cell r="R34">
            <v>54.908000000000001</v>
          </cell>
          <cell r="S34">
            <v>1146.0150000000001</v>
          </cell>
          <cell r="AF34">
            <v>101.34528398883522</v>
          </cell>
          <cell r="AG34">
            <v>105.13306690557312</v>
          </cell>
          <cell r="AL34">
            <v>1.2876083630800612</v>
          </cell>
          <cell r="AM34">
            <v>1.5540808802677104</v>
          </cell>
          <cell r="AR34">
            <v>0.1821228236322576</v>
          </cell>
          <cell r="AS34">
            <v>5.6281985837881701E-2</v>
          </cell>
          <cell r="AX34">
            <v>753.46652582501611</v>
          </cell>
          <cell r="AY34">
            <v>951.18487977906068</v>
          </cell>
          <cell r="BD34">
            <v>473.86537480877189</v>
          </cell>
          <cell r="BE34">
            <v>182.85799051495857</v>
          </cell>
          <cell r="BJ34">
            <v>0</v>
          </cell>
          <cell r="BK34">
            <v>20.811245926100444</v>
          </cell>
          <cell r="BN34">
            <v>1.0095925932398147</v>
          </cell>
          <cell r="BO34">
            <v>0.87857895106738348</v>
          </cell>
        </row>
        <row r="35">
          <cell r="J35">
            <v>1.0135764970619381</v>
          </cell>
          <cell r="K35">
            <v>0.87013742919762271</v>
          </cell>
          <cell r="R35">
            <v>55.011000000000003</v>
          </cell>
          <cell r="S35">
            <v>1201.0260000000001</v>
          </cell>
          <cell r="AF35">
            <v>102.47221970431619</v>
          </cell>
          <cell r="AG35">
            <v>105.01119122145941</v>
          </cell>
          <cell r="AL35">
            <v>1.3033756884986638</v>
          </cell>
          <cell r="AM35">
            <v>1.5425977455941837</v>
          </cell>
          <cell r="AR35">
            <v>0.18723528021668395</v>
          </cell>
          <cell r="AS35">
            <v>6.2280083861631634E-2</v>
          </cell>
          <cell r="AX35">
            <v>734.78649724600552</v>
          </cell>
          <cell r="AY35">
            <v>941.27311148967647</v>
          </cell>
          <cell r="BD35">
            <v>486.81354638163532</v>
          </cell>
          <cell r="BE35">
            <v>196.78016962164051</v>
          </cell>
          <cell r="BJ35">
            <v>0</v>
          </cell>
          <cell r="BK35">
            <v>19.858021391710089</v>
          </cell>
          <cell r="BN35">
            <v>1.0135764970619381</v>
          </cell>
          <cell r="BO35">
            <v>0.88397163294589232</v>
          </cell>
        </row>
        <row r="36">
          <cell r="J36">
            <v>1.0053771416695509</v>
          </cell>
          <cell r="K36">
            <v>0.87520729490601445</v>
          </cell>
          <cell r="R36">
            <v>54.048000000000002</v>
          </cell>
          <cell r="S36">
            <v>1255.0740000000001</v>
          </cell>
          <cell r="AF36">
            <v>102.1499770734996</v>
          </cell>
          <cell r="AG36">
            <v>104.88797705060659</v>
          </cell>
          <cell r="AL36">
            <v>1.3376998223801064</v>
          </cell>
          <cell r="AM36">
            <v>1.5337741041564084</v>
          </cell>
          <cell r="AR36">
            <v>0.19612196566015391</v>
          </cell>
          <cell r="AS36">
            <v>6.8043796620757019E-2</v>
          </cell>
          <cell r="AX36">
            <v>794.6362492599178</v>
          </cell>
          <cell r="AY36">
            <v>934.95840085923248</v>
          </cell>
          <cell r="BD36">
            <v>506.79026050917378</v>
          </cell>
          <cell r="BE36">
            <v>210.13031900907853</v>
          </cell>
          <cell r="BJ36">
            <v>0</v>
          </cell>
          <cell r="BK36">
            <v>19.002863576171606</v>
          </cell>
          <cell r="BN36">
            <v>1.0053771416695509</v>
          </cell>
          <cell r="BO36">
            <v>0.88859248770990973</v>
          </cell>
        </row>
        <row r="37">
          <cell r="J37">
            <v>0.91904231019640781</v>
          </cell>
          <cell r="K37">
            <v>0.87681665886734816</v>
          </cell>
          <cell r="R37">
            <v>50.231000000000002</v>
          </cell>
          <cell r="S37">
            <v>1305.3050000000001</v>
          </cell>
          <cell r="AF37">
            <v>107.5813842417184</v>
          </cell>
          <cell r="AG37">
            <v>104.99162526816244</v>
          </cell>
          <cell r="AL37">
            <v>1.4552766220063307</v>
          </cell>
          <cell r="AM37">
            <v>1.5307533488341805</v>
          </cell>
          <cell r="AR37">
            <v>0.20107105174095677</v>
          </cell>
          <cell r="AS37">
            <v>7.3162977235205554E-2</v>
          </cell>
          <cell r="AX37">
            <v>881.46562879496639</v>
          </cell>
          <cell r="AY37">
            <v>932.89988163685894</v>
          </cell>
          <cell r="BD37">
            <v>539.40287870040493</v>
          </cell>
          <cell r="BE37">
            <v>222.80144946966436</v>
          </cell>
          <cell r="BJ37">
            <v>0</v>
          </cell>
          <cell r="BK37">
            <v>18.271591696959717</v>
          </cell>
          <cell r="BN37">
            <v>0.91904231019640781</v>
          </cell>
          <cell r="BO37">
            <v>0.88972688661034161</v>
          </cell>
        </row>
        <row r="38">
          <cell r="J38">
            <v>0.96653221638472786</v>
          </cell>
          <cell r="K38">
            <v>0.87989355673919489</v>
          </cell>
          <cell r="R38">
            <v>51.1</v>
          </cell>
          <cell r="S38">
            <v>1356.405</v>
          </cell>
          <cell r="AF38">
            <v>108.9897867605651</v>
          </cell>
          <cell r="AG38">
            <v>105.14224846128086</v>
          </cell>
          <cell r="AL38">
            <v>1.4461839530332681</v>
          </cell>
          <cell r="AM38">
            <v>1.5275673563574301</v>
          </cell>
          <cell r="AR38">
            <v>0.17808219178082191</v>
          </cell>
          <cell r="AS38">
            <v>7.7115610750476432E-2</v>
          </cell>
          <cell r="AX38">
            <v>871.48023483365864</v>
          </cell>
          <cell r="AY38">
            <v>930.58601228983969</v>
          </cell>
          <cell r="BD38">
            <v>447.10356164383296</v>
          </cell>
          <cell r="BE38">
            <v>231.25160847976827</v>
          </cell>
          <cell r="BJ38">
            <v>0</v>
          </cell>
          <cell r="BK38">
            <v>17.583243942627757</v>
          </cell>
          <cell r="BN38">
            <v>0.96653221638472786</v>
          </cell>
          <cell r="BO38">
            <v>0.89239844917166145</v>
          </cell>
        </row>
        <row r="39">
          <cell r="J39">
            <v>0.98297038004297099</v>
          </cell>
          <cell r="K39">
            <v>0.88320076687716276</v>
          </cell>
          <cell r="R39">
            <v>50.23</v>
          </cell>
          <cell r="S39">
            <v>1406.635</v>
          </cell>
          <cell r="AF39">
            <v>110.50623905447874</v>
          </cell>
          <cell r="AG39">
            <v>105.33379299664101</v>
          </cell>
          <cell r="AL39">
            <v>1.4334063308779614</v>
          </cell>
          <cell r="AM39">
            <v>1.5242049287839419</v>
          </cell>
          <cell r="AR39">
            <v>0.17917579135974518</v>
          </cell>
          <cell r="AS39">
            <v>8.076011189825362E-2</v>
          </cell>
          <cell r="AX39">
            <v>846.98427234720293</v>
          </cell>
          <cell r="AY39">
            <v>927.60064977766092</v>
          </cell>
          <cell r="BD39">
            <v>483.91128807485893</v>
          </cell>
          <cell r="BE39">
            <v>240.2739175407979</v>
          </cell>
          <cell r="BJ39">
            <v>0</v>
          </cell>
          <cell r="BK39">
            <v>16.955357999765397</v>
          </cell>
          <cell r="BN39">
            <v>0.98297038004297099</v>
          </cell>
          <cell r="BO39">
            <v>0.89534439715396263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0.69481653843793756</v>
          </cell>
          <cell r="K9">
            <v>0.69481653843793756</v>
          </cell>
          <cell r="R9">
            <v>36.506</v>
          </cell>
          <cell r="S9">
            <v>36.506</v>
          </cell>
          <cell r="AD9">
            <v>3.6487152796800522</v>
          </cell>
          <cell r="AE9">
            <v>3.6487152796800522</v>
          </cell>
          <cell r="AJ9">
            <v>1068.8222483975085</v>
          </cell>
          <cell r="AK9">
            <v>1068.8222483975085</v>
          </cell>
          <cell r="AN9">
            <v>0.69481653843793756</v>
          </cell>
          <cell r="AO9">
            <v>0.69481653843793756</v>
          </cell>
        </row>
        <row r="10">
          <cell r="J10">
            <v>0.72883595295276049</v>
          </cell>
          <cell r="K10">
            <v>0.71173595359681885</v>
          </cell>
          <cell r="R10">
            <v>37.889000000000003</v>
          </cell>
          <cell r="S10">
            <v>74.39500000000001</v>
          </cell>
          <cell r="AD10">
            <v>3.7055609807595871</v>
          </cell>
          <cell r="AE10">
            <v>3.6776665098460914</v>
          </cell>
          <cell r="AJ10">
            <v>1183.9126131595074</v>
          </cell>
          <cell r="AK10">
            <v>1127.4371933597688</v>
          </cell>
          <cell r="AN10">
            <v>0.77046479023268366</v>
          </cell>
          <cell r="AO10">
            <v>0.73138986222858671</v>
          </cell>
        </row>
        <row r="11">
          <cell r="J11">
            <v>0.88011507813803735</v>
          </cell>
          <cell r="K11">
            <v>0.76778702504215013</v>
          </cell>
          <cell r="R11">
            <v>45.905000000000001</v>
          </cell>
          <cell r="S11">
            <v>120.30000000000001</v>
          </cell>
          <cell r="AD11">
            <v>3.2196928439167847</v>
          </cell>
          <cell r="AE11">
            <v>3.5029093931837072</v>
          </cell>
          <cell r="AJ11">
            <v>1036.8896634353418</v>
          </cell>
          <cell r="AK11">
            <v>1092.8853699085569</v>
          </cell>
          <cell r="AN11">
            <v>0.91308768913456329</v>
          </cell>
          <cell r="AO11">
            <v>0.79149023584465628</v>
          </cell>
        </row>
        <row r="12">
          <cell r="J12">
            <v>0.92344500029449006</v>
          </cell>
          <cell r="K12">
            <v>0.8066623477390451</v>
          </cell>
          <cell r="R12">
            <v>48.164999999999999</v>
          </cell>
          <cell r="S12">
            <v>168.465</v>
          </cell>
          <cell r="AD12">
            <v>3.1288279871275821</v>
          </cell>
          <cell r="AE12">
            <v>3.3959576173092336</v>
          </cell>
          <cell r="AJ12">
            <v>929.85601577909028</v>
          </cell>
          <cell r="AK12">
            <v>1046.2744486985384</v>
          </cell>
          <cell r="AN12">
            <v>0.92344500029449006</v>
          </cell>
          <cell r="AO12">
            <v>0.82520319064643932</v>
          </cell>
        </row>
        <row r="13">
          <cell r="J13">
            <v>0.86472539571565932</v>
          </cell>
          <cell r="K13">
            <v>0.81843475235904706</v>
          </cell>
          <cell r="R13">
            <v>45.927</v>
          </cell>
          <cell r="S13">
            <v>214.392</v>
          </cell>
          <cell r="AD13">
            <v>3.2399242275785487</v>
          </cell>
          <cell r="AE13">
            <v>3.3625321840367182</v>
          </cell>
          <cell r="AJ13">
            <v>976.91401572060636</v>
          </cell>
          <cell r="AK13">
            <v>1031.416074293815</v>
          </cell>
          <cell r="AN13">
            <v>0.86472539571565932</v>
          </cell>
          <cell r="AO13">
            <v>0.83336255711364593</v>
          </cell>
        </row>
        <row r="14">
          <cell r="J14">
            <v>0.82235151679596119</v>
          </cell>
          <cell r="K14">
            <v>0.81910916279919188</v>
          </cell>
          <cell r="R14">
            <v>44.807000000000002</v>
          </cell>
          <cell r="S14">
            <v>259.19900000000001</v>
          </cell>
          <cell r="AD14">
            <v>3.2294061195795294</v>
          </cell>
          <cell r="AE14">
            <v>3.339519056786485</v>
          </cell>
          <cell r="AJ14">
            <v>916.04336376012463</v>
          </cell>
          <cell r="AK14">
            <v>1011.4719192589458</v>
          </cell>
          <cell r="AN14">
            <v>0.82235151679596119</v>
          </cell>
          <cell r="AO14">
            <v>0.83143807751875987</v>
          </cell>
        </row>
        <row r="15">
          <cell r="J15">
            <v>0.11559758583568108</v>
          </cell>
          <cell r="K15">
            <v>0.72262749245138214</v>
          </cell>
          <cell r="R15">
            <v>5.8140000000000001</v>
          </cell>
          <cell r="S15">
            <v>265.01300000000003</v>
          </cell>
          <cell r="AD15">
            <v>7.4475404196766419</v>
          </cell>
          <cell r="AE15">
            <v>3.4296430741133452</v>
          </cell>
          <cell r="AJ15">
            <v>3126.6649466804333</v>
          </cell>
          <cell r="AK15">
            <v>1057.8761796591091</v>
          </cell>
          <cell r="AN15">
            <v>0.11559758583568108</v>
          </cell>
          <cell r="AO15">
            <v>0.73199320506904442</v>
          </cell>
        </row>
        <row r="16">
          <cell r="J16">
            <v>0.82757594657072953</v>
          </cell>
          <cell r="K16">
            <v>0.73618571035076019</v>
          </cell>
          <cell r="R16">
            <v>45.026000000000003</v>
          </cell>
          <cell r="S16">
            <v>310.03900000000004</v>
          </cell>
          <cell r="AD16">
            <v>2.7806156442944077</v>
          </cell>
          <cell r="AE16">
            <v>3.3353868384300038</v>
          </cell>
          <cell r="AJ16">
            <v>881.24117176741822</v>
          </cell>
          <cell r="AK16">
            <v>1032.2240266547087</v>
          </cell>
          <cell r="AN16">
            <v>0.82757594657072953</v>
          </cell>
          <cell r="AO16">
            <v>0.7444806058786323</v>
          </cell>
        </row>
        <row r="17">
          <cell r="J17">
            <v>0.91368518427248291</v>
          </cell>
          <cell r="K17">
            <v>0.75576890773758421</v>
          </cell>
          <cell r="R17">
            <v>47.718000000000004</v>
          </cell>
          <cell r="S17">
            <v>357.75700000000006</v>
          </cell>
          <cell r="AD17">
            <v>2.6027913994718972</v>
          </cell>
          <cell r="AE17">
            <v>3.2376724983717997</v>
          </cell>
          <cell r="AJ17">
            <v>921.98310909929796</v>
          </cell>
          <cell r="AK17">
            <v>1017.5199786447213</v>
          </cell>
          <cell r="AN17">
            <v>0.91700705638832403</v>
          </cell>
          <cell r="AO17">
            <v>0.76364380152447187</v>
          </cell>
        </row>
        <row r="18">
          <cell r="J18">
            <v>1.0821527447225663</v>
          </cell>
          <cell r="K18">
            <v>0.78835081203616364</v>
          </cell>
          <cell r="R18">
            <v>56.808</v>
          </cell>
          <cell r="S18">
            <v>414.56500000000005</v>
          </cell>
          <cell r="AD18">
            <v>2.1581467398957894</v>
          </cell>
          <cell r="AE18">
            <v>3.0897446721262045</v>
          </cell>
          <cell r="AJ18">
            <v>793.42812632023913</v>
          </cell>
          <cell r="AK18">
            <v>986.81258668724968</v>
          </cell>
          <cell r="AN18">
            <v>1.0821527447225663</v>
          </cell>
          <cell r="AO18">
            <v>0.7957374991462095</v>
          </cell>
        </row>
        <row r="19">
          <cell r="J19">
            <v>0.92288354983227794</v>
          </cell>
          <cell r="K19">
            <v>0.80057050153306342</v>
          </cell>
          <cell r="R19">
            <v>48.484999999999999</v>
          </cell>
          <cell r="S19">
            <v>463.05000000000007</v>
          </cell>
          <cell r="AD19">
            <v>2.4976796947509539</v>
          </cell>
          <cell r="AE19">
            <v>3.0277507828528232</v>
          </cell>
          <cell r="AJ19">
            <v>961.45168608847882</v>
          </cell>
          <cell r="AK19">
            <v>984.15709966526197</v>
          </cell>
          <cell r="AN19">
            <v>0.92288354983227794</v>
          </cell>
          <cell r="AO19">
            <v>0.8073845484866653</v>
          </cell>
        </row>
        <row r="20">
          <cell r="J20">
            <v>0.82936628239542842</v>
          </cell>
          <cell r="K20">
            <v>0.80294805937002811</v>
          </cell>
          <cell r="R20">
            <v>43.171999999999997</v>
          </cell>
          <cell r="S20">
            <v>506.22200000000009</v>
          </cell>
          <cell r="AD20">
            <v>2.8351709441304553</v>
          </cell>
          <cell r="AE20">
            <v>3.0113270462366311</v>
          </cell>
          <cell r="AJ20">
            <v>1095.9911516723753</v>
          </cell>
          <cell r="AK20">
            <v>993.69461422063682</v>
          </cell>
          <cell r="AN20">
            <v>0.82936628239542842</v>
          </cell>
          <cell r="AO20">
            <v>0.80921365892801267</v>
          </cell>
        </row>
        <row r="21">
          <cell r="J21">
            <v>0.81142568938046844</v>
          </cell>
          <cell r="K21">
            <v>0.80359155383243497</v>
          </cell>
          <cell r="R21">
            <v>42.02</v>
          </cell>
          <cell r="S21">
            <v>548.24200000000008</v>
          </cell>
          <cell r="AD21">
            <v>2.929557353641123</v>
          </cell>
          <cell r="AE21">
            <v>3.0050598093542629</v>
          </cell>
          <cell r="AJ21">
            <v>1116.640290337933</v>
          </cell>
          <cell r="AK21">
            <v>1003.117783752429</v>
          </cell>
          <cell r="AN21">
            <v>0.81142568938046844</v>
          </cell>
          <cell r="AO21">
            <v>0.80938277311805018</v>
          </cell>
        </row>
        <row r="22">
          <cell r="J22">
            <v>0.99456061696290066</v>
          </cell>
          <cell r="K22">
            <v>0.81798023055622837</v>
          </cell>
          <cell r="R22">
            <v>55.29</v>
          </cell>
          <cell r="S22">
            <v>603.53200000000004</v>
          </cell>
          <cell r="AD22">
            <v>2.3042141436064387</v>
          </cell>
          <cell r="AE22">
            <v>2.9408548345406706</v>
          </cell>
          <cell r="AJ22">
            <v>861.5836498462694</v>
          </cell>
          <cell r="AK22">
            <v>990.1517400900027</v>
          </cell>
          <cell r="AN22">
            <v>0.99456061696290066</v>
          </cell>
          <cell r="AO22">
            <v>0.82342803043105595</v>
          </cell>
        </row>
        <row r="23">
          <cell r="J23">
            <v>0.91747634706969128</v>
          </cell>
          <cell r="K23">
            <v>0.8247041076881112</v>
          </cell>
          <cell r="R23">
            <v>49.063000000000002</v>
          </cell>
          <cell r="S23">
            <v>652.59500000000003</v>
          </cell>
          <cell r="AD23">
            <v>2.4417585553268246</v>
          </cell>
          <cell r="AE23">
            <v>2.9033320819191073</v>
          </cell>
          <cell r="AJ23">
            <v>906.7190143285128</v>
          </cell>
          <cell r="AK23">
            <v>983.8791516943885</v>
          </cell>
          <cell r="AN23">
            <v>0.91747634706969128</v>
          </cell>
          <cell r="AO23">
            <v>0.82982320023708256</v>
          </cell>
        </row>
        <row r="24">
          <cell r="J24">
            <v>0.8183755653448832</v>
          </cell>
          <cell r="K24">
            <v>0.82430815706229066</v>
          </cell>
          <cell r="R24">
            <v>43.220999999999997</v>
          </cell>
          <cell r="S24">
            <v>695.81600000000003</v>
          </cell>
          <cell r="AD24">
            <v>3.0054834455473038</v>
          </cell>
          <cell r="AE24">
            <v>2.9096772710026788</v>
          </cell>
          <cell r="AJ24">
            <v>1047.1735961685356</v>
          </cell>
          <cell r="AK24">
            <v>987.81072151258331</v>
          </cell>
          <cell r="AN24">
            <v>0.8183755653448832</v>
          </cell>
          <cell r="AO24">
            <v>0.82910280323106889</v>
          </cell>
        </row>
        <row r="25">
          <cell r="J25">
            <v>0.98257308875931326</v>
          </cell>
          <cell r="K25">
            <v>0.83351820572682778</v>
          </cell>
          <cell r="R25">
            <v>51.249000000000002</v>
          </cell>
          <cell r="S25">
            <v>747.06500000000005</v>
          </cell>
          <cell r="AD25">
            <v>2.5483424066811056</v>
          </cell>
          <cell r="AE25">
            <v>2.8848895343778653</v>
          </cell>
          <cell r="AJ25">
            <v>896.12968057912803</v>
          </cell>
          <cell r="AK25">
            <v>981.52136025646951</v>
          </cell>
          <cell r="AN25">
            <v>0.98257308875931326</v>
          </cell>
          <cell r="AO25">
            <v>0.83808274123795434</v>
          </cell>
        </row>
        <row r="26">
          <cell r="J26">
            <v>0.94587509534028025</v>
          </cell>
          <cell r="K26">
            <v>0.84021593699130026</v>
          </cell>
          <cell r="R26">
            <v>53.74</v>
          </cell>
          <cell r="S26">
            <v>800.80500000000006</v>
          </cell>
          <cell r="AD26">
            <v>2.4451060662448829</v>
          </cell>
          <cell r="AE26">
            <v>2.8553767771180252</v>
          </cell>
          <cell r="AJ26">
            <v>817.98985857834384</v>
          </cell>
          <cell r="AK26">
            <v>970.54717440575359</v>
          </cell>
          <cell r="AN26">
            <v>0.94587509534028025</v>
          </cell>
          <cell r="AO26">
            <v>0.84454145479327425</v>
          </cell>
        </row>
        <row r="27">
          <cell r="J27">
            <v>0.89437675250688309</v>
          </cell>
          <cell r="K27">
            <v>0.84328528938207337</v>
          </cell>
          <cell r="R27">
            <v>51.21</v>
          </cell>
          <cell r="S27">
            <v>852.0150000000001</v>
          </cell>
          <cell r="AD27">
            <v>2.5405194297988674</v>
          </cell>
          <cell r="AE27">
            <v>2.8364524098754131</v>
          </cell>
          <cell r="AJ27">
            <v>769.36818980666624</v>
          </cell>
          <cell r="AK27">
            <v>958.45539691202487</v>
          </cell>
          <cell r="AN27">
            <v>0.89437675250688309</v>
          </cell>
          <cell r="AO27">
            <v>0.84737938679473268</v>
          </cell>
        </row>
        <row r="28">
          <cell r="J28">
            <v>0.91879432850705778</v>
          </cell>
          <cell r="K28">
            <v>0.84731368366310944</v>
          </cell>
          <cell r="R28">
            <v>52.316000000000003</v>
          </cell>
          <cell r="S28">
            <v>904.33100000000013</v>
          </cell>
          <cell r="AD28">
            <v>2.5001911461120883</v>
          </cell>
          <cell r="AE28">
            <v>2.8169995278277535</v>
          </cell>
          <cell r="AJ28">
            <v>684.38584754187048</v>
          </cell>
          <cell r="AK28">
            <v>942.60033660241595</v>
          </cell>
          <cell r="AN28">
            <v>0.91879432850705778</v>
          </cell>
          <cell r="AO28">
            <v>0.85120686751530839</v>
          </cell>
        </row>
        <row r="29">
          <cell r="J29">
            <v>1.0596511381092408</v>
          </cell>
          <cell r="K29">
            <v>0.8576724921876937</v>
          </cell>
          <cell r="R29">
            <v>58.003</v>
          </cell>
          <cell r="S29">
            <v>962.33400000000017</v>
          </cell>
          <cell r="AD29">
            <v>2.2947088943675324</v>
          </cell>
          <cell r="AE29">
            <v>2.7855193726918097</v>
          </cell>
          <cell r="AJ29">
            <v>743.91074599589217</v>
          </cell>
          <cell r="AK29">
            <v>930.62466877404211</v>
          </cell>
          <cell r="AN29">
            <v>1.0596511381092408</v>
          </cell>
          <cell r="AO29">
            <v>0.86142018242146101</v>
          </cell>
        </row>
        <row r="30">
          <cell r="J30">
            <v>0.97631760935673451</v>
          </cell>
          <cell r="K30">
            <v>0.86346845668746808</v>
          </cell>
          <cell r="R30">
            <v>56.262999999999998</v>
          </cell>
          <cell r="S30">
            <v>1018.5970000000002</v>
          </cell>
          <cell r="AD30">
            <v>2.5629632262765938</v>
          </cell>
          <cell r="AE30">
            <v>2.7732263103072161</v>
          </cell>
          <cell r="AJ30">
            <v>881.4402004870052</v>
          </cell>
          <cell r="AK30">
            <v>927.90792629469684</v>
          </cell>
          <cell r="AN30">
            <v>0.97631760935673451</v>
          </cell>
          <cell r="AO30">
            <v>0.86705639048148964</v>
          </cell>
        </row>
        <row r="31">
          <cell r="J31">
            <v>0.82943117486692142</v>
          </cell>
          <cell r="K31">
            <v>0.86198287095494353</v>
          </cell>
          <cell r="R31">
            <v>44.654000000000003</v>
          </cell>
          <cell r="S31">
            <v>1063.2510000000002</v>
          </cell>
          <cell r="AD31">
            <v>3.0657947776235051</v>
          </cell>
          <cell r="AE31">
            <v>2.7855134864674471</v>
          </cell>
          <cell r="AJ31">
            <v>1016.4118556008382</v>
          </cell>
          <cell r="AK31">
            <v>931.62487973206623</v>
          </cell>
          <cell r="AN31">
            <v>0.82943117486692142</v>
          </cell>
          <cell r="AO31">
            <v>0.86540768167862869</v>
          </cell>
        </row>
        <row r="32">
          <cell r="J32">
            <v>0.86279143419063531</v>
          </cell>
          <cell r="K32">
            <v>0.86201526481750512</v>
          </cell>
          <cell r="R32">
            <v>44.417000000000002</v>
          </cell>
          <cell r="S32">
            <v>1107.6680000000001</v>
          </cell>
          <cell r="AD32">
            <v>2.9380642546772631</v>
          </cell>
          <cell r="AE32">
            <v>2.7916307052293647</v>
          </cell>
          <cell r="AJ32">
            <v>1025.7382308575443</v>
          </cell>
          <cell r="AK32">
            <v>935.39878375108663</v>
          </cell>
          <cell r="AN32">
            <v>0.86279143419063531</v>
          </cell>
          <cell r="AO32">
            <v>0.86530246597742611</v>
          </cell>
        </row>
        <row r="33">
          <cell r="J33">
            <v>0.94558942895438769</v>
          </cell>
          <cell r="K33">
            <v>0.86539254552849121</v>
          </cell>
          <cell r="R33">
            <v>51.168999999999997</v>
          </cell>
          <cell r="S33">
            <v>1158.8370000000002</v>
          </cell>
          <cell r="AD33">
            <v>2.6480877093552739</v>
          </cell>
          <cell r="AE33">
            <v>2.7852924958384997</v>
          </cell>
          <cell r="AJ33">
            <v>876.83099142059871</v>
          </cell>
          <cell r="AK33">
            <v>932.81269496917969</v>
          </cell>
          <cell r="AN33">
            <v>0.94558942895438769</v>
          </cell>
          <cell r="AO33">
            <v>0.86855877949959104</v>
          </cell>
        </row>
        <row r="34">
          <cell r="J34">
            <v>0.98118905545868595</v>
          </cell>
          <cell r="K34">
            <v>0.86984544669626973</v>
          </cell>
          <cell r="R34">
            <v>52.545999999999999</v>
          </cell>
          <cell r="S34">
            <v>1211.3830000000003</v>
          </cell>
          <cell r="AD34">
            <v>2.5387279716819551</v>
          </cell>
          <cell r="AE34">
            <v>2.7745972991200962</v>
          </cell>
          <cell r="AJ34">
            <v>880.26700414874597</v>
          </cell>
          <cell r="AK34">
            <v>930.53342749568003</v>
          </cell>
          <cell r="AN34">
            <v>0.98118905545868595</v>
          </cell>
          <cell r="AO34">
            <v>0.87290515956600301</v>
          </cell>
        </row>
        <row r="35">
          <cell r="J35">
            <v>1.0090213442833273</v>
          </cell>
          <cell r="K35">
            <v>0.8748068379368783</v>
          </cell>
          <cell r="R35">
            <v>51.945</v>
          </cell>
          <cell r="S35">
            <v>1263.3280000000002</v>
          </cell>
          <cell r="AD35">
            <v>2.5950524593319861</v>
          </cell>
          <cell r="AE35">
            <v>2.7672148484004153</v>
          </cell>
          <cell r="AJ35">
            <v>890.90085667532105</v>
          </cell>
          <cell r="AK35">
            <v>928.90383178398554</v>
          </cell>
          <cell r="AN35">
            <v>1.0090213442833273</v>
          </cell>
          <cell r="AO35">
            <v>0.87777393477411814</v>
          </cell>
        </row>
        <row r="36">
          <cell r="J36">
            <v>0.9722668407056384</v>
          </cell>
          <cell r="K36">
            <v>0.87819867846873223</v>
          </cell>
          <cell r="R36">
            <v>50.627000000000002</v>
          </cell>
          <cell r="S36">
            <v>1313.9550000000002</v>
          </cell>
          <cell r="AD36">
            <v>2.6705117822505775</v>
          </cell>
          <cell r="AE36">
            <v>2.7634888561632627</v>
          </cell>
          <cell r="AJ36">
            <v>948.41191459103766</v>
          </cell>
          <cell r="AK36">
            <v>929.65548287422268</v>
          </cell>
          <cell r="AN36">
            <v>0.9722668407056384</v>
          </cell>
          <cell r="AO36">
            <v>0.88107327773194688</v>
          </cell>
        </row>
        <row r="37">
          <cell r="J37">
            <v>0.85457424271888471</v>
          </cell>
          <cell r="K37">
            <v>0.87739089290787731</v>
          </cell>
          <cell r="R37">
            <v>45.267000000000003</v>
          </cell>
          <cell r="S37">
            <v>1359.2220000000002</v>
          </cell>
          <cell r="AD37">
            <v>2.9381226942364194</v>
          </cell>
          <cell r="AE37">
            <v>2.7693047934774451</v>
          </cell>
          <cell r="AJ37">
            <v>1030.716636843609</v>
          </cell>
          <cell r="AK37">
            <v>933.02118417741838</v>
          </cell>
          <cell r="AN37">
            <v>0.85457424271888471</v>
          </cell>
          <cell r="AO37">
            <v>0.88016433745993461</v>
          </cell>
        </row>
        <row r="38">
          <cell r="J38">
            <v>0.79953816040470094</v>
          </cell>
          <cell r="K38">
            <v>0.87487822999750109</v>
          </cell>
          <cell r="R38">
            <v>41.308999999999997</v>
          </cell>
          <cell r="S38">
            <v>1400.5310000000002</v>
          </cell>
          <cell r="AD38">
            <v>3.1058607083202214</v>
          </cell>
          <cell r="AE38">
            <v>2.7792315914463872</v>
          </cell>
          <cell r="AJ38">
            <v>1078.5920743663908</v>
          </cell>
          <cell r="AK38">
            <v>937.31483273129993</v>
          </cell>
          <cell r="AN38">
            <v>0.79953816040470094</v>
          </cell>
          <cell r="AO38">
            <v>0.8775542036163102</v>
          </cell>
        </row>
        <row r="39">
          <cell r="J39">
            <v>1.0666989044765407</v>
          </cell>
          <cell r="K39">
            <v>0.88101947107260103</v>
          </cell>
          <cell r="R39">
            <v>56.478000000000002</v>
          </cell>
          <cell r="S39">
            <v>1457.0090000000002</v>
          </cell>
          <cell r="AD39">
            <v>2.2769928113601754</v>
          </cell>
          <cell r="AE39">
            <v>2.7597633233562728</v>
          </cell>
          <cell r="AJ39">
            <v>824.54902794005864</v>
          </cell>
          <cell r="AK39">
            <v>932.94369492569979</v>
          </cell>
          <cell r="AN39">
            <v>1.0666989044765407</v>
          </cell>
          <cell r="AO39">
            <v>0.88362769927484108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0.43564257949291446</v>
          </cell>
          <cell r="K9">
            <v>0.43564257949291446</v>
          </cell>
          <cell r="R9">
            <v>20.062000000000001</v>
          </cell>
          <cell r="S9">
            <v>20.062000000000001</v>
          </cell>
          <cell r="X9">
            <v>132.60523582567797</v>
          </cell>
          <cell r="Y9">
            <v>132.60523582567797</v>
          </cell>
          <cell r="AD9">
            <v>3.160203369554381</v>
          </cell>
          <cell r="AE9">
            <v>3.160203369554381</v>
          </cell>
          <cell r="AJ9">
            <v>0</v>
          </cell>
          <cell r="AK9">
            <v>0</v>
          </cell>
          <cell r="AP9">
            <v>1533.8333665636283</v>
          </cell>
          <cell r="AQ9">
            <v>1533.8333665636283</v>
          </cell>
          <cell r="AV9">
            <v>0</v>
          </cell>
          <cell r="AW9">
            <v>0</v>
          </cell>
          <cell r="BB9">
            <v>0</v>
          </cell>
          <cell r="BC9">
            <v>0</v>
          </cell>
          <cell r="BG9">
            <v>0.48843090226310182</v>
          </cell>
          <cell r="BH9">
            <v>0.48843090226310182</v>
          </cell>
        </row>
        <row r="10">
          <cell r="J10">
            <v>0.7754210192673503</v>
          </cell>
          <cell r="K10">
            <v>0.60392216852848768</v>
          </cell>
          <cell r="R10">
            <v>35.039000000000001</v>
          </cell>
          <cell r="S10">
            <v>55.100999999999999</v>
          </cell>
          <cell r="X10">
            <v>71.657067132148001</v>
          </cell>
          <cell r="Y10">
            <v>93.847992166713581</v>
          </cell>
          <cell r="AD10">
            <v>2.0120437227089814</v>
          </cell>
          <cell r="AE10">
            <v>2.4300829386036553</v>
          </cell>
          <cell r="AJ10">
            <v>0</v>
          </cell>
          <cell r="AK10">
            <v>0</v>
          </cell>
          <cell r="AP10">
            <v>992.72025457347456</v>
          </cell>
          <cell r="AQ10">
            <v>1189.7368468811724</v>
          </cell>
          <cell r="AV10">
            <v>0</v>
          </cell>
          <cell r="AW10">
            <v>0</v>
          </cell>
          <cell r="BB10">
            <v>0</v>
          </cell>
          <cell r="BC10">
            <v>0</v>
          </cell>
          <cell r="BG10">
            <v>0.81385296482870584</v>
          </cell>
          <cell r="BH10">
            <v>0.65496921145910381</v>
          </cell>
        </row>
        <row r="11">
          <cell r="J11">
            <v>0.85057526971490638</v>
          </cell>
          <cell r="K11">
            <v>0.68561890423251459</v>
          </cell>
          <cell r="R11">
            <v>38.435000000000002</v>
          </cell>
          <cell r="S11">
            <v>93.536000000000001</v>
          </cell>
          <cell r="X11">
            <v>83.186271623160877</v>
          </cell>
          <cell r="Y11">
            <v>89.466970644610342</v>
          </cell>
          <cell r="AD11">
            <v>2.2297385195785093</v>
          </cell>
          <cell r="AE11">
            <v>2.3477591515566201</v>
          </cell>
          <cell r="AJ11">
            <v>0</v>
          </cell>
          <cell r="AK11">
            <v>0</v>
          </cell>
          <cell r="AP11">
            <v>1046.9212956940039</v>
          </cell>
          <cell r="AQ11">
            <v>1131.052322100566</v>
          </cell>
          <cell r="AV11">
            <v>0</v>
          </cell>
          <cell r="AW11">
            <v>0</v>
          </cell>
          <cell r="BB11">
            <v>0</v>
          </cell>
          <cell r="BC11">
            <v>0</v>
          </cell>
          <cell r="BG11">
            <v>0.8686726158790532</v>
          </cell>
          <cell r="BH11">
            <v>0.72862511066093427</v>
          </cell>
        </row>
        <row r="12">
          <cell r="J12">
            <v>0.93192598368581825</v>
          </cell>
          <cell r="K12">
            <v>0.74690257826351825</v>
          </cell>
          <cell r="R12">
            <v>42.110999999999997</v>
          </cell>
          <cell r="S12">
            <v>135.64699999999999</v>
          </cell>
          <cell r="X12">
            <v>84.822124368790568</v>
          </cell>
          <cell r="Y12">
            <v>88.024999045378181</v>
          </cell>
          <cell r="AD12">
            <v>2.0018522476312604</v>
          </cell>
          <cell r="AE12">
            <v>2.2403739116972736</v>
          </cell>
          <cell r="AJ12">
            <v>0</v>
          </cell>
          <cell r="AK12">
            <v>0</v>
          </cell>
          <cell r="AP12">
            <v>1017.6242549452808</v>
          </cell>
          <cell r="AQ12">
            <v>1095.8390896960436</v>
          </cell>
          <cell r="AV12">
            <v>0</v>
          </cell>
          <cell r="AW12">
            <v>0</v>
          </cell>
          <cell r="BB12">
            <v>0</v>
          </cell>
          <cell r="BC12">
            <v>0</v>
          </cell>
          <cell r="BG12">
            <v>0.93192598368581825</v>
          </cell>
          <cell r="BH12">
            <v>0.78155522799759347</v>
          </cell>
        </row>
        <row r="13">
          <cell r="J13">
            <v>0.8773460318301084</v>
          </cell>
          <cell r="K13">
            <v>0.77408761497371692</v>
          </cell>
          <cell r="R13">
            <v>41.948999999999998</v>
          </cell>
          <cell r="S13">
            <v>177.596</v>
          </cell>
          <cell r="X13">
            <v>83.691662356269845</v>
          </cell>
          <cell r="Y13">
            <v>87.001444794317294</v>
          </cell>
          <cell r="AD13">
            <v>2.0763307826169872</v>
          </cell>
          <cell r="AE13">
            <v>2.2016261627514133</v>
          </cell>
          <cell r="AJ13">
            <v>0</v>
          </cell>
          <cell r="AK13">
            <v>0</v>
          </cell>
          <cell r="AP13">
            <v>1004.7135807766563</v>
          </cell>
          <cell r="AQ13">
            <v>1074.3148212797539</v>
          </cell>
          <cell r="AV13">
            <v>0</v>
          </cell>
          <cell r="AW13">
            <v>0</v>
          </cell>
          <cell r="BB13">
            <v>0</v>
          </cell>
          <cell r="BC13">
            <v>0</v>
          </cell>
          <cell r="BG13">
            <v>0.8773460318301084</v>
          </cell>
          <cell r="BH13">
            <v>0.80224464049033595</v>
          </cell>
        </row>
        <row r="14">
          <cell r="J14">
            <v>0.88337241470207706</v>
          </cell>
          <cell r="K14">
            <v>0.79426030346237397</v>
          </cell>
          <cell r="R14">
            <v>45.878999999999998</v>
          </cell>
          <cell r="S14">
            <v>223.47499999999999</v>
          </cell>
          <cell r="X14">
            <v>79.894535971968239</v>
          </cell>
          <cell r="Y14">
            <v>85.542409690343476</v>
          </cell>
          <cell r="AD14">
            <v>2.0772030776608035</v>
          </cell>
          <cell r="AE14">
            <v>2.1760823358317487</v>
          </cell>
          <cell r="AJ14">
            <v>0</v>
          </cell>
          <cell r="AK14">
            <v>0</v>
          </cell>
          <cell r="AP14">
            <v>840.29327143137596</v>
          </cell>
          <cell r="AQ14">
            <v>1026.2706342991355</v>
          </cell>
          <cell r="AV14">
            <v>0</v>
          </cell>
          <cell r="AW14">
            <v>0</v>
          </cell>
          <cell r="BB14">
            <v>0</v>
          </cell>
          <cell r="BC14">
            <v>0</v>
          </cell>
          <cell r="BG14">
            <v>0.88337241470207706</v>
          </cell>
          <cell r="BH14">
            <v>0.81766107884206429</v>
          </cell>
        </row>
        <row r="15">
          <cell r="J15">
            <v>0.93538739754147915</v>
          </cell>
          <cell r="K15">
            <v>0.8161598293715967</v>
          </cell>
          <cell r="R15">
            <v>48.341000000000001</v>
          </cell>
          <cell r="S15">
            <v>271.81599999999997</v>
          </cell>
          <cell r="X15">
            <v>78.52324108039312</v>
          </cell>
          <cell r="Y15">
            <v>84.294088657830272</v>
          </cell>
          <cell r="AD15">
            <v>1.9817546182329699</v>
          </cell>
          <cell r="AE15">
            <v>2.141522206198311</v>
          </cell>
          <cell r="AJ15">
            <v>0</v>
          </cell>
          <cell r="AK15">
            <v>0</v>
          </cell>
          <cell r="AP15">
            <v>807.97728636148588</v>
          </cell>
          <cell r="AQ15">
            <v>987.44834741148384</v>
          </cell>
          <cell r="AV15">
            <v>0</v>
          </cell>
          <cell r="AW15">
            <v>0</v>
          </cell>
          <cell r="BB15">
            <v>0</v>
          </cell>
          <cell r="BC15">
            <v>0</v>
          </cell>
          <cell r="BG15">
            <v>0.93538739754147915</v>
          </cell>
          <cell r="BH15">
            <v>0.83638200554919984</v>
          </cell>
        </row>
        <row r="16">
          <cell r="J16">
            <v>0.98169390383299371</v>
          </cell>
          <cell r="K16">
            <v>0.83838285432306558</v>
          </cell>
          <cell r="R16">
            <v>50.698999999999998</v>
          </cell>
          <cell r="S16">
            <v>322.51499999999999</v>
          </cell>
          <cell r="X16">
            <v>73.663357678173739</v>
          </cell>
          <cell r="Y16">
            <v>82.622949548214876</v>
          </cell>
          <cell r="AD16">
            <v>1.8422454091796685</v>
          </cell>
          <cell r="AE16">
            <v>2.0944762259119734</v>
          </cell>
          <cell r="AJ16">
            <v>0</v>
          </cell>
          <cell r="AK16">
            <v>0</v>
          </cell>
          <cell r="AP16">
            <v>799.4655713130428</v>
          </cell>
          <cell r="AQ16">
            <v>957.89766367455741</v>
          </cell>
          <cell r="AV16">
            <v>0</v>
          </cell>
          <cell r="AW16">
            <v>0</v>
          </cell>
          <cell r="BB16">
            <v>0</v>
          </cell>
          <cell r="BC16">
            <v>0</v>
          </cell>
          <cell r="BG16">
            <v>0.9850963965827253</v>
          </cell>
          <cell r="BH16">
            <v>0.85671302286734607</v>
          </cell>
        </row>
        <row r="17">
          <cell r="J17">
            <v>0.91168308498261352</v>
          </cell>
          <cell r="K17">
            <v>0.84638116643432426</v>
          </cell>
          <cell r="R17">
            <v>42.956000000000003</v>
          </cell>
          <cell r="S17">
            <v>365.471</v>
          </cell>
          <cell r="X17">
            <v>83.479993831624185</v>
          </cell>
          <cell r="Y17">
            <v>82.72368310638538</v>
          </cell>
          <cell r="AD17">
            <v>2.0160163888630223</v>
          </cell>
          <cell r="AE17">
            <v>2.0852543703878008</v>
          </cell>
          <cell r="AJ17">
            <v>0</v>
          </cell>
          <cell r="AK17">
            <v>0</v>
          </cell>
          <cell r="AP17">
            <v>907.3281962938571</v>
          </cell>
          <cell r="AQ17">
            <v>951.95393068122712</v>
          </cell>
          <cell r="AV17">
            <v>0</v>
          </cell>
          <cell r="AW17">
            <v>0</v>
          </cell>
          <cell r="BB17">
            <v>0</v>
          </cell>
          <cell r="BC17">
            <v>0</v>
          </cell>
          <cell r="BG17">
            <v>0.91168308498261352</v>
          </cell>
          <cell r="BH17">
            <v>0.86282775376419962</v>
          </cell>
        </row>
        <row r="18">
          <cell r="J18">
            <v>0.86613779940727553</v>
          </cell>
          <cell r="K18">
            <v>0.84829974828047117</v>
          </cell>
          <cell r="R18">
            <v>40.225999999999999</v>
          </cell>
          <cell r="S18">
            <v>405.697</v>
          </cell>
          <cell r="X18">
            <v>93.132887480676203</v>
          </cell>
          <cell r="Y18">
            <v>83.755785032601793</v>
          </cell>
          <cell r="AD18">
            <v>2.1279769303435589</v>
          </cell>
          <cell r="AE18">
            <v>2.0894904325149066</v>
          </cell>
          <cell r="AJ18">
            <v>0</v>
          </cell>
          <cell r="AK18">
            <v>0</v>
          </cell>
          <cell r="AP18">
            <v>1022.3836573360712</v>
          </cell>
          <cell r="AQ18">
            <v>958.93723641042334</v>
          </cell>
          <cell r="AV18">
            <v>0</v>
          </cell>
          <cell r="AW18">
            <v>0</v>
          </cell>
          <cell r="BB18">
            <v>0</v>
          </cell>
          <cell r="BC18">
            <v>0</v>
          </cell>
          <cell r="BG18">
            <v>0.86613779940727553</v>
          </cell>
          <cell r="BH18">
            <v>0.86315482378998742</v>
          </cell>
        </row>
        <row r="19">
          <cell r="J19">
            <v>0.66322076904087501</v>
          </cell>
          <cell r="K19">
            <v>0.83168990865010606</v>
          </cell>
          <cell r="R19">
            <v>31.271999999999998</v>
          </cell>
          <cell r="S19">
            <v>436.96899999999999</v>
          </cell>
          <cell r="X19">
            <v>121.16737050675577</v>
          </cell>
          <cell r="Y19">
            <v>86.43317198899399</v>
          </cell>
          <cell r="AD19">
            <v>2.7148887183422872</v>
          </cell>
          <cell r="AE19">
            <v>2.1342475095487323</v>
          </cell>
          <cell r="AJ19">
            <v>0</v>
          </cell>
          <cell r="AK19">
            <v>0</v>
          </cell>
          <cell r="AP19">
            <v>1348.4690777692128</v>
          </cell>
          <cell r="AQ19">
            <v>986.81436211721757</v>
          </cell>
          <cell r="AV19">
            <v>0</v>
          </cell>
          <cell r="AW19">
            <v>0</v>
          </cell>
          <cell r="BB19">
            <v>0</v>
          </cell>
          <cell r="BC19">
            <v>0</v>
          </cell>
          <cell r="BG19">
            <v>0.66322076904087501</v>
          </cell>
          <cell r="BH19">
            <v>0.84492625830883084</v>
          </cell>
        </row>
        <row r="20">
          <cell r="J20">
            <v>0.84570103907090532</v>
          </cell>
          <cell r="K20">
            <v>0.83284501942789035</v>
          </cell>
          <cell r="R20">
            <v>39.923000000000002</v>
          </cell>
          <cell r="S20">
            <v>476.892</v>
          </cell>
          <cell r="X20">
            <v>95.020596030501665</v>
          </cell>
          <cell r="Y20">
            <v>87.152067944491492</v>
          </cell>
          <cell r="AD20">
            <v>2.1341081582045436</v>
          </cell>
          <cell r="AE20">
            <v>2.1342358437549804</v>
          </cell>
          <cell r="AJ20">
            <v>0</v>
          </cell>
          <cell r="AK20">
            <v>0</v>
          </cell>
          <cell r="AP20">
            <v>1079.4812514089892</v>
          </cell>
          <cell r="AQ20">
            <v>994.57196807662842</v>
          </cell>
          <cell r="AV20">
            <v>0</v>
          </cell>
          <cell r="AW20">
            <v>0</v>
          </cell>
          <cell r="BB20">
            <v>0</v>
          </cell>
          <cell r="BC20">
            <v>0</v>
          </cell>
          <cell r="BG20">
            <v>0.84570103907090532</v>
          </cell>
          <cell r="BH20">
            <v>0.84499106460669393</v>
          </cell>
        </row>
        <row r="21">
          <cell r="J21">
            <v>0.79184063120651216</v>
          </cell>
          <cell r="K21">
            <v>0.82970890551669307</v>
          </cell>
          <cell r="R21">
            <v>37.549999999999997</v>
          </cell>
          <cell r="S21">
            <v>514.44200000000001</v>
          </cell>
          <cell r="X21">
            <v>104.96739039343105</v>
          </cell>
          <cell r="Y21">
            <v>88.452438750058846</v>
          </cell>
          <cell r="AD21">
            <v>2.2130492676431426</v>
          </cell>
          <cell r="AE21">
            <v>2.139988570140074</v>
          </cell>
          <cell r="AJ21">
            <v>0</v>
          </cell>
          <cell r="AK21">
            <v>0</v>
          </cell>
          <cell r="AP21">
            <v>1090.1348868175523</v>
          </cell>
          <cell r="AQ21">
            <v>1001.5472686911227</v>
          </cell>
          <cell r="AV21">
            <v>0</v>
          </cell>
          <cell r="AW21">
            <v>0</v>
          </cell>
          <cell r="BB21">
            <v>0</v>
          </cell>
          <cell r="BC21">
            <v>0</v>
          </cell>
          <cell r="BG21">
            <v>0.79184063120651216</v>
          </cell>
          <cell r="BH21">
            <v>0.84087130303573066</v>
          </cell>
        </row>
        <row r="22">
          <cell r="J22">
            <v>0.94123424832014579</v>
          </cell>
          <cell r="K22">
            <v>0.83836936384695182</v>
          </cell>
          <cell r="R22">
            <v>49.134</v>
          </cell>
          <cell r="S22">
            <v>563.57600000000002</v>
          </cell>
          <cell r="X22">
            <v>79.333842598606225</v>
          </cell>
          <cell r="Y22">
            <v>87.657456168640408</v>
          </cell>
          <cell r="AD22">
            <v>1.8480074897219847</v>
          </cell>
          <cell r="AE22">
            <v>2.1145329112666258</v>
          </cell>
          <cell r="AJ22">
            <v>0</v>
          </cell>
          <cell r="AK22">
            <v>0</v>
          </cell>
          <cell r="AP22">
            <v>851.07990393618093</v>
          </cell>
          <cell r="AQ22">
            <v>988.42913821738114</v>
          </cell>
          <cell r="AV22">
            <v>0</v>
          </cell>
          <cell r="AW22">
            <v>0</v>
          </cell>
          <cell r="BB22">
            <v>0</v>
          </cell>
          <cell r="BC22">
            <v>0</v>
          </cell>
          <cell r="BG22">
            <v>0.94123424832014579</v>
          </cell>
          <cell r="BH22">
            <v>0.84876155748379845</v>
          </cell>
        </row>
        <row r="23">
          <cell r="J23">
            <v>1.0699438045932397</v>
          </cell>
          <cell r="K23">
            <v>0.85381641421213916</v>
          </cell>
          <cell r="R23">
            <v>51.405999999999999</v>
          </cell>
          <cell r="S23">
            <v>614.98199999999997</v>
          </cell>
          <cell r="X23">
            <v>73.076382774696427</v>
          </cell>
          <cell r="Y23">
            <v>86.4386324325163</v>
          </cell>
          <cell r="AD23">
            <v>1.7313154106524531</v>
          </cell>
          <cell r="AE23">
            <v>2.0824999756090423</v>
          </cell>
          <cell r="AJ23">
            <v>0</v>
          </cell>
          <cell r="AK23">
            <v>0</v>
          </cell>
          <cell r="AP23">
            <v>790.8223748200794</v>
          </cell>
          <cell r="AQ23">
            <v>971.91129984292206</v>
          </cell>
          <cell r="AV23">
            <v>0</v>
          </cell>
          <cell r="AW23">
            <v>0</v>
          </cell>
          <cell r="BB23">
            <v>44.741858926973507</v>
          </cell>
          <cell r="BC23">
            <v>3.7399468602333079</v>
          </cell>
          <cell r="BG23">
            <v>1.0699438045932397</v>
          </cell>
          <cell r="BH23">
            <v>0.86368594640414986</v>
          </cell>
        </row>
        <row r="24">
          <cell r="J24">
            <v>0.90405523022013223</v>
          </cell>
          <cell r="K24">
            <v>0.85680899347288009</v>
          </cell>
          <cell r="R24">
            <v>41.244999999999997</v>
          </cell>
          <cell r="S24">
            <v>656.22699999999998</v>
          </cell>
          <cell r="X24">
            <v>90.915827601406136</v>
          </cell>
          <cell r="Y24">
            <v>86.720031879263942</v>
          </cell>
          <cell r="AD24">
            <v>2.0591586859013216</v>
          </cell>
          <cell r="AE24">
            <v>2.0810329352495405</v>
          </cell>
          <cell r="AJ24">
            <v>0</v>
          </cell>
          <cell r="AK24">
            <v>0</v>
          </cell>
          <cell r="AP24">
            <v>1001.3308279791224</v>
          </cell>
          <cell r="AQ24">
            <v>973.76036798241876</v>
          </cell>
          <cell r="AV24">
            <v>0</v>
          </cell>
          <cell r="AW24">
            <v>0</v>
          </cell>
          <cell r="BB24">
            <v>92.859740574615103</v>
          </cell>
          <cell r="BC24">
            <v>9.3412797705671977</v>
          </cell>
          <cell r="BG24">
            <v>0.90405523022013223</v>
          </cell>
          <cell r="BH24">
            <v>0.86611674922506809</v>
          </cell>
        </row>
        <row r="25">
          <cell r="J25">
            <v>0.88620493497420127</v>
          </cell>
          <cell r="K25">
            <v>0.85844669936952711</v>
          </cell>
          <cell r="R25">
            <v>40.045000000000002</v>
          </cell>
          <cell r="S25">
            <v>696.27199999999993</v>
          </cell>
          <cell r="X25">
            <v>92.208287953392457</v>
          </cell>
          <cell r="Y25">
            <v>87.035680382274947</v>
          </cell>
          <cell r="AD25">
            <v>2.1126232987888622</v>
          </cell>
          <cell r="AE25">
            <v>2.0828498058230118</v>
          </cell>
          <cell r="AJ25">
            <v>0</v>
          </cell>
          <cell r="AK25">
            <v>0</v>
          </cell>
          <cell r="AP25">
            <v>1009.0086153078057</v>
          </cell>
          <cell r="AQ25">
            <v>975.78761604660224</v>
          </cell>
          <cell r="AV25">
            <v>0</v>
          </cell>
          <cell r="AW25">
            <v>0</v>
          </cell>
          <cell r="BB25">
            <v>91.147459108502929</v>
          </cell>
          <cell r="BC25">
            <v>14.046234804788934</v>
          </cell>
          <cell r="BG25">
            <v>0.88620493497420127</v>
          </cell>
          <cell r="BH25">
            <v>0.86724737508015037</v>
          </cell>
        </row>
        <row r="26">
          <cell r="J26">
            <v>1.0274843016587667</v>
          </cell>
          <cell r="K26">
            <v>0.8677264955382632</v>
          </cell>
          <cell r="R26">
            <v>48.408000000000001</v>
          </cell>
          <cell r="S26">
            <v>744.68</v>
          </cell>
          <cell r="X26">
            <v>78.100364888216347</v>
          </cell>
          <cell r="Y26">
            <v>86.454839279470534</v>
          </cell>
          <cell r="AD26">
            <v>1.7745000826309703</v>
          </cell>
          <cell r="AE26">
            <v>2.0628055003491435</v>
          </cell>
          <cell r="AJ26">
            <v>0</v>
          </cell>
          <cell r="AK26">
            <v>0</v>
          </cell>
          <cell r="AP26">
            <v>812.78786564204233</v>
          </cell>
          <cell r="AQ26">
            <v>965.19180050491434</v>
          </cell>
          <cell r="AV26">
            <v>0</v>
          </cell>
          <cell r="AW26">
            <v>0</v>
          </cell>
          <cell r="BB26">
            <v>83.663857213683684</v>
          </cell>
          <cell r="BC26">
            <v>18.57173551055487</v>
          </cell>
          <cell r="BG26">
            <v>1.0274843016587667</v>
          </cell>
          <cell r="BH26">
            <v>0.87612921669098986</v>
          </cell>
        </row>
        <row r="27">
          <cell r="J27">
            <v>0.85784111821427333</v>
          </cell>
          <cell r="K27">
            <v>0.86720514971000517</v>
          </cell>
          <cell r="R27">
            <v>40.988</v>
          </cell>
          <cell r="S27">
            <v>785.66799999999989</v>
          </cell>
          <cell r="X27">
            <v>92.439041416427628</v>
          </cell>
          <cell r="Y27">
            <v>86.767032823295168</v>
          </cell>
          <cell r="AD27">
            <v>2.1250121986923003</v>
          </cell>
          <cell r="AE27">
            <v>2.0660508000834961</v>
          </cell>
          <cell r="AJ27">
            <v>0</v>
          </cell>
          <cell r="AK27">
            <v>0</v>
          </cell>
          <cell r="AP27">
            <v>997.51158875768499</v>
          </cell>
          <cell r="AQ27">
            <v>966.87791153515207</v>
          </cell>
          <cell r="AV27">
            <v>0</v>
          </cell>
          <cell r="AW27">
            <v>0</v>
          </cell>
          <cell r="BB27">
            <v>94.905826095442563</v>
          </cell>
          <cell r="BC27">
            <v>22.554055911657343</v>
          </cell>
          <cell r="BG27">
            <v>0.85784111821427333</v>
          </cell>
          <cell r="BH27">
            <v>0.87515587624924185</v>
          </cell>
        </row>
        <row r="28">
          <cell r="J28">
            <v>0.98357573665069853</v>
          </cell>
          <cell r="K28">
            <v>0.87302617213099221</v>
          </cell>
          <cell r="R28">
            <v>46.920999999999999</v>
          </cell>
          <cell r="S28">
            <v>832.58899999999994</v>
          </cell>
          <cell r="X28">
            <v>82.030562078589</v>
          </cell>
          <cell r="Y28">
            <v>86.500106472103454</v>
          </cell>
          <cell r="AD28">
            <v>1.8584429146863879</v>
          </cell>
          <cell r="AE28">
            <v>2.0543509462652043</v>
          </cell>
          <cell r="AJ28">
            <v>0</v>
          </cell>
          <cell r="AK28">
            <v>0</v>
          </cell>
          <cell r="AP28">
            <v>863.88461456490211</v>
          </cell>
          <cell r="AQ28">
            <v>961.07366900115107</v>
          </cell>
          <cell r="AV28">
            <v>0</v>
          </cell>
          <cell r="AW28">
            <v>0</v>
          </cell>
          <cell r="BB28">
            <v>57.969778990217605</v>
          </cell>
          <cell r="BC28">
            <v>24.549927995685746</v>
          </cell>
          <cell r="BG28">
            <v>0.98357573665069853</v>
          </cell>
          <cell r="BH28">
            <v>0.88062640533081882</v>
          </cell>
        </row>
        <row r="29">
          <cell r="J29">
            <v>0.9743985438429883</v>
          </cell>
          <cell r="K29">
            <v>0.87775871260988891</v>
          </cell>
          <cell r="R29">
            <v>45.506999999999998</v>
          </cell>
          <cell r="S29">
            <v>878.09599999999989</v>
          </cell>
          <cell r="X29">
            <v>82.898990490041086</v>
          </cell>
          <cell r="Y29">
            <v>86.313479969994674</v>
          </cell>
          <cell r="AD29">
            <v>1.9161887182191752</v>
          </cell>
          <cell r="AE29">
            <v>2.047190739964651</v>
          </cell>
          <cell r="AJ29">
            <v>0</v>
          </cell>
          <cell r="AK29">
            <v>0</v>
          </cell>
          <cell r="AP29">
            <v>960.78394532707955</v>
          </cell>
          <cell r="AQ29">
            <v>961.05865417904079</v>
          </cell>
          <cell r="AV29">
            <v>0</v>
          </cell>
          <cell r="AW29">
            <v>0</v>
          </cell>
          <cell r="BB29">
            <v>0</v>
          </cell>
          <cell r="BC29">
            <v>23.277637069295388</v>
          </cell>
          <cell r="BG29">
            <v>0.9743985438429883</v>
          </cell>
          <cell r="BH29">
            <v>0.88504044793399583</v>
          </cell>
        </row>
        <row r="30">
          <cell r="J30">
            <v>0.90299856236796894</v>
          </cell>
          <cell r="K30">
            <v>0.87893896632447122</v>
          </cell>
          <cell r="R30">
            <v>44.314</v>
          </cell>
          <cell r="S30">
            <v>922.40999999999985</v>
          </cell>
          <cell r="X30">
            <v>84.166250536216836</v>
          </cell>
          <cell r="Y30">
            <v>86.210323754072874</v>
          </cell>
          <cell r="AD30">
            <v>2.0309608701539017</v>
          </cell>
          <cell r="AE30">
            <v>2.046411031970599</v>
          </cell>
          <cell r="AJ30">
            <v>0</v>
          </cell>
          <cell r="AK30">
            <v>0</v>
          </cell>
          <cell r="AP30">
            <v>1036.0714446901623</v>
          </cell>
          <cell r="AQ30">
            <v>964.66238440606548</v>
          </cell>
          <cell r="AV30">
            <v>0</v>
          </cell>
          <cell r="AW30">
            <v>0</v>
          </cell>
          <cell r="BB30">
            <v>0</v>
          </cell>
          <cell r="BC30">
            <v>22.159343458982452</v>
          </cell>
          <cell r="BG30">
            <v>0.90299856236796894</v>
          </cell>
          <cell r="BH30">
            <v>0.88588683471954788</v>
          </cell>
        </row>
        <row r="31">
          <cell r="J31">
            <v>0.90309485779785093</v>
          </cell>
          <cell r="K31">
            <v>0.88001828761718581</v>
          </cell>
          <cell r="R31">
            <v>44.328000000000003</v>
          </cell>
          <cell r="S31">
            <v>966.73799999999983</v>
          </cell>
          <cell r="X31">
            <v>81.710626243884647</v>
          </cell>
          <cell r="Y31">
            <v>86.003998367844531</v>
          </cell>
          <cell r="AD31">
            <v>2.0077603320700232</v>
          </cell>
          <cell r="AE31">
            <v>2.0446387749317814</v>
          </cell>
          <cell r="AJ31">
            <v>0</v>
          </cell>
          <cell r="AK31">
            <v>0</v>
          </cell>
          <cell r="AP31">
            <v>911.24154033570721</v>
          </cell>
          <cell r="AQ31">
            <v>962.21286946411544</v>
          </cell>
          <cell r="AV31">
            <v>0</v>
          </cell>
          <cell r="AW31">
            <v>0</v>
          </cell>
          <cell r="BB31">
            <v>0</v>
          </cell>
          <cell r="BC31">
            <v>21.143267358891453</v>
          </cell>
          <cell r="BG31">
            <v>0.90309485779785093</v>
          </cell>
          <cell r="BH31">
            <v>0.88666151913322977</v>
          </cell>
        </row>
        <row r="32">
          <cell r="J32">
            <v>0.89612483548558453</v>
          </cell>
          <cell r="K32">
            <v>0.88075337393010034</v>
          </cell>
          <cell r="R32">
            <v>47.076999999999998</v>
          </cell>
          <cell r="S32">
            <v>1013.8149999999998</v>
          </cell>
          <cell r="X32">
            <v>79.864552166943042</v>
          </cell>
          <cell r="Y32">
            <v>85.718910152736427</v>
          </cell>
          <cell r="AD32">
            <v>1.9340654672132889</v>
          </cell>
          <cell r="AE32">
            <v>2.0395042488027899</v>
          </cell>
          <cell r="AJ32">
            <v>0.16781018331669395</v>
          </cell>
          <cell r="AK32">
            <v>7.79234870267258E-3</v>
          </cell>
          <cell r="AP32">
            <v>774.62189604263028</v>
          </cell>
          <cell r="AQ32">
            <v>953.50199000803798</v>
          </cell>
          <cell r="AV32">
            <v>436.11530046519624</v>
          </cell>
          <cell r="AW32">
            <v>20.251229267667224</v>
          </cell>
          <cell r="BB32">
            <v>0</v>
          </cell>
          <cell r="BC32">
            <v>20.161469301598419</v>
          </cell>
          <cell r="BG32">
            <v>0.90115130454769399</v>
          </cell>
          <cell r="BH32">
            <v>0.88732403540712002</v>
          </cell>
        </row>
        <row r="33">
          <cell r="J33">
            <v>0.86232968739696869</v>
          </cell>
          <cell r="K33">
            <v>0.87990991580047384</v>
          </cell>
          <cell r="R33">
            <v>47.622999999999998</v>
          </cell>
          <cell r="S33">
            <v>1061.4379999999999</v>
          </cell>
          <cell r="X33">
            <v>78.0791320255816</v>
          </cell>
          <cell r="Y33">
            <v>85.376140105169341</v>
          </cell>
          <cell r="AD33">
            <v>1.8856434915901981</v>
          </cell>
          <cell r="AE33">
            <v>2.0326010563028651</v>
          </cell>
          <cell r="AJ33">
            <v>0.19528379144531005</v>
          </cell>
          <cell r="AK33">
            <v>1.6204432100603149E-2</v>
          </cell>
          <cell r="AP33">
            <v>702.17972408291666</v>
          </cell>
          <cell r="AQ33">
            <v>942.22604146450362</v>
          </cell>
          <cell r="AV33">
            <v>568.00285576296983</v>
          </cell>
          <cell r="AW33">
            <v>44.826923475511492</v>
          </cell>
          <cell r="BB33">
            <v>0</v>
          </cell>
          <cell r="BC33">
            <v>19.256894891646997</v>
          </cell>
          <cell r="BG33">
            <v>0.86232968739696869</v>
          </cell>
          <cell r="BH33">
            <v>0.88617162165659513</v>
          </cell>
        </row>
        <row r="34">
          <cell r="J34">
            <v>1.0128001753572269</v>
          </cell>
          <cell r="K34">
            <v>0.88583171079429812</v>
          </cell>
          <cell r="R34">
            <v>56.981999999999999</v>
          </cell>
          <cell r="S34">
            <v>1118.4199999999998</v>
          </cell>
          <cell r="X34">
            <v>67.844256983878253</v>
          </cell>
          <cell r="Y34">
            <v>84.482914157835253</v>
          </cell>
          <cell r="AD34">
            <v>1.6478888069916817</v>
          </cell>
          <cell r="AE34">
            <v>2.0130004828239847</v>
          </cell>
          <cell r="AJ34">
            <v>0.18251377628022886</v>
          </cell>
          <cell r="AK34">
            <v>2.4677670284866154E-2</v>
          </cell>
          <cell r="AP34">
            <v>675.90660208486861</v>
          </cell>
          <cell r="AQ34">
            <v>928.65742297169197</v>
          </cell>
          <cell r="AV34">
            <v>475.25534379277752</v>
          </cell>
          <cell r="AW34">
            <v>66.756674594517278</v>
          </cell>
          <cell r="BB34">
            <v>0</v>
          </cell>
          <cell r="BC34">
            <v>18.275781906618267</v>
          </cell>
          <cell r="BG34">
            <v>1.0128001753572269</v>
          </cell>
          <cell r="BH34">
            <v>0.89185273943599352</v>
          </cell>
        </row>
        <row r="35">
          <cell r="J35">
            <v>0.96923806833693893</v>
          </cell>
          <cell r="K35">
            <v>0.88934692494044554</v>
          </cell>
          <cell r="R35">
            <v>53.844000000000001</v>
          </cell>
          <cell r="S35">
            <v>1172.2639999999999</v>
          </cell>
          <cell r="X35">
            <v>73.908031590974204</v>
          </cell>
          <cell r="Y35">
            <v>83.997192531196475</v>
          </cell>
          <cell r="AD35">
            <v>1.7662135056830843</v>
          </cell>
          <cell r="AE35">
            <v>2.0016651539243724</v>
          </cell>
          <cell r="AJ35">
            <v>0.18757893172869772</v>
          </cell>
          <cell r="AK35">
            <v>3.2159991264766305E-2</v>
          </cell>
          <cell r="AP35">
            <v>708.92179258598219</v>
          </cell>
          <cell r="AQ35">
            <v>918.56460660738469</v>
          </cell>
          <cell r="AV35">
            <v>477.86011440457872</v>
          </cell>
          <cell r="AW35">
            <v>85.639326977541003</v>
          </cell>
          <cell r="BB35">
            <v>0</v>
          </cell>
          <cell r="BC35">
            <v>17.436345396600082</v>
          </cell>
          <cell r="BG35">
            <v>0.96923806833693893</v>
          </cell>
          <cell r="BH35">
            <v>0.89513542132991586</v>
          </cell>
        </row>
        <row r="36">
          <cell r="J36">
            <v>1.0199730951027712</v>
          </cell>
          <cell r="K36">
            <v>0.89469608661697964</v>
          </cell>
          <cell r="R36">
            <v>57.405999999999999</v>
          </cell>
          <cell r="S36">
            <v>1229.6699999999998</v>
          </cell>
          <cell r="X36">
            <v>69.380727678306997</v>
          </cell>
          <cell r="Y36">
            <v>83.31483646709394</v>
          </cell>
          <cell r="AD36">
            <v>1.6653311500540013</v>
          </cell>
          <cell r="AE36">
            <v>1.9859637138419257</v>
          </cell>
          <cell r="AJ36">
            <v>0.19161760094763614</v>
          </cell>
          <cell r="AK36">
            <v>3.9604121430953029E-2</v>
          </cell>
          <cell r="AP36">
            <v>661.52057276243522</v>
          </cell>
          <cell r="AQ36">
            <v>906.5647450128896</v>
          </cell>
          <cell r="AV36">
            <v>496.62056231055664</v>
          </cell>
          <cell r="AW36">
            <v>104.82560361723061</v>
          </cell>
          <cell r="BB36">
            <v>0</v>
          </cell>
          <cell r="BC36">
            <v>16.622345832621765</v>
          </cell>
          <cell r="BG36">
            <v>1.0199730951027712</v>
          </cell>
          <cell r="BH36">
            <v>0.90027944543421945</v>
          </cell>
        </row>
        <row r="37">
          <cell r="J37">
            <v>0.92936201336934898</v>
          </cell>
          <cell r="K37">
            <v>0.89604705720996503</v>
          </cell>
          <cell r="R37">
            <v>51.796999999999997</v>
          </cell>
          <cell r="S37">
            <v>1281.4669999999999</v>
          </cell>
          <cell r="X37">
            <v>77.312449475454287</v>
          </cell>
          <cell r="Y37">
            <v>83.072219498411982</v>
          </cell>
          <cell r="AD37">
            <v>1.8746259435874664</v>
          </cell>
          <cell r="AE37">
            <v>1.9814634321445659</v>
          </cell>
          <cell r="AJ37">
            <v>0.19885321543718751</v>
          </cell>
          <cell r="AK37">
            <v>4.6040982717463659E-2</v>
          </cell>
          <cell r="AP37">
            <v>777.51317643878292</v>
          </cell>
          <cell r="AQ37">
            <v>901.34847015178661</v>
          </cell>
          <cell r="AV37">
            <v>544.44570148850414</v>
          </cell>
          <cell r="AW37">
            <v>122.59508360340143</v>
          </cell>
          <cell r="BB37">
            <v>0</v>
          </cell>
          <cell r="BC37">
            <v>15.950469266863683</v>
          </cell>
          <cell r="BG37">
            <v>0.92936201336934898</v>
          </cell>
          <cell r="BH37">
            <v>0.90141962176582857</v>
          </cell>
        </row>
        <row r="38">
          <cell r="J38">
            <v>0.89900748944563569</v>
          </cell>
          <cell r="K38">
            <v>0.89615860609005427</v>
          </cell>
          <cell r="R38">
            <v>50.341999999999999</v>
          </cell>
          <cell r="S38">
            <v>1331.809</v>
          </cell>
          <cell r="X38">
            <v>82.439991696394458</v>
          </cell>
          <cell r="Y38">
            <v>83.048321467981808</v>
          </cell>
          <cell r="AD38">
            <v>1.9705216320368679</v>
          </cell>
          <cell r="AE38">
            <v>1.9810498352241201</v>
          </cell>
          <cell r="AJ38">
            <v>0.19069564181001947</v>
          </cell>
          <cell r="AK38">
            <v>5.150888753567516E-2</v>
          </cell>
          <cell r="AP38">
            <v>719.68058479995523</v>
          </cell>
          <cell r="AQ38">
            <v>894.48147594737588</v>
          </cell>
          <cell r="AV38">
            <v>491.65523817090804</v>
          </cell>
          <cell r="AW38">
            <v>136.54545208809961</v>
          </cell>
          <cell r="BB38">
            <v>0</v>
          </cell>
          <cell r="BC38">
            <v>15.347546082058313</v>
          </cell>
          <cell r="BG38">
            <v>0.89900748944563569</v>
          </cell>
          <cell r="BH38">
            <v>0.90132820848392681</v>
          </cell>
        </row>
        <row r="39">
          <cell r="J39">
            <v>0.99336552476772166</v>
          </cell>
          <cell r="K39">
            <v>0.89958178262093658</v>
          </cell>
          <cell r="R39">
            <v>53.884999999999998</v>
          </cell>
          <cell r="S39">
            <v>1385.694</v>
          </cell>
          <cell r="X39">
            <v>76.793242571568939</v>
          </cell>
          <cell r="Y39">
            <v>82.805082393313654</v>
          </cell>
          <cell r="AD39">
            <v>1.8279669666883178</v>
          </cell>
          <cell r="AE39">
            <v>1.9750969550275892</v>
          </cell>
          <cell r="AJ39">
            <v>0.18001299062818965</v>
          </cell>
          <cell r="AK39">
            <v>5.6505981840146526E-2</v>
          </cell>
          <cell r="AP39">
            <v>697.15468126566066</v>
          </cell>
          <cell r="AQ39">
            <v>886.8080976030775</v>
          </cell>
          <cell r="AV39">
            <v>488.67840772014802</v>
          </cell>
          <cell r="AW39">
            <v>150.23872370090368</v>
          </cell>
          <cell r="BB39">
            <v>0</v>
          </cell>
          <cell r="BC39">
            <v>14.750731402459706</v>
          </cell>
          <cell r="BG39">
            <v>0.99336552476772166</v>
          </cell>
          <cell r="BH39">
            <v>0.90458737037626458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2">
          <cell r="B42">
            <v>0.89683016748794442</v>
          </cell>
          <cell r="C42">
            <v>0</v>
          </cell>
          <cell r="D42">
            <v>0.91651254782215474</v>
          </cell>
          <cell r="E42">
            <v>0</v>
          </cell>
          <cell r="F42">
            <v>1608.12</v>
          </cell>
          <cell r="G42">
            <v>0</v>
          </cell>
          <cell r="H42">
            <v>2.3160037808123777</v>
          </cell>
          <cell r="I42">
            <v>0</v>
          </cell>
          <cell r="J42">
            <v>1025.4408439668696</v>
          </cell>
          <cell r="K42">
            <v>0</v>
          </cell>
          <cell r="L42">
            <v>0.92866754762333059</v>
          </cell>
          <cell r="M42">
            <v>0</v>
          </cell>
          <cell r="N42">
            <v>0.93793898235070616</v>
          </cell>
          <cell r="O42">
            <v>0</v>
          </cell>
          <cell r="P42">
            <v>1827.3590000000004</v>
          </cell>
          <cell r="Q42">
            <v>0</v>
          </cell>
          <cell r="R42">
            <v>2.0916446631450083</v>
          </cell>
          <cell r="S42">
            <v>0</v>
          </cell>
          <cell r="T42">
            <v>0.23153633194134263</v>
          </cell>
          <cell r="U42">
            <v>0</v>
          </cell>
          <cell r="V42">
            <v>614.27862833739778</v>
          </cell>
          <cell r="W42">
            <v>0</v>
          </cell>
          <cell r="X42">
            <v>437.11553121198392</v>
          </cell>
          <cell r="Y42">
            <v>0</v>
          </cell>
          <cell r="Z42">
            <v>0.83629623576679857</v>
          </cell>
          <cell r="AA42">
            <v>0</v>
          </cell>
          <cell r="AB42">
            <v>0.84011645284697367</v>
          </cell>
          <cell r="AC42">
            <v>0</v>
          </cell>
          <cell r="AD42">
            <v>1132.2849999999999</v>
          </cell>
          <cell r="AE42">
            <v>0</v>
          </cell>
          <cell r="AF42">
            <v>111.28199961501578</v>
          </cell>
          <cell r="AG42">
            <v>0</v>
          </cell>
          <cell r="AH42">
            <v>1.6594761919481404</v>
          </cell>
          <cell r="AI42">
            <v>0</v>
          </cell>
          <cell r="AJ42">
            <v>964.83334142905812</v>
          </cell>
          <cell r="AK42">
            <v>0</v>
          </cell>
          <cell r="AL42">
            <v>0</v>
          </cell>
          <cell r="AM42">
            <v>0</v>
          </cell>
          <cell r="AN42">
            <v>0.841493556505851</v>
          </cell>
          <cell r="AO42">
            <v>0</v>
          </cell>
          <cell r="AP42">
            <v>0.85108230952572761</v>
          </cell>
          <cell r="AQ42">
            <v>0</v>
          </cell>
          <cell r="AR42">
            <v>1316.3440000000001</v>
          </cell>
          <cell r="AS42">
            <v>0</v>
          </cell>
          <cell r="AT42">
            <v>121.83943867945894</v>
          </cell>
          <cell r="AU42">
            <v>0</v>
          </cell>
          <cell r="AV42">
            <v>1.4904158791318984</v>
          </cell>
          <cell r="AW42">
            <v>0</v>
          </cell>
          <cell r="AX42">
            <v>0.19523771901569797</v>
          </cell>
          <cell r="AY42">
            <v>0</v>
          </cell>
          <cell r="AZ42">
            <v>883.63400448514949</v>
          </cell>
          <cell r="BA42">
            <v>0</v>
          </cell>
          <cell r="BB42">
            <v>521.88219796648889</v>
          </cell>
          <cell r="BC42">
            <v>0</v>
          </cell>
          <cell r="BD42">
            <v>0</v>
          </cell>
          <cell r="BE42">
            <v>0</v>
          </cell>
          <cell r="BF42">
            <v>0.81559727954315242</v>
          </cell>
          <cell r="BG42">
            <v>0</v>
          </cell>
          <cell r="BH42">
            <v>0.82877820530328572</v>
          </cell>
          <cell r="BI42">
            <v>0</v>
          </cell>
          <cell r="BJ42">
            <v>1259.7350000000001</v>
          </cell>
          <cell r="BK42">
            <v>0</v>
          </cell>
          <cell r="BL42">
            <v>2.8948151793829653</v>
          </cell>
          <cell r="BM42">
            <v>0</v>
          </cell>
          <cell r="BN42">
            <v>0</v>
          </cell>
          <cell r="BO42">
            <v>0</v>
          </cell>
          <cell r="BP42">
            <v>971.01940308418136</v>
          </cell>
          <cell r="BQ42">
            <v>0</v>
          </cell>
          <cell r="BR42">
            <v>0</v>
          </cell>
          <cell r="BS42">
            <v>0</v>
          </cell>
          <cell r="BT42">
            <v>0.90927146053562879</v>
          </cell>
          <cell r="BU42">
            <v>0</v>
          </cell>
          <cell r="BV42">
            <v>0.93351910522430248</v>
          </cell>
          <cell r="BW42">
            <v>0</v>
          </cell>
          <cell r="BX42">
            <v>1433.0600000000002</v>
          </cell>
          <cell r="BY42">
            <v>0</v>
          </cell>
          <cell r="BZ42">
            <v>77.094083288095504</v>
          </cell>
          <cell r="CA42">
            <v>0</v>
          </cell>
          <cell r="CB42">
            <v>1.8864527654110776</v>
          </cell>
          <cell r="CC42">
            <v>0</v>
          </cell>
          <cell r="CD42">
            <v>0.14263185072502196</v>
          </cell>
          <cell r="CE42">
            <v>0</v>
          </cell>
          <cell r="CF42">
            <v>754.59782022786919</v>
          </cell>
          <cell r="CG42">
            <v>0</v>
          </cell>
          <cell r="CH42">
            <v>384.70371094022579</v>
          </cell>
          <cell r="CI4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3">
          <cell r="B43">
            <v>0.81728992699563985</v>
          </cell>
          <cell r="C43">
            <v>0</v>
          </cell>
          <cell r="D43">
            <v>0.81728992699563985</v>
          </cell>
          <cell r="E43">
            <v>0</v>
          </cell>
          <cell r="F43">
            <v>1753.6980000000001</v>
          </cell>
          <cell r="G43">
            <v>0</v>
          </cell>
          <cell r="H43">
            <v>2.3283626941468825</v>
          </cell>
          <cell r="I43">
            <v>0</v>
          </cell>
          <cell r="J43">
            <v>919.17354641449094</v>
          </cell>
          <cell r="K43">
            <v>0</v>
          </cell>
          <cell r="L43">
            <v>0.88541366395827092</v>
          </cell>
          <cell r="M43">
            <v>0</v>
          </cell>
          <cell r="N43">
            <v>0.92564375346980865</v>
          </cell>
          <cell r="O43">
            <v>0</v>
          </cell>
          <cell r="P43">
            <v>1848.3660000000002</v>
          </cell>
          <cell r="Q43">
            <v>0</v>
          </cell>
          <cell r="R43">
            <v>2.3081272864789759</v>
          </cell>
          <cell r="S43">
            <v>0</v>
          </cell>
          <cell r="T43">
            <v>0.22165523494805681</v>
          </cell>
          <cell r="U43">
            <v>0</v>
          </cell>
          <cell r="V43">
            <v>640.41014604250449</v>
          </cell>
          <cell r="W43">
            <v>0</v>
          </cell>
          <cell r="X43">
            <v>434.93518058652887</v>
          </cell>
          <cell r="Y43">
            <v>0</v>
          </cell>
          <cell r="Z43">
            <v>0.80335180840639453</v>
          </cell>
          <cell r="AA43">
            <v>0</v>
          </cell>
          <cell r="AB43">
            <v>0.86162048557993176</v>
          </cell>
          <cell r="AC43">
            <v>0</v>
          </cell>
          <cell r="AD43">
            <v>1130.835</v>
          </cell>
          <cell r="AE43">
            <v>0</v>
          </cell>
          <cell r="AF43">
            <v>107.89351601751943</v>
          </cell>
          <cell r="AG43">
            <v>0</v>
          </cell>
          <cell r="AH43">
            <v>1.5947507815021644</v>
          </cell>
          <cell r="AI43">
            <v>0</v>
          </cell>
          <cell r="AJ43">
            <v>914.38361918405428</v>
          </cell>
          <cell r="AK43">
            <v>0</v>
          </cell>
          <cell r="AL43">
            <v>20.165629822211024</v>
          </cell>
          <cell r="AM43">
            <v>0</v>
          </cell>
          <cell r="AN43">
            <v>0.85071018918198382</v>
          </cell>
          <cell r="AO43">
            <v>0</v>
          </cell>
          <cell r="AP43">
            <v>0.85071018918198382</v>
          </cell>
          <cell r="AQ43">
            <v>0</v>
          </cell>
          <cell r="AR43">
            <v>1375.3570000000002</v>
          </cell>
          <cell r="AS43">
            <v>0</v>
          </cell>
          <cell r="AT43">
            <v>113.79764973808959</v>
          </cell>
          <cell r="AU43">
            <v>0</v>
          </cell>
          <cell r="AV43">
            <v>1.4656558260873356</v>
          </cell>
          <cell r="AW43">
            <v>0</v>
          </cell>
          <cell r="AX43">
            <v>0.1861334911590227</v>
          </cell>
          <cell r="AY43">
            <v>0</v>
          </cell>
          <cell r="AZ43">
            <v>878.4606469447566</v>
          </cell>
          <cell r="BA43">
            <v>0</v>
          </cell>
          <cell r="BB43">
            <v>550.25945990750074</v>
          </cell>
          <cell r="BC43">
            <v>0</v>
          </cell>
          <cell r="BD43">
            <v>0</v>
          </cell>
          <cell r="BE43">
            <v>0</v>
          </cell>
          <cell r="BF43">
            <v>0.89363459307778192</v>
          </cell>
          <cell r="BG43">
            <v>0</v>
          </cell>
          <cell r="BH43">
            <v>0.89363459307778192</v>
          </cell>
          <cell r="BI43">
            <v>0</v>
          </cell>
          <cell r="BJ43">
            <v>1430.6919999999998</v>
          </cell>
          <cell r="BK43">
            <v>0</v>
          </cell>
          <cell r="BL43">
            <v>2.6821286482345617</v>
          </cell>
          <cell r="BM43">
            <v>0</v>
          </cell>
          <cell r="BN43">
            <v>0</v>
          </cell>
          <cell r="BO43">
            <v>0</v>
          </cell>
          <cell r="BP43">
            <v>974.33568621579991</v>
          </cell>
          <cell r="BQ43">
            <v>0</v>
          </cell>
          <cell r="BR43">
            <v>0</v>
          </cell>
          <cell r="BS43">
            <v>0</v>
          </cell>
          <cell r="BT43">
            <v>0.90863447914298279</v>
          </cell>
          <cell r="BU43">
            <v>0</v>
          </cell>
          <cell r="BV43">
            <v>0.91878389692957507</v>
          </cell>
          <cell r="BW43">
            <v>0</v>
          </cell>
          <cell r="BX43">
            <v>1460.105</v>
          </cell>
          <cell r="BY43">
            <v>0</v>
          </cell>
          <cell r="BZ43">
            <v>77.669648185232361</v>
          </cell>
          <cell r="CA43">
            <v>0</v>
          </cell>
          <cell r="CB43">
            <v>2.0032805859852543</v>
          </cell>
          <cell r="CC43">
            <v>0</v>
          </cell>
          <cell r="CD43">
            <v>8.3692611147828416E-2</v>
          </cell>
          <cell r="CE43">
            <v>0</v>
          </cell>
          <cell r="CF43">
            <v>840.7660191674878</v>
          </cell>
          <cell r="CG43">
            <v>0</v>
          </cell>
          <cell r="CH43">
            <v>246.27502816578257</v>
          </cell>
          <cell r="CI43">
            <v>0</v>
          </cell>
          <cell r="CJ43">
            <v>19.550648754712846</v>
          </cell>
          <cell r="CK4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G3">
            <v>6.4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">
          <cell r="F4">
            <v>44.353000000000002</v>
          </cell>
        </row>
        <row r="44">
          <cell r="B44">
            <v>0.85128629745489748</v>
          </cell>
          <cell r="C44">
            <v>0</v>
          </cell>
          <cell r="D44">
            <v>0.88261388777069127</v>
          </cell>
          <cell r="E44">
            <v>0</v>
          </cell>
          <cell r="F44">
            <v>1626.8629999999996</v>
          </cell>
          <cell r="G44">
            <v>0</v>
          </cell>
          <cell r="H44">
            <v>2.4992417923328527</v>
          </cell>
          <cell r="I44">
            <v>0</v>
          </cell>
          <cell r="J44">
            <v>943.70529048850415</v>
          </cell>
          <cell r="K44">
            <v>0</v>
          </cell>
          <cell r="L44">
            <v>0.91684997474795549</v>
          </cell>
          <cell r="M44">
            <v>0</v>
          </cell>
          <cell r="N44">
            <v>0.9454769668630435</v>
          </cell>
          <cell r="O44">
            <v>0</v>
          </cell>
          <cell r="P44">
            <v>1788.1659999999997</v>
          </cell>
          <cell r="Q44">
            <v>0</v>
          </cell>
          <cell r="R44">
            <v>2.1331811476115754</v>
          </cell>
          <cell r="S44">
            <v>0</v>
          </cell>
          <cell r="T44">
            <v>0.21231250342529728</v>
          </cell>
          <cell r="U44">
            <v>0</v>
          </cell>
          <cell r="V44">
            <v>722.2509375527776</v>
          </cell>
          <cell r="W44">
            <v>0</v>
          </cell>
          <cell r="X44">
            <v>464.24761459506601</v>
          </cell>
          <cell r="Y44">
            <v>0</v>
          </cell>
          <cell r="Z44">
            <v>0.86206949583301151</v>
          </cell>
          <cell r="AA44">
            <v>0</v>
          </cell>
          <cell r="AB44">
            <v>0.90942581099977049</v>
          </cell>
          <cell r="AC44">
            <v>0</v>
          </cell>
          <cell r="AD44">
            <v>1188.7909999999999</v>
          </cell>
          <cell r="AE44">
            <v>0</v>
          </cell>
          <cell r="AF44">
            <v>106.25948485661435</v>
          </cell>
          <cell r="AG44">
            <v>0</v>
          </cell>
          <cell r="AH44">
            <v>1.5097691688446497</v>
          </cell>
          <cell r="AI44">
            <v>0</v>
          </cell>
          <cell r="AJ44">
            <v>921.84495003747463</v>
          </cell>
          <cell r="AK44">
            <v>0</v>
          </cell>
          <cell r="AL44">
            <v>7.5538929887591681</v>
          </cell>
          <cell r="AM44">
            <v>0</v>
          </cell>
          <cell r="AN44">
            <v>0.9113017975148916</v>
          </cell>
          <cell r="AO44">
            <v>0</v>
          </cell>
          <cell r="AP44">
            <v>0.94321744444989342</v>
          </cell>
          <cell r="AQ44">
            <v>0</v>
          </cell>
          <cell r="AR44">
            <v>1441.538</v>
          </cell>
          <cell r="AS44">
            <v>0</v>
          </cell>
          <cell r="AT44">
            <v>98.381360721465839</v>
          </cell>
          <cell r="AU44">
            <v>0</v>
          </cell>
          <cell r="AV44">
            <v>1.4245895703061591</v>
          </cell>
          <cell r="AW44">
            <v>0</v>
          </cell>
          <cell r="AX44">
            <v>6.3755312952158888E-2</v>
          </cell>
          <cell r="AY44">
            <v>0</v>
          </cell>
          <cell r="AZ44">
            <v>884.49349236718024</v>
          </cell>
          <cell r="BA44">
            <v>0</v>
          </cell>
          <cell r="BB44">
            <v>178.9753721372584</v>
          </cell>
          <cell r="BC44">
            <v>0</v>
          </cell>
          <cell r="BD44">
            <v>0</v>
          </cell>
          <cell r="BE44">
            <v>0</v>
          </cell>
          <cell r="BF44">
            <v>0.83968007638049036</v>
          </cell>
          <cell r="BG44">
            <v>0</v>
          </cell>
          <cell r="BH44">
            <v>0.88025535162218882</v>
          </cell>
          <cell r="BI44">
            <v>0</v>
          </cell>
          <cell r="BJ44">
            <v>1283.7219999999998</v>
          </cell>
          <cell r="BK44">
            <v>0</v>
          </cell>
          <cell r="BL44">
            <v>2.9010175100216404</v>
          </cell>
          <cell r="BM44">
            <v>0</v>
          </cell>
          <cell r="BN44">
            <v>0</v>
          </cell>
          <cell r="BO44">
            <v>0</v>
          </cell>
          <cell r="BP44">
            <v>1018.1901188326394</v>
          </cell>
          <cell r="BQ44">
            <v>0</v>
          </cell>
          <cell r="BR44">
            <v>0</v>
          </cell>
          <cell r="BS44">
            <v>0</v>
          </cell>
          <cell r="BT44">
            <v>0.86479672437549404</v>
          </cell>
          <cell r="BU44">
            <v>0</v>
          </cell>
          <cell r="BV44">
            <v>0.91368891665471463</v>
          </cell>
          <cell r="BW44">
            <v>0</v>
          </cell>
          <cell r="BX44">
            <v>1364.9880000000001</v>
          </cell>
          <cell r="BY44">
            <v>0</v>
          </cell>
          <cell r="BZ44">
            <v>71.774411764880114</v>
          </cell>
          <cell r="CA44">
            <v>0</v>
          </cell>
          <cell r="CB44">
            <v>1.9880760856505704</v>
          </cell>
          <cell r="CC44">
            <v>0</v>
          </cell>
          <cell r="CD44">
            <v>0.17403816004243261</v>
          </cell>
          <cell r="CE44">
            <v>0</v>
          </cell>
          <cell r="CF44">
            <v>844.20451628287208</v>
          </cell>
          <cell r="CG44">
            <v>0</v>
          </cell>
          <cell r="CH44">
            <v>469.40954792276608</v>
          </cell>
          <cell r="CI44">
            <v>0</v>
          </cell>
          <cell r="CJ44">
            <v>0</v>
          </cell>
          <cell r="CK44">
            <v>0</v>
          </cell>
        </row>
      </sheetData>
      <sheetData sheetId="1">
        <row r="41">
          <cell r="P41">
            <v>1715.0680000000002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619</v>
          </cell>
        </row>
      </sheetData>
      <sheetData sheetId="13">
        <row r="6">
          <cell r="N6">
            <v>640</v>
          </cell>
        </row>
      </sheetData>
      <sheetData sheetId="14">
        <row r="6">
          <cell r="N6">
            <v>676</v>
          </cell>
        </row>
      </sheetData>
      <sheetData sheetId="15">
        <row r="6">
          <cell r="N6">
            <v>610</v>
          </cell>
        </row>
      </sheetData>
      <sheetData sheetId="16">
        <row r="6">
          <cell r="N6">
            <v>623</v>
          </cell>
        </row>
      </sheetData>
      <sheetData sheetId="17"/>
      <sheetData sheetId="18"/>
      <sheetData sheetId="19">
        <row r="6">
          <cell r="N6">
            <v>679</v>
          </cell>
        </row>
      </sheetData>
      <sheetData sheetId="20">
        <row r="6">
          <cell r="N6">
            <v>710</v>
          </cell>
        </row>
      </sheetData>
      <sheetData sheetId="21">
        <row r="6">
          <cell r="N6">
            <v>704</v>
          </cell>
        </row>
      </sheetData>
      <sheetData sheetId="22">
        <row r="6">
          <cell r="N6">
            <v>720</v>
          </cell>
        </row>
      </sheetData>
      <sheetData sheetId="23">
        <row r="6">
          <cell r="N6">
            <v>689</v>
          </cell>
        </row>
      </sheetData>
      <sheetData sheetId="24">
        <row r="6">
          <cell r="N6">
            <v>745</v>
          </cell>
        </row>
      </sheetData>
      <sheetData sheetId="25">
        <row r="6">
          <cell r="N6">
            <v>588</v>
          </cell>
        </row>
      </sheetData>
      <sheetData sheetId="26">
        <row r="6">
          <cell r="N6">
            <v>143</v>
          </cell>
        </row>
      </sheetData>
      <sheetData sheetId="27">
        <row r="6">
          <cell r="N6">
            <v>530</v>
          </cell>
        </row>
      </sheetData>
      <sheetData sheetId="28">
        <row r="6">
          <cell r="N6">
            <v>705</v>
          </cell>
        </row>
      </sheetData>
      <sheetData sheetId="29">
        <row r="6">
          <cell r="N6">
            <v>743</v>
          </cell>
        </row>
      </sheetData>
      <sheetData sheetId="30">
        <row r="6">
          <cell r="N6">
            <v>727</v>
          </cell>
        </row>
      </sheetData>
      <sheetData sheetId="31">
        <row r="6">
          <cell r="N6">
            <v>699</v>
          </cell>
        </row>
      </sheetData>
      <sheetData sheetId="32">
        <row r="6">
          <cell r="N6">
            <v>639</v>
          </cell>
        </row>
      </sheetData>
      <sheetData sheetId="33">
        <row r="6">
          <cell r="N6">
            <v>600</v>
          </cell>
        </row>
      </sheetData>
      <sheetData sheetId="34">
        <row r="6">
          <cell r="N6">
            <v>751</v>
          </cell>
        </row>
      </sheetData>
      <sheetData sheetId="35">
        <row r="6">
          <cell r="N6">
            <v>635</v>
          </cell>
        </row>
      </sheetData>
      <sheetData sheetId="36">
        <row r="6">
          <cell r="N6">
            <v>639</v>
          </cell>
        </row>
      </sheetData>
      <sheetData sheetId="37">
        <row r="6">
          <cell r="N6">
            <v>624</v>
          </cell>
        </row>
      </sheetData>
      <sheetData sheetId="38">
        <row r="6">
          <cell r="N6">
            <v>685</v>
          </cell>
        </row>
      </sheetData>
      <sheetData sheetId="39">
        <row r="6">
          <cell r="N6">
            <v>718</v>
          </cell>
        </row>
      </sheetData>
      <sheetData sheetId="40">
        <row r="6">
          <cell r="N6">
            <v>625</v>
          </cell>
        </row>
      </sheetData>
      <sheetData sheetId="41">
        <row r="6">
          <cell r="N6">
            <v>734</v>
          </cell>
        </row>
      </sheetData>
      <sheetData sheetId="4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RBP"/>
      <sheetName val="Chem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56.475000000000001</v>
          </cell>
        </row>
        <row r="45">
          <cell r="B45">
            <v>0.84979165368605014</v>
          </cell>
          <cell r="C45">
            <v>0</v>
          </cell>
          <cell r="D45">
            <v>0.85889246846907286</v>
          </cell>
          <cell r="E45">
            <v>0</v>
          </cell>
          <cell r="F45">
            <v>1534.4690000000003</v>
          </cell>
          <cell r="G45">
            <v>0</v>
          </cell>
          <cell r="H45">
            <v>2.4307190304919817</v>
          </cell>
          <cell r="I45">
            <v>0</v>
          </cell>
          <cell r="J45">
            <v>1009.2876688939294</v>
          </cell>
          <cell r="K45">
            <v>0</v>
          </cell>
          <cell r="L45">
            <v>0.85741705611332952</v>
          </cell>
          <cell r="M45">
            <v>0</v>
          </cell>
          <cell r="N45">
            <v>0.89481520731611941</v>
          </cell>
          <cell r="O45">
            <v>0</v>
          </cell>
          <cell r="P45">
            <v>1704.768</v>
          </cell>
          <cell r="Q45">
            <v>0</v>
          </cell>
          <cell r="R45">
            <v>2.4058077110785745</v>
          </cell>
          <cell r="S45">
            <v>0</v>
          </cell>
          <cell r="T45">
            <v>0.14817265457821827</v>
          </cell>
          <cell r="U45">
            <v>0</v>
          </cell>
          <cell r="V45">
            <v>708.74890307654778</v>
          </cell>
          <cell r="W45">
            <v>0</v>
          </cell>
          <cell r="X45">
            <v>419.01830630326219</v>
          </cell>
          <cell r="Y45">
            <v>0</v>
          </cell>
          <cell r="Z45">
            <v>0.87132155033301406</v>
          </cell>
          <cell r="AA45">
            <v>0</v>
          </cell>
          <cell r="AB45">
            <v>0.87132155033301406</v>
          </cell>
          <cell r="AC45">
            <v>0</v>
          </cell>
          <cell r="AD45">
            <v>1204.6450000000002</v>
          </cell>
          <cell r="AE45">
            <v>0</v>
          </cell>
          <cell r="AF45">
            <v>105.43835507766659</v>
          </cell>
          <cell r="AG45">
            <v>0</v>
          </cell>
          <cell r="AH45">
            <v>1.5603767084908828</v>
          </cell>
          <cell r="AI45">
            <v>0</v>
          </cell>
          <cell r="AJ45">
            <v>928.04959137339199</v>
          </cell>
          <cell r="AK45">
            <v>0</v>
          </cell>
          <cell r="AL45">
            <v>0</v>
          </cell>
          <cell r="AM45">
            <v>0</v>
          </cell>
          <cell r="AN45">
            <v>0.47758007033586591</v>
          </cell>
          <cell r="AO45">
            <v>0</v>
          </cell>
          <cell r="AP45">
            <v>0.8638562625636298</v>
          </cell>
          <cell r="AQ45">
            <v>0</v>
          </cell>
          <cell r="AR45">
            <v>764.20999999999992</v>
          </cell>
          <cell r="AS45">
            <v>0</v>
          </cell>
          <cell r="AT45">
            <v>117.91593614950136</v>
          </cell>
          <cell r="AU45">
            <v>0</v>
          </cell>
          <cell r="AV45">
            <v>1.737087973201084</v>
          </cell>
          <cell r="AW45">
            <v>0</v>
          </cell>
          <cell r="AX45">
            <v>0</v>
          </cell>
          <cell r="AY45">
            <v>0</v>
          </cell>
          <cell r="AZ45">
            <v>1171.1575352324626</v>
          </cell>
          <cell r="BA45">
            <v>0</v>
          </cell>
          <cell r="BB45">
            <v>0</v>
          </cell>
          <cell r="BC45">
            <v>0</v>
          </cell>
          <cell r="BD45">
            <v>23.422881145234534</v>
          </cell>
          <cell r="BE45">
            <v>0</v>
          </cell>
          <cell r="BF45">
            <v>0.79411423930112257</v>
          </cell>
          <cell r="BG45">
            <v>0</v>
          </cell>
          <cell r="BH45">
            <v>0.80751482141228126</v>
          </cell>
          <cell r="BI45">
            <v>0</v>
          </cell>
          <cell r="BJ45">
            <v>1316.4520000000002</v>
          </cell>
          <cell r="BK45">
            <v>0</v>
          </cell>
          <cell r="BL45">
            <v>2.6146034948482737</v>
          </cell>
          <cell r="BM45">
            <v>0</v>
          </cell>
          <cell r="BN45">
            <v>0</v>
          </cell>
          <cell r="BO45">
            <v>0</v>
          </cell>
          <cell r="BP45">
            <v>1083.3644303830235</v>
          </cell>
          <cell r="BQ45">
            <v>0</v>
          </cell>
          <cell r="BR45">
            <v>0</v>
          </cell>
          <cell r="BS45">
            <v>0</v>
          </cell>
          <cell r="BT45">
            <v>0.79215109753247104</v>
          </cell>
          <cell r="BU45">
            <v>0</v>
          </cell>
          <cell r="BV45">
            <v>0.80246910810737848</v>
          </cell>
          <cell r="BW45">
            <v>0</v>
          </cell>
          <cell r="BX45">
            <v>1219.0239999999997</v>
          </cell>
          <cell r="BY45">
            <v>0</v>
          </cell>
          <cell r="BZ45">
            <v>89.967609483204555</v>
          </cell>
          <cell r="CA45">
            <v>0</v>
          </cell>
          <cell r="CB45">
            <v>2.2528678680649445</v>
          </cell>
          <cell r="CC45">
            <v>0</v>
          </cell>
          <cell r="CD45">
            <v>0</v>
          </cell>
          <cell r="CE45">
            <v>0</v>
          </cell>
          <cell r="CF45">
            <v>1093.3749039341374</v>
          </cell>
          <cell r="CG45">
            <v>0</v>
          </cell>
          <cell r="CH45">
            <v>0</v>
          </cell>
          <cell r="CI45">
            <v>0</v>
          </cell>
          <cell r="CJ45">
            <v>3.7653073278297011</v>
          </cell>
          <cell r="CK45">
            <v>0</v>
          </cell>
        </row>
      </sheetData>
      <sheetData sheetId="1">
        <row r="41">
          <cell r="P41">
            <v>1589.6969999999997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683</v>
          </cell>
        </row>
      </sheetData>
      <sheetData sheetId="13">
        <row r="6">
          <cell r="N6">
            <v>384</v>
          </cell>
        </row>
      </sheetData>
      <sheetData sheetId="14">
        <row r="6">
          <cell r="N6">
            <v>693</v>
          </cell>
        </row>
      </sheetData>
      <sheetData sheetId="15">
        <row r="6">
          <cell r="N6">
            <v>664</v>
          </cell>
        </row>
      </sheetData>
      <sheetData sheetId="16">
        <row r="6">
          <cell r="N6">
            <v>655</v>
          </cell>
        </row>
      </sheetData>
      <sheetData sheetId="17">
        <row r="6">
          <cell r="N6">
            <v>550</v>
          </cell>
        </row>
      </sheetData>
      <sheetData sheetId="18">
        <row r="6">
          <cell r="N6">
            <v>687</v>
          </cell>
        </row>
      </sheetData>
      <sheetData sheetId="19">
        <row r="6">
          <cell r="N6">
            <v>603.20000000000005</v>
          </cell>
        </row>
      </sheetData>
      <sheetData sheetId="20">
        <row r="6">
          <cell r="N6">
            <v>678</v>
          </cell>
        </row>
      </sheetData>
      <sheetData sheetId="21">
        <row r="6">
          <cell r="N6">
            <v>655</v>
          </cell>
        </row>
      </sheetData>
      <sheetData sheetId="22">
        <row r="6">
          <cell r="N6">
            <v>673</v>
          </cell>
        </row>
      </sheetData>
      <sheetData sheetId="23">
        <row r="6">
          <cell r="N6">
            <v>859</v>
          </cell>
        </row>
      </sheetData>
      <sheetData sheetId="24">
        <row r="6">
          <cell r="N6">
            <v>708</v>
          </cell>
        </row>
      </sheetData>
      <sheetData sheetId="25">
        <row r="6">
          <cell r="N6">
            <v>735</v>
          </cell>
        </row>
      </sheetData>
      <sheetData sheetId="26">
        <row r="6">
          <cell r="N6">
            <v>607</v>
          </cell>
        </row>
      </sheetData>
      <sheetData sheetId="27">
        <row r="6">
          <cell r="N6">
            <v>746</v>
          </cell>
        </row>
      </sheetData>
      <sheetData sheetId="28">
        <row r="6">
          <cell r="N6">
            <v>457.8</v>
          </cell>
        </row>
      </sheetData>
      <sheetData sheetId="29">
        <row r="6">
          <cell r="N6">
            <v>725</v>
          </cell>
        </row>
      </sheetData>
      <sheetData sheetId="30">
        <row r="6">
          <cell r="N6">
            <v>638</v>
          </cell>
        </row>
      </sheetData>
      <sheetData sheetId="31">
        <row r="6">
          <cell r="N6">
            <v>612</v>
          </cell>
        </row>
      </sheetData>
      <sheetData sheetId="32">
        <row r="6">
          <cell r="N6">
            <v>445.7</v>
          </cell>
        </row>
      </sheetData>
      <sheetData sheetId="33">
        <row r="6">
          <cell r="N6">
            <v>801</v>
          </cell>
        </row>
      </sheetData>
      <sheetData sheetId="34">
        <row r="6">
          <cell r="N6">
            <v>567</v>
          </cell>
        </row>
      </sheetData>
      <sheetData sheetId="35">
        <row r="6">
          <cell r="N6">
            <v>531</v>
          </cell>
        </row>
      </sheetData>
      <sheetData sheetId="36">
        <row r="6">
          <cell r="N6">
            <v>650</v>
          </cell>
        </row>
      </sheetData>
      <sheetData sheetId="37">
        <row r="6">
          <cell r="N6">
            <v>601</v>
          </cell>
        </row>
      </sheetData>
      <sheetData sheetId="38">
        <row r="6">
          <cell r="N6">
            <v>576</v>
          </cell>
        </row>
      </sheetData>
      <sheetData sheetId="39">
        <row r="6">
          <cell r="N6">
            <v>524</v>
          </cell>
        </row>
      </sheetData>
      <sheetData sheetId="40">
        <row r="6">
          <cell r="N6">
            <v>11</v>
          </cell>
        </row>
      </sheetData>
      <sheetData sheetId="41">
        <row r="6">
          <cell r="N6">
            <v>635</v>
          </cell>
        </row>
      </sheetData>
      <sheetData sheetId="42">
        <row r="6">
          <cell r="N6">
            <v>720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29"/>
      <sheetName val="30"/>
      <sheetName val="31"/>
    </sheetNames>
    <sheetDataSet>
      <sheetData sheetId="0">
        <row r="4">
          <cell r="F4">
            <v>56.024000000000001</v>
          </cell>
        </row>
        <row r="46">
          <cell r="B46">
            <v>0.83769523903512089</v>
          </cell>
          <cell r="C46">
            <v>0</v>
          </cell>
          <cell r="D46">
            <v>0.8766254011798259</v>
          </cell>
          <cell r="E46">
            <v>0</v>
          </cell>
          <cell r="F46">
            <v>1634.1919999999996</v>
          </cell>
          <cell r="G46">
            <v>0</v>
          </cell>
          <cell r="H46">
            <v>2.3108465835103833</v>
          </cell>
          <cell r="I46">
            <v>0</v>
          </cell>
          <cell r="J46">
            <v>925.52625884841029</v>
          </cell>
          <cell r="K46">
            <v>0</v>
          </cell>
          <cell r="L46">
            <v>0.84617170172403267</v>
          </cell>
          <cell r="M46">
            <v>0</v>
          </cell>
          <cell r="N46">
            <v>0.9204051477742291</v>
          </cell>
          <cell r="O46">
            <v>0</v>
          </cell>
          <cell r="P46">
            <v>1544.1629999999998</v>
          </cell>
          <cell r="Q46">
            <v>0</v>
          </cell>
          <cell r="R46">
            <v>2.2768451258060192</v>
          </cell>
          <cell r="S46">
            <v>0</v>
          </cell>
          <cell r="T46">
            <v>0.21063190867803475</v>
          </cell>
          <cell r="U46">
            <v>0</v>
          </cell>
          <cell r="V46">
            <v>556.96866198710893</v>
          </cell>
          <cell r="W46">
            <v>0</v>
          </cell>
          <cell r="X46">
            <v>505.65160543284605</v>
          </cell>
          <cell r="Y46">
            <v>0</v>
          </cell>
          <cell r="Z46">
            <v>0.81429519491858005</v>
          </cell>
          <cell r="AA46">
            <v>0</v>
          </cell>
          <cell r="AB46">
            <v>0.84116945725970971</v>
          </cell>
          <cell r="AC46">
            <v>0</v>
          </cell>
          <cell r="AD46">
            <v>1037.251</v>
          </cell>
          <cell r="AE46">
            <v>0</v>
          </cell>
          <cell r="AF46">
            <v>107.29574153254443</v>
          </cell>
          <cell r="AG46">
            <v>0</v>
          </cell>
          <cell r="AH46">
            <v>1.536754363215846</v>
          </cell>
          <cell r="AI46">
            <v>0</v>
          </cell>
          <cell r="AJ46">
            <v>927.08314573810958</v>
          </cell>
          <cell r="AK46">
            <v>0</v>
          </cell>
          <cell r="AL46">
            <v>0</v>
          </cell>
          <cell r="AM46">
            <v>0</v>
          </cell>
          <cell r="AN46">
            <v>0.88342597272628431</v>
          </cell>
          <cell r="AO46">
            <v>0</v>
          </cell>
          <cell r="AP46">
            <v>0.90448559347378232</v>
          </cell>
          <cell r="AQ46">
            <v>0</v>
          </cell>
          <cell r="AR46">
            <v>1294.864</v>
          </cell>
          <cell r="AS46">
            <v>0</v>
          </cell>
          <cell r="AT46">
            <v>106.60047579603155</v>
          </cell>
          <cell r="AU46">
            <v>0</v>
          </cell>
          <cell r="AV46">
            <v>1.7585630614489243</v>
          </cell>
          <cell r="AW46">
            <v>0</v>
          </cell>
          <cell r="AX46">
            <v>7.321232191179923E-2</v>
          </cell>
          <cell r="AY46">
            <v>0</v>
          </cell>
          <cell r="AZ46">
            <v>932.75272152133323</v>
          </cell>
          <cell r="BA46">
            <v>0</v>
          </cell>
          <cell r="BB46">
            <v>205.07134339976946</v>
          </cell>
          <cell r="BC46">
            <v>0</v>
          </cell>
          <cell r="BD46">
            <v>0</v>
          </cell>
          <cell r="BE46">
            <v>0</v>
          </cell>
          <cell r="BF46">
            <v>0.85694754288718977</v>
          </cell>
          <cell r="BG46">
            <v>0</v>
          </cell>
          <cell r="BH46">
            <v>0.88509205317544382</v>
          </cell>
          <cell r="BI46">
            <v>0</v>
          </cell>
          <cell r="BJ46">
            <v>1241.78</v>
          </cell>
          <cell r="BK46">
            <v>0</v>
          </cell>
          <cell r="BL46">
            <v>2.5784760585610975</v>
          </cell>
          <cell r="BM46">
            <v>0</v>
          </cell>
          <cell r="BN46">
            <v>0</v>
          </cell>
          <cell r="BO46">
            <v>0</v>
          </cell>
          <cell r="BP46">
            <v>1074.7242034080921</v>
          </cell>
          <cell r="BQ46">
            <v>0</v>
          </cell>
          <cell r="BR46">
            <v>0</v>
          </cell>
          <cell r="BS46">
            <v>0</v>
          </cell>
          <cell r="BT46">
            <v>0.52741321849552625</v>
          </cell>
          <cell r="BU46">
            <v>0</v>
          </cell>
          <cell r="BV46">
            <v>0.87317352495084033</v>
          </cell>
          <cell r="BW46">
            <v>0</v>
          </cell>
          <cell r="BX46">
            <v>769.93799999999987</v>
          </cell>
          <cell r="BY46">
            <v>0</v>
          </cell>
          <cell r="BZ46">
            <v>79.808070660850817</v>
          </cell>
          <cell r="CA46">
            <v>0</v>
          </cell>
          <cell r="CB46">
            <v>2.0515937646927416</v>
          </cell>
          <cell r="CC46">
            <v>0</v>
          </cell>
          <cell r="CD46">
            <v>7.8512815317597004E-2</v>
          </cell>
          <cell r="CE46">
            <v>0</v>
          </cell>
          <cell r="CF46">
            <v>1021.1664039077168</v>
          </cell>
          <cell r="CG46">
            <v>0</v>
          </cell>
          <cell r="CH46">
            <v>210.64553249742193</v>
          </cell>
          <cell r="CI46">
            <v>0</v>
          </cell>
          <cell r="CJ46">
            <v>0</v>
          </cell>
          <cell r="CK46">
            <v>0</v>
          </cell>
        </row>
      </sheetData>
      <sheetData sheetId="1">
        <row r="41">
          <cell r="P41">
            <v>1722.4600000000005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697</v>
          </cell>
        </row>
      </sheetData>
      <sheetData sheetId="13">
        <row r="6">
          <cell r="N6">
            <v>542</v>
          </cell>
        </row>
      </sheetData>
      <sheetData sheetId="14">
        <row r="6">
          <cell r="N6">
            <v>552</v>
          </cell>
        </row>
      </sheetData>
      <sheetData sheetId="15">
        <row r="6">
          <cell r="N6">
            <v>547</v>
          </cell>
        </row>
      </sheetData>
      <sheetData sheetId="16">
        <row r="6">
          <cell r="N6">
            <v>624</v>
          </cell>
        </row>
      </sheetData>
      <sheetData sheetId="17">
        <row r="6">
          <cell r="N6">
            <v>636</v>
          </cell>
        </row>
      </sheetData>
      <sheetData sheetId="18">
        <row r="6">
          <cell r="N6">
            <v>607</v>
          </cell>
        </row>
      </sheetData>
      <sheetData sheetId="19">
        <row r="6">
          <cell r="N6">
            <v>766</v>
          </cell>
        </row>
      </sheetData>
      <sheetData sheetId="20">
        <row r="6">
          <cell r="N6">
            <v>661</v>
          </cell>
        </row>
      </sheetData>
      <sheetData sheetId="21">
        <row r="6">
          <cell r="N6">
            <v>671</v>
          </cell>
        </row>
      </sheetData>
      <sheetData sheetId="22">
        <row r="6">
          <cell r="N6">
            <v>675</v>
          </cell>
        </row>
      </sheetData>
      <sheetData sheetId="23">
        <row r="6">
          <cell r="N6">
            <v>624</v>
          </cell>
        </row>
      </sheetData>
      <sheetData sheetId="24">
        <row r="6">
          <cell r="N6">
            <v>607</v>
          </cell>
        </row>
      </sheetData>
      <sheetData sheetId="25">
        <row r="6">
          <cell r="N6">
            <v>593</v>
          </cell>
        </row>
      </sheetData>
      <sheetData sheetId="26">
        <row r="6">
          <cell r="N6">
            <v>642</v>
          </cell>
        </row>
      </sheetData>
      <sheetData sheetId="27">
        <row r="6">
          <cell r="N6">
            <v>577</v>
          </cell>
        </row>
      </sheetData>
      <sheetData sheetId="28">
        <row r="6">
          <cell r="N6">
            <v>624</v>
          </cell>
        </row>
      </sheetData>
      <sheetData sheetId="29">
        <row r="6">
          <cell r="N6">
            <v>569</v>
          </cell>
        </row>
      </sheetData>
      <sheetData sheetId="30">
        <row r="6">
          <cell r="N6">
            <v>606</v>
          </cell>
        </row>
      </sheetData>
      <sheetData sheetId="31">
        <row r="6">
          <cell r="N6">
            <v>339</v>
          </cell>
        </row>
      </sheetData>
      <sheetData sheetId="32">
        <row r="6">
          <cell r="N6">
            <v>593</v>
          </cell>
        </row>
      </sheetData>
      <sheetData sheetId="33">
        <row r="6">
          <cell r="N6">
            <v>666</v>
          </cell>
        </row>
      </sheetData>
      <sheetData sheetId="34">
        <row r="6">
          <cell r="N6">
            <v>718</v>
          </cell>
        </row>
      </sheetData>
      <sheetData sheetId="35">
        <row r="6">
          <cell r="N6">
            <v>612</v>
          </cell>
        </row>
      </sheetData>
      <sheetData sheetId="36">
        <row r="6">
          <cell r="N6">
            <v>644</v>
          </cell>
        </row>
      </sheetData>
      <sheetData sheetId="37">
        <row r="6">
          <cell r="N6">
            <v>614</v>
          </cell>
        </row>
      </sheetData>
      <sheetData sheetId="38">
        <row r="6">
          <cell r="N6">
            <v>530</v>
          </cell>
        </row>
      </sheetData>
      <sheetData sheetId="39">
        <row r="6">
          <cell r="N6">
            <v>531</v>
          </cell>
        </row>
      </sheetData>
      <sheetData sheetId="40"/>
      <sheetData sheetId="41"/>
      <sheetData sheetId="4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7">
          <cell r="B47">
            <v>0.83356468968646791</v>
          </cell>
          <cell r="C47">
            <v>0</v>
          </cell>
          <cell r="D47">
            <v>0.83361178337123676</v>
          </cell>
          <cell r="E47">
            <v>0</v>
          </cell>
          <cell r="F47">
            <v>1793.9010000000003</v>
          </cell>
          <cell r="G47">
            <v>0</v>
          </cell>
          <cell r="H47">
            <v>2.2654867799282119</v>
          </cell>
          <cell r="I47">
            <v>0</v>
          </cell>
          <cell r="J47">
            <v>869.87488161275269</v>
          </cell>
          <cell r="K47">
            <v>0</v>
          </cell>
          <cell r="L47">
            <v>0.92571232966703221</v>
          </cell>
          <cell r="M47">
            <v>0</v>
          </cell>
          <cell r="N47">
            <v>0.92998023945781472</v>
          </cell>
          <cell r="O47">
            <v>0</v>
          </cell>
          <cell r="P47">
            <v>1900.5750000000003</v>
          </cell>
          <cell r="Q47">
            <v>0</v>
          </cell>
          <cell r="R47">
            <v>2.404628073083146</v>
          </cell>
          <cell r="S47">
            <v>0</v>
          </cell>
          <cell r="T47">
            <v>0.23240335161727366</v>
          </cell>
          <cell r="U47">
            <v>0</v>
          </cell>
          <cell r="V47">
            <v>527.49748365626192</v>
          </cell>
          <cell r="W47">
            <v>0</v>
          </cell>
          <cell r="X47">
            <v>446.15971482314541</v>
          </cell>
          <cell r="Y47">
            <v>0</v>
          </cell>
          <cell r="Z47">
            <v>0.89180765054163103</v>
          </cell>
          <cell r="AA47">
            <v>0</v>
          </cell>
          <cell r="AB47">
            <v>0.89180765054163103</v>
          </cell>
          <cell r="AC47">
            <v>0</v>
          </cell>
          <cell r="AD47">
            <v>1235.4100000000003</v>
          </cell>
          <cell r="AE47">
            <v>0</v>
          </cell>
          <cell r="AF47">
            <v>96.393123699060041</v>
          </cell>
          <cell r="AG47">
            <v>0</v>
          </cell>
          <cell r="AH47">
            <v>1.4614581394031132</v>
          </cell>
          <cell r="AI47">
            <v>0</v>
          </cell>
          <cell r="AJ47">
            <v>901.21823524174181</v>
          </cell>
          <cell r="AK47">
            <v>0</v>
          </cell>
          <cell r="AL47">
            <v>0</v>
          </cell>
          <cell r="AM47">
            <v>0</v>
          </cell>
          <cell r="AN47">
            <v>0.65645764284355046</v>
          </cell>
          <cell r="AO47">
            <v>0</v>
          </cell>
          <cell r="AP47">
            <v>0.84659221514529037</v>
          </cell>
          <cell r="AQ47">
            <v>0</v>
          </cell>
          <cell r="AR47">
            <v>1045.3910000000001</v>
          </cell>
          <cell r="AS47">
            <v>0</v>
          </cell>
          <cell r="AT47">
            <v>0</v>
          </cell>
          <cell r="AU47">
            <v>0</v>
          </cell>
          <cell r="AV47">
            <v>1.7690031768017898</v>
          </cell>
          <cell r="AW47">
            <v>0</v>
          </cell>
          <cell r="AX47">
            <v>9.0148088131617746E-2</v>
          </cell>
          <cell r="AY47">
            <v>0</v>
          </cell>
          <cell r="AZ47">
            <v>1055.9628120004859</v>
          </cell>
          <cell r="BA47">
            <v>0</v>
          </cell>
          <cell r="BB47">
            <v>340.1813292825363</v>
          </cell>
          <cell r="BC47">
            <v>0</v>
          </cell>
          <cell r="BD47">
            <v>7.6095929656941745</v>
          </cell>
          <cell r="BE47">
            <v>0</v>
          </cell>
          <cell r="BF47">
            <v>0.90491767701928916</v>
          </cell>
          <cell r="BG47">
            <v>0</v>
          </cell>
          <cell r="BH47">
            <v>0.90491767701928916</v>
          </cell>
          <cell r="BI47">
            <v>0</v>
          </cell>
          <cell r="BJ47">
            <v>1444.9050000000002</v>
          </cell>
          <cell r="BK47">
            <v>0</v>
          </cell>
          <cell r="BL47">
            <v>2.4918593263916997</v>
          </cell>
          <cell r="BM47">
            <v>0</v>
          </cell>
          <cell r="BN47">
            <v>0</v>
          </cell>
          <cell r="BO47">
            <v>0</v>
          </cell>
          <cell r="BP47">
            <v>1021.2881687593227</v>
          </cell>
          <cell r="BQ47">
            <v>0</v>
          </cell>
          <cell r="BR47">
            <v>0</v>
          </cell>
          <cell r="BS47">
            <v>0</v>
          </cell>
          <cell r="BT47">
            <v>0.83316575545335458</v>
          </cell>
          <cell r="BU47">
            <v>0</v>
          </cell>
          <cell r="BV47">
            <v>0.84218323358645453</v>
          </cell>
          <cell r="BW47">
            <v>0</v>
          </cell>
          <cell r="BX47">
            <v>1301.6999999999998</v>
          </cell>
          <cell r="BY47">
            <v>0</v>
          </cell>
          <cell r="BZ47">
            <v>87.852276445978333</v>
          </cell>
          <cell r="CA47">
            <v>0</v>
          </cell>
          <cell r="CB47">
            <v>1.9540600752861652</v>
          </cell>
          <cell r="CC47">
            <v>0</v>
          </cell>
          <cell r="CD47">
            <v>9.0078359068909902E-2</v>
          </cell>
          <cell r="CE47">
            <v>0</v>
          </cell>
          <cell r="CF47">
            <v>925.71845933687518</v>
          </cell>
          <cell r="CG47">
            <v>0</v>
          </cell>
          <cell r="CH47">
            <v>294.56672044249837</v>
          </cell>
          <cell r="CI47">
            <v>0</v>
          </cell>
          <cell r="CJ47">
            <v>8.7308903741261457</v>
          </cell>
          <cell r="CK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7">
          <cell r="D7">
            <v>285.95999999903142</v>
          </cell>
          <cell r="E7">
            <v>0</v>
          </cell>
          <cell r="F7">
            <v>100</v>
          </cell>
          <cell r="G7">
            <v>18014.040000000605</v>
          </cell>
          <cell r="H7">
            <v>5800.0000000001819</v>
          </cell>
          <cell r="I7">
            <v>13742.529999999273</v>
          </cell>
          <cell r="J7">
            <v>6332.5299999998733</v>
          </cell>
          <cell r="K7">
            <v>14199.999999998909</v>
          </cell>
          <cell r="L7">
            <v>540</v>
          </cell>
          <cell r="M7">
            <v>750</v>
          </cell>
        </row>
        <row r="8">
          <cell r="D8">
            <v>283.13000000081956</v>
          </cell>
          <cell r="E8">
            <v>0</v>
          </cell>
          <cell r="F8">
            <v>100</v>
          </cell>
          <cell r="G8">
            <v>17716.869999999544</v>
          </cell>
          <cell r="H8">
            <v>5800.0000000001819</v>
          </cell>
          <cell r="I8">
            <v>13610.2</v>
          </cell>
          <cell r="J8">
            <v>6480.1999999996233</v>
          </cell>
          <cell r="K8">
            <v>14300.000000001091</v>
          </cell>
          <cell r="L8">
            <v>530</v>
          </cell>
          <cell r="M8">
            <v>740</v>
          </cell>
        </row>
        <row r="9">
          <cell r="D9">
            <v>298.62999999895692</v>
          </cell>
          <cell r="E9">
            <v>0</v>
          </cell>
          <cell r="F9">
            <v>100</v>
          </cell>
          <cell r="G9">
            <v>17901.370000000315</v>
          </cell>
          <cell r="H9">
            <v>5500</v>
          </cell>
          <cell r="I9">
            <v>12536.139999999272</v>
          </cell>
          <cell r="J9">
            <v>6396.1399999990081</v>
          </cell>
          <cell r="K9">
            <v>13699.999999998909</v>
          </cell>
          <cell r="L9">
            <v>530</v>
          </cell>
          <cell r="M9">
            <v>720</v>
          </cell>
        </row>
        <row r="10">
          <cell r="D10">
            <v>310.59999999962747</v>
          </cell>
          <cell r="E10">
            <v>0</v>
          </cell>
          <cell r="F10">
            <v>100</v>
          </cell>
          <cell r="G10">
            <v>18289.4000000011</v>
          </cell>
          <cell r="H10">
            <v>5599.9999999994543</v>
          </cell>
          <cell r="I10">
            <v>12814.950000001092</v>
          </cell>
          <cell r="J10">
            <v>6884.9499999998916</v>
          </cell>
          <cell r="K10">
            <v>13900.000000001455</v>
          </cell>
          <cell r="L10">
            <v>500</v>
          </cell>
          <cell r="M10">
            <v>750</v>
          </cell>
        </row>
        <row r="11">
          <cell r="D11">
            <v>243.15000000037253</v>
          </cell>
          <cell r="E11">
            <v>0</v>
          </cell>
          <cell r="F11">
            <v>200</v>
          </cell>
          <cell r="G11">
            <v>17756.849999998536</v>
          </cell>
          <cell r="H11">
            <v>5500</v>
          </cell>
          <cell r="I11">
            <v>12866.409999999272</v>
          </cell>
          <cell r="J11">
            <v>7286.4100000004137</v>
          </cell>
          <cell r="K11">
            <v>13699.999999998909</v>
          </cell>
          <cell r="L11">
            <v>530</v>
          </cell>
          <cell r="M11">
            <v>730</v>
          </cell>
        </row>
        <row r="12">
          <cell r="D12">
            <v>232.21000000089407</v>
          </cell>
          <cell r="E12">
            <v>0</v>
          </cell>
          <cell r="F12">
            <v>100</v>
          </cell>
          <cell r="G12">
            <v>17467.790000000197</v>
          </cell>
          <cell r="H12">
            <v>5300.0000000001819</v>
          </cell>
          <cell r="I12">
            <v>11825.33</v>
          </cell>
          <cell r="J12">
            <v>6325.3300000001091</v>
          </cell>
          <cell r="K12">
            <v>12899.999999999636</v>
          </cell>
          <cell r="L12">
            <v>490</v>
          </cell>
          <cell r="M12">
            <v>700</v>
          </cell>
        </row>
        <row r="13">
          <cell r="D13">
            <v>301.67999999970198</v>
          </cell>
          <cell r="E13">
            <v>0</v>
          </cell>
          <cell r="F13">
            <v>100</v>
          </cell>
          <cell r="G13">
            <v>16198.320000000662</v>
          </cell>
          <cell r="H13">
            <v>4000</v>
          </cell>
          <cell r="I13">
            <v>9020.3100000003633</v>
          </cell>
          <cell r="J13">
            <v>6540.3100000002041</v>
          </cell>
          <cell r="K13">
            <v>10500</v>
          </cell>
          <cell r="L13">
            <v>440</v>
          </cell>
          <cell r="M13">
            <v>640</v>
          </cell>
        </row>
        <row r="14">
          <cell r="D14">
            <v>262.39000000059605</v>
          </cell>
          <cell r="E14">
            <v>0</v>
          </cell>
          <cell r="F14">
            <v>0</v>
          </cell>
          <cell r="G14">
            <v>15237.609999999404</v>
          </cell>
          <cell r="H14">
            <v>3600.0000000003638</v>
          </cell>
          <cell r="I14">
            <v>7479.3100000003642</v>
          </cell>
          <cell r="J14">
            <v>5459.3099999997721</v>
          </cell>
          <cell r="K14">
            <v>9100.0000000003638</v>
          </cell>
          <cell r="L14">
            <v>350</v>
          </cell>
          <cell r="M14">
            <v>420</v>
          </cell>
        </row>
        <row r="15">
          <cell r="D15">
            <v>337.69999999925494</v>
          </cell>
          <cell r="E15">
            <v>0</v>
          </cell>
          <cell r="F15">
            <v>120</v>
          </cell>
          <cell r="G15">
            <v>17842.300000000017</v>
          </cell>
          <cell r="H15">
            <v>4899.9999999996362</v>
          </cell>
          <cell r="I15">
            <v>9021.7299999989082</v>
          </cell>
          <cell r="J15">
            <v>7151.7300000002451</v>
          </cell>
          <cell r="K15">
            <v>12200.000000000728</v>
          </cell>
          <cell r="L15">
            <v>512.9199999999837</v>
          </cell>
          <cell r="M15">
            <v>692.27999999999884</v>
          </cell>
        </row>
        <row r="16">
          <cell r="D16">
            <v>327.03999999910593</v>
          </cell>
          <cell r="E16">
            <v>0</v>
          </cell>
          <cell r="F16">
            <v>80</v>
          </cell>
          <cell r="G16">
            <v>17892.960000000166</v>
          </cell>
          <cell r="H16">
            <v>6800.0000000001819</v>
          </cell>
          <cell r="I16">
            <v>12114.910000000364</v>
          </cell>
          <cell r="J16">
            <v>6384.9099999996224</v>
          </cell>
          <cell r="K16">
            <v>8500</v>
          </cell>
          <cell r="L16">
            <v>417.0800000000163</v>
          </cell>
          <cell r="M16">
            <v>547.72000000000116</v>
          </cell>
        </row>
        <row r="17">
          <cell r="D17">
            <v>352.6100000012666</v>
          </cell>
          <cell r="E17">
            <v>0</v>
          </cell>
          <cell r="F17">
            <v>100</v>
          </cell>
          <cell r="G17">
            <v>18247.389999999461</v>
          </cell>
          <cell r="H17">
            <v>8199.9999999998181</v>
          </cell>
          <cell r="I17">
            <v>14925.050000000363</v>
          </cell>
          <cell r="J17">
            <v>7435.0500000004222</v>
          </cell>
          <cell r="K17">
            <v>7799.9999999992724</v>
          </cell>
          <cell r="L17">
            <v>410</v>
          </cell>
          <cell r="M17">
            <v>580</v>
          </cell>
        </row>
        <row r="18">
          <cell r="D18">
            <v>253.91000000014901</v>
          </cell>
          <cell r="E18">
            <v>0</v>
          </cell>
          <cell r="F18">
            <v>0</v>
          </cell>
          <cell r="G18">
            <v>18646.089999999487</v>
          </cell>
          <cell r="H18">
            <v>8399.9999999996362</v>
          </cell>
          <cell r="I18">
            <v>14916.210000000727</v>
          </cell>
          <cell r="J18">
            <v>7226.2100000002993</v>
          </cell>
          <cell r="K18">
            <v>8500</v>
          </cell>
          <cell r="L18">
            <v>280</v>
          </cell>
          <cell r="M18">
            <v>450</v>
          </cell>
        </row>
        <row r="19">
          <cell r="D19">
            <v>223.91000000014901</v>
          </cell>
          <cell r="E19">
            <v>0</v>
          </cell>
          <cell r="F19">
            <v>100</v>
          </cell>
          <cell r="G19">
            <v>18076.089999999487</v>
          </cell>
          <cell r="H19">
            <v>8100.0000000003638</v>
          </cell>
          <cell r="I19">
            <v>13540.129999998544</v>
          </cell>
          <cell r="J19">
            <v>7080.129999999358</v>
          </cell>
          <cell r="K19">
            <v>7700.0000000007276</v>
          </cell>
          <cell r="L19">
            <v>350</v>
          </cell>
          <cell r="M19">
            <v>530</v>
          </cell>
        </row>
        <row r="20">
          <cell r="D20">
            <v>323.09999999962747</v>
          </cell>
          <cell r="E20">
            <v>0</v>
          </cell>
          <cell r="F20">
            <v>100</v>
          </cell>
          <cell r="G20">
            <v>17676.900000000736</v>
          </cell>
          <cell r="H20">
            <v>8300.0000000001819</v>
          </cell>
          <cell r="I20">
            <v>13839.82</v>
          </cell>
          <cell r="J20">
            <v>6889.8199999995177</v>
          </cell>
          <cell r="K20">
            <v>8100.0000000003638</v>
          </cell>
          <cell r="L20">
            <v>370</v>
          </cell>
          <cell r="M20">
            <v>670</v>
          </cell>
        </row>
        <row r="21">
          <cell r="D21">
            <v>329.60999999940395</v>
          </cell>
          <cell r="E21">
            <v>0</v>
          </cell>
          <cell r="F21">
            <v>100</v>
          </cell>
          <cell r="G21">
            <v>17170.39000000096</v>
          </cell>
          <cell r="H21">
            <v>8300.0000000001819</v>
          </cell>
          <cell r="I21">
            <v>14135.730000000363</v>
          </cell>
          <cell r="J21">
            <v>6755.7300000000996</v>
          </cell>
          <cell r="K21">
            <v>8199.9999999989086</v>
          </cell>
          <cell r="L21">
            <v>420</v>
          </cell>
          <cell r="M21">
            <v>670</v>
          </cell>
        </row>
        <row r="22">
          <cell r="D22">
            <v>328.34999999962747</v>
          </cell>
          <cell r="E22">
            <v>0</v>
          </cell>
          <cell r="F22">
            <v>100</v>
          </cell>
          <cell r="G22">
            <v>17371.649999999645</v>
          </cell>
          <cell r="H22">
            <v>8500</v>
          </cell>
          <cell r="I22">
            <v>14906.630000000727</v>
          </cell>
          <cell r="J22">
            <v>6826.6300000007541</v>
          </cell>
          <cell r="K22">
            <v>8500</v>
          </cell>
          <cell r="L22">
            <v>430</v>
          </cell>
          <cell r="M22">
            <v>650</v>
          </cell>
        </row>
        <row r="23">
          <cell r="D23">
            <v>311.5</v>
          </cell>
          <cell r="E23">
            <v>0</v>
          </cell>
          <cell r="F23">
            <v>100</v>
          </cell>
          <cell r="G23">
            <v>17288.500000000728</v>
          </cell>
          <cell r="H23">
            <v>8599.9999999994543</v>
          </cell>
          <cell r="I23">
            <v>15852.749999998909</v>
          </cell>
          <cell r="J23">
            <v>6862.749999999186</v>
          </cell>
          <cell r="K23">
            <v>8200.0000000007276</v>
          </cell>
          <cell r="L23">
            <v>390</v>
          </cell>
          <cell r="M23">
            <v>640</v>
          </cell>
        </row>
        <row r="24">
          <cell r="D24">
            <v>258.54000000096858</v>
          </cell>
          <cell r="E24">
            <v>0</v>
          </cell>
          <cell r="F24">
            <v>0</v>
          </cell>
          <cell r="G24">
            <v>18241.459999999031</v>
          </cell>
          <cell r="H24">
            <v>8500</v>
          </cell>
          <cell r="I24">
            <v>14732.37</v>
          </cell>
          <cell r="J24">
            <v>6382.3700000011968</v>
          </cell>
          <cell r="K24">
            <v>7500</v>
          </cell>
          <cell r="L24">
            <v>390</v>
          </cell>
          <cell r="M24">
            <v>600</v>
          </cell>
        </row>
        <row r="25">
          <cell r="D25">
            <v>296.75999999977648</v>
          </cell>
          <cell r="E25">
            <v>0</v>
          </cell>
          <cell r="F25">
            <v>100</v>
          </cell>
          <cell r="G25">
            <v>17603.240000000224</v>
          </cell>
          <cell r="H25">
            <v>8699.9999999998181</v>
          </cell>
          <cell r="I25">
            <v>16062.560000001455</v>
          </cell>
          <cell r="J25">
            <v>6902.5599999999586</v>
          </cell>
          <cell r="K25">
            <v>7799.9999999992724</v>
          </cell>
          <cell r="L25">
            <v>380</v>
          </cell>
          <cell r="M25">
            <v>640</v>
          </cell>
        </row>
        <row r="26">
          <cell r="D26">
            <v>292.12999999895692</v>
          </cell>
          <cell r="E26">
            <v>0</v>
          </cell>
          <cell r="F26">
            <v>100</v>
          </cell>
          <cell r="G26">
            <v>18607.870000001043</v>
          </cell>
          <cell r="H26">
            <v>8400.0000000005457</v>
          </cell>
          <cell r="I26">
            <v>14945.61</v>
          </cell>
          <cell r="J26">
            <v>6195.6099999989137</v>
          </cell>
          <cell r="K26">
            <v>7399.9999999996362</v>
          </cell>
          <cell r="L26">
            <v>350</v>
          </cell>
          <cell r="M26">
            <v>560</v>
          </cell>
        </row>
        <row r="27">
          <cell r="D27">
            <v>278</v>
          </cell>
          <cell r="E27">
            <v>0</v>
          </cell>
          <cell r="F27">
            <v>100</v>
          </cell>
          <cell r="G27">
            <v>17622</v>
          </cell>
          <cell r="H27">
            <v>8899.9999999996362</v>
          </cell>
          <cell r="I27">
            <v>15775.239999999272</v>
          </cell>
          <cell r="J27">
            <v>5595.240000001023</v>
          </cell>
          <cell r="K27">
            <v>7600.0000000003638</v>
          </cell>
          <cell r="L27">
            <v>330</v>
          </cell>
          <cell r="M27">
            <v>630</v>
          </cell>
        </row>
        <row r="28">
          <cell r="D28">
            <v>296.78000000119209</v>
          </cell>
          <cell r="E28">
            <v>0</v>
          </cell>
          <cell r="F28">
            <v>0</v>
          </cell>
          <cell r="G28">
            <v>17703.219999998808</v>
          </cell>
          <cell r="H28">
            <v>8600.0000000003638</v>
          </cell>
          <cell r="I28">
            <v>15932.490000000727</v>
          </cell>
          <cell r="J28">
            <v>5872.4899999990357</v>
          </cell>
          <cell r="K28">
            <v>8000</v>
          </cell>
          <cell r="L28">
            <v>350</v>
          </cell>
          <cell r="M28">
            <v>630</v>
          </cell>
        </row>
        <row r="29">
          <cell r="D29">
            <v>313.37999999895692</v>
          </cell>
          <cell r="E29">
            <v>0</v>
          </cell>
          <cell r="F29">
            <v>100</v>
          </cell>
          <cell r="G29">
            <v>18586.620000001043</v>
          </cell>
          <cell r="H29">
            <v>9000</v>
          </cell>
          <cell r="I29">
            <v>16376.729999999636</v>
          </cell>
          <cell r="J29">
            <v>5416.7299999999404</v>
          </cell>
          <cell r="K29">
            <v>7700.0000000007276</v>
          </cell>
          <cell r="L29">
            <v>270</v>
          </cell>
          <cell r="M29">
            <v>650</v>
          </cell>
        </row>
        <row r="30">
          <cell r="D30">
            <v>300.66000000014901</v>
          </cell>
          <cell r="E30">
            <v>0</v>
          </cell>
          <cell r="F30">
            <v>100</v>
          </cell>
          <cell r="G30">
            <v>18299.340000000579</v>
          </cell>
          <cell r="H30">
            <v>8699.9999999998181</v>
          </cell>
          <cell r="I30">
            <v>15917.850000000364</v>
          </cell>
          <cell r="J30">
            <v>5537.8500000014556</v>
          </cell>
          <cell r="K30">
            <v>7600.0000000003638</v>
          </cell>
          <cell r="L30">
            <v>400</v>
          </cell>
          <cell r="M30">
            <v>610</v>
          </cell>
        </row>
        <row r="31">
          <cell r="D31">
            <v>296.06000000052154</v>
          </cell>
          <cell r="E31">
            <v>0</v>
          </cell>
          <cell r="F31">
            <v>100</v>
          </cell>
          <cell r="G31">
            <v>18503.939999999115</v>
          </cell>
          <cell r="H31">
            <v>8199.9999999998181</v>
          </cell>
          <cell r="I31">
            <v>14164.41</v>
          </cell>
          <cell r="J31">
            <v>5924.4099999989448</v>
          </cell>
          <cell r="K31">
            <v>7500</v>
          </cell>
          <cell r="L31">
            <v>300</v>
          </cell>
          <cell r="M31">
            <v>180</v>
          </cell>
        </row>
        <row r="32">
          <cell r="D32">
            <v>306.66999999992549</v>
          </cell>
          <cell r="E32">
            <v>0</v>
          </cell>
          <cell r="F32">
            <v>100</v>
          </cell>
          <cell r="G32">
            <v>18293.330000000802</v>
          </cell>
          <cell r="H32">
            <v>8199.9999999998181</v>
          </cell>
          <cell r="I32">
            <v>14785.67</v>
          </cell>
          <cell r="J32">
            <v>6785.67</v>
          </cell>
          <cell r="K32">
            <v>7200.0000000007276</v>
          </cell>
          <cell r="L32">
            <v>300</v>
          </cell>
          <cell r="M32">
            <v>600</v>
          </cell>
        </row>
        <row r="33">
          <cell r="D33">
            <v>275.29000000096858</v>
          </cell>
          <cell r="E33">
            <v>0</v>
          </cell>
          <cell r="F33">
            <v>100</v>
          </cell>
          <cell r="G33">
            <v>18224.709999999395</v>
          </cell>
          <cell r="H33">
            <v>8199.9999999998181</v>
          </cell>
          <cell r="I33">
            <v>14325.67</v>
          </cell>
          <cell r="J33">
            <v>6325.67</v>
          </cell>
          <cell r="K33">
            <v>7200.0000000007276</v>
          </cell>
          <cell r="L33">
            <v>300</v>
          </cell>
          <cell r="M33">
            <v>600</v>
          </cell>
        </row>
        <row r="34">
          <cell r="D34">
            <v>314.16999999992549</v>
          </cell>
          <cell r="E34">
            <v>0</v>
          </cell>
          <cell r="F34">
            <v>100</v>
          </cell>
          <cell r="G34">
            <v>16485.829999997892</v>
          </cell>
          <cell r="H34">
            <v>7500.0000000009095</v>
          </cell>
          <cell r="I34">
            <v>13839.249999999272</v>
          </cell>
          <cell r="J34">
            <v>649.25000000061391</v>
          </cell>
          <cell r="K34">
            <v>8099.9999999985448</v>
          </cell>
          <cell r="L34">
            <v>470</v>
          </cell>
          <cell r="M34">
            <v>940</v>
          </cell>
        </row>
        <row r="35">
          <cell r="D35">
            <v>320.60999999940395</v>
          </cell>
          <cell r="E35">
            <v>0</v>
          </cell>
          <cell r="F35">
            <v>100</v>
          </cell>
          <cell r="G35">
            <v>17779.390000001324</v>
          </cell>
          <cell r="H35">
            <v>8000</v>
          </cell>
          <cell r="I35">
            <v>15458.449999999273</v>
          </cell>
          <cell r="J35">
            <v>6358.4500000000689</v>
          </cell>
          <cell r="K35">
            <v>7799.9999999992724</v>
          </cell>
          <cell r="L35">
            <v>410</v>
          </cell>
          <cell r="M35">
            <v>550</v>
          </cell>
        </row>
        <row r="36">
          <cell r="D36">
            <v>303.61999999918044</v>
          </cell>
          <cell r="E36">
            <v>0</v>
          </cell>
          <cell r="F36">
            <v>0</v>
          </cell>
          <cell r="G36">
            <v>17196.38000000082</v>
          </cell>
          <cell r="H36">
            <v>7500</v>
          </cell>
          <cell r="I36">
            <v>13451.320000000364</v>
          </cell>
          <cell r="J36">
            <v>4881.3199999987946</v>
          </cell>
          <cell r="K36">
            <v>7100.0000000003638</v>
          </cell>
          <cell r="L36">
            <v>400</v>
          </cell>
          <cell r="M36">
            <v>480</v>
          </cell>
        </row>
        <row r="37">
          <cell r="D37">
            <v>365.90000000037253</v>
          </cell>
          <cell r="E37">
            <v>0</v>
          </cell>
          <cell r="F37">
            <v>100</v>
          </cell>
          <cell r="G37">
            <v>18034.099999999627</v>
          </cell>
          <cell r="H37">
            <v>8000</v>
          </cell>
          <cell r="I37">
            <v>12682.010000001092</v>
          </cell>
          <cell r="J37">
            <v>4632.0100000014781</v>
          </cell>
          <cell r="K37">
            <v>7899.9999999996362</v>
          </cell>
          <cell r="L37">
            <v>370</v>
          </cell>
          <cell r="M37">
            <v>550</v>
          </cell>
        </row>
        <row r="38">
          <cell r="N38">
            <v>1724885.5399999993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K50"/>
  <sheetViews>
    <sheetView topLeftCell="BH22" zoomScale="115" zoomScaleNormal="115" workbookViewId="0">
      <selection activeCell="BW34" sqref="BW34"/>
    </sheetView>
  </sheetViews>
  <sheetFormatPr defaultRowHeight="12.75"/>
  <cols>
    <col min="1" max="1" width="11.5703125" style="595" customWidth="1"/>
    <col min="2" max="9" width="9.140625" style="591" customWidth="1"/>
    <col min="10" max="10" width="10.28515625" style="591" customWidth="1"/>
    <col min="11" max="11" width="9.140625" style="591" customWidth="1"/>
    <col min="12" max="23" width="9.42578125" style="591" customWidth="1"/>
    <col min="24" max="24" width="10.28515625" style="591" customWidth="1"/>
    <col min="25" max="25" width="9.42578125" style="591" customWidth="1"/>
    <col min="26" max="34" width="9.140625" style="591" customWidth="1"/>
    <col min="35" max="35" width="9.28515625" style="591" customWidth="1"/>
    <col min="36" max="36" width="10.28515625" style="591" customWidth="1"/>
    <col min="37" max="37" width="9.140625" style="591" customWidth="1"/>
    <col min="38" max="39" width="8.140625" style="591" customWidth="1"/>
    <col min="40" max="53" width="9.140625" style="591" customWidth="1"/>
    <col min="54" max="54" width="12.85546875" style="591" customWidth="1"/>
    <col min="55" max="55" width="9.140625" style="591" customWidth="1"/>
    <col min="56" max="56" width="7.7109375" style="591" customWidth="1"/>
    <col min="57" max="57" width="10.7109375" style="591" customWidth="1"/>
    <col min="58" max="71" width="9.140625" style="591" customWidth="1"/>
    <col min="72" max="87" width="9.140625" style="591"/>
    <col min="88" max="89" width="9.140625" style="591" customWidth="1"/>
    <col min="90" max="16384" width="9.140625" style="591"/>
  </cols>
  <sheetData>
    <row r="1" spans="1:89" ht="13.5" thickBot="1">
      <c r="A1" s="816" t="s">
        <v>29</v>
      </c>
      <c r="B1" s="819" t="s">
        <v>148</v>
      </c>
      <c r="C1" s="820"/>
      <c r="D1" s="820"/>
      <c r="E1" s="820"/>
      <c r="F1" s="820"/>
      <c r="G1" s="820"/>
      <c r="H1" s="820"/>
      <c r="I1" s="820"/>
      <c r="J1" s="820"/>
      <c r="K1" s="821"/>
      <c r="L1" s="822" t="s">
        <v>212</v>
      </c>
      <c r="M1" s="823"/>
      <c r="N1" s="823"/>
      <c r="O1" s="823"/>
      <c r="P1" s="823"/>
      <c r="Q1" s="823"/>
      <c r="R1" s="823"/>
      <c r="S1" s="823"/>
      <c r="T1" s="823"/>
      <c r="U1" s="823"/>
      <c r="V1" s="823"/>
      <c r="W1" s="823"/>
      <c r="X1" s="823"/>
      <c r="Y1" s="824"/>
      <c r="Z1" s="671" t="s">
        <v>313</v>
      </c>
      <c r="AA1" s="672"/>
      <c r="AB1" s="672"/>
      <c r="AC1" s="672"/>
      <c r="AD1" s="672"/>
      <c r="AE1" s="672"/>
      <c r="AF1" s="672"/>
      <c r="AG1" s="672"/>
      <c r="AH1" s="672"/>
      <c r="AI1" s="672"/>
      <c r="AJ1" s="672"/>
      <c r="AK1" s="672"/>
      <c r="AL1" s="672"/>
      <c r="AM1" s="673"/>
      <c r="AN1" s="677" t="s">
        <v>314</v>
      </c>
      <c r="AO1" s="678"/>
      <c r="AP1" s="678"/>
      <c r="AQ1" s="678"/>
      <c r="AR1" s="678"/>
      <c r="AS1" s="678"/>
      <c r="AT1" s="678"/>
      <c r="AU1" s="678"/>
      <c r="AV1" s="678"/>
      <c r="AW1" s="678"/>
      <c r="AX1" s="678"/>
      <c r="AY1" s="678"/>
      <c r="AZ1" s="678"/>
      <c r="BA1" s="678"/>
      <c r="BB1" s="678"/>
      <c r="BC1" s="678"/>
      <c r="BD1" s="678"/>
      <c r="BE1" s="679"/>
      <c r="BF1" s="825" t="s">
        <v>213</v>
      </c>
      <c r="BG1" s="826"/>
      <c r="BH1" s="826"/>
      <c r="BI1" s="826"/>
      <c r="BJ1" s="826"/>
      <c r="BK1" s="826"/>
      <c r="BL1" s="826"/>
      <c r="BM1" s="826"/>
      <c r="BN1" s="826"/>
      <c r="BO1" s="826"/>
      <c r="BP1" s="826"/>
      <c r="BQ1" s="826"/>
      <c r="BR1" s="826"/>
      <c r="BS1" s="827"/>
      <c r="BT1" s="645" t="s">
        <v>315</v>
      </c>
      <c r="BU1" s="646"/>
      <c r="BV1" s="646"/>
      <c r="BW1" s="646"/>
      <c r="BX1" s="646"/>
      <c r="BY1" s="646"/>
      <c r="BZ1" s="646"/>
      <c r="CA1" s="646"/>
      <c r="CB1" s="646"/>
      <c r="CC1" s="646"/>
      <c r="CD1" s="646"/>
      <c r="CE1" s="646"/>
      <c r="CF1" s="646"/>
      <c r="CG1" s="646"/>
      <c r="CH1" s="646"/>
      <c r="CI1" s="646"/>
      <c r="CJ1" s="646"/>
      <c r="CK1" s="647"/>
    </row>
    <row r="2" spans="1:89">
      <c r="A2" s="817"/>
      <c r="B2" s="813" t="s">
        <v>403</v>
      </c>
      <c r="C2" s="802"/>
      <c r="D2" s="801" t="s">
        <v>404</v>
      </c>
      <c r="E2" s="802"/>
      <c r="F2" s="801" t="s">
        <v>214</v>
      </c>
      <c r="G2" s="802"/>
      <c r="H2" s="801" t="s">
        <v>215</v>
      </c>
      <c r="I2" s="802"/>
      <c r="J2" s="801" t="s">
        <v>216</v>
      </c>
      <c r="K2" s="814"/>
      <c r="L2" s="813" t="s">
        <v>403</v>
      </c>
      <c r="M2" s="802"/>
      <c r="N2" s="801" t="s">
        <v>404</v>
      </c>
      <c r="O2" s="802"/>
      <c r="P2" s="801" t="s">
        <v>214</v>
      </c>
      <c r="Q2" s="802"/>
      <c r="R2" s="801" t="s">
        <v>316</v>
      </c>
      <c r="S2" s="802"/>
      <c r="T2" s="801" t="s">
        <v>317</v>
      </c>
      <c r="U2" s="802"/>
      <c r="V2" s="801" t="s">
        <v>216</v>
      </c>
      <c r="W2" s="802"/>
      <c r="X2" s="801" t="s">
        <v>318</v>
      </c>
      <c r="Y2" s="814"/>
      <c r="Z2" s="813" t="s">
        <v>403</v>
      </c>
      <c r="AA2" s="802"/>
      <c r="AB2" s="801" t="s">
        <v>404</v>
      </c>
      <c r="AC2" s="802"/>
      <c r="AD2" s="801" t="s">
        <v>214</v>
      </c>
      <c r="AE2" s="802"/>
      <c r="AF2" s="801" t="s">
        <v>319</v>
      </c>
      <c r="AG2" s="802"/>
      <c r="AH2" s="801" t="s">
        <v>217</v>
      </c>
      <c r="AI2" s="802"/>
      <c r="AJ2" s="801" t="s">
        <v>218</v>
      </c>
      <c r="AK2" s="814"/>
      <c r="AL2" s="803" t="s">
        <v>426</v>
      </c>
      <c r="AM2" s="804"/>
      <c r="AN2" s="813" t="s">
        <v>403</v>
      </c>
      <c r="AO2" s="802"/>
      <c r="AP2" s="801" t="s">
        <v>404</v>
      </c>
      <c r="AQ2" s="802"/>
      <c r="AR2" s="801" t="s">
        <v>214</v>
      </c>
      <c r="AS2" s="802"/>
      <c r="AT2" s="801" t="s">
        <v>319</v>
      </c>
      <c r="AU2" s="802"/>
      <c r="AV2" s="801" t="s">
        <v>217</v>
      </c>
      <c r="AW2" s="802"/>
      <c r="AX2" s="801" t="s">
        <v>320</v>
      </c>
      <c r="AY2" s="802"/>
      <c r="AZ2" s="801" t="s">
        <v>218</v>
      </c>
      <c r="BA2" s="802"/>
      <c r="BB2" s="801" t="s">
        <v>321</v>
      </c>
      <c r="BC2" s="814"/>
      <c r="BD2" s="648" t="s">
        <v>426</v>
      </c>
      <c r="BE2" s="649"/>
      <c r="BF2" s="813" t="s">
        <v>403</v>
      </c>
      <c r="BG2" s="802"/>
      <c r="BH2" s="801" t="s">
        <v>404</v>
      </c>
      <c r="BI2" s="802"/>
      <c r="BJ2" s="801" t="s">
        <v>214</v>
      </c>
      <c r="BK2" s="802"/>
      <c r="BL2" s="801" t="s">
        <v>217</v>
      </c>
      <c r="BM2" s="802"/>
      <c r="BN2" s="801" t="s">
        <v>317</v>
      </c>
      <c r="BO2" s="802"/>
      <c r="BP2" s="801" t="s">
        <v>218</v>
      </c>
      <c r="BQ2" s="802"/>
      <c r="BR2" s="801" t="s">
        <v>318</v>
      </c>
      <c r="BS2" s="814"/>
      <c r="BT2" s="813" t="s">
        <v>403</v>
      </c>
      <c r="BU2" s="802"/>
      <c r="BV2" s="801" t="s">
        <v>404</v>
      </c>
      <c r="BW2" s="802"/>
      <c r="BX2" s="801" t="s">
        <v>214</v>
      </c>
      <c r="BY2" s="802"/>
      <c r="BZ2" s="801" t="s">
        <v>319</v>
      </c>
      <c r="CA2" s="802"/>
      <c r="CB2" s="801" t="s">
        <v>217</v>
      </c>
      <c r="CC2" s="802"/>
      <c r="CD2" s="801" t="s">
        <v>320</v>
      </c>
      <c r="CE2" s="802"/>
      <c r="CF2" s="801" t="s">
        <v>218</v>
      </c>
      <c r="CG2" s="802"/>
      <c r="CH2" s="648" t="s">
        <v>321</v>
      </c>
      <c r="CI2" s="648"/>
      <c r="CJ2" s="648" t="s">
        <v>427</v>
      </c>
      <c r="CK2" s="649"/>
    </row>
    <row r="3" spans="1:89" ht="13.5" thickBot="1">
      <c r="A3" s="818"/>
      <c r="B3" s="508" t="s">
        <v>219</v>
      </c>
      <c r="C3" s="509" t="s">
        <v>220</v>
      </c>
      <c r="D3" s="509" t="s">
        <v>219</v>
      </c>
      <c r="E3" s="509" t="s">
        <v>220</v>
      </c>
      <c r="F3" s="509" t="s">
        <v>219</v>
      </c>
      <c r="G3" s="509" t="s">
        <v>220</v>
      </c>
      <c r="H3" s="509" t="s">
        <v>219</v>
      </c>
      <c r="I3" s="509" t="s">
        <v>220</v>
      </c>
      <c r="J3" s="509" t="s">
        <v>219</v>
      </c>
      <c r="K3" s="510" t="s">
        <v>220</v>
      </c>
      <c r="L3" s="508" t="s">
        <v>219</v>
      </c>
      <c r="M3" s="509" t="s">
        <v>220</v>
      </c>
      <c r="N3" s="509" t="s">
        <v>219</v>
      </c>
      <c r="O3" s="509" t="s">
        <v>220</v>
      </c>
      <c r="P3" s="552" t="s">
        <v>219</v>
      </c>
      <c r="Q3" s="552" t="s">
        <v>220</v>
      </c>
      <c r="R3" s="552" t="s">
        <v>219</v>
      </c>
      <c r="S3" s="552" t="s">
        <v>220</v>
      </c>
      <c r="T3" s="552" t="s">
        <v>219</v>
      </c>
      <c r="U3" s="552" t="s">
        <v>220</v>
      </c>
      <c r="V3" s="552" t="s">
        <v>219</v>
      </c>
      <c r="W3" s="552" t="s">
        <v>220</v>
      </c>
      <c r="X3" s="552" t="s">
        <v>219</v>
      </c>
      <c r="Y3" s="553" t="s">
        <v>220</v>
      </c>
      <c r="Z3" s="564" t="s">
        <v>219</v>
      </c>
      <c r="AA3" s="552" t="s">
        <v>220</v>
      </c>
      <c r="AB3" s="552" t="s">
        <v>219</v>
      </c>
      <c r="AC3" s="552" t="s">
        <v>220</v>
      </c>
      <c r="AD3" s="552" t="s">
        <v>219</v>
      </c>
      <c r="AE3" s="552" t="s">
        <v>220</v>
      </c>
      <c r="AF3" s="552" t="s">
        <v>219</v>
      </c>
      <c r="AG3" s="552" t="s">
        <v>220</v>
      </c>
      <c r="AH3" s="552" t="s">
        <v>219</v>
      </c>
      <c r="AI3" s="552" t="s">
        <v>220</v>
      </c>
      <c r="AJ3" s="552" t="s">
        <v>219</v>
      </c>
      <c r="AK3" s="587" t="s">
        <v>220</v>
      </c>
      <c r="AL3" s="509" t="s">
        <v>219</v>
      </c>
      <c r="AM3" s="598" t="s">
        <v>220</v>
      </c>
      <c r="AN3" s="564" t="s">
        <v>219</v>
      </c>
      <c r="AO3" s="552" t="s">
        <v>220</v>
      </c>
      <c r="AP3" s="552" t="s">
        <v>219</v>
      </c>
      <c r="AQ3" s="552" t="s">
        <v>220</v>
      </c>
      <c r="AR3" s="552" t="s">
        <v>219</v>
      </c>
      <c r="AS3" s="552" t="s">
        <v>220</v>
      </c>
      <c r="AT3" s="552" t="s">
        <v>219</v>
      </c>
      <c r="AU3" s="552" t="s">
        <v>220</v>
      </c>
      <c r="AV3" s="552" t="s">
        <v>219</v>
      </c>
      <c r="AW3" s="552" t="s">
        <v>220</v>
      </c>
      <c r="AX3" s="552" t="s">
        <v>219</v>
      </c>
      <c r="AY3" s="552" t="s">
        <v>220</v>
      </c>
      <c r="AZ3" s="552" t="s">
        <v>219</v>
      </c>
      <c r="BA3" s="552" t="s">
        <v>220</v>
      </c>
      <c r="BB3" s="552" t="s">
        <v>219</v>
      </c>
      <c r="BC3" s="553" t="s">
        <v>220</v>
      </c>
      <c r="BD3" s="601" t="s">
        <v>219</v>
      </c>
      <c r="BE3" s="602" t="s">
        <v>220</v>
      </c>
      <c r="BF3" s="564" t="s">
        <v>219</v>
      </c>
      <c r="BG3" s="552" t="s">
        <v>220</v>
      </c>
      <c r="BH3" s="552" t="s">
        <v>219</v>
      </c>
      <c r="BI3" s="552" t="s">
        <v>220</v>
      </c>
      <c r="BJ3" s="552" t="s">
        <v>219</v>
      </c>
      <c r="BK3" s="552" t="s">
        <v>220</v>
      </c>
      <c r="BL3" s="552" t="s">
        <v>219</v>
      </c>
      <c r="BM3" s="552" t="s">
        <v>220</v>
      </c>
      <c r="BN3" s="552" t="s">
        <v>219</v>
      </c>
      <c r="BO3" s="552" t="s">
        <v>220</v>
      </c>
      <c r="BP3" s="552" t="s">
        <v>219</v>
      </c>
      <c r="BQ3" s="552" t="s">
        <v>220</v>
      </c>
      <c r="BR3" s="552" t="s">
        <v>219</v>
      </c>
      <c r="BS3" s="553" t="s">
        <v>220</v>
      </c>
      <c r="BT3" s="508" t="s">
        <v>219</v>
      </c>
      <c r="BU3" s="509" t="s">
        <v>220</v>
      </c>
      <c r="BV3" s="509" t="s">
        <v>219</v>
      </c>
      <c r="BW3" s="509" t="s">
        <v>220</v>
      </c>
      <c r="BX3" s="509" t="s">
        <v>219</v>
      </c>
      <c r="BY3" s="509" t="s">
        <v>220</v>
      </c>
      <c r="BZ3" s="509" t="s">
        <v>219</v>
      </c>
      <c r="CA3" s="509" t="s">
        <v>220</v>
      </c>
      <c r="CB3" s="509" t="s">
        <v>219</v>
      </c>
      <c r="CC3" s="509" t="s">
        <v>220</v>
      </c>
      <c r="CD3" s="509" t="s">
        <v>219</v>
      </c>
      <c r="CE3" s="509" t="s">
        <v>220</v>
      </c>
      <c r="CF3" s="509" t="s">
        <v>219</v>
      </c>
      <c r="CG3" s="509" t="s">
        <v>220</v>
      </c>
      <c r="CH3" s="509" t="s">
        <v>219</v>
      </c>
      <c r="CI3" s="509" t="s">
        <v>220</v>
      </c>
      <c r="CJ3" s="509" t="s">
        <v>219</v>
      </c>
      <c r="CK3" s="510" t="s">
        <v>220</v>
      </c>
    </row>
    <row r="4" spans="1:89" ht="14.25" customHeight="1" thickTop="1">
      <c r="A4" s="566">
        <v>45839</v>
      </c>
      <c r="B4" s="519">
        <f>+Report1!J9</f>
        <v>0.9909427254801737</v>
      </c>
      <c r="C4" s="520">
        <f>+Report1!K9</f>
        <v>0.9909427254801737</v>
      </c>
      <c r="D4" s="520">
        <f>+Report1!AJ9</f>
        <v>0.9909427254801737</v>
      </c>
      <c r="E4" s="520">
        <f>+Report1!AK9</f>
        <v>0.9909427254801737</v>
      </c>
      <c r="F4" s="521">
        <f>+Report1!R9</f>
        <v>68.671999999999997</v>
      </c>
      <c r="G4" s="521">
        <f>+Report1!S9</f>
        <v>68.671999999999997</v>
      </c>
      <c r="H4" s="521">
        <f>+Report1!X9</f>
        <v>2.0336381640260952</v>
      </c>
      <c r="I4" s="521">
        <f>+Report1!Y9</f>
        <v>2.0336381640260952</v>
      </c>
      <c r="J4" s="521">
        <f>+Report1!AD9</f>
        <v>870.29735554516935</v>
      </c>
      <c r="K4" s="554">
        <f>+Report1!AE9</f>
        <v>870.29735554516935</v>
      </c>
      <c r="L4" s="519">
        <f>+[1]Report1!J9</f>
        <v>0.872838230792776</v>
      </c>
      <c r="M4" s="520">
        <f>+[1]Report1!K9</f>
        <v>0.872838230792776</v>
      </c>
      <c r="N4" s="520">
        <f>+[1]Report1!BJ9</f>
        <v>0.90228790548571269</v>
      </c>
      <c r="O4" s="520">
        <f>+[1]Report1!BK9</f>
        <v>0.90228790548571269</v>
      </c>
      <c r="P4" s="521">
        <f>+[1]Report1!R9</f>
        <v>59.786999999999999</v>
      </c>
      <c r="Q4" s="521">
        <f>+[1]Report1!S9</f>
        <v>59.786999999999999</v>
      </c>
      <c r="R4" s="521">
        <f>+[1]Report1!AL9</f>
        <v>2.0316791275695385</v>
      </c>
      <c r="S4" s="521">
        <f>+[1]Report1!AM9</f>
        <v>2.0316791275695385</v>
      </c>
      <c r="T4" s="521">
        <f>+[1]Report1!AR9</f>
        <v>0.26761670597287035</v>
      </c>
      <c r="U4" s="521">
        <f>+[1]Report1!AS9</f>
        <v>0.26761670597287035</v>
      </c>
      <c r="V4" s="521">
        <f>+[1]Report1!AX9</f>
        <v>622.43614832658352</v>
      </c>
      <c r="W4" s="521">
        <f>+[1]Report1!AY9</f>
        <v>622.43614832658352</v>
      </c>
      <c r="X4" s="521">
        <f>+[1]Report1!BD9</f>
        <v>530.73410607657183</v>
      </c>
      <c r="Y4" s="521">
        <f>+[1]Report1!BE9</f>
        <v>530.73410607657183</v>
      </c>
      <c r="Z4" s="519">
        <f>+[2]Report1!J9</f>
        <v>0.79605809707092079</v>
      </c>
      <c r="AA4" s="617">
        <f>+[2]Report1!K9</f>
        <v>0.79605809707092079</v>
      </c>
      <c r="AB4" s="520">
        <f>+[2]Report1!BC9</f>
        <v>0.84102784932927188</v>
      </c>
      <c r="AC4" s="520">
        <f>+[2]Report1!BD9</f>
        <v>0.84102784932927188</v>
      </c>
      <c r="AD4" s="521">
        <f>+[2]Report1!R9</f>
        <v>35.332000000000001</v>
      </c>
      <c r="AE4" s="521">
        <f>+[2]Report1!S9</f>
        <v>35.332000000000001</v>
      </c>
      <c r="AF4" s="521">
        <f>+[2]Report1!X9</f>
        <v>111.72372702149258</v>
      </c>
      <c r="AG4" s="521">
        <f>+[2]Report1!Y9</f>
        <v>111.72372702149258</v>
      </c>
      <c r="AH4" s="521">
        <f>+[2]Report1!AD9</f>
        <v>1.6330804936035324</v>
      </c>
      <c r="AI4" s="521">
        <f>+[2]Report1!AE9</f>
        <v>1.6330804936035324</v>
      </c>
      <c r="AJ4" s="521">
        <f>+[2]Report1!AJ9</f>
        <v>1031.502886901382</v>
      </c>
      <c r="AK4" s="521">
        <f>+[2]Report1!AK9</f>
        <v>1031.502886901382</v>
      </c>
      <c r="AL4" s="599">
        <f>+[3]Report1!AP9</f>
        <v>0</v>
      </c>
      <c r="AM4" s="600">
        <f>+[3]Report1!AQ9</f>
        <v>0</v>
      </c>
      <c r="AN4" s="519">
        <f>+[4]Report1!J9</f>
        <v>0.55958666170274241</v>
      </c>
      <c r="AO4" s="617">
        <f>+[4]Report1!K9</f>
        <v>0.55958666170274241</v>
      </c>
      <c r="AP4" s="520">
        <f>+[4]Report1!BN9</f>
        <v>0.55958666170274241</v>
      </c>
      <c r="AQ4" s="520">
        <f>+[4]Report1!BO9</f>
        <v>0.55958666170274241</v>
      </c>
      <c r="AR4" s="521">
        <f>+[4]Report1!R9</f>
        <v>28.594999999999999</v>
      </c>
      <c r="AS4" s="521">
        <f>+[4]Report1!S9</f>
        <v>28.594999999999999</v>
      </c>
      <c r="AT4" s="522">
        <f>+[4]Report1!AF9</f>
        <v>151.92344940520624</v>
      </c>
      <c r="AU4" s="522">
        <f>+[4]Report1!AG9</f>
        <v>151.92344940520624</v>
      </c>
      <c r="AV4" s="521">
        <f>+[4]Report1!AL9</f>
        <v>2.0108410561286938</v>
      </c>
      <c r="AW4" s="521">
        <f>+[4]Report1!AM9</f>
        <v>2.0108410561286938</v>
      </c>
      <c r="AX4" s="521">
        <f>+[4]Report1!AR9</f>
        <v>0.26927784577723379</v>
      </c>
      <c r="AY4" s="521">
        <f>+[4]Report1!AS9</f>
        <v>0.26927784577723379</v>
      </c>
      <c r="AZ4" s="521">
        <f>+[4]Report1!AX9</f>
        <v>1170.3115929358303</v>
      </c>
      <c r="BA4" s="521">
        <f>+[4]Report1!AY9</f>
        <v>1170.3115929358303</v>
      </c>
      <c r="BB4" s="521">
        <f>+[4]Report1!BD9</f>
        <v>758.87392900858549</v>
      </c>
      <c r="BC4" s="521">
        <f>+[4]Report1!BE9</f>
        <v>758.87392900858549</v>
      </c>
      <c r="BD4" s="521">
        <f>+[4]Report1!BJ9</f>
        <v>0</v>
      </c>
      <c r="BE4" s="521">
        <f>+[4]Report1!BK9</f>
        <v>0</v>
      </c>
      <c r="BF4" s="519">
        <f>+[5]Report1!J9</f>
        <v>0.69481653843793756</v>
      </c>
      <c r="BG4" s="520">
        <f>+[5]Report1!K9</f>
        <v>0.69481653843793756</v>
      </c>
      <c r="BH4" s="520">
        <f>+[5]Report1!AN9</f>
        <v>0.69481653843793756</v>
      </c>
      <c r="BI4" s="520">
        <f>+[5]Report1!AO9</f>
        <v>0.69481653843793756</v>
      </c>
      <c r="BJ4" s="521">
        <f>+[5]Report1!R9</f>
        <v>36.506</v>
      </c>
      <c r="BK4" s="521">
        <f>+[5]Report1!S9</f>
        <v>36.506</v>
      </c>
      <c r="BL4" s="521">
        <f>+[5]Report1!AD9</f>
        <v>3.6487152796800522</v>
      </c>
      <c r="BM4" s="521">
        <f>+[5]Report1!AE9</f>
        <v>3.6487152796800522</v>
      </c>
      <c r="BN4" s="522">
        <v>0</v>
      </c>
      <c r="BO4" s="522">
        <v>0</v>
      </c>
      <c r="BP4" s="522">
        <f>+[5]Report1!AJ9</f>
        <v>1068.8222483975085</v>
      </c>
      <c r="BQ4" s="522">
        <f>+[5]Report1!AK9</f>
        <v>1068.8222483975085</v>
      </c>
      <c r="BR4" s="522">
        <v>0</v>
      </c>
      <c r="BS4" s="523">
        <v>0</v>
      </c>
      <c r="BT4" s="519">
        <f>+[6]Report1!J9</f>
        <v>0.43564257949291446</v>
      </c>
      <c r="BU4" s="619">
        <f>+[6]Report1!K9</f>
        <v>0.43564257949291446</v>
      </c>
      <c r="BV4" s="603">
        <f>+[6]Report1!BG9</f>
        <v>0.48843090226310182</v>
      </c>
      <c r="BW4" s="603">
        <f>+[6]Report1!BH9</f>
        <v>0.48843090226310182</v>
      </c>
      <c r="BX4" s="599">
        <f>+[6]Report1!R9</f>
        <v>20.062000000000001</v>
      </c>
      <c r="BY4" s="599">
        <f>+[6]Report1!S9</f>
        <v>20.062000000000001</v>
      </c>
      <c r="BZ4" s="604">
        <f>+[6]Report1!X9</f>
        <v>132.60523582567797</v>
      </c>
      <c r="CA4" s="604">
        <f>+[6]Report1!Y9</f>
        <v>132.60523582567797</v>
      </c>
      <c r="CB4" s="599">
        <f>+[6]Report1!AD9</f>
        <v>3.160203369554381</v>
      </c>
      <c r="CC4" s="599">
        <f>+[6]Report1!AE9</f>
        <v>3.160203369554381</v>
      </c>
      <c r="CD4" s="604">
        <f>+[6]Report1!AJ9</f>
        <v>0</v>
      </c>
      <c r="CE4" s="604">
        <f>+[6]Report1!AK9</f>
        <v>0</v>
      </c>
      <c r="CF4" s="604">
        <f>+[6]Report1!AP9</f>
        <v>1533.8333665636283</v>
      </c>
      <c r="CG4" s="604">
        <f>+[6]Report1!AQ9</f>
        <v>1533.8333665636283</v>
      </c>
      <c r="CH4" s="604">
        <f>+[6]Report1!AV9</f>
        <v>0</v>
      </c>
      <c r="CI4" s="604">
        <f>+[6]Report1!AW9</f>
        <v>0</v>
      </c>
      <c r="CJ4" s="604">
        <f>+[6]Report1!BB9</f>
        <v>0</v>
      </c>
      <c r="CK4" s="604">
        <f>+[6]Report1!BC9</f>
        <v>0</v>
      </c>
    </row>
    <row r="5" spans="1:89" ht="14.25" customHeight="1">
      <c r="A5" s="567">
        <f>1+A4</f>
        <v>45840</v>
      </c>
      <c r="B5" s="513">
        <f>+Report1!J10</f>
        <v>0.99122113681913193</v>
      </c>
      <c r="C5" s="514">
        <f>+Report1!K10</f>
        <v>0.99108287285882679</v>
      </c>
      <c r="D5" s="514">
        <f>+Report1!AJ10</f>
        <v>0.99815275316052443</v>
      </c>
      <c r="E5" s="514">
        <f>+Report1!AK10</f>
        <v>0.99455956604900142</v>
      </c>
      <c r="F5" s="511">
        <f>+Report1!R10</f>
        <v>69.626999999999995</v>
      </c>
      <c r="G5" s="511">
        <f>+Report1!S10</f>
        <v>138.29899999999998</v>
      </c>
      <c r="H5" s="511">
        <f>+Report1!X10</f>
        <v>2.0488316314073565</v>
      </c>
      <c r="I5" s="511">
        <f>+Report1!Y10</f>
        <v>2.0412873556569466</v>
      </c>
      <c r="J5" s="511">
        <f>+Report1!AD10</f>
        <v>855.42102919846127</v>
      </c>
      <c r="K5" s="512">
        <f>+Report1!AE10</f>
        <v>862.80782941307734</v>
      </c>
      <c r="L5" s="513">
        <f>+[1]Report1!J10</f>
        <v>0.96540933835973952</v>
      </c>
      <c r="M5" s="514">
        <f>+[1]Report1!K10</f>
        <v>0.91888568371748258</v>
      </c>
      <c r="N5" s="514">
        <f>+[1]Report1!BJ10</f>
        <v>0.99655157508102143</v>
      </c>
      <c r="O5" s="514">
        <f>+[1]Report1!BK10</f>
        <v>0.94921109573780504</v>
      </c>
      <c r="P5" s="511">
        <f>+[1]Report1!R10</f>
        <v>65.450999999999993</v>
      </c>
      <c r="Q5" s="511">
        <f>+[1]Report1!S10</f>
        <v>125.238</v>
      </c>
      <c r="R5" s="511">
        <f>+[1]Report1!AL10</f>
        <v>2.1193564651418622</v>
      </c>
      <c r="S5" s="511">
        <f>+[1]Report1!AM10</f>
        <v>2.0775004391638321</v>
      </c>
      <c r="T5" s="511">
        <f>+[1]Report1!AR10</f>
        <v>0.22917908053352892</v>
      </c>
      <c r="U5" s="511">
        <f>+[1]Report1!AS10</f>
        <v>0.24752870534502308</v>
      </c>
      <c r="V5" s="511">
        <f>+[1]Report1!AX10</f>
        <v>610.97003865484851</v>
      </c>
      <c r="W5" s="511">
        <f>+[1]Report1!AY10</f>
        <v>616.44381098388624</v>
      </c>
      <c r="X5" s="511">
        <f>+[1]Report1!BD10</f>
        <v>452.68979847519523</v>
      </c>
      <c r="Y5" s="588">
        <f>+[1]Report1!BE10</f>
        <v>489.94714064421339</v>
      </c>
      <c r="Z5" s="513">
        <f>+[2]Report1!J10</f>
        <v>0.8370307996553662</v>
      </c>
      <c r="AA5" s="618">
        <f>+[2]Report1!K10</f>
        <v>0.81659189458267634</v>
      </c>
      <c r="AB5" s="514">
        <f>+[2]Report1!BC10</f>
        <v>0.8370307996553662</v>
      </c>
      <c r="AC5" s="514">
        <f>+[2]Report1!BD10</f>
        <v>0.83896980145408628</v>
      </c>
      <c r="AD5" s="511">
        <f>+[2]Report1!R10</f>
        <v>37.323</v>
      </c>
      <c r="AE5" s="511">
        <f>+[2]Report1!S10</f>
        <v>72.655000000000001</v>
      </c>
      <c r="AF5" s="511">
        <f>+[2]Report1!X10</f>
        <v>100.50053641630683</v>
      </c>
      <c r="AG5" s="511">
        <f>+[2]Report1!Y10</f>
        <v>105.95835446685287</v>
      </c>
      <c r="AH5" s="511">
        <f>+[2]Report1!AD10</f>
        <v>1.5888326233153818</v>
      </c>
      <c r="AI5" s="511">
        <f>+[2]Report1!AE10</f>
        <v>1.6103502855963112</v>
      </c>
      <c r="AJ5" s="511">
        <f>+[2]Report1!AJ10</f>
        <v>926.51716099991472</v>
      </c>
      <c r="AK5" s="511">
        <f>+[2]Report1!AK10</f>
        <v>977.57153671460264</v>
      </c>
      <c r="AL5" s="599">
        <f>+[3]Report1!AP10</f>
        <v>0</v>
      </c>
      <c r="AM5" s="600">
        <f>+[3]Report1!AQ10</f>
        <v>0</v>
      </c>
      <c r="AN5" s="513">
        <f>+[4]Report1!J10</f>
        <v>0.59463543635249294</v>
      </c>
      <c r="AO5" s="618">
        <f>+[4]Report1!K10</f>
        <v>0.57711104902761756</v>
      </c>
      <c r="AP5" s="514">
        <f>+[4]Report1!BN10</f>
        <v>0.65115971737459299</v>
      </c>
      <c r="AQ5" s="514">
        <f>+[4]Report1!BO10</f>
        <v>0.60329576087097603</v>
      </c>
      <c r="AR5" s="511">
        <f>+[4]Report1!R10</f>
        <v>30.385999999999999</v>
      </c>
      <c r="AS5" s="511">
        <f>+[4]Report1!S10</f>
        <v>58.980999999999995</v>
      </c>
      <c r="AT5" s="515">
        <f>+[4]Report1!AF10</f>
        <v>124.90049707400922</v>
      </c>
      <c r="AU5" s="515">
        <f>+[4]Report1!AG10</f>
        <v>138.00168765929226</v>
      </c>
      <c r="AV5" s="511">
        <f>+[4]Report1!AL10</f>
        <v>1.9318107022971107</v>
      </c>
      <c r="AW5" s="511">
        <f>+[4]Report1!AM10</f>
        <v>1.9701259727708926</v>
      </c>
      <c r="AX5" s="511">
        <f>+[4]Report1!AR10</f>
        <v>8.8856710327124347E-2</v>
      </c>
      <c r="AY5" s="511">
        <f>+[4]Report1!AS10</f>
        <v>0.17632797002424511</v>
      </c>
      <c r="AZ5" s="511">
        <f>+[4]Report1!AX10</f>
        <v>1152.5176067926016</v>
      </c>
      <c r="BA5" s="511">
        <f>+[4]Report1!AY10</f>
        <v>1161.1444363439082</v>
      </c>
      <c r="BB5" s="511">
        <f>+[4]Report1!BD10</f>
        <v>434.73968274862227</v>
      </c>
      <c r="BC5" s="511">
        <f>+[4]Report1!BE10</f>
        <v>591.88552245638675</v>
      </c>
      <c r="BD5" s="511">
        <f>+[4]Report1!BJ10</f>
        <v>0</v>
      </c>
      <c r="BE5" s="511">
        <f>+[4]Report1!BK10</f>
        <v>0</v>
      </c>
      <c r="BF5" s="513">
        <f>+[5]Report1!J10</f>
        <v>0.72883595295276049</v>
      </c>
      <c r="BG5" s="514">
        <f>+[5]Report1!K10</f>
        <v>0.71173595359681885</v>
      </c>
      <c r="BH5" s="514">
        <f>+[5]Report1!AN10</f>
        <v>0.77046479023268366</v>
      </c>
      <c r="BI5" s="514">
        <f>+[5]Report1!AO10</f>
        <v>0.73138986222858671</v>
      </c>
      <c r="BJ5" s="511">
        <f>+[5]Report1!R10</f>
        <v>37.889000000000003</v>
      </c>
      <c r="BK5" s="511">
        <f>+[5]Report1!S10</f>
        <v>74.39500000000001</v>
      </c>
      <c r="BL5" s="511">
        <f>+[5]Report1!AD10</f>
        <v>3.7055609807595871</v>
      </c>
      <c r="BM5" s="511">
        <f>+[5]Report1!AE10</f>
        <v>3.6776665098460914</v>
      </c>
      <c r="BN5" s="515">
        <v>0</v>
      </c>
      <c r="BO5" s="515">
        <v>0</v>
      </c>
      <c r="BP5" s="515">
        <f>+[5]Report1!AJ10</f>
        <v>1183.9126131595074</v>
      </c>
      <c r="BQ5" s="515">
        <f>+[5]Report1!AK10</f>
        <v>1127.4371933597688</v>
      </c>
      <c r="BR5" s="515">
        <v>0</v>
      </c>
      <c r="BS5" s="516">
        <v>0</v>
      </c>
      <c r="BT5" s="513">
        <f>+[6]Report1!J10</f>
        <v>0.7754210192673503</v>
      </c>
      <c r="BU5" s="618">
        <f>+[6]Report1!K10</f>
        <v>0.60392216852848768</v>
      </c>
      <c r="BV5" s="514">
        <f>+[6]Report1!BG10</f>
        <v>0.81385296482870584</v>
      </c>
      <c r="BW5" s="514">
        <f>+[6]Report1!BH10</f>
        <v>0.65496921145910381</v>
      </c>
      <c r="BX5" s="511">
        <f>+[6]Report1!R10</f>
        <v>35.039000000000001</v>
      </c>
      <c r="BY5" s="511">
        <f>+[6]Report1!S10</f>
        <v>55.100999999999999</v>
      </c>
      <c r="BZ5" s="515">
        <f>+[6]Report1!X10</f>
        <v>71.657067132148001</v>
      </c>
      <c r="CA5" s="515">
        <f>+[6]Report1!Y10</f>
        <v>93.847992166713581</v>
      </c>
      <c r="CB5" s="511">
        <f>+[6]Report1!AD10</f>
        <v>2.0120437227089814</v>
      </c>
      <c r="CC5" s="511">
        <f>+[6]Report1!AE10</f>
        <v>2.4300829386036553</v>
      </c>
      <c r="CD5" s="604">
        <f>+[6]Report1!AJ10</f>
        <v>0</v>
      </c>
      <c r="CE5" s="604">
        <f>+[6]Report1!AK10</f>
        <v>0</v>
      </c>
      <c r="CF5" s="515">
        <f>+[6]Report1!AP10</f>
        <v>992.72025457347456</v>
      </c>
      <c r="CG5" s="515">
        <f>+[6]Report1!AQ10</f>
        <v>1189.7368468811724</v>
      </c>
      <c r="CH5" s="604">
        <f>+[6]Report1!AV10</f>
        <v>0</v>
      </c>
      <c r="CI5" s="604">
        <f>+[6]Report1!AW10</f>
        <v>0</v>
      </c>
      <c r="CJ5" s="515">
        <f>+[6]Report1!BB10</f>
        <v>0</v>
      </c>
      <c r="CK5" s="515">
        <f>+[6]Report1!BC10</f>
        <v>0</v>
      </c>
    </row>
    <row r="6" spans="1:89" ht="12.75" customHeight="1">
      <c r="A6" s="567">
        <f t="shared" ref="A6:A34" si="0">1+A5</f>
        <v>45841</v>
      </c>
      <c r="B6" s="513">
        <f>+Report1!J11</f>
        <v>0.91407730485331939</v>
      </c>
      <c r="C6" s="514">
        <f>+Report1!K11</f>
        <v>0.96267080914719638</v>
      </c>
      <c r="D6" s="514">
        <f>+Report1!AJ11</f>
        <v>0.93934383913837238</v>
      </c>
      <c r="E6" s="514">
        <f>+Report1!AK11</f>
        <v>0.97449165797994408</v>
      </c>
      <c r="F6" s="511">
        <f>+Report1!R11</f>
        <v>74.578999999999994</v>
      </c>
      <c r="G6" s="511">
        <f>+Report1!S11</f>
        <v>212.87799999999999</v>
      </c>
      <c r="H6" s="511">
        <f>+Report1!X11</f>
        <v>2.0831869561136513</v>
      </c>
      <c r="I6" s="511">
        <f>+Report1!Y11</f>
        <v>2.0559663281316056</v>
      </c>
      <c r="J6" s="511">
        <f>+Report1!AD11</f>
        <v>773.43863554078848</v>
      </c>
      <c r="K6" s="512">
        <f>+Report1!AE11</f>
        <v>831.49851088414789</v>
      </c>
      <c r="L6" s="513">
        <f>+[1]Report1!J11</f>
        <v>0.99304793185736051</v>
      </c>
      <c r="M6" s="514">
        <f>+[1]Report1!K11</f>
        <v>0.94406248407450344</v>
      </c>
      <c r="N6" s="514">
        <f>+[1]Report1!BJ11</f>
        <v>1.0020946193935525</v>
      </c>
      <c r="O6" s="514">
        <f>+[1]Report1!BK11</f>
        <v>0.96744266330064133</v>
      </c>
      <c r="P6" s="511">
        <f>+[1]Report1!R11</f>
        <v>69.563000000000002</v>
      </c>
      <c r="Q6" s="511">
        <f>+[1]Report1!S11</f>
        <v>194.80099999999999</v>
      </c>
      <c r="R6" s="511">
        <f>+[1]Report1!AL11</f>
        <v>2.1498497764616249</v>
      </c>
      <c r="S6" s="511">
        <f>+[1]Report1!AM11</f>
        <v>2.1033362251733823</v>
      </c>
      <c r="T6" s="511">
        <f>+[1]Report1!AR11</f>
        <v>0.2228196023748257</v>
      </c>
      <c r="U6" s="511">
        <f>+[1]Report1!AS11</f>
        <v>0.23870514011735053</v>
      </c>
      <c r="V6" s="511">
        <f>+[1]Report1!AX11</f>
        <v>589.34088524072251</v>
      </c>
      <c r="W6" s="511">
        <f>+[1]Report1!AY11</f>
        <v>606.76541701531471</v>
      </c>
      <c r="X6" s="511">
        <f>+[1]Report1!BD11</f>
        <v>435.14512025070803</v>
      </c>
      <c r="Y6" s="588">
        <f>+[1]Report1!BE11</f>
        <v>470.37746212801784</v>
      </c>
      <c r="Z6" s="513">
        <f>+[2]Report1!J11</f>
        <v>0.91724470964022242</v>
      </c>
      <c r="AA6" s="618">
        <f>+[2]Report1!K11</f>
        <v>0.84957779005359535</v>
      </c>
      <c r="AB6" s="514">
        <f>+[2]Report1!BC11</f>
        <v>0.91724470964022242</v>
      </c>
      <c r="AC6" s="514">
        <f>+[2]Report1!BD11</f>
        <v>0.86509040851563834</v>
      </c>
      <c r="AD6" s="511">
        <f>+[2]Report1!R11</f>
        <v>39.783000000000001</v>
      </c>
      <c r="AE6" s="511">
        <f>+[2]Report1!S11</f>
        <v>112.438</v>
      </c>
      <c r="AF6" s="511">
        <f>+[2]Report1!X11</f>
        <v>102.53545879020847</v>
      </c>
      <c r="AG6" s="511">
        <f>+[2]Report1!Y11</f>
        <v>104.74725983066274</v>
      </c>
      <c r="AH6" s="511">
        <f>+[2]Report1!AD11</f>
        <v>1.5433727974260361</v>
      </c>
      <c r="AI6" s="511">
        <f>+[2]Report1!AE11</f>
        <v>1.586652199434355</v>
      </c>
      <c r="AJ6" s="511">
        <f>+[2]Report1!AJ11</f>
        <v>933.37053515320611</v>
      </c>
      <c r="AK6" s="511">
        <f>+[2]Report1!AK11</f>
        <v>961.93226489264703</v>
      </c>
      <c r="AL6" s="599">
        <f>+[3]Report1!AP11</f>
        <v>0</v>
      </c>
      <c r="AM6" s="600">
        <f>+[3]Report1!AQ11</f>
        <v>0</v>
      </c>
      <c r="AN6" s="513">
        <f>+[4]Report1!J11</f>
        <v>0.60619656555668755</v>
      </c>
      <c r="AO6" s="618">
        <f>+[4]Report1!K11</f>
        <v>0.58678600734732378</v>
      </c>
      <c r="AP6" s="514">
        <f>+[4]Report1!BN11</f>
        <v>0.82055154047259837</v>
      </c>
      <c r="AQ6" s="514">
        <f>+[4]Report1!BO11</f>
        <v>0.66368101717022565</v>
      </c>
      <c r="AR6" s="511">
        <f>+[4]Report1!R11</f>
        <v>30.88</v>
      </c>
      <c r="AS6" s="511">
        <f>+[4]Report1!S11</f>
        <v>89.86099999999999</v>
      </c>
      <c r="AT6" s="515">
        <f>+[4]Report1!AF11</f>
        <v>113.48987995832084</v>
      </c>
      <c r="AU6" s="515">
        <f>+[4]Report1!AG11</f>
        <v>129.57840479124053</v>
      </c>
      <c r="AV6" s="511">
        <f>+[4]Report1!AL11</f>
        <v>1.6547927461139897</v>
      </c>
      <c r="AW6" s="511">
        <f>+[4]Report1!AM11</f>
        <v>1.8617642803886005</v>
      </c>
      <c r="AX6" s="511">
        <f>+[4]Report1!AR11</f>
        <v>8.4196891191709852E-2</v>
      </c>
      <c r="AY6" s="511">
        <f>+[4]Report1!AS11</f>
        <v>0.14466787594173225</v>
      </c>
      <c r="AZ6" s="511">
        <f>+[4]Report1!AX11</f>
        <v>1138.6748704663203</v>
      </c>
      <c r="BA6" s="511">
        <f>+[4]Report1!AY11</f>
        <v>1153.4229532277634</v>
      </c>
      <c r="BB6" s="511">
        <f>+[4]Report1!BD11</f>
        <v>239.63730569948038</v>
      </c>
      <c r="BC6" s="511">
        <f>+[4]Report1!BE11</f>
        <v>470.83829469959272</v>
      </c>
      <c r="BD6" s="511">
        <f>+[4]Report1!BJ11</f>
        <v>0</v>
      </c>
      <c r="BE6" s="511">
        <f>+[4]Report1!BK11</f>
        <v>0</v>
      </c>
      <c r="BF6" s="513">
        <f>+[5]Report1!J11</f>
        <v>0.88011507813803735</v>
      </c>
      <c r="BG6" s="514">
        <f>+[5]Report1!K11</f>
        <v>0.76778702504215013</v>
      </c>
      <c r="BH6" s="514">
        <f>+[5]Report1!AN11</f>
        <v>0.91308768913456329</v>
      </c>
      <c r="BI6" s="514">
        <f>+[5]Report1!AO11</f>
        <v>0.79149023584465628</v>
      </c>
      <c r="BJ6" s="511">
        <f>+[5]Report1!R11</f>
        <v>45.905000000000001</v>
      </c>
      <c r="BK6" s="511">
        <f>+[5]Report1!S11</f>
        <v>120.30000000000001</v>
      </c>
      <c r="BL6" s="511">
        <f>+[5]Report1!AD11</f>
        <v>3.2196928439167847</v>
      </c>
      <c r="BM6" s="511">
        <f>+[5]Report1!AE11</f>
        <v>3.5029093931837072</v>
      </c>
      <c r="BN6" s="515">
        <v>0</v>
      </c>
      <c r="BO6" s="515">
        <v>0</v>
      </c>
      <c r="BP6" s="515">
        <f>+[5]Report1!AJ11</f>
        <v>1036.8896634353418</v>
      </c>
      <c r="BQ6" s="515">
        <f>+[5]Report1!AK11</f>
        <v>1092.8853699085569</v>
      </c>
      <c r="BR6" s="515">
        <v>0</v>
      </c>
      <c r="BS6" s="516">
        <v>0</v>
      </c>
      <c r="BT6" s="513">
        <f>+[6]Report1!J11</f>
        <v>0.85057526971490638</v>
      </c>
      <c r="BU6" s="618">
        <f>+[6]Report1!K11</f>
        <v>0.68561890423251459</v>
      </c>
      <c r="BV6" s="514">
        <f>+[6]Report1!BG11</f>
        <v>0.8686726158790532</v>
      </c>
      <c r="BW6" s="514">
        <f>+[6]Report1!BH11</f>
        <v>0.72862511066093427</v>
      </c>
      <c r="BX6" s="511">
        <f>+[6]Report1!R11</f>
        <v>38.435000000000002</v>
      </c>
      <c r="BY6" s="511">
        <f>+[6]Report1!S11</f>
        <v>93.536000000000001</v>
      </c>
      <c r="BZ6" s="515">
        <f>+[6]Report1!X11</f>
        <v>83.186271623160877</v>
      </c>
      <c r="CA6" s="515">
        <f>+[6]Report1!Y11</f>
        <v>89.466970644610342</v>
      </c>
      <c r="CB6" s="511">
        <f>+[6]Report1!AD11</f>
        <v>2.2297385195785093</v>
      </c>
      <c r="CC6" s="511">
        <f>+[6]Report1!AE11</f>
        <v>2.3477591515566201</v>
      </c>
      <c r="CD6" s="604">
        <f>+[6]Report1!AJ11</f>
        <v>0</v>
      </c>
      <c r="CE6" s="604">
        <f>+[6]Report1!AK11</f>
        <v>0</v>
      </c>
      <c r="CF6" s="515">
        <f>+[6]Report1!AP11</f>
        <v>1046.9212956940039</v>
      </c>
      <c r="CG6" s="515">
        <f>+[6]Report1!AQ11</f>
        <v>1131.052322100566</v>
      </c>
      <c r="CH6" s="604">
        <f>+[6]Report1!AV11</f>
        <v>0</v>
      </c>
      <c r="CI6" s="604">
        <f>+[6]Report1!AW11</f>
        <v>0</v>
      </c>
      <c r="CJ6" s="515">
        <f>+[6]Report1!BB11</f>
        <v>0</v>
      </c>
      <c r="CK6" s="515">
        <f>+[6]Report1!BC11</f>
        <v>0</v>
      </c>
    </row>
    <row r="7" spans="1:89" ht="12.75" customHeight="1">
      <c r="A7" s="567">
        <f t="shared" si="0"/>
        <v>45842</v>
      </c>
      <c r="B7" s="513">
        <f>+Report1!J12</f>
        <v>0.94664245258088509</v>
      </c>
      <c r="C7" s="514">
        <f>+Report1!K12</f>
        <v>0.95829494965514939</v>
      </c>
      <c r="D7" s="514">
        <f>+Report1!AJ12</f>
        <v>0.94664245258088509</v>
      </c>
      <c r="E7" s="514">
        <f>+Report1!AK12</f>
        <v>0.96682097479471629</v>
      </c>
      <c r="F7" s="511">
        <f>+Report1!R12</f>
        <v>78.611000000000004</v>
      </c>
      <c r="G7" s="511">
        <f>+Report1!S12</f>
        <v>291.48899999999998</v>
      </c>
      <c r="H7" s="511">
        <f>+Report1!X12</f>
        <v>2.0327689509101776</v>
      </c>
      <c r="I7" s="511">
        <f>+Report1!Y12</f>
        <v>2.0497102806623921</v>
      </c>
      <c r="J7" s="511">
        <f>+Report1!AD12</f>
        <v>752.4379539759401</v>
      </c>
      <c r="K7" s="512">
        <f>+Report1!AE12</f>
        <v>810.17685058440713</v>
      </c>
      <c r="L7" s="513">
        <f>+[1]Report1!J12</f>
        <v>0.98739656072138016</v>
      </c>
      <c r="M7" s="514">
        <f>+[1]Report1!K12</f>
        <v>0.95489406107926766</v>
      </c>
      <c r="N7" s="514">
        <f>+[1]Report1!BJ12</f>
        <v>0.98739656072138016</v>
      </c>
      <c r="O7" s="514">
        <f>+[1]Report1!BK12</f>
        <v>0.97252231885604867</v>
      </c>
      <c r="P7" s="511">
        <f>+[1]Report1!R12</f>
        <v>67.897999999999996</v>
      </c>
      <c r="Q7" s="511">
        <f>+[1]Report1!S12</f>
        <v>262.69899999999996</v>
      </c>
      <c r="R7" s="511">
        <f>+[1]Report1!AL12</f>
        <v>2.1459542254558306</v>
      </c>
      <c r="S7" s="511">
        <f>+[1]Report1!AM12</f>
        <v>2.1143514059817514</v>
      </c>
      <c r="T7" s="511">
        <f>+[1]Report1!AR12</f>
        <v>0.247429968482135</v>
      </c>
      <c r="U7" s="511">
        <f>+[1]Report1!AS12</f>
        <v>0.24096018637299726</v>
      </c>
      <c r="V7" s="511">
        <f>+[1]Report1!AX12</f>
        <v>611.17485051105336</v>
      </c>
      <c r="W7" s="511">
        <f>+[1]Report1!AY12</f>
        <v>607.90509290100022</v>
      </c>
      <c r="X7" s="511">
        <f>+[1]Report1!BD12</f>
        <v>498.8806739521093</v>
      </c>
      <c r="Y7" s="588">
        <f>+[1]Report1!BE12</f>
        <v>477.74449084313358</v>
      </c>
      <c r="Z7" s="513">
        <f>+[2]Report1!J12</f>
        <v>0.9626202585735566</v>
      </c>
      <c r="AA7" s="618">
        <f>+[2]Report1!K12</f>
        <v>0.87755786381605383</v>
      </c>
      <c r="AB7" s="514">
        <f>+[2]Report1!BC12</f>
        <v>0.9626202585735566</v>
      </c>
      <c r="AC7" s="514">
        <f>+[2]Report1!BD12</f>
        <v>0.88956101646031027</v>
      </c>
      <c r="AD7" s="511">
        <f>+[2]Report1!R12</f>
        <v>41.905999999999999</v>
      </c>
      <c r="AE7" s="511">
        <f>+[2]Report1!S12</f>
        <v>154.34399999999999</v>
      </c>
      <c r="AF7" s="511">
        <f>+[2]Report1!X12</f>
        <v>102.76158632160944</v>
      </c>
      <c r="AG7" s="511">
        <f>+[2]Report1!Y12</f>
        <v>104.2081288371004</v>
      </c>
      <c r="AH7" s="511">
        <f>+[2]Report1!AD12</f>
        <v>1.4818880351262349</v>
      </c>
      <c r="AI7" s="511">
        <f>+[2]Report1!AE12</f>
        <v>1.5582076400767118</v>
      </c>
      <c r="AJ7" s="511">
        <f>+[2]Report1!AJ12</f>
        <v>920.86813344152495</v>
      </c>
      <c r="AK7" s="511">
        <f>+[2]Report1!AK12</f>
        <v>950.78292645000784</v>
      </c>
      <c r="AL7" s="599">
        <f>+[3]Report1!AP12</f>
        <v>0</v>
      </c>
      <c r="AM7" s="600">
        <f>+[3]Report1!AQ12</f>
        <v>0</v>
      </c>
      <c r="AN7" s="513">
        <f>+[4]Report1!J12</f>
        <v>8.682278214805185E-2</v>
      </c>
      <c r="AO7" s="618">
        <f>+[4]Report1!K12</f>
        <v>0.45840061957279221</v>
      </c>
      <c r="AP7" s="514">
        <f>+[4]Report1!BN12</f>
        <v>9.3651540294527838E-2</v>
      </c>
      <c r="AQ7" s="514">
        <f>+[4]Report1!BO12</f>
        <v>0.51208427516043453</v>
      </c>
      <c r="AR7" s="511">
        <f>+[4]Report1!R12</f>
        <v>4.5940000000000003</v>
      </c>
      <c r="AS7" s="511">
        <f>+[4]Report1!S12</f>
        <v>94.454999999999984</v>
      </c>
      <c r="AT7" s="515">
        <f>+[4]Report1!AF12</f>
        <v>371.94786336797904</v>
      </c>
      <c r="AU7" s="515">
        <f>+[4]Report1!AG12</f>
        <v>141.3665080435992</v>
      </c>
      <c r="AV7" s="511">
        <f>+[4]Report1!AL12</f>
        <v>6.8785372224640833</v>
      </c>
      <c r="AW7" s="511">
        <f>+[4]Report1!AM12</f>
        <v>2.1057646498332545</v>
      </c>
      <c r="AX7" s="511">
        <f>+[4]Report1!AR12</f>
        <v>0</v>
      </c>
      <c r="AY7" s="511">
        <f>+[4]Report1!AS12</f>
        <v>0.13763167645968982</v>
      </c>
      <c r="AZ7" s="511">
        <f>+[4]Report1!AX12</f>
        <v>4505.8554636482359</v>
      </c>
      <c r="BA7" s="511">
        <f>+[4]Report1!AY12</f>
        <v>1316.4749351543066</v>
      </c>
      <c r="BB7" s="511">
        <f>+[4]Report1!BD12</f>
        <v>0</v>
      </c>
      <c r="BC7" s="511">
        <f>+[4]Report1!BE12</f>
        <v>447.93817161611452</v>
      </c>
      <c r="BD7" s="511">
        <f>+[4]Report1!BJ12</f>
        <v>0</v>
      </c>
      <c r="BE7" s="511">
        <f>+[4]Report1!BK12</f>
        <v>0</v>
      </c>
      <c r="BF7" s="513">
        <f>+[5]Report1!J12</f>
        <v>0.92344500029449006</v>
      </c>
      <c r="BG7" s="514">
        <f>+[5]Report1!K12</f>
        <v>0.8066623477390451</v>
      </c>
      <c r="BH7" s="514">
        <f>+[5]Report1!AN12</f>
        <v>0.92344500029449006</v>
      </c>
      <c r="BI7" s="514">
        <f>+[5]Report1!AO12</f>
        <v>0.82520319064643932</v>
      </c>
      <c r="BJ7" s="511">
        <f>+[5]Report1!R12</f>
        <v>48.164999999999999</v>
      </c>
      <c r="BK7" s="511">
        <f>+[5]Report1!S12</f>
        <v>168.465</v>
      </c>
      <c r="BL7" s="511">
        <f>+[5]Report1!AD12</f>
        <v>3.1288279871275821</v>
      </c>
      <c r="BM7" s="511">
        <f>+[5]Report1!AE12</f>
        <v>3.3959576173092336</v>
      </c>
      <c r="BN7" s="515">
        <v>0</v>
      </c>
      <c r="BO7" s="515">
        <v>0</v>
      </c>
      <c r="BP7" s="515">
        <f>+[5]Report1!AJ12</f>
        <v>929.85601577909028</v>
      </c>
      <c r="BQ7" s="515">
        <f>+[5]Report1!AK12</f>
        <v>1046.2744486985384</v>
      </c>
      <c r="BR7" s="515">
        <v>0</v>
      </c>
      <c r="BS7" s="516">
        <v>0</v>
      </c>
      <c r="BT7" s="513">
        <f>+[6]Report1!J12</f>
        <v>0.93192598368581825</v>
      </c>
      <c r="BU7" s="618">
        <f>+[6]Report1!K12</f>
        <v>0.74690257826351825</v>
      </c>
      <c r="BV7" s="514">
        <f>+[6]Report1!BG12</f>
        <v>0.93192598368581825</v>
      </c>
      <c r="BW7" s="514">
        <f>+[6]Report1!BH12</f>
        <v>0.78155522799759347</v>
      </c>
      <c r="BX7" s="511">
        <f>+[6]Report1!R12</f>
        <v>42.110999999999997</v>
      </c>
      <c r="BY7" s="511">
        <f>+[6]Report1!S12</f>
        <v>135.64699999999999</v>
      </c>
      <c r="BZ7" s="515">
        <f>+[6]Report1!X12</f>
        <v>84.822124368790568</v>
      </c>
      <c r="CA7" s="515">
        <f>+[6]Report1!Y12</f>
        <v>88.024999045378181</v>
      </c>
      <c r="CB7" s="511">
        <f>+[6]Report1!AD12</f>
        <v>2.0018522476312604</v>
      </c>
      <c r="CC7" s="511">
        <f>+[6]Report1!AE12</f>
        <v>2.2403739116972736</v>
      </c>
      <c r="CD7" s="604">
        <f>+[6]Report1!AJ12</f>
        <v>0</v>
      </c>
      <c r="CE7" s="604">
        <f>+[6]Report1!AK12</f>
        <v>0</v>
      </c>
      <c r="CF7" s="515">
        <f>+[6]Report1!AP12</f>
        <v>1017.6242549452808</v>
      </c>
      <c r="CG7" s="515">
        <f>+[6]Report1!AQ12</f>
        <v>1095.8390896960436</v>
      </c>
      <c r="CH7" s="604">
        <f>+[6]Report1!AV12</f>
        <v>0</v>
      </c>
      <c r="CI7" s="604">
        <f>+[6]Report1!AW12</f>
        <v>0</v>
      </c>
      <c r="CJ7" s="515">
        <f>+[6]Report1!BB12</f>
        <v>0</v>
      </c>
      <c r="CK7" s="515">
        <f>+[6]Report1!BC12</f>
        <v>0</v>
      </c>
    </row>
    <row r="8" spans="1:89" ht="12.75" customHeight="1">
      <c r="A8" s="567">
        <f t="shared" si="0"/>
        <v>45843</v>
      </c>
      <c r="B8" s="513">
        <f>+Report1!J13</f>
        <v>0.95324641323525505</v>
      </c>
      <c r="C8" s="514">
        <f>+Report1!K13</f>
        <v>0.95726237640656375</v>
      </c>
      <c r="D8" s="514">
        <f>+Report1!AJ13</f>
        <v>0.95324641323525505</v>
      </c>
      <c r="E8" s="514">
        <f>+Report1!AK13</f>
        <v>0.96402496635162671</v>
      </c>
      <c r="F8" s="511">
        <f>+Report1!R13</f>
        <v>74.552000000000007</v>
      </c>
      <c r="G8" s="511">
        <f>+Report1!S13</f>
        <v>366.041</v>
      </c>
      <c r="H8" s="511">
        <f>+Report1!X13</f>
        <v>2.0579193046464215</v>
      </c>
      <c r="I8" s="511">
        <f>+Report1!Y13</f>
        <v>2.0513822222100804</v>
      </c>
      <c r="J8" s="511">
        <f>+Report1!AD13</f>
        <v>788.88319562181425</v>
      </c>
      <c r="K8" s="512">
        <f>+Report1!AE13</f>
        <v>805.83994689118367</v>
      </c>
      <c r="L8" s="513">
        <f>+[1]Report1!J13</f>
        <v>0.99590509770458568</v>
      </c>
      <c r="M8" s="514">
        <f>+[1]Report1!K13</f>
        <v>0.96316811625599463</v>
      </c>
      <c r="N8" s="514">
        <f>+[1]Report1!BJ13</f>
        <v>0.99590509770458568</v>
      </c>
      <c r="O8" s="514">
        <f>+[1]Report1!BK13</f>
        <v>0.97730910067846599</v>
      </c>
      <c r="P8" s="511">
        <f>+[1]Report1!R13</f>
        <v>69.247</v>
      </c>
      <c r="Q8" s="511">
        <f>+[1]Report1!S13</f>
        <v>331.94599999999997</v>
      </c>
      <c r="R8" s="511">
        <f>+[1]Report1!AL13</f>
        <v>2.1263015004260111</v>
      </c>
      <c r="S8" s="511">
        <f>+[1]Report1!AM13</f>
        <v>2.1168443060015787</v>
      </c>
      <c r="T8" s="511">
        <f>+[1]Report1!AR13</f>
        <v>0.22528051756754805</v>
      </c>
      <c r="U8" s="511">
        <f>+[1]Report1!AS13</f>
        <v>0.23768926271140486</v>
      </c>
      <c r="V8" s="511">
        <f>+[1]Report1!AX13</f>
        <v>591.68093924647587</v>
      </c>
      <c r="W8" s="511">
        <f>+[1]Report1!AY13</f>
        <v>604.52058467341237</v>
      </c>
      <c r="X8" s="511">
        <f>+[1]Report1!BD13</f>
        <v>458.73467442632693</v>
      </c>
      <c r="Y8" s="588">
        <f>+[1]Report1!BE13</f>
        <v>473.77886764714805</v>
      </c>
      <c r="Z8" s="513">
        <f>+[2]Report1!J13</f>
        <v>0.90884412876151144</v>
      </c>
      <c r="AA8" s="618">
        <f>+[2]Report1!K13</f>
        <v>0.88399029931109951</v>
      </c>
      <c r="AB8" s="514">
        <f>+[2]Report1!BC13</f>
        <v>0.90884412876151144</v>
      </c>
      <c r="AC8" s="514">
        <f>+[2]Report1!BD13</f>
        <v>0.89356856910904359</v>
      </c>
      <c r="AD8" s="511">
        <f>+[2]Report1!R13</f>
        <v>41.37</v>
      </c>
      <c r="AE8" s="511">
        <f>+[2]Report1!S13</f>
        <v>195.714</v>
      </c>
      <c r="AF8" s="511">
        <f>+[2]Report1!X13</f>
        <v>103.37770286076348</v>
      </c>
      <c r="AG8" s="511">
        <f>+[2]Report1!Y13</f>
        <v>104.03259350165654</v>
      </c>
      <c r="AH8" s="511">
        <f>+[2]Report1!AD13</f>
        <v>1.4914189025864155</v>
      </c>
      <c r="AI8" s="511">
        <f>+[2]Report1!AE13</f>
        <v>1.5440898453866356</v>
      </c>
      <c r="AJ8" s="511">
        <f>+[2]Report1!AJ13</f>
        <v>961.87623882040134</v>
      </c>
      <c r="AK8" s="511">
        <f>+[2]Report1!AK13</f>
        <v>953.12782938369264</v>
      </c>
      <c r="AL8" s="599">
        <f>+[3]Report1!AP13</f>
        <v>0</v>
      </c>
      <c r="AM8" s="600">
        <f>+[3]Report1!AQ13</f>
        <v>0</v>
      </c>
      <c r="AN8" s="513">
        <f>+[4]Report1!J13</f>
        <v>0.85459483237680567</v>
      </c>
      <c r="AO8" s="618">
        <f>+[4]Report1!K13</f>
        <v>0.5338183323068425</v>
      </c>
      <c r="AP8" s="514">
        <f>+[4]Report1!BN13</f>
        <v>0.85459483237680567</v>
      </c>
      <c r="AQ8" s="514">
        <f>+[4]Report1!BO13</f>
        <v>0.58333022623501218</v>
      </c>
      <c r="AR8" s="511">
        <f>+[4]Report1!R13</f>
        <v>41.401000000000003</v>
      </c>
      <c r="AS8" s="511">
        <f>+[4]Report1!S13</f>
        <v>135.85599999999999</v>
      </c>
      <c r="AT8" s="515">
        <f>+[4]Report1!AF13</f>
        <v>109.18777054822472</v>
      </c>
      <c r="AU8" s="515">
        <f>+[4]Report1!AG13</f>
        <v>131.56030212670188</v>
      </c>
      <c r="AV8" s="511">
        <f>+[4]Report1!AL13</f>
        <v>1.6883650153377938</v>
      </c>
      <c r="AW8" s="511">
        <f>+[4]Report1!AM13</f>
        <v>1.978565539983512</v>
      </c>
      <c r="AX8" s="511">
        <f>+[4]Report1!AR13</f>
        <v>0</v>
      </c>
      <c r="AY8" s="511">
        <f>+[4]Report1!AS13</f>
        <v>9.5689553645035924E-2</v>
      </c>
      <c r="AZ8" s="511">
        <f>+[4]Report1!AX13</f>
        <v>1086.9983816816027</v>
      </c>
      <c r="BA8" s="511">
        <f>+[4]Report1!AY13</f>
        <v>1246.5438405370394</v>
      </c>
      <c r="BB8" s="511">
        <f>+[4]Report1!BD13</f>
        <v>0</v>
      </c>
      <c r="BC8" s="511">
        <f>+[4]Report1!BE13</f>
        <v>311.43269344011378</v>
      </c>
      <c r="BD8" s="511">
        <f>+[4]Report1!BJ13</f>
        <v>0</v>
      </c>
      <c r="BE8" s="511">
        <f>+[4]Report1!BK13</f>
        <v>0</v>
      </c>
      <c r="BF8" s="513">
        <f>+[5]Report1!J13</f>
        <v>0.86472539571565932</v>
      </c>
      <c r="BG8" s="514">
        <f>+[5]Report1!K13</f>
        <v>0.81843475235904706</v>
      </c>
      <c r="BH8" s="514">
        <f>+[5]Report1!AN13</f>
        <v>0.86472539571565932</v>
      </c>
      <c r="BI8" s="514">
        <f>+[5]Report1!AO13</f>
        <v>0.83336255711364593</v>
      </c>
      <c r="BJ8" s="511">
        <f>+[5]Report1!R13</f>
        <v>45.927</v>
      </c>
      <c r="BK8" s="511">
        <f>+[5]Report1!S13</f>
        <v>214.392</v>
      </c>
      <c r="BL8" s="511">
        <f>+[5]Report1!AD13</f>
        <v>3.2399242275785487</v>
      </c>
      <c r="BM8" s="511">
        <f>+[5]Report1!AE13</f>
        <v>3.3625321840367182</v>
      </c>
      <c r="BN8" s="515">
        <v>0</v>
      </c>
      <c r="BO8" s="515">
        <v>0</v>
      </c>
      <c r="BP8" s="515">
        <f>+[5]Report1!AJ13</f>
        <v>976.91401572060636</v>
      </c>
      <c r="BQ8" s="515">
        <f>+[5]Report1!AK13</f>
        <v>1031.416074293815</v>
      </c>
      <c r="BR8" s="515">
        <v>0</v>
      </c>
      <c r="BS8" s="516">
        <v>0</v>
      </c>
      <c r="BT8" s="513">
        <f>+[6]Report1!J13</f>
        <v>0.8773460318301084</v>
      </c>
      <c r="BU8" s="618">
        <f>+[6]Report1!K13</f>
        <v>0.77408761497371692</v>
      </c>
      <c r="BV8" s="514">
        <f>+[6]Report1!BG13</f>
        <v>0.8773460318301084</v>
      </c>
      <c r="BW8" s="514">
        <f>+[6]Report1!BH13</f>
        <v>0.80224464049033595</v>
      </c>
      <c r="BX8" s="511">
        <f>+[6]Report1!R13</f>
        <v>41.948999999999998</v>
      </c>
      <c r="BY8" s="511">
        <f>+[6]Report1!S13</f>
        <v>177.596</v>
      </c>
      <c r="BZ8" s="515">
        <f>+[6]Report1!X13</f>
        <v>83.691662356269845</v>
      </c>
      <c r="CA8" s="515">
        <f>+[6]Report1!Y13</f>
        <v>87.001444794317294</v>
      </c>
      <c r="CB8" s="511">
        <f>+[6]Report1!AD13</f>
        <v>2.0763307826169872</v>
      </c>
      <c r="CC8" s="511">
        <f>+[6]Report1!AE13</f>
        <v>2.2016261627514133</v>
      </c>
      <c r="CD8" s="604">
        <f>+[6]Report1!AJ13</f>
        <v>0</v>
      </c>
      <c r="CE8" s="604">
        <f>+[6]Report1!AK13</f>
        <v>0</v>
      </c>
      <c r="CF8" s="515">
        <f>+[6]Report1!AP13</f>
        <v>1004.7135807766563</v>
      </c>
      <c r="CG8" s="515">
        <f>+[6]Report1!AQ13</f>
        <v>1074.3148212797539</v>
      </c>
      <c r="CH8" s="604">
        <f>+[6]Report1!AV13</f>
        <v>0</v>
      </c>
      <c r="CI8" s="604">
        <f>+[6]Report1!AW13</f>
        <v>0</v>
      </c>
      <c r="CJ8" s="515">
        <f>+[6]Report1!BB13</f>
        <v>0</v>
      </c>
      <c r="CK8" s="515">
        <f>+[6]Report1!BC13</f>
        <v>0</v>
      </c>
    </row>
    <row r="9" spans="1:89" ht="12.75" customHeight="1">
      <c r="A9" s="567">
        <f t="shared" si="0"/>
        <v>45844</v>
      </c>
      <c r="B9" s="513">
        <f>+Report1!J14</f>
        <v>0.89766144927108837</v>
      </c>
      <c r="C9" s="514">
        <f>+Report1!K14</f>
        <v>0.94715096235074236</v>
      </c>
      <c r="D9" s="514">
        <f>+Report1!AJ14</f>
        <v>0.89766144927108837</v>
      </c>
      <c r="E9" s="514">
        <f>+Report1!AK14</f>
        <v>0.95270030115741411</v>
      </c>
      <c r="F9" s="511">
        <f>+Report1!R14</f>
        <v>70.131</v>
      </c>
      <c r="G9" s="511">
        <f>+Report1!S14</f>
        <v>436.17200000000003</v>
      </c>
      <c r="H9" s="511">
        <f>+Report1!X14</f>
        <v>2.1183927221913277</v>
      </c>
      <c r="I9" s="511">
        <f>+Report1!Y14</f>
        <v>2.0621566721385141</v>
      </c>
      <c r="J9" s="511">
        <f>+Report1!AD14</f>
        <v>789.10410517461639</v>
      </c>
      <c r="K9" s="512">
        <f>+Report1!AE14</f>
        <v>803.1490329502966</v>
      </c>
      <c r="L9" s="513">
        <f>+[1]Report1!J14</f>
        <v>0.99404704515444942</v>
      </c>
      <c r="M9" s="514">
        <f>+[1]Report1!K14</f>
        <v>0.96849148167877053</v>
      </c>
      <c r="N9" s="514">
        <f>+[1]Report1!BJ14</f>
        <v>0.99404704515444942</v>
      </c>
      <c r="O9" s="514">
        <f>+[1]Report1!BK14</f>
        <v>0.98022960723423358</v>
      </c>
      <c r="P9" s="511">
        <f>+[1]Report1!R14</f>
        <v>71.363</v>
      </c>
      <c r="Q9" s="511">
        <f>+[1]Report1!S14</f>
        <v>403.30899999999997</v>
      </c>
      <c r="R9" s="511">
        <f>+[1]Report1!AL14</f>
        <v>2.1418101817468438</v>
      </c>
      <c r="S9" s="511">
        <f>+[1]Report1!AM14</f>
        <v>2.1212618612527865</v>
      </c>
      <c r="T9" s="511">
        <f>+[1]Report1!AR14</f>
        <v>0.20598909799195661</v>
      </c>
      <c r="U9" s="511">
        <f>+[1]Report1!AS14</f>
        <v>0.23208011723021307</v>
      </c>
      <c r="V9" s="511">
        <f>+[1]Report1!AX14</f>
        <v>558.14763953308977</v>
      </c>
      <c r="W9" s="511">
        <f>+[1]Report1!AY14</f>
        <v>596.31518265151635</v>
      </c>
      <c r="X9" s="511">
        <f>+[1]Report1!BD14</f>
        <v>409.17562322211279</v>
      </c>
      <c r="Y9" s="588">
        <f>+[1]Report1!BE14</f>
        <v>462.34772841667274</v>
      </c>
      <c r="Z9" s="513">
        <f>+[2]Report1!J14</f>
        <v>0.91062768740505562</v>
      </c>
      <c r="AA9" s="618">
        <f>+[2]Report1!K14</f>
        <v>0.88860181346137534</v>
      </c>
      <c r="AB9" s="514">
        <f>+[2]Report1!BC14</f>
        <v>0.91062768740505562</v>
      </c>
      <c r="AC9" s="514">
        <f>+[2]Report1!BD14</f>
        <v>0.89654828582631274</v>
      </c>
      <c r="AD9" s="511">
        <f>+[2]Report1!R14</f>
        <v>42.210999999999999</v>
      </c>
      <c r="AE9" s="511">
        <f>+[2]Report1!S14</f>
        <v>237.92500000000001</v>
      </c>
      <c r="AF9" s="511">
        <f>+[2]Report1!X14</f>
        <v>97.936678932780623</v>
      </c>
      <c r="AG9" s="511">
        <f>+[2]Report1!Y14</f>
        <v>102.95109870343515</v>
      </c>
      <c r="AH9" s="511">
        <f>+[2]Report1!AD14</f>
        <v>1.4925019544668452</v>
      </c>
      <c r="AI9" s="511">
        <f>+[2]Report1!AE14</f>
        <v>1.5349374802984133</v>
      </c>
      <c r="AJ9" s="511">
        <f>+[2]Report1!AJ14</f>
        <v>886.27751060148921</v>
      </c>
      <c r="AK9" s="511">
        <f>+[2]Report1!AK14</f>
        <v>941.26771041294296</v>
      </c>
      <c r="AL9" s="599">
        <f>+[3]Report1!AP14</f>
        <v>0</v>
      </c>
      <c r="AM9" s="600">
        <f>+[3]Report1!AQ14</f>
        <v>0</v>
      </c>
      <c r="AN9" s="513">
        <f>+[4]Report1!J14</f>
        <v>0.82134858496677587</v>
      </c>
      <c r="AO9" s="618">
        <f>+[4]Report1!K14</f>
        <v>0.57733186850519846</v>
      </c>
      <c r="AP9" s="514">
        <f>+[4]Report1!BN14</f>
        <v>0.82134858496677587</v>
      </c>
      <c r="AQ9" s="514">
        <f>+[4]Report1!BO14</f>
        <v>0.62214693636055773</v>
      </c>
      <c r="AR9" s="511">
        <f>+[4]Report1!R14</f>
        <v>37.274999999999999</v>
      </c>
      <c r="AS9" s="511">
        <f>+[4]Report1!S14</f>
        <v>173.131</v>
      </c>
      <c r="AT9" s="515">
        <f>+[4]Report1!AF14</f>
        <v>105.98292232623652</v>
      </c>
      <c r="AU9" s="515">
        <f>+[4]Report1!AG14</f>
        <v>126.05350766434478</v>
      </c>
      <c r="AV9" s="511">
        <f>+[4]Report1!AL14</f>
        <v>1.8189134808853118</v>
      </c>
      <c r="AW9" s="511">
        <f>+[4]Report1!AM14</f>
        <v>1.9441925478394975</v>
      </c>
      <c r="AX9" s="511">
        <f>+[4]Report1!AR14</f>
        <v>0</v>
      </c>
      <c r="AY9" s="511">
        <f>+[4]Report1!AS14</f>
        <v>7.5087650391899768E-2</v>
      </c>
      <c r="AZ9" s="511">
        <f>+[4]Report1!AX14</f>
        <v>1139.118980549966</v>
      </c>
      <c r="BA9" s="511">
        <f>+[4]Report1!AY14</f>
        <v>1223.4153328982102</v>
      </c>
      <c r="BB9" s="511">
        <f>+[4]Report1!BD14</f>
        <v>0</v>
      </c>
      <c r="BC9" s="511">
        <f>+[4]Report1!BE14</f>
        <v>244.38142216009896</v>
      </c>
      <c r="BD9" s="511">
        <f>+[4]Report1!BJ14</f>
        <v>0</v>
      </c>
      <c r="BE9" s="511">
        <f>+[4]Report1!BK14</f>
        <v>0</v>
      </c>
      <c r="BF9" s="513">
        <f>+[5]Report1!J14</f>
        <v>0.82235151679596119</v>
      </c>
      <c r="BG9" s="514">
        <f>+[5]Report1!K14</f>
        <v>0.81910916279919188</v>
      </c>
      <c r="BH9" s="514">
        <f>+[5]Report1!AN14</f>
        <v>0.82235151679596119</v>
      </c>
      <c r="BI9" s="514">
        <f>+[5]Report1!AO14</f>
        <v>0.83143807751875987</v>
      </c>
      <c r="BJ9" s="511">
        <f>+[5]Report1!R14</f>
        <v>44.807000000000002</v>
      </c>
      <c r="BK9" s="511">
        <f>+[5]Report1!S14</f>
        <v>259.19900000000001</v>
      </c>
      <c r="BL9" s="511">
        <f>+[5]Report1!AD14</f>
        <v>3.2294061195795294</v>
      </c>
      <c r="BM9" s="511">
        <f>+[5]Report1!AE14</f>
        <v>3.339519056786485</v>
      </c>
      <c r="BN9" s="515">
        <v>0</v>
      </c>
      <c r="BO9" s="515">
        <v>0</v>
      </c>
      <c r="BP9" s="515">
        <f>+[5]Report1!AJ14</f>
        <v>916.04336376012463</v>
      </c>
      <c r="BQ9" s="515">
        <f>+[5]Report1!AK14</f>
        <v>1011.4719192589458</v>
      </c>
      <c r="BR9" s="515">
        <v>0</v>
      </c>
      <c r="BS9" s="516">
        <v>0</v>
      </c>
      <c r="BT9" s="513">
        <f>+[6]Report1!J14</f>
        <v>0.88337241470207706</v>
      </c>
      <c r="BU9" s="618">
        <f>+[6]Report1!K14</f>
        <v>0.79426030346237397</v>
      </c>
      <c r="BV9" s="514">
        <f>+[6]Report1!BG14</f>
        <v>0.88337241470207706</v>
      </c>
      <c r="BW9" s="514">
        <f>+[6]Report1!BH14</f>
        <v>0.81766107884206429</v>
      </c>
      <c r="BX9" s="511">
        <f>+[6]Report1!R14</f>
        <v>45.878999999999998</v>
      </c>
      <c r="BY9" s="511">
        <f>+[6]Report1!S14</f>
        <v>223.47499999999999</v>
      </c>
      <c r="BZ9" s="515">
        <f>+[6]Report1!X14</f>
        <v>79.894535971968239</v>
      </c>
      <c r="CA9" s="515">
        <f>+[6]Report1!Y14</f>
        <v>85.542409690343476</v>
      </c>
      <c r="CB9" s="511">
        <f>+[6]Report1!AD14</f>
        <v>2.0772030776608035</v>
      </c>
      <c r="CC9" s="511">
        <f>+[6]Report1!AE14</f>
        <v>2.1760823358317487</v>
      </c>
      <c r="CD9" s="604">
        <f>+[6]Report1!AJ14</f>
        <v>0</v>
      </c>
      <c r="CE9" s="604">
        <f>+[6]Report1!AK14</f>
        <v>0</v>
      </c>
      <c r="CF9" s="515">
        <f>+[6]Report1!AP14</f>
        <v>840.29327143137596</v>
      </c>
      <c r="CG9" s="515">
        <f>+[6]Report1!AQ14</f>
        <v>1026.2706342991355</v>
      </c>
      <c r="CH9" s="604">
        <f>+[6]Report1!AV14</f>
        <v>0</v>
      </c>
      <c r="CI9" s="604">
        <f>+[6]Report1!AW14</f>
        <v>0</v>
      </c>
      <c r="CJ9" s="515">
        <f>+[6]Report1!BB14</f>
        <v>0</v>
      </c>
      <c r="CK9" s="515">
        <f>+[6]Report1!BC14</f>
        <v>0</v>
      </c>
    </row>
    <row r="10" spans="1:89" ht="12.75" customHeight="1">
      <c r="A10" s="567">
        <f t="shared" si="0"/>
        <v>45845</v>
      </c>
      <c r="B10" s="513">
        <f>+Report1!J15</f>
        <v>0.76519490080738828</v>
      </c>
      <c r="C10" s="514">
        <f>+Report1!K15</f>
        <v>0.92037659924773518</v>
      </c>
      <c r="D10" s="514">
        <f>+Report1!AJ15</f>
        <v>0.76519490080738828</v>
      </c>
      <c r="E10" s="514">
        <f>+Report1!AK15</f>
        <v>0.92497161832060937</v>
      </c>
      <c r="F10" s="511">
        <f>+Report1!R15</f>
        <v>60.798000000000002</v>
      </c>
      <c r="G10" s="511">
        <f>+Report1!S15</f>
        <v>496.97</v>
      </c>
      <c r="H10" s="511">
        <f>+Report1!X15</f>
        <v>1.8849468732524095</v>
      </c>
      <c r="I10" s="511">
        <f>+Report1!Y15</f>
        <v>2.0404772923918948</v>
      </c>
      <c r="J10" s="511">
        <f>+Report1!AD15</f>
        <v>785.23339583540451</v>
      </c>
      <c r="K10" s="512">
        <f>+Report1!AE15</f>
        <v>800.9572811236045</v>
      </c>
      <c r="L10" s="513">
        <f>+[1]Report1!J15</f>
        <v>0.99039365124454748</v>
      </c>
      <c r="M10" s="514">
        <f>+[1]Report1!K15</f>
        <v>0.9716780349712284</v>
      </c>
      <c r="N10" s="514">
        <f>+[1]Report1!BJ15</f>
        <v>1.1068627438370344</v>
      </c>
      <c r="O10" s="514">
        <f>+[1]Report1!BK15</f>
        <v>0.99714695484687377</v>
      </c>
      <c r="P10" s="511">
        <f>+[1]Report1!R15</f>
        <v>70.221000000000004</v>
      </c>
      <c r="Q10" s="511">
        <f>+[1]Report1!S15</f>
        <v>473.53</v>
      </c>
      <c r="R10" s="511">
        <f>+[1]Report1!AL15</f>
        <v>2.0121188818159808</v>
      </c>
      <c r="S10" s="511">
        <f>+[1]Report1!AM15</f>
        <v>2.1050767638797967</v>
      </c>
      <c r="T10" s="511">
        <f>+[1]Report1!AR15</f>
        <v>0.13955939106535081</v>
      </c>
      <c r="U10" s="511">
        <f>+[1]Report1!AS15</f>
        <v>0.21835997719257491</v>
      </c>
      <c r="V10" s="511">
        <f>+[1]Report1!AX15</f>
        <v>508.55627234019676</v>
      </c>
      <c r="W10" s="511">
        <f>+[1]Report1!AY15</f>
        <v>583.30118471902813</v>
      </c>
      <c r="X10" s="511">
        <f>+[1]Report1!BD15</f>
        <v>363.42404693753099</v>
      </c>
      <c r="Y10" s="588">
        <f>+[1]Report1!BE15</f>
        <v>447.67807741853773</v>
      </c>
      <c r="Z10" s="513">
        <f>+[2]Report1!J15</f>
        <v>0.88237814726272978</v>
      </c>
      <c r="AA10" s="618">
        <f>+[2]Report1!K15</f>
        <v>0.88769390400974901</v>
      </c>
      <c r="AB10" s="514">
        <f>+[2]Report1!BC15</f>
        <v>0.88237814726272978</v>
      </c>
      <c r="AC10" s="514">
        <f>+[2]Report1!BD15</f>
        <v>0.89446537518418023</v>
      </c>
      <c r="AD10" s="511">
        <f>+[2]Report1!R15</f>
        <v>40.351999999999997</v>
      </c>
      <c r="AE10" s="511">
        <f>+[2]Report1!S15</f>
        <v>278.27699999999999</v>
      </c>
      <c r="AF10" s="511">
        <f>+[2]Report1!X15</f>
        <v>102.87942922539953</v>
      </c>
      <c r="AG10" s="511">
        <f>+[2]Report1!Y15</f>
        <v>102.94070615652079</v>
      </c>
      <c r="AH10" s="511">
        <f>+[2]Report1!AD15</f>
        <v>1.5439135606661381</v>
      </c>
      <c r="AI10" s="511">
        <f>+[2]Report1!AE15</f>
        <v>1.5362390711413449</v>
      </c>
      <c r="AJ10" s="511">
        <f>+[2]Report1!AJ15</f>
        <v>944.20648295004867</v>
      </c>
      <c r="AK10" s="511">
        <f>+[2]Report1!AK15</f>
        <v>941.69385180952736</v>
      </c>
      <c r="AL10" s="599">
        <f>+[3]Report1!AP15</f>
        <v>0</v>
      </c>
      <c r="AM10" s="600">
        <f>+[3]Report1!AQ15</f>
        <v>0</v>
      </c>
      <c r="AN10" s="513">
        <f>+[4]Report1!J15</f>
        <v>0.90295751671413049</v>
      </c>
      <c r="AO10" s="618">
        <f>+[4]Report1!K15</f>
        <v>0.61997289600135452</v>
      </c>
      <c r="AP10" s="514">
        <f>+[4]Report1!BN15</f>
        <v>0.90295751671413049</v>
      </c>
      <c r="AQ10" s="514">
        <f>+[4]Report1!BO15</f>
        <v>0.66137506941674362</v>
      </c>
      <c r="AR10" s="511">
        <f>+[4]Report1!R15</f>
        <v>40.802</v>
      </c>
      <c r="AS10" s="511">
        <f>+[4]Report1!S15</f>
        <v>213.93299999999999</v>
      </c>
      <c r="AT10" s="515">
        <f>+[4]Report1!AF15</f>
        <v>94.988414166692692</v>
      </c>
      <c r="AU10" s="515">
        <f>+[4]Report1!AG15</f>
        <v>120.12867164142546</v>
      </c>
      <c r="AV10" s="511">
        <f>+[4]Report1!AL15</f>
        <v>1.6249203470418117</v>
      </c>
      <c r="AW10" s="511">
        <f>+[4]Report1!AM15</f>
        <v>1.8832999116545837</v>
      </c>
      <c r="AX10" s="511">
        <f>+[4]Report1!AR15</f>
        <v>0</v>
      </c>
      <c r="AY10" s="511">
        <f>+[4]Report1!AS15</f>
        <v>6.0766688636161789E-2</v>
      </c>
      <c r="AZ10" s="511">
        <f>+[4]Report1!AX15</f>
        <v>1064.4238027547656</v>
      </c>
      <c r="BA10" s="511">
        <f>+[4]Report1!AY15</f>
        <v>1193.0919493486278</v>
      </c>
      <c r="BB10" s="511">
        <f>+[4]Report1!BD15</f>
        <v>0</v>
      </c>
      <c r="BC10" s="511">
        <f>+[4]Report1!BE15</f>
        <v>197.77219970738545</v>
      </c>
      <c r="BD10" s="511">
        <f>+[4]Report1!BJ15</f>
        <v>0</v>
      </c>
      <c r="BE10" s="511">
        <f>+[4]Report1!BK15</f>
        <v>0</v>
      </c>
      <c r="BF10" s="513">
        <f>+[5]Report1!J15</f>
        <v>0.11559758583568108</v>
      </c>
      <c r="BG10" s="514">
        <f>+[5]Report1!K15</f>
        <v>0.72262749245138214</v>
      </c>
      <c r="BH10" s="514">
        <f>+[5]Report1!AN15</f>
        <v>0.11559758583568108</v>
      </c>
      <c r="BI10" s="514">
        <f>+[5]Report1!AO15</f>
        <v>0.73199320506904442</v>
      </c>
      <c r="BJ10" s="511">
        <f>+[5]Report1!R15</f>
        <v>5.8140000000000001</v>
      </c>
      <c r="BK10" s="511">
        <f>+[5]Report1!S15</f>
        <v>265.01300000000003</v>
      </c>
      <c r="BL10" s="511">
        <f>+[5]Report1!AD15</f>
        <v>7.4475404196766419</v>
      </c>
      <c r="BM10" s="511">
        <f>+[5]Report1!AE15</f>
        <v>3.4296430741133452</v>
      </c>
      <c r="BN10" s="515">
        <v>0</v>
      </c>
      <c r="BO10" s="515">
        <v>0</v>
      </c>
      <c r="BP10" s="515">
        <f>+[5]Report1!AJ15</f>
        <v>3126.6649466804333</v>
      </c>
      <c r="BQ10" s="515">
        <f>+[5]Report1!AK15</f>
        <v>1057.8761796591091</v>
      </c>
      <c r="BR10" s="515">
        <v>0</v>
      </c>
      <c r="BS10" s="516">
        <v>0</v>
      </c>
      <c r="BT10" s="513">
        <f>+[6]Report1!J15</f>
        <v>0.93538739754147915</v>
      </c>
      <c r="BU10" s="618">
        <f>+[6]Report1!K15</f>
        <v>0.8161598293715967</v>
      </c>
      <c r="BV10" s="514">
        <f>+[6]Report1!BG15</f>
        <v>0.93538739754147915</v>
      </c>
      <c r="BW10" s="514">
        <f>+[6]Report1!BH15</f>
        <v>0.83638200554919984</v>
      </c>
      <c r="BX10" s="511">
        <f>+[6]Report1!R15</f>
        <v>48.341000000000001</v>
      </c>
      <c r="BY10" s="511">
        <f>+[6]Report1!S15</f>
        <v>271.81599999999997</v>
      </c>
      <c r="BZ10" s="515">
        <f>+[6]Report1!X15</f>
        <v>78.52324108039312</v>
      </c>
      <c r="CA10" s="515">
        <f>+[6]Report1!Y15</f>
        <v>84.294088657830272</v>
      </c>
      <c r="CB10" s="511">
        <f>+[6]Report1!AD15</f>
        <v>1.9817546182329699</v>
      </c>
      <c r="CC10" s="511">
        <f>+[6]Report1!AE15</f>
        <v>2.141522206198311</v>
      </c>
      <c r="CD10" s="604">
        <f>+[6]Report1!AJ15</f>
        <v>0</v>
      </c>
      <c r="CE10" s="604">
        <f>+[6]Report1!AK15</f>
        <v>0</v>
      </c>
      <c r="CF10" s="515">
        <f>+[6]Report1!AP15</f>
        <v>807.97728636148588</v>
      </c>
      <c r="CG10" s="515">
        <f>+[6]Report1!AQ15</f>
        <v>987.44834741148384</v>
      </c>
      <c r="CH10" s="604">
        <f>+[6]Report1!AV15</f>
        <v>0</v>
      </c>
      <c r="CI10" s="604">
        <f>+[6]Report1!AW15</f>
        <v>0</v>
      </c>
      <c r="CJ10" s="515">
        <f>+[6]Report1!BB15</f>
        <v>0</v>
      </c>
      <c r="CK10" s="515">
        <f>+[6]Report1!BC15</f>
        <v>0</v>
      </c>
    </row>
    <row r="11" spans="1:89" ht="12.75" customHeight="1">
      <c r="A11" s="567">
        <f t="shared" si="0"/>
        <v>45846</v>
      </c>
      <c r="B11" s="513">
        <f>+Report1!J16</f>
        <v>0.15586048424485982</v>
      </c>
      <c r="C11" s="514">
        <f>+Report1!K16</f>
        <v>0.82419168298980816</v>
      </c>
      <c r="D11" s="514">
        <f>+Report1!AJ16</f>
        <v>0.15586048424485982</v>
      </c>
      <c r="E11" s="514">
        <f>+Report1!AK16</f>
        <v>0.82778654616966463</v>
      </c>
      <c r="F11" s="511">
        <f>+Report1!R16</f>
        <v>12.112</v>
      </c>
      <c r="G11" s="511">
        <f>+Report1!S16</f>
        <v>509.08200000000005</v>
      </c>
      <c r="H11" s="511">
        <f>+Report1!X16</f>
        <v>9.0530878467635407</v>
      </c>
      <c r="I11" s="511">
        <f>+Report1!Y16</f>
        <v>2.2073202352469736</v>
      </c>
      <c r="J11" s="511">
        <f>+Report1!AD16</f>
        <v>3460.0908190225286</v>
      </c>
      <c r="K11" s="512">
        <f>+Report1!AE16</f>
        <v>864.22297390204039</v>
      </c>
      <c r="L11" s="513">
        <f>+[1]Report1!J16</f>
        <v>3.2789365823796532E-2</v>
      </c>
      <c r="M11" s="514">
        <f>+[1]Report1!K16</f>
        <v>0.87991137916553974</v>
      </c>
      <c r="N11" s="514">
        <f>+[1]Report1!BJ16</f>
        <v>0.27774521638980587</v>
      </c>
      <c r="O11" s="514">
        <f>+[1]Report1!BK16</f>
        <v>0.9878279168802534</v>
      </c>
      <c r="P11" s="511">
        <f>+[1]Report1!R16</f>
        <v>1.7310000000000001</v>
      </c>
      <c r="Q11" s="511">
        <f>+[1]Report1!S16</f>
        <v>475.26099999999997</v>
      </c>
      <c r="R11" s="511">
        <f>+[1]Report1!AL16</f>
        <v>15.581744656268054</v>
      </c>
      <c r="S11" s="511">
        <f>+[1]Report1!AM16</f>
        <v>2.1541616080427386</v>
      </c>
      <c r="T11" s="511">
        <f>+[1]Report1!AR16</f>
        <v>2.8307336799537839</v>
      </c>
      <c r="U11" s="511">
        <f>+[1]Report1!AS16</f>
        <v>0.22787478880025924</v>
      </c>
      <c r="V11" s="511">
        <f>+[1]Report1!AX16</f>
        <v>4360.0404390517851</v>
      </c>
      <c r="W11" s="511">
        <f>+[1]Report1!AY16</f>
        <v>597.05685928363584</v>
      </c>
      <c r="X11" s="511">
        <f>+[1]Report1!BD16</f>
        <v>12597.342576545296</v>
      </c>
      <c r="Y11" s="588">
        <f>+[1]Report1!BE16</f>
        <v>491.92969757670016</v>
      </c>
      <c r="Z11" s="513">
        <f>+[2]Report1!J16</f>
        <v>0.81886143372854725</v>
      </c>
      <c r="AA11" s="618">
        <f>+[2]Report1!K16</f>
        <v>0.87867824468594724</v>
      </c>
      <c r="AB11" s="514">
        <f>+[2]Report1!BC16</f>
        <v>0.81886143372854725</v>
      </c>
      <c r="AC11" s="514">
        <f>+[2]Report1!BD16</f>
        <v>0.88449721133418424</v>
      </c>
      <c r="AD11" s="511">
        <f>+[2]Report1!R16</f>
        <v>38.69</v>
      </c>
      <c r="AE11" s="511">
        <f>+[2]Report1!S16</f>
        <v>316.96699999999998</v>
      </c>
      <c r="AF11" s="511">
        <f>+[2]Report1!X16</f>
        <v>112.52800966972831</v>
      </c>
      <c r="AG11" s="511">
        <f>+[2]Report1!Y16</f>
        <v>104.11096291172242</v>
      </c>
      <c r="AH11" s="511">
        <f>+[2]Report1!AD16</f>
        <v>1.6257430860687516</v>
      </c>
      <c r="AI11" s="511">
        <f>+[2]Report1!AE16</f>
        <v>1.547164215833194</v>
      </c>
      <c r="AJ11" s="511">
        <f>+[2]Report1!AJ16</f>
        <v>949.04678211424618</v>
      </c>
      <c r="AK11" s="511">
        <f>+[2]Report1!AK16</f>
        <v>942.5913738654184</v>
      </c>
      <c r="AL11" s="599">
        <f>+[3]Report1!AP16</f>
        <v>0</v>
      </c>
      <c r="AM11" s="600">
        <f>+[3]Report1!AQ16</f>
        <v>0</v>
      </c>
      <c r="AN11" s="513">
        <f>+[4]Report1!J16</f>
        <v>0.79964255350864444</v>
      </c>
      <c r="AO11" s="618">
        <f>+[4]Report1!K16</f>
        <v>0.64151510203495865</v>
      </c>
      <c r="AP11" s="514">
        <f>+[4]Report1!BN16</f>
        <v>0.79964255350864444</v>
      </c>
      <c r="AQ11" s="514">
        <f>+[4]Report1!BO16</f>
        <v>0.67891981585035177</v>
      </c>
      <c r="AR11" s="511">
        <f>+[4]Report1!R16</f>
        <v>37.591000000000001</v>
      </c>
      <c r="AS11" s="511">
        <f>+[4]Report1!S16</f>
        <v>251.524</v>
      </c>
      <c r="AT11" s="515">
        <f>+[4]Report1!AF16</f>
        <v>109.88355550404303</v>
      </c>
      <c r="AU11" s="515">
        <f>+[4]Report1!AG16</f>
        <v>118.59750896621217</v>
      </c>
      <c r="AV11" s="511">
        <f>+[4]Report1!AL16</f>
        <v>1.7983027852411479</v>
      </c>
      <c r="AW11" s="511">
        <f>+[4]Report1!AM16</f>
        <v>1.8705968416532817</v>
      </c>
      <c r="AX11" s="511">
        <f>+[4]Report1!AR16</f>
        <v>0</v>
      </c>
      <c r="AY11" s="511">
        <f>+[4]Report1!AS16</f>
        <v>5.168492867479843E-2</v>
      </c>
      <c r="AZ11" s="511">
        <f>+[4]Report1!AX16</f>
        <v>1130.0210156686458</v>
      </c>
      <c r="BA11" s="511">
        <f>+[4]Report1!AY16</f>
        <v>1183.6658132027164</v>
      </c>
      <c r="BB11" s="511">
        <f>+[4]Report1!BD16</f>
        <v>0</v>
      </c>
      <c r="BC11" s="511">
        <f>+[4]Report1!BE16</f>
        <v>168.21456401774819</v>
      </c>
      <c r="BD11" s="511">
        <f>+[4]Report1!BJ16</f>
        <v>28.99630230640313</v>
      </c>
      <c r="BE11" s="511">
        <f>+[4]Report1!BK16</f>
        <v>4.3335824811946377</v>
      </c>
      <c r="BF11" s="513">
        <f>+[5]Report1!J16</f>
        <v>0.82757594657072953</v>
      </c>
      <c r="BG11" s="514">
        <f>+[5]Report1!K16</f>
        <v>0.73618571035076019</v>
      </c>
      <c r="BH11" s="514">
        <f>+[5]Report1!AN16</f>
        <v>0.82757594657072953</v>
      </c>
      <c r="BI11" s="514">
        <f>+[5]Report1!AO16</f>
        <v>0.7444806058786323</v>
      </c>
      <c r="BJ11" s="511">
        <f>+[5]Report1!R16</f>
        <v>45.026000000000003</v>
      </c>
      <c r="BK11" s="511">
        <f>+[5]Report1!S16</f>
        <v>310.03900000000004</v>
      </c>
      <c r="BL11" s="511">
        <f>+[5]Report1!AD16</f>
        <v>2.7806156442944077</v>
      </c>
      <c r="BM11" s="511">
        <f>+[5]Report1!AE16</f>
        <v>3.3353868384300038</v>
      </c>
      <c r="BN11" s="515">
        <v>0</v>
      </c>
      <c r="BO11" s="515">
        <v>0</v>
      </c>
      <c r="BP11" s="515">
        <f>+[5]Report1!AJ16</f>
        <v>881.24117176741822</v>
      </c>
      <c r="BQ11" s="515">
        <f>+[5]Report1!AK16</f>
        <v>1032.2240266547087</v>
      </c>
      <c r="BR11" s="515">
        <v>0</v>
      </c>
      <c r="BS11" s="516">
        <v>0</v>
      </c>
      <c r="BT11" s="513">
        <f>+[6]Report1!J16</f>
        <v>0.98169390383299371</v>
      </c>
      <c r="BU11" s="618">
        <f>+[6]Report1!K16</f>
        <v>0.83838285432306558</v>
      </c>
      <c r="BV11" s="514">
        <f>+[6]Report1!BG16</f>
        <v>0.9850963965827253</v>
      </c>
      <c r="BW11" s="514">
        <f>+[6]Report1!BH16</f>
        <v>0.85671302286734607</v>
      </c>
      <c r="BX11" s="511">
        <f>+[6]Report1!R16</f>
        <v>50.698999999999998</v>
      </c>
      <c r="BY11" s="511">
        <f>+[6]Report1!S16</f>
        <v>322.51499999999999</v>
      </c>
      <c r="BZ11" s="515">
        <f>+[6]Report1!X16</f>
        <v>73.663357678173739</v>
      </c>
      <c r="CA11" s="515">
        <f>+[6]Report1!Y16</f>
        <v>82.622949548214876</v>
      </c>
      <c r="CB11" s="511">
        <f>+[6]Report1!AD16</f>
        <v>1.8422454091796685</v>
      </c>
      <c r="CC11" s="511">
        <f>+[6]Report1!AE16</f>
        <v>2.0944762259119734</v>
      </c>
      <c r="CD11" s="604">
        <f>+[6]Report1!AJ16</f>
        <v>0</v>
      </c>
      <c r="CE11" s="604">
        <f>+[6]Report1!AK16</f>
        <v>0</v>
      </c>
      <c r="CF11" s="515">
        <f>+[6]Report1!AP16</f>
        <v>799.4655713130428</v>
      </c>
      <c r="CG11" s="515">
        <f>+[6]Report1!AQ16</f>
        <v>957.89766367455741</v>
      </c>
      <c r="CH11" s="604">
        <f>+[6]Report1!AV16</f>
        <v>0</v>
      </c>
      <c r="CI11" s="604">
        <f>+[6]Report1!AW16</f>
        <v>0</v>
      </c>
      <c r="CJ11" s="515">
        <f>+[6]Report1!BB16</f>
        <v>0</v>
      </c>
      <c r="CK11" s="515">
        <f>+[6]Report1!BC16</f>
        <v>0</v>
      </c>
    </row>
    <row r="12" spans="1:89" ht="12.75" customHeight="1">
      <c r="A12" s="567">
        <f t="shared" si="0"/>
        <v>45847</v>
      </c>
      <c r="B12" s="513">
        <f>+Report1!J17</f>
        <v>0.8406252877929733</v>
      </c>
      <c r="C12" s="514">
        <f>+Report1!K17</f>
        <v>0.82603075417425698</v>
      </c>
      <c r="D12" s="514">
        <f>+Report1!AJ17</f>
        <v>0.8406252877929733</v>
      </c>
      <c r="E12" s="514">
        <f>+Report1!AK17</f>
        <v>0.82922888190216082</v>
      </c>
      <c r="F12" s="511">
        <f>+Report1!R17</f>
        <v>65.429000000000002</v>
      </c>
      <c r="G12" s="511">
        <f>+Report1!S17</f>
        <v>574.51100000000008</v>
      </c>
      <c r="H12" s="511">
        <f>+Report1!X17</f>
        <v>2.1731800883400325</v>
      </c>
      <c r="I12" s="511">
        <f>+Report1!Y17</f>
        <v>2.2034321361993063</v>
      </c>
      <c r="J12" s="511">
        <f>+Report1!AD17</f>
        <v>806.65545858868052</v>
      </c>
      <c r="K12" s="512">
        <f>+Report1!AE17</f>
        <v>857.66681577897941</v>
      </c>
      <c r="L12" s="513">
        <f>+[1]Report1!J17</f>
        <v>0.31866177928636874</v>
      </c>
      <c r="M12" s="514">
        <f>+[1]Report1!K17</f>
        <v>0.82217007904983919</v>
      </c>
      <c r="N12" s="514">
        <f>+[1]Report1!BJ17</f>
        <v>0.31866177928636874</v>
      </c>
      <c r="O12" s="514">
        <f>+[1]Report1!BK17</f>
        <v>0.91150388144022498</v>
      </c>
      <c r="P12" s="511">
        <f>+[1]Report1!R17</f>
        <v>19.738</v>
      </c>
      <c r="Q12" s="511">
        <f>+[1]Report1!S17</f>
        <v>494.99899999999997</v>
      </c>
      <c r="R12" s="511">
        <f>+[1]Report1!AL17</f>
        <v>5.2952173472489621</v>
      </c>
      <c r="S12" s="511">
        <f>+[1]Report1!AM17</f>
        <v>2.2794106654760919</v>
      </c>
      <c r="T12" s="511">
        <f>+[1]Report1!AR17</f>
        <v>0.29891579693991288</v>
      </c>
      <c r="U12" s="511">
        <f>+[1]Report1!AS17</f>
        <v>0.23070753678290262</v>
      </c>
      <c r="V12" s="511">
        <f>+[1]Report1!AX17</f>
        <v>1216.2321410477482</v>
      </c>
      <c r="W12" s="511">
        <f>+[1]Report1!AY17</f>
        <v>621.74636716437919</v>
      </c>
      <c r="X12" s="511">
        <f>+[1]Report1!BD17</f>
        <v>1196.5751342587926</v>
      </c>
      <c r="Y12" s="588">
        <f>+[1]Report1!BE17</f>
        <v>520.02731318649148</v>
      </c>
      <c r="Z12" s="513">
        <f>+[2]Report1!J17</f>
        <v>1.0134813644140392</v>
      </c>
      <c r="AA12" s="618">
        <f>+[2]Report1!K17</f>
        <v>0.89354808556276255</v>
      </c>
      <c r="AB12" s="514">
        <f>+[2]Report1!BC17</f>
        <v>1.0134813644140392</v>
      </c>
      <c r="AC12" s="514">
        <f>+[2]Report1!BD17</f>
        <v>0.89880894319148152</v>
      </c>
      <c r="AD12" s="511">
        <f>+[2]Report1!R17</f>
        <v>45.328000000000003</v>
      </c>
      <c r="AE12" s="511">
        <f>+[2]Report1!S17</f>
        <v>362.29499999999996</v>
      </c>
      <c r="AF12" s="511">
        <f>+[2]Report1!X17</f>
        <v>99.106889780527851</v>
      </c>
      <c r="AG12" s="511">
        <f>+[2]Report1!Y17</f>
        <v>103.48488574562633</v>
      </c>
      <c r="AH12" s="511">
        <f>+[2]Report1!AD17</f>
        <v>1.3744264031062476</v>
      </c>
      <c r="AI12" s="511">
        <f>+[2]Report1!AE17</f>
        <v>1.5255523813466927</v>
      </c>
      <c r="AJ12" s="511">
        <f>+[2]Report1!AJ17</f>
        <v>811.93655135898337</v>
      </c>
      <c r="AK12" s="511">
        <f>+[2]Report1!AK17</f>
        <v>926.24469010060898</v>
      </c>
      <c r="AL12" s="599">
        <f>+[3]Report1!AP17</f>
        <v>0</v>
      </c>
      <c r="AM12" s="600">
        <f>+[3]Report1!AQ17</f>
        <v>0</v>
      </c>
      <c r="AN12" s="513">
        <f>+[4]Report1!J17</f>
        <v>0.95244055839990127</v>
      </c>
      <c r="AO12" s="618">
        <f>+[4]Report1!K17</f>
        <v>0.67528993305774998</v>
      </c>
      <c r="AP12" s="514">
        <f>+[4]Report1!BN17</f>
        <v>0.95244055839990127</v>
      </c>
      <c r="AQ12" s="514">
        <f>+[4]Report1!BO17</f>
        <v>0.71016598374038242</v>
      </c>
      <c r="AR12" s="511">
        <f>+[4]Report1!R17</f>
        <v>45.508000000000003</v>
      </c>
      <c r="AS12" s="511">
        <f>+[4]Report1!S17</f>
        <v>297.03199999999998</v>
      </c>
      <c r="AT12" s="515">
        <f>+[4]Report1!AF17</f>
        <v>94.812259053287036</v>
      </c>
      <c r="AU12" s="515">
        <f>+[4]Report1!AG17</f>
        <v>114.95339266548567</v>
      </c>
      <c r="AV12" s="511">
        <f>+[4]Report1!AL17</f>
        <v>1.5535729981541706</v>
      </c>
      <c r="AW12" s="511">
        <f>+[4]Report1!AM17</f>
        <v>1.8220259096662987</v>
      </c>
      <c r="AX12" s="511">
        <f>+[4]Report1!AR17</f>
        <v>0</v>
      </c>
      <c r="AY12" s="511">
        <f>+[4]Report1!AS17</f>
        <v>4.3766328207061868E-2</v>
      </c>
      <c r="AZ12" s="511">
        <f>+[4]Report1!AX17</f>
        <v>975.7286630922041</v>
      </c>
      <c r="BA12" s="511">
        <f>+[4]Report1!AY17</f>
        <v>1151.8079533518278</v>
      </c>
      <c r="BB12" s="511">
        <f>+[4]Report1!BD17</f>
        <v>0</v>
      </c>
      <c r="BC12" s="511">
        <f>+[4]Report1!BE17</f>
        <v>142.44256511083012</v>
      </c>
      <c r="BD12" s="511">
        <f>+[4]Report1!BJ17</f>
        <v>82.842577129295947</v>
      </c>
      <c r="BE12" s="511">
        <f>+[4]Report1!BK17</f>
        <v>16.361873468178512</v>
      </c>
      <c r="BF12" s="513">
        <f>+[5]Report1!J17</f>
        <v>0.91368518427248291</v>
      </c>
      <c r="BG12" s="514">
        <f>+[5]Report1!K17</f>
        <v>0.75576890773758421</v>
      </c>
      <c r="BH12" s="514">
        <f>+[5]Report1!AN17</f>
        <v>0.91700705638832403</v>
      </c>
      <c r="BI12" s="514">
        <f>+[5]Report1!AO17</f>
        <v>0.76364380152447187</v>
      </c>
      <c r="BJ12" s="511">
        <f>+[5]Report1!R17</f>
        <v>47.718000000000004</v>
      </c>
      <c r="BK12" s="511">
        <f>+[5]Report1!S17</f>
        <v>357.75700000000006</v>
      </c>
      <c r="BL12" s="511">
        <f>+[5]Report1!AD17</f>
        <v>2.6027913994718972</v>
      </c>
      <c r="BM12" s="511">
        <f>+[5]Report1!AE17</f>
        <v>3.2376724983717997</v>
      </c>
      <c r="BN12" s="515">
        <v>0</v>
      </c>
      <c r="BO12" s="515">
        <v>0</v>
      </c>
      <c r="BP12" s="515">
        <f>+[5]Report1!AJ17</f>
        <v>921.98310909929796</v>
      </c>
      <c r="BQ12" s="515">
        <f>+[5]Report1!AK17</f>
        <v>1017.5199786447213</v>
      </c>
      <c r="BR12" s="515">
        <v>0</v>
      </c>
      <c r="BS12" s="516">
        <v>0</v>
      </c>
      <c r="BT12" s="513">
        <f>+[6]Report1!J17</f>
        <v>0.91168308498261352</v>
      </c>
      <c r="BU12" s="618">
        <f>+[6]Report1!K17</f>
        <v>0.84638116643432426</v>
      </c>
      <c r="BV12" s="514">
        <f>+[6]Report1!BG17</f>
        <v>0.91168308498261352</v>
      </c>
      <c r="BW12" s="514">
        <f>+[6]Report1!BH17</f>
        <v>0.86282775376419962</v>
      </c>
      <c r="BX12" s="511">
        <f>+[6]Report1!R17</f>
        <v>42.956000000000003</v>
      </c>
      <c r="BY12" s="511">
        <f>+[6]Report1!S17</f>
        <v>365.471</v>
      </c>
      <c r="BZ12" s="515">
        <f>+[6]Report1!X17</f>
        <v>83.479993831624185</v>
      </c>
      <c r="CA12" s="515">
        <f>+[6]Report1!Y17</f>
        <v>82.72368310638538</v>
      </c>
      <c r="CB12" s="511">
        <f>+[6]Report1!AD17</f>
        <v>2.0160163888630223</v>
      </c>
      <c r="CC12" s="511">
        <f>+[6]Report1!AE17</f>
        <v>2.0852543703878008</v>
      </c>
      <c r="CD12" s="604">
        <f>+[6]Report1!AJ17</f>
        <v>0</v>
      </c>
      <c r="CE12" s="604">
        <f>+[6]Report1!AK17</f>
        <v>0</v>
      </c>
      <c r="CF12" s="515">
        <f>+[6]Report1!AP17</f>
        <v>907.3281962938571</v>
      </c>
      <c r="CG12" s="515">
        <f>+[6]Report1!AQ17</f>
        <v>951.95393068122712</v>
      </c>
      <c r="CH12" s="604">
        <f>+[6]Report1!AV17</f>
        <v>0</v>
      </c>
      <c r="CI12" s="604">
        <f>+[6]Report1!AW17</f>
        <v>0</v>
      </c>
      <c r="CJ12" s="515">
        <f>+[6]Report1!BB17</f>
        <v>0</v>
      </c>
      <c r="CK12" s="515">
        <f>+[6]Report1!BC17</f>
        <v>0</v>
      </c>
    </row>
    <row r="13" spans="1:89" ht="12.75" customHeight="1">
      <c r="A13" s="567">
        <f t="shared" si="0"/>
        <v>45848</v>
      </c>
      <c r="B13" s="513">
        <f>+Report1!J18</f>
        <v>0.88034016925384084</v>
      </c>
      <c r="C13" s="514">
        <f>+Report1!K18</f>
        <v>0.83075725094017017</v>
      </c>
      <c r="D13" s="514">
        <f>+Report1!AJ18</f>
        <v>0.88034016925384084</v>
      </c>
      <c r="E13" s="514">
        <f>+Report1!AK18</f>
        <v>0.83369276643543844</v>
      </c>
      <c r="F13" s="511">
        <f>+Report1!R18</f>
        <v>58.366</v>
      </c>
      <c r="G13" s="511">
        <f>+Report1!S18</f>
        <v>632.87700000000007</v>
      </c>
      <c r="H13" s="511">
        <f>+Report1!X18</f>
        <v>2.2770619881437826</v>
      </c>
      <c r="I13" s="511">
        <f>+Report1!Y18</f>
        <v>2.2102225234919262</v>
      </c>
      <c r="J13" s="511">
        <f>+Report1!AD18</f>
        <v>909.17006476372296</v>
      </c>
      <c r="K13" s="512">
        <f>+Report1!AE18</f>
        <v>862.4166149188494</v>
      </c>
      <c r="L13" s="513">
        <f>+[1]Report1!J18</f>
        <v>0.77901132762559921</v>
      </c>
      <c r="M13" s="514">
        <f>+[1]Report1!K18</f>
        <v>0.818253513456215</v>
      </c>
      <c r="N13" s="514">
        <f>+[1]Report1!BJ18</f>
        <v>0.77901132762559921</v>
      </c>
      <c r="O13" s="514">
        <f>+[1]Report1!BK18</f>
        <v>0.89830419685898566</v>
      </c>
      <c r="P13" s="511">
        <f>+[1]Report1!R18</f>
        <v>46.81</v>
      </c>
      <c r="Q13" s="511">
        <f>+[1]Report1!S18</f>
        <v>541.80899999999997</v>
      </c>
      <c r="R13" s="511">
        <f>+[1]Report1!AL18</f>
        <v>4.0257209997863708</v>
      </c>
      <c r="S13" s="511">
        <f>+[1]Report1!AM18</f>
        <v>2.430284472941572</v>
      </c>
      <c r="T13" s="511">
        <f>+[1]Report1!AR18</f>
        <v>0.20081179235206154</v>
      </c>
      <c r="U13" s="511">
        <f>+[1]Report1!AS18</f>
        <v>0.22812467124023414</v>
      </c>
      <c r="V13" s="511">
        <f>+[1]Report1!AX18</f>
        <v>708.01602221747112</v>
      </c>
      <c r="W13" s="511">
        <f>+[1]Report1!AY18</f>
        <v>629.19969952510985</v>
      </c>
      <c r="X13" s="511">
        <f>+[1]Report1!BD18</f>
        <v>676.86391796624741</v>
      </c>
      <c r="Y13" s="588">
        <f>+[1]Report1!BE18</f>
        <v>533.57733075677993</v>
      </c>
      <c r="Z13" s="513">
        <f>+[2]Report1!J18</f>
        <v>0.94552493080734612</v>
      </c>
      <c r="AA13" s="618">
        <f>+[2]Report1!K18</f>
        <v>0.8988431307687067</v>
      </c>
      <c r="AB13" s="514">
        <f>+[2]Report1!BC18</f>
        <v>0.94552493080734612</v>
      </c>
      <c r="AC13" s="514">
        <f>+[2]Report1!BD18</f>
        <v>0.90359319841825803</v>
      </c>
      <c r="AD13" s="511">
        <f>+[2]Report1!R18</f>
        <v>43.484999999999999</v>
      </c>
      <c r="AE13" s="511">
        <f>+[2]Report1!S18</f>
        <v>405.78</v>
      </c>
      <c r="AF13" s="511">
        <f>+[2]Report1!X18</f>
        <v>99.934950687117265</v>
      </c>
      <c r="AG13" s="511">
        <f>+[2]Report1!Y18</f>
        <v>103.10446057430377</v>
      </c>
      <c r="AH13" s="511">
        <f>+[2]Report1!AD18</f>
        <v>1.5062665286880534</v>
      </c>
      <c r="AI13" s="511">
        <f>+[2]Report1!AE18</f>
        <v>1.5234856326088027</v>
      </c>
      <c r="AJ13" s="511">
        <f>+[2]Report1!AJ18</f>
        <v>836.83615039666336</v>
      </c>
      <c r="AK13" s="511">
        <f>+[2]Report1!AK18</f>
        <v>916.66331509684801</v>
      </c>
      <c r="AL13" s="599">
        <f>+[3]Report1!AP18</f>
        <v>0</v>
      </c>
      <c r="AM13" s="600">
        <f>+[3]Report1!AQ18</f>
        <v>0</v>
      </c>
      <c r="AN13" s="513">
        <f>+[4]Report1!J18</f>
        <v>0.88444197849655959</v>
      </c>
      <c r="AO13" s="618">
        <f>+[4]Report1!K18</f>
        <v>0.69578331600878018</v>
      </c>
      <c r="AP13" s="514">
        <f>+[4]Report1!BN18</f>
        <v>0.88444197849655959</v>
      </c>
      <c r="AQ13" s="514">
        <f>+[4]Report1!BO18</f>
        <v>0.72803359601987627</v>
      </c>
      <c r="AR13" s="511">
        <f>+[4]Report1!R18</f>
        <v>42.259</v>
      </c>
      <c r="AS13" s="511">
        <f>+[4]Report1!S18</f>
        <v>339.291</v>
      </c>
      <c r="AT13" s="515">
        <f>+[4]Report1!AF18</f>
        <v>106.03575895248406</v>
      </c>
      <c r="AU13" s="515">
        <f>+[4]Report1!AG18</f>
        <v>113.84269334520386</v>
      </c>
      <c r="AV13" s="511">
        <f>+[4]Report1!AL18</f>
        <v>1.6990463569890437</v>
      </c>
      <c r="AW13" s="511">
        <f>+[4]Report1!AM18</f>
        <v>1.8067086954855862</v>
      </c>
      <c r="AX13" s="511">
        <f>+[4]Report1!AR18</f>
        <v>0</v>
      </c>
      <c r="AY13" s="511">
        <f>+[4]Report1!AS18</f>
        <v>3.8315192563315857E-2</v>
      </c>
      <c r="AZ13" s="511">
        <f>+[4]Report1!AX18</f>
        <v>987.95096902434864</v>
      </c>
      <c r="BA13" s="511">
        <f>+[4]Report1!AY18</f>
        <v>1131.3994181985377</v>
      </c>
      <c r="BB13" s="511">
        <f>+[4]Report1!BD18</f>
        <v>0</v>
      </c>
      <c r="BC13" s="511">
        <f>+[4]Report1!BE18</f>
        <v>124.70121518106905</v>
      </c>
      <c r="BD13" s="511">
        <f>+[4]Report1!BJ18</f>
        <v>85.662225798054848</v>
      </c>
      <c r="BE13" s="511">
        <f>+[4]Report1!BK18</f>
        <v>24.99329484130142</v>
      </c>
      <c r="BF13" s="513">
        <f>+[5]Report1!J18</f>
        <v>1.0821527447225663</v>
      </c>
      <c r="BG13" s="514">
        <f>+[5]Report1!K18</f>
        <v>0.78835081203616364</v>
      </c>
      <c r="BH13" s="514">
        <f>+[5]Report1!AN18</f>
        <v>1.0821527447225663</v>
      </c>
      <c r="BI13" s="514">
        <f>+[5]Report1!AO18</f>
        <v>0.7957374991462095</v>
      </c>
      <c r="BJ13" s="511">
        <f>+[5]Report1!R18</f>
        <v>56.808</v>
      </c>
      <c r="BK13" s="511">
        <f>+[5]Report1!S18</f>
        <v>414.56500000000005</v>
      </c>
      <c r="BL13" s="511">
        <f>+[5]Report1!AD18</f>
        <v>2.1581467398957894</v>
      </c>
      <c r="BM13" s="511">
        <f>+[5]Report1!AE18</f>
        <v>3.0897446721262045</v>
      </c>
      <c r="BN13" s="515">
        <v>0</v>
      </c>
      <c r="BO13" s="515">
        <v>0</v>
      </c>
      <c r="BP13" s="515">
        <f>+[5]Report1!AJ18</f>
        <v>793.42812632023913</v>
      </c>
      <c r="BQ13" s="515">
        <f>+[5]Report1!AK18</f>
        <v>986.81258668724968</v>
      </c>
      <c r="BR13" s="515">
        <v>0</v>
      </c>
      <c r="BS13" s="516">
        <v>0</v>
      </c>
      <c r="BT13" s="513">
        <f>+[6]Report1!J18</f>
        <v>0.86613779940727553</v>
      </c>
      <c r="BU13" s="618">
        <f>+[6]Report1!K18</f>
        <v>0.84829974828047117</v>
      </c>
      <c r="BV13" s="514">
        <f>+[6]Report1!BG18</f>
        <v>0.86613779940727553</v>
      </c>
      <c r="BW13" s="514">
        <f>+[6]Report1!BH18</f>
        <v>0.86315482378998742</v>
      </c>
      <c r="BX13" s="511">
        <f>+[6]Report1!R18</f>
        <v>40.225999999999999</v>
      </c>
      <c r="BY13" s="511">
        <f>+[6]Report1!S18</f>
        <v>405.697</v>
      </c>
      <c r="BZ13" s="515">
        <f>+[6]Report1!X18</f>
        <v>93.132887480676203</v>
      </c>
      <c r="CA13" s="515">
        <f>+[6]Report1!Y18</f>
        <v>83.755785032601793</v>
      </c>
      <c r="CB13" s="511">
        <f>+[6]Report1!AD18</f>
        <v>2.1279769303435589</v>
      </c>
      <c r="CC13" s="511">
        <f>+[6]Report1!AE18</f>
        <v>2.0894904325149066</v>
      </c>
      <c r="CD13" s="604">
        <f>+[6]Report1!AJ18</f>
        <v>0</v>
      </c>
      <c r="CE13" s="604">
        <f>+[6]Report1!AK18</f>
        <v>0</v>
      </c>
      <c r="CF13" s="515">
        <f>+[6]Report1!AP18</f>
        <v>1022.3836573360712</v>
      </c>
      <c r="CG13" s="515">
        <f>+[6]Report1!AQ18</f>
        <v>958.93723641042334</v>
      </c>
      <c r="CH13" s="604">
        <f>+[6]Report1!AV18</f>
        <v>0</v>
      </c>
      <c r="CI13" s="604">
        <f>+[6]Report1!AW18</f>
        <v>0</v>
      </c>
      <c r="CJ13" s="515">
        <f>+[6]Report1!BB18</f>
        <v>0</v>
      </c>
      <c r="CK13" s="515">
        <f>+[6]Report1!BC18</f>
        <v>0</v>
      </c>
    </row>
    <row r="14" spans="1:89" ht="12.75" customHeight="1">
      <c r="A14" s="567">
        <f t="shared" si="0"/>
        <v>45849</v>
      </c>
      <c r="B14" s="513">
        <f>+Report1!J19</f>
        <v>0.88129263909988098</v>
      </c>
      <c r="C14" s="514">
        <f>+Report1!K19</f>
        <v>0.83444155409629261</v>
      </c>
      <c r="D14" s="514">
        <f>+Report1!AJ19</f>
        <v>0.88129263909988098</v>
      </c>
      <c r="E14" s="514">
        <f>+Report1!AK19</f>
        <v>0.83717442011765619</v>
      </c>
      <c r="F14" s="511">
        <f>+Report1!R19</f>
        <v>52.795999999999999</v>
      </c>
      <c r="G14" s="511">
        <f>+Report1!S19</f>
        <v>685.67300000000012</v>
      </c>
      <c r="H14" s="511">
        <f>+Report1!X19</f>
        <v>2.4113379801500114</v>
      </c>
      <c r="I14" s="511">
        <f>+Report1!Y19</f>
        <v>2.2257081728462396</v>
      </c>
      <c r="J14" s="511">
        <f>+Report1!AD19</f>
        <v>1099.5170088643195</v>
      </c>
      <c r="K14" s="512">
        <f>+Report1!AE19</f>
        <v>880.67306135723175</v>
      </c>
      <c r="L14" s="513">
        <f>+[1]Report1!J19</f>
        <v>0.80273199959590158</v>
      </c>
      <c r="M14" s="514">
        <f>+[1]Report1!K19</f>
        <v>0.81674935419275718</v>
      </c>
      <c r="N14" s="514">
        <f>+[1]Report1!BJ19</f>
        <v>0.80273199959590158</v>
      </c>
      <c r="O14" s="514">
        <f>+[1]Report1!BK19</f>
        <v>0.88823189160863347</v>
      </c>
      <c r="P14" s="511">
        <f>+[1]Report1!R19</f>
        <v>57.036999999999999</v>
      </c>
      <c r="Q14" s="511">
        <f>+[1]Report1!S19</f>
        <v>598.846</v>
      </c>
      <c r="R14" s="511">
        <f>+[1]Report1!AL19</f>
        <v>3.2793975840244056</v>
      </c>
      <c r="S14" s="511">
        <f>+[1]Report1!AM19</f>
        <v>2.511158127465158</v>
      </c>
      <c r="T14" s="511">
        <f>+[1]Report1!AR19</f>
        <v>0.16480530182162456</v>
      </c>
      <c r="U14" s="511">
        <f>+[1]Report1!AS19</f>
        <v>0.22209382712750858</v>
      </c>
      <c r="V14" s="511">
        <f>+[1]Report1!AX19</f>
        <v>767.86033627293568</v>
      </c>
      <c r="W14" s="511">
        <f>+[1]Report1!AY19</f>
        <v>642.40641166510204</v>
      </c>
      <c r="X14" s="511">
        <f>+[1]Report1!BD19</f>
        <v>625.34845801848076</v>
      </c>
      <c r="Y14" s="588">
        <f>+[1]Report1!BE19</f>
        <v>542.31805839898777</v>
      </c>
      <c r="Z14" s="513">
        <f>+[2]Report1!J19</f>
        <v>0.94659439498501918</v>
      </c>
      <c r="AA14" s="618">
        <f>+[2]Report1!K19</f>
        <v>0.90321315895651733</v>
      </c>
      <c r="AB14" s="514">
        <f>+[2]Report1!BC19</f>
        <v>0.94659439498501918</v>
      </c>
      <c r="AC14" s="514">
        <f>+[2]Report1!BD19</f>
        <v>0.90754740146362656</v>
      </c>
      <c r="AD14" s="511">
        <f>+[2]Report1!R19</f>
        <v>43.048000000000002</v>
      </c>
      <c r="AE14" s="511">
        <f>+[2]Report1!S19</f>
        <v>448.82799999999997</v>
      </c>
      <c r="AF14" s="511">
        <f>+[2]Report1!X19</f>
        <v>103.18729309748917</v>
      </c>
      <c r="AG14" s="511">
        <f>+[2]Report1!Y19</f>
        <v>103.1124052089034</v>
      </c>
      <c r="AH14" s="511">
        <f>+[2]Report1!AD19</f>
        <v>1.5471102025645789</v>
      </c>
      <c r="AI14" s="511">
        <f>+[2]Report1!AE19</f>
        <v>1.5257515128289678</v>
      </c>
      <c r="AJ14" s="511">
        <f>+[2]Report1!AJ19</f>
        <v>873.67821966179827</v>
      </c>
      <c r="AK14" s="511">
        <f>+[2]Report1!AK19</f>
        <v>912.54052777455968</v>
      </c>
      <c r="AL14" s="599">
        <f>+[3]Report1!AP19</f>
        <v>0</v>
      </c>
      <c r="AM14" s="600">
        <f>+[3]Report1!AQ19</f>
        <v>0</v>
      </c>
      <c r="AN14" s="513">
        <f>+[4]Report1!J19</f>
        <v>0.93233824082716144</v>
      </c>
      <c r="AO14" s="618">
        <f>+[4]Report1!K19</f>
        <v>0.71696211205325344</v>
      </c>
      <c r="AP14" s="514">
        <f>+[4]Report1!BN19</f>
        <v>0.93233824082716144</v>
      </c>
      <c r="AQ14" s="514">
        <f>+[4]Report1!BO19</f>
        <v>0.74709375030597558</v>
      </c>
      <c r="AR14" s="511">
        <f>+[4]Report1!R19</f>
        <v>44.707000000000001</v>
      </c>
      <c r="AS14" s="511">
        <f>+[4]Report1!S19</f>
        <v>383.99799999999999</v>
      </c>
      <c r="AT14" s="515">
        <f>+[4]Report1!AF19</f>
        <v>104.99133013291025</v>
      </c>
      <c r="AU14" s="515">
        <f>+[4]Report1!AG19</f>
        <v>112.81217262600215</v>
      </c>
      <c r="AV14" s="511">
        <f>+[4]Report1!AL19</f>
        <v>1.6820632115776053</v>
      </c>
      <c r="AW14" s="511">
        <f>+[4]Report1!AM19</f>
        <v>1.7921968343585124</v>
      </c>
      <c r="AX14" s="511">
        <f>+[4]Report1!AR19</f>
        <v>0</v>
      </c>
      <c r="AY14" s="511">
        <f>+[4]Report1!AS19</f>
        <v>3.3854342991369746E-2</v>
      </c>
      <c r="AZ14" s="511">
        <f>+[4]Report1!AX19</f>
        <v>1016.6215581452565</v>
      </c>
      <c r="BA14" s="511">
        <f>+[4]Report1!AY19</f>
        <v>1118.0363960228958</v>
      </c>
      <c r="BB14" s="511">
        <f>+[4]Report1!BD19</f>
        <v>0</v>
      </c>
      <c r="BC14" s="511">
        <f>+[4]Report1!BE19</f>
        <v>110.18286553575825</v>
      </c>
      <c r="BD14" s="511">
        <f>+[4]Report1!BJ19</f>
        <v>85.668910908806225</v>
      </c>
      <c r="BE14" s="511">
        <f>+[4]Report1!BK19</f>
        <v>32.057458632597047</v>
      </c>
      <c r="BF14" s="513">
        <f>+[5]Report1!J19</f>
        <v>0.92288354983227794</v>
      </c>
      <c r="BG14" s="514">
        <f>+[5]Report1!K19</f>
        <v>0.80057050153306342</v>
      </c>
      <c r="BH14" s="514">
        <f>+[5]Report1!AN19</f>
        <v>0.92288354983227794</v>
      </c>
      <c r="BI14" s="514">
        <f>+[5]Report1!AO19</f>
        <v>0.8073845484866653</v>
      </c>
      <c r="BJ14" s="511">
        <f>+[5]Report1!R19</f>
        <v>48.484999999999999</v>
      </c>
      <c r="BK14" s="511">
        <f>+[5]Report1!S19</f>
        <v>463.05000000000007</v>
      </c>
      <c r="BL14" s="511">
        <f>+[5]Report1!AD19</f>
        <v>2.4976796947509539</v>
      </c>
      <c r="BM14" s="511">
        <f>+[5]Report1!AE19</f>
        <v>3.0277507828528232</v>
      </c>
      <c r="BN14" s="515">
        <v>0</v>
      </c>
      <c r="BO14" s="515">
        <v>0</v>
      </c>
      <c r="BP14" s="515">
        <f>+[5]Report1!AJ19</f>
        <v>961.45168608847882</v>
      </c>
      <c r="BQ14" s="515">
        <f>+[5]Report1!AK19</f>
        <v>984.15709966526197</v>
      </c>
      <c r="BR14" s="515">
        <v>0</v>
      </c>
      <c r="BS14" s="516">
        <v>0</v>
      </c>
      <c r="BT14" s="513">
        <f>+[6]Report1!J19</f>
        <v>0.66322076904087501</v>
      </c>
      <c r="BU14" s="618">
        <f>+[6]Report1!K19</f>
        <v>0.83168990865010606</v>
      </c>
      <c r="BV14" s="514">
        <f>+[6]Report1!BG19</f>
        <v>0.66322076904087501</v>
      </c>
      <c r="BW14" s="514">
        <f>+[6]Report1!BH19</f>
        <v>0.84492625830883084</v>
      </c>
      <c r="BX14" s="511">
        <f>+[6]Report1!R19</f>
        <v>31.271999999999998</v>
      </c>
      <c r="BY14" s="511">
        <f>+[6]Report1!S19</f>
        <v>436.96899999999999</v>
      </c>
      <c r="BZ14" s="515">
        <f>+[6]Report1!X19</f>
        <v>121.16737050675577</v>
      </c>
      <c r="CA14" s="515">
        <f>+[6]Report1!Y19</f>
        <v>86.43317198899399</v>
      </c>
      <c r="CB14" s="511">
        <f>+[6]Report1!AD19</f>
        <v>2.7148887183422872</v>
      </c>
      <c r="CC14" s="511">
        <f>+[6]Report1!AE19</f>
        <v>2.1342475095487323</v>
      </c>
      <c r="CD14" s="604">
        <f>+[6]Report1!AJ19</f>
        <v>0</v>
      </c>
      <c r="CE14" s="604">
        <f>+[6]Report1!AK19</f>
        <v>0</v>
      </c>
      <c r="CF14" s="515">
        <f>+[6]Report1!AP19</f>
        <v>1348.4690777692128</v>
      </c>
      <c r="CG14" s="515">
        <f>+[6]Report1!AQ19</f>
        <v>986.81436211721757</v>
      </c>
      <c r="CH14" s="604">
        <f>+[6]Report1!AV19</f>
        <v>0</v>
      </c>
      <c r="CI14" s="604">
        <f>+[6]Report1!AW19</f>
        <v>0</v>
      </c>
      <c r="CJ14" s="515">
        <f>+[6]Report1!BB19</f>
        <v>0</v>
      </c>
      <c r="CK14" s="515">
        <f>+[6]Report1!BC19</f>
        <v>0</v>
      </c>
    </row>
    <row r="15" spans="1:89" ht="12.75" customHeight="1">
      <c r="A15" s="567">
        <f t="shared" si="0"/>
        <v>45850</v>
      </c>
      <c r="B15" s="513">
        <f>+Report1!J20</f>
        <v>0.78168732173426547</v>
      </c>
      <c r="C15" s="514">
        <f>+Report1!K20</f>
        <v>0.83091103631758045</v>
      </c>
      <c r="D15" s="514">
        <f>+Report1!AJ20</f>
        <v>0.78168732173426547</v>
      </c>
      <c r="E15" s="514">
        <f>+Report1!AK20</f>
        <v>0.8334496630107695</v>
      </c>
      <c r="F15" s="511">
        <f>+Report1!R20</f>
        <v>46.07</v>
      </c>
      <c r="G15" s="511">
        <f>+Report1!S20</f>
        <v>731.74300000000017</v>
      </c>
      <c r="H15" s="511">
        <f>+Report1!X20</f>
        <v>2.8061428261341437</v>
      </c>
      <c r="I15" s="511">
        <f>+Report1!Y20</f>
        <v>2.2622519108484802</v>
      </c>
      <c r="J15" s="511">
        <f>+Report1!AD20</f>
        <v>1273.5493813761732</v>
      </c>
      <c r="K15" s="512">
        <f>+Report1!AE20</f>
        <v>905.40826492361043</v>
      </c>
      <c r="L15" s="513">
        <f>+[1]Report1!J20</f>
        <v>0.86502012539495809</v>
      </c>
      <c r="M15" s="514">
        <f>+[1]Report1!K20</f>
        <v>0.82101069638515445</v>
      </c>
      <c r="N15" s="514">
        <f>+[1]Report1!BJ20</f>
        <v>0.86502012539495809</v>
      </c>
      <c r="O15" s="514">
        <f>+[1]Report1!BK20</f>
        <v>0.88602050173590463</v>
      </c>
      <c r="P15" s="511">
        <f>+[1]Report1!R20</f>
        <v>61.411999999999999</v>
      </c>
      <c r="Q15" s="511">
        <f>+[1]Report1!S20</f>
        <v>660.25800000000004</v>
      </c>
      <c r="R15" s="511">
        <f>+[1]Report1!AL20</f>
        <v>3.0745619748583337</v>
      </c>
      <c r="S15" s="511">
        <f>+[1]Report1!AM20</f>
        <v>2.5635615168615904</v>
      </c>
      <c r="T15" s="511">
        <f>+[1]Report1!AR20</f>
        <v>0.19377320393408456</v>
      </c>
      <c r="U15" s="511">
        <f>+[1]Report1!AS20</f>
        <v>0.21945966576701834</v>
      </c>
      <c r="V15" s="511">
        <f>+[1]Report1!AX20</f>
        <v>742.35540285288289</v>
      </c>
      <c r="W15" s="511">
        <f>+[1]Report1!AY20</f>
        <v>651.70287978335887</v>
      </c>
      <c r="X15" s="511">
        <f>+[1]Report1!BD20</f>
        <v>599.24770403178161</v>
      </c>
      <c r="Y15" s="588">
        <f>+[1]Report1!BE20</f>
        <v>547.61320574684441</v>
      </c>
      <c r="Z15" s="513">
        <f>+[2]Report1!J20</f>
        <v>0.94875897033512024</v>
      </c>
      <c r="AA15" s="618">
        <f>+[2]Report1!K20</f>
        <v>0.90706214467120394</v>
      </c>
      <c r="AB15" s="514">
        <f>+[2]Report1!BC20</f>
        <v>0.94875897033512024</v>
      </c>
      <c r="AC15" s="514">
        <f>+[2]Report1!BD20</f>
        <v>0.91104540289144553</v>
      </c>
      <c r="AD15" s="511">
        <f>+[2]Report1!R20</f>
        <v>43.52</v>
      </c>
      <c r="AE15" s="511">
        <f>+[2]Report1!S20</f>
        <v>492.34799999999996</v>
      </c>
      <c r="AF15" s="511">
        <f>+[2]Report1!X20</f>
        <v>98.125608204844156</v>
      </c>
      <c r="AG15" s="511">
        <f>+[2]Report1!Y20</f>
        <v>102.67160844397969</v>
      </c>
      <c r="AH15" s="511">
        <f>+[2]Report1!AD20</f>
        <v>1.5372242647058825</v>
      </c>
      <c r="AI15" s="511">
        <f>+[2]Report1!AE20</f>
        <v>1.5267656210647753</v>
      </c>
      <c r="AJ15" s="511">
        <f>+[2]Report1!AJ20</f>
        <v>856.90303308821012</v>
      </c>
      <c r="AK15" s="511">
        <f>+[2]Report1!AK20</f>
        <v>907.62257590159606</v>
      </c>
      <c r="AL15" s="599">
        <f>+[3]Report1!AP20</f>
        <v>0</v>
      </c>
      <c r="AM15" s="600">
        <f>+[3]Report1!AQ20</f>
        <v>0</v>
      </c>
      <c r="AN15" s="513">
        <f>+[4]Report1!J20</f>
        <v>1.0099745984597002</v>
      </c>
      <c r="AO15" s="618">
        <f>+[4]Report1!K20</f>
        <v>0.74096101155950089</v>
      </c>
      <c r="AP15" s="514">
        <f>+[4]Report1!BN20</f>
        <v>1.0099745984597002</v>
      </c>
      <c r="AQ15" s="514">
        <f>+[4]Report1!BO20</f>
        <v>0.76945266390487699</v>
      </c>
      <c r="AR15" s="511">
        <f>+[4]Report1!R20</f>
        <v>48.256999999999998</v>
      </c>
      <c r="AS15" s="511">
        <f>+[4]Report1!S20</f>
        <v>432.255</v>
      </c>
      <c r="AT15" s="515">
        <f>+[4]Report1!AF20</f>
        <v>93.853042576195477</v>
      </c>
      <c r="AU15" s="515">
        <f>+[4]Report1!AG20</f>
        <v>110.69557307524271</v>
      </c>
      <c r="AV15" s="511">
        <f>+[4]Report1!AL20</f>
        <v>1.5458897154816917</v>
      </c>
      <c r="AW15" s="511">
        <f>+[4]Report1!AM20</f>
        <v>1.7646990780904792</v>
      </c>
      <c r="AX15" s="511">
        <f>+[4]Report1!AR20</f>
        <v>0</v>
      </c>
      <c r="AY15" s="511">
        <f>+[4]Report1!AS20</f>
        <v>3.0074840082821484E-2</v>
      </c>
      <c r="AZ15" s="511">
        <f>+[4]Report1!AX20</f>
        <v>936.90904946432647</v>
      </c>
      <c r="BA15" s="511">
        <f>+[4]Report1!AY20</f>
        <v>1097.8153173473991</v>
      </c>
      <c r="BB15" s="511">
        <f>+[4]Report1!BD20</f>
        <v>0</v>
      </c>
      <c r="BC15" s="511">
        <f>+[4]Report1!BE20</f>
        <v>97.882037223398441</v>
      </c>
      <c r="BD15" s="511">
        <f>+[4]Report1!BJ20</f>
        <v>78.537828708788368</v>
      </c>
      <c r="BE15" s="511">
        <f>+[4]Report1!BK20</f>
        <v>37.246532717955837</v>
      </c>
      <c r="BF15" s="513">
        <f>+[5]Report1!J20</f>
        <v>0.82936628239542842</v>
      </c>
      <c r="BG15" s="514">
        <f>+[5]Report1!K20</f>
        <v>0.80294805937002811</v>
      </c>
      <c r="BH15" s="514">
        <f>+[5]Report1!AN20</f>
        <v>0.82936628239542842</v>
      </c>
      <c r="BI15" s="514">
        <f>+[5]Report1!AO20</f>
        <v>0.80921365892801267</v>
      </c>
      <c r="BJ15" s="511">
        <f>+[5]Report1!R20</f>
        <v>43.171999999999997</v>
      </c>
      <c r="BK15" s="511">
        <f>+[5]Report1!S20</f>
        <v>506.22200000000009</v>
      </c>
      <c r="BL15" s="511">
        <f>+[5]Report1!AD20</f>
        <v>2.8351709441304553</v>
      </c>
      <c r="BM15" s="511">
        <f>+[5]Report1!AE20</f>
        <v>3.0113270462366311</v>
      </c>
      <c r="BN15" s="515">
        <v>0</v>
      </c>
      <c r="BO15" s="515">
        <v>0</v>
      </c>
      <c r="BP15" s="515">
        <f>+[5]Report1!AJ20</f>
        <v>1095.9911516723753</v>
      </c>
      <c r="BQ15" s="515">
        <f>+[5]Report1!AK20</f>
        <v>993.69461422063682</v>
      </c>
      <c r="BR15" s="515">
        <v>0</v>
      </c>
      <c r="BS15" s="516">
        <v>0</v>
      </c>
      <c r="BT15" s="513">
        <f>+[6]Report1!J20</f>
        <v>0.84570103907090532</v>
      </c>
      <c r="BU15" s="618">
        <f>+[6]Report1!K20</f>
        <v>0.83284501942789035</v>
      </c>
      <c r="BV15" s="514">
        <f>+[6]Report1!BG20</f>
        <v>0.84570103907090532</v>
      </c>
      <c r="BW15" s="514">
        <f>+[6]Report1!BH20</f>
        <v>0.84499106460669393</v>
      </c>
      <c r="BX15" s="511">
        <f>+[6]Report1!R20</f>
        <v>39.923000000000002</v>
      </c>
      <c r="BY15" s="511">
        <f>+[6]Report1!S20</f>
        <v>476.892</v>
      </c>
      <c r="BZ15" s="515">
        <f>+[6]Report1!X20</f>
        <v>95.020596030501665</v>
      </c>
      <c r="CA15" s="515">
        <f>+[6]Report1!Y20</f>
        <v>87.152067944491492</v>
      </c>
      <c r="CB15" s="511">
        <f>+[6]Report1!AD20</f>
        <v>2.1341081582045436</v>
      </c>
      <c r="CC15" s="511">
        <f>+[6]Report1!AE20</f>
        <v>2.1342358437549804</v>
      </c>
      <c r="CD15" s="604">
        <f>+[6]Report1!AJ20</f>
        <v>0</v>
      </c>
      <c r="CE15" s="604">
        <f>+[6]Report1!AK20</f>
        <v>0</v>
      </c>
      <c r="CF15" s="515">
        <f>+[6]Report1!AP20</f>
        <v>1079.4812514089892</v>
      </c>
      <c r="CG15" s="515">
        <f>+[6]Report1!AQ20</f>
        <v>994.57196807662842</v>
      </c>
      <c r="CH15" s="604">
        <f>+[6]Report1!AV20</f>
        <v>0</v>
      </c>
      <c r="CI15" s="604">
        <f>+[6]Report1!AW20</f>
        <v>0</v>
      </c>
      <c r="CJ15" s="515">
        <f>+[6]Report1!BB20</f>
        <v>0</v>
      </c>
      <c r="CK15" s="515">
        <f>+[6]Report1!BC20</f>
        <v>0</v>
      </c>
    </row>
    <row r="16" spans="1:89" ht="12.75" customHeight="1">
      <c r="A16" s="567">
        <f t="shared" si="0"/>
        <v>45851</v>
      </c>
      <c r="B16" s="513">
        <f>+Report1!J21</f>
        <v>0.60333694021081286</v>
      </c>
      <c r="C16" s="514">
        <f>+Report1!K21</f>
        <v>0.81633737328539069</v>
      </c>
      <c r="D16" s="514">
        <f>+Report1!AJ21</f>
        <v>0.60333694021081286</v>
      </c>
      <c r="E16" s="514">
        <f>+Report1!AK21</f>
        <v>0.81867129718436094</v>
      </c>
      <c r="F16" s="511">
        <f>+Report1!R21</f>
        <v>36.353999999999999</v>
      </c>
      <c r="G16" s="511">
        <f>+Report1!S21</f>
        <v>768.09700000000021</v>
      </c>
      <c r="H16" s="511">
        <f>+Report1!X21</f>
        <v>3.5524839082356832</v>
      </c>
      <c r="I16" s="511">
        <f>+Report1!Y21</f>
        <v>2.3233185391949185</v>
      </c>
      <c r="J16" s="511">
        <f>+Report1!AD21</f>
        <v>1532.1631732408712</v>
      </c>
      <c r="K16" s="512">
        <f>+Report1!AE21</f>
        <v>935.07254943060059</v>
      </c>
      <c r="L16" s="513">
        <f>+[1]Report1!J21</f>
        <v>0.97995064220302108</v>
      </c>
      <c r="M16" s="514">
        <f>+[1]Report1!K21</f>
        <v>0.83287988961801718</v>
      </c>
      <c r="N16" s="514">
        <f>+[1]Report1!BJ21</f>
        <v>0.97995064220302108</v>
      </c>
      <c r="O16" s="514">
        <f>+[1]Report1!BK21</f>
        <v>0.89354586702605376</v>
      </c>
      <c r="P16" s="511">
        <f>+[1]Report1!R21</f>
        <v>63.600999999999999</v>
      </c>
      <c r="Q16" s="511">
        <f>+[1]Report1!S21</f>
        <v>723.85900000000004</v>
      </c>
      <c r="R16" s="511">
        <f>+[1]Report1!AL21</f>
        <v>2.9070297636829614</v>
      </c>
      <c r="S16" s="511">
        <f>+[1]Report1!AM21</f>
        <v>2.5937399410658708</v>
      </c>
      <c r="T16" s="511">
        <f>+[1]Report1!AR21</f>
        <v>0.16037483687363405</v>
      </c>
      <c r="U16" s="511">
        <f>+[1]Report1!AS21</f>
        <v>0.21426824837433808</v>
      </c>
      <c r="V16" s="511">
        <f>+[1]Report1!AX21</f>
        <v>612.93674627757878</v>
      </c>
      <c r="W16" s="511">
        <f>+[1]Report1!AY21</f>
        <v>648.2967401109903</v>
      </c>
      <c r="X16" s="511">
        <f>+[1]Report1!BD21</f>
        <v>523.73390355497634</v>
      </c>
      <c r="Y16" s="588">
        <f>+[1]Report1!BE21</f>
        <v>545.51507959423043</v>
      </c>
      <c r="Z16" s="513">
        <f>+[2]Report1!J21</f>
        <v>0.89669885768638002</v>
      </c>
      <c r="AA16" s="618">
        <f>+[2]Report1!K21</f>
        <v>0.90627990932827196</v>
      </c>
      <c r="AB16" s="514">
        <f>+[2]Report1!BC21</f>
        <v>0.89669885768638002</v>
      </c>
      <c r="AC16" s="514">
        <f>+[2]Report1!BD21</f>
        <v>0.90995811065212073</v>
      </c>
      <c r="AD16" s="511">
        <f>+[2]Report1!R21</f>
        <v>39.738</v>
      </c>
      <c r="AE16" s="511">
        <f>+[2]Report1!S21</f>
        <v>532.08600000000001</v>
      </c>
      <c r="AF16" s="511">
        <f>+[2]Report1!X21</f>
        <v>99.788035851917314</v>
      </c>
      <c r="AG16" s="511">
        <f>+[2]Report1!Y21</f>
        <v>102.45625339298535</v>
      </c>
      <c r="AH16" s="511">
        <f>+[2]Report1!AD21</f>
        <v>1.5224721928632543</v>
      </c>
      <c r="AI16" s="511">
        <f>+[2]Report1!AE21</f>
        <v>1.526444973181027</v>
      </c>
      <c r="AJ16" s="511">
        <f>+[2]Report1!AJ21</f>
        <v>876.74920730789404</v>
      </c>
      <c r="AK16" s="511">
        <f>+[2]Report1!AK21</f>
        <v>905.3168472765683</v>
      </c>
      <c r="AL16" s="599">
        <f>+[3]Report1!AP21</f>
        <v>0</v>
      </c>
      <c r="AM16" s="600">
        <f>+[3]Report1!AQ21</f>
        <v>0</v>
      </c>
      <c r="AN16" s="513">
        <f>+[4]Report1!J21</f>
        <v>0.99454986673031798</v>
      </c>
      <c r="AO16" s="618">
        <f>+[4]Report1!K21</f>
        <v>0.76015859789737716</v>
      </c>
      <c r="AP16" s="514">
        <f>+[4]Report1!BN21</f>
        <v>0.99454986673031798</v>
      </c>
      <c r="AQ16" s="514">
        <f>+[4]Report1!BO21</f>
        <v>0.78709721976344349</v>
      </c>
      <c r="AR16" s="511">
        <f>+[4]Report1!R21</f>
        <v>47.52</v>
      </c>
      <c r="AS16" s="511">
        <f>+[4]Report1!S21</f>
        <v>479.77499999999998</v>
      </c>
      <c r="AT16" s="515">
        <f>+[4]Report1!AF21</f>
        <v>98.802557282053328</v>
      </c>
      <c r="AU16" s="515">
        <f>+[4]Report1!AG21</f>
        <v>109.51761234262355</v>
      </c>
      <c r="AV16" s="511">
        <f>+[4]Report1!AL21</f>
        <v>1.5677609427609427</v>
      </c>
      <c r="AW16" s="511">
        <f>+[4]Report1!AM21</f>
        <v>1.7451930592465221</v>
      </c>
      <c r="AX16" s="511">
        <f>+[4]Report1!AR21</f>
        <v>0</v>
      </c>
      <c r="AY16" s="511">
        <f>+[4]Report1!AS21</f>
        <v>2.7096034599551875E-2</v>
      </c>
      <c r="AZ16" s="511">
        <f>+[4]Report1!AX21</f>
        <v>940.45159932659897</v>
      </c>
      <c r="BA16" s="511">
        <f>+[4]Report1!AY21</f>
        <v>1082.2290031785731</v>
      </c>
      <c r="BB16" s="511">
        <f>+[4]Report1!BD21</f>
        <v>0</v>
      </c>
      <c r="BC16" s="511">
        <f>+[4]Report1!BE21</f>
        <v>88.187171069772489</v>
      </c>
      <c r="BD16" s="511">
        <f>+[4]Report1!BJ21</f>
        <v>86.279461279461273</v>
      </c>
      <c r="BE16" s="511">
        <f>+[4]Report1!BK21</f>
        <v>42.103069146995985</v>
      </c>
      <c r="BF16" s="513">
        <f>+[5]Report1!J21</f>
        <v>0.81142568938046844</v>
      </c>
      <c r="BG16" s="514">
        <f>+[5]Report1!K21</f>
        <v>0.80359155383243497</v>
      </c>
      <c r="BH16" s="514">
        <f>+[5]Report1!AN21</f>
        <v>0.81142568938046844</v>
      </c>
      <c r="BI16" s="514">
        <f>+[5]Report1!AO21</f>
        <v>0.80938277311805018</v>
      </c>
      <c r="BJ16" s="511">
        <f>+[5]Report1!R21</f>
        <v>42.02</v>
      </c>
      <c r="BK16" s="511">
        <f>+[5]Report1!S21</f>
        <v>548.24200000000008</v>
      </c>
      <c r="BL16" s="511">
        <f>+[5]Report1!AD21</f>
        <v>2.929557353641123</v>
      </c>
      <c r="BM16" s="511">
        <f>+[5]Report1!AE21</f>
        <v>3.0050598093542629</v>
      </c>
      <c r="BN16" s="515">
        <v>0</v>
      </c>
      <c r="BO16" s="515">
        <v>0</v>
      </c>
      <c r="BP16" s="515">
        <f>+[5]Report1!AJ21</f>
        <v>1116.640290337933</v>
      </c>
      <c r="BQ16" s="515">
        <f>+[5]Report1!AK21</f>
        <v>1003.117783752429</v>
      </c>
      <c r="BR16" s="515">
        <v>0</v>
      </c>
      <c r="BS16" s="516">
        <v>0</v>
      </c>
      <c r="BT16" s="513">
        <f>+[6]Report1!J21</f>
        <v>0.79184063120651216</v>
      </c>
      <c r="BU16" s="618">
        <f>+[6]Report1!K21</f>
        <v>0.82970890551669307</v>
      </c>
      <c r="BV16" s="514">
        <f>+[6]Report1!BG21</f>
        <v>0.79184063120651216</v>
      </c>
      <c r="BW16" s="514">
        <f>+[6]Report1!BH21</f>
        <v>0.84087130303573066</v>
      </c>
      <c r="BX16" s="511">
        <f>+[6]Report1!R21</f>
        <v>37.549999999999997</v>
      </c>
      <c r="BY16" s="511">
        <f>+[6]Report1!S21</f>
        <v>514.44200000000001</v>
      </c>
      <c r="BZ16" s="515">
        <f>+[6]Report1!X21</f>
        <v>104.96739039343105</v>
      </c>
      <c r="CA16" s="515">
        <f>+[6]Report1!Y21</f>
        <v>88.452438750058846</v>
      </c>
      <c r="CB16" s="511">
        <f>+[6]Report1!AD21</f>
        <v>2.2130492676431426</v>
      </c>
      <c r="CC16" s="511">
        <f>+[6]Report1!AE21</f>
        <v>2.139988570140074</v>
      </c>
      <c r="CD16" s="604">
        <f>+[6]Report1!AJ21</f>
        <v>0</v>
      </c>
      <c r="CE16" s="604">
        <f>+[6]Report1!AK21</f>
        <v>0</v>
      </c>
      <c r="CF16" s="515">
        <f>+[6]Report1!AP21</f>
        <v>1090.1348868175523</v>
      </c>
      <c r="CG16" s="515">
        <f>+[6]Report1!AQ21</f>
        <v>1001.5472686911227</v>
      </c>
      <c r="CH16" s="604">
        <f>+[6]Report1!AV21</f>
        <v>0</v>
      </c>
      <c r="CI16" s="604">
        <f>+[6]Report1!AW21</f>
        <v>0</v>
      </c>
      <c r="CJ16" s="515">
        <f>+[6]Report1!BB21</f>
        <v>0</v>
      </c>
      <c r="CK16" s="515">
        <f>+[6]Report1!BC21</f>
        <v>0</v>
      </c>
    </row>
    <row r="17" spans="1:89" ht="12.75" customHeight="1">
      <c r="A17" s="567">
        <f t="shared" si="0"/>
        <v>45852</v>
      </c>
      <c r="B17" s="513">
        <f>+Report1!J22</f>
        <v>0.76641177822860218</v>
      </c>
      <c r="C17" s="514">
        <f>+Report1!K22</f>
        <v>0.81338911457210228</v>
      </c>
      <c r="D17" s="514">
        <f>+Report1!AJ22</f>
        <v>0.76641177822860218</v>
      </c>
      <c r="E17" s="514">
        <f>+Report1!AK22</f>
        <v>0.81557691240832642</v>
      </c>
      <c r="F17" s="511">
        <f>+Report1!R22</f>
        <v>45.256999999999998</v>
      </c>
      <c r="G17" s="511">
        <f>+Report1!S22</f>
        <v>813.35400000000016</v>
      </c>
      <c r="H17" s="511">
        <f>+Report1!X22</f>
        <v>2.8868462337317986</v>
      </c>
      <c r="I17" s="511">
        <f>+Report1!Y22</f>
        <v>2.3546745943340781</v>
      </c>
      <c r="J17" s="511">
        <f>+Report1!AD22</f>
        <v>1243.3356165897083</v>
      </c>
      <c r="K17" s="512">
        <f>+Report1!AE22</f>
        <v>952.22505821572963</v>
      </c>
      <c r="L17" s="513">
        <f>+[1]Report1!J22</f>
        <v>0.8913199252449201</v>
      </c>
      <c r="M17" s="514">
        <f>+[1]Report1!K22</f>
        <v>0.83675642595409006</v>
      </c>
      <c r="N17" s="514">
        <f>+[1]Report1!BJ22</f>
        <v>0.8913199252449201</v>
      </c>
      <c r="O17" s="514">
        <f>+[1]Report1!BK22</f>
        <v>0.89338821906674115</v>
      </c>
      <c r="P17" s="511">
        <f>+[1]Report1!R22</f>
        <v>55.036000000000001</v>
      </c>
      <c r="Q17" s="511">
        <f>+[1]Report1!S22</f>
        <v>778.89499999999998</v>
      </c>
      <c r="R17" s="511">
        <f>+[1]Report1!AL22</f>
        <v>2.9801221018969399</v>
      </c>
      <c r="S17" s="511">
        <f>+[1]Report1!AM22</f>
        <v>2.621041347036507</v>
      </c>
      <c r="T17" s="511">
        <f>+[1]Report1!AR22</f>
        <v>0.23257504179082783</v>
      </c>
      <c r="U17" s="511">
        <f>+[1]Report1!AS22</f>
        <v>0.21556178945814264</v>
      </c>
      <c r="V17" s="511">
        <f>+[1]Report1!AX22</f>
        <v>682.13823679045936</v>
      </c>
      <c r="W17" s="511">
        <f>+[1]Report1!AY22</f>
        <v>650.68794895332621</v>
      </c>
      <c r="X17" s="511">
        <f>+[1]Report1!BD22</f>
        <v>709.62642633912344</v>
      </c>
      <c r="Y17" s="588">
        <f>+[1]Report1!BE22</f>
        <v>557.11103550542759</v>
      </c>
      <c r="Z17" s="513">
        <f>+[2]Report1!J22</f>
        <v>0.2446175519865843</v>
      </c>
      <c r="AA17" s="618">
        <f>+[2]Report1!K22</f>
        <v>0.86060540137754704</v>
      </c>
      <c r="AB17" s="514">
        <f>+[2]Report1!BC22</f>
        <v>0.2446175519865843</v>
      </c>
      <c r="AC17" s="514">
        <f>+[2]Report1!BD22</f>
        <v>0.86385620902618176</v>
      </c>
      <c r="AD17" s="511">
        <f>+[2]Report1!R22</f>
        <v>10.648999999999999</v>
      </c>
      <c r="AE17" s="511">
        <f>+[2]Report1!S22</f>
        <v>542.73500000000001</v>
      </c>
      <c r="AF17" s="511">
        <f>+[2]Report1!X22</f>
        <v>143.98712779023705</v>
      </c>
      <c r="AG17" s="511">
        <f>+[2]Report1!Y22</f>
        <v>103.27113041668261</v>
      </c>
      <c r="AH17" s="511">
        <f>+[2]Report1!AD22</f>
        <v>2.657526528312518</v>
      </c>
      <c r="AI17" s="511">
        <f>+[2]Report1!AE22</f>
        <v>1.5486379172155837</v>
      </c>
      <c r="AJ17" s="511">
        <f>+[2]Report1!AJ22</f>
        <v>1515.6014649262156</v>
      </c>
      <c r="AK17" s="511">
        <f>+[2]Report1!AK22</f>
        <v>917.29123789694665</v>
      </c>
      <c r="AL17" s="599">
        <f>+[3]Report1!AP22</f>
        <v>0</v>
      </c>
      <c r="AM17" s="600">
        <f>+[3]Report1!AQ22</f>
        <v>0</v>
      </c>
      <c r="AN17" s="513">
        <f>+[4]Report1!J22</f>
        <v>0.96106408362740436</v>
      </c>
      <c r="AO17" s="618">
        <f>+[4]Report1!K22</f>
        <v>0.77437273756293823</v>
      </c>
      <c r="AP17" s="514">
        <f>+[4]Report1!BN22</f>
        <v>0.96106408362740436</v>
      </c>
      <c r="AQ17" s="514">
        <f>+[4]Report1!BO22</f>
        <v>0.79980974874489841</v>
      </c>
      <c r="AR17" s="511">
        <f>+[4]Report1!R22</f>
        <v>46.183</v>
      </c>
      <c r="AS17" s="511">
        <f>+[4]Report1!S22</f>
        <v>525.95799999999997</v>
      </c>
      <c r="AT17" s="515">
        <f>+[4]Report1!AF22</f>
        <v>102.60684784275269</v>
      </c>
      <c r="AU17" s="515">
        <f>+[4]Report1!AG22</f>
        <v>108.91079613886292</v>
      </c>
      <c r="AV17" s="511">
        <f>+[4]Report1!AL22</f>
        <v>1.5849988090855944</v>
      </c>
      <c r="AW17" s="511">
        <f>+[4]Report1!AM22</f>
        <v>1.7311268200122447</v>
      </c>
      <c r="AX17" s="511">
        <f>+[4]Report1!AR22</f>
        <v>0</v>
      </c>
      <c r="AY17" s="511">
        <f>+[4]Report1!AS22</f>
        <v>2.4716802482327487E-2</v>
      </c>
      <c r="AZ17" s="511">
        <f>+[4]Report1!AX22</f>
        <v>961.81798497282648</v>
      </c>
      <c r="BA17" s="511">
        <f>+[4]Report1!AY22</f>
        <v>1071.6560257663159</v>
      </c>
      <c r="BB17" s="511">
        <f>+[4]Report1!BD22</f>
        <v>0</v>
      </c>
      <c r="BC17" s="511">
        <f>+[4]Report1!BE22</f>
        <v>80.443685617482942</v>
      </c>
      <c r="BD17" s="511">
        <f>+[4]Report1!BJ22</f>
        <v>79.033410562328129</v>
      </c>
      <c r="BE17" s="511">
        <f>+[4]Report1!BK22</f>
        <v>45.345826092577738</v>
      </c>
      <c r="BF17" s="513">
        <f>+[5]Report1!J22</f>
        <v>0.99456061696290066</v>
      </c>
      <c r="BG17" s="514">
        <f>+[5]Report1!K22</f>
        <v>0.81798023055622837</v>
      </c>
      <c r="BH17" s="514">
        <f>+[5]Report1!AN22</f>
        <v>0.99456061696290066</v>
      </c>
      <c r="BI17" s="514">
        <f>+[5]Report1!AO22</f>
        <v>0.82342803043105595</v>
      </c>
      <c r="BJ17" s="511">
        <f>+[5]Report1!R22</f>
        <v>55.29</v>
      </c>
      <c r="BK17" s="511">
        <f>+[5]Report1!S22</f>
        <v>603.53200000000004</v>
      </c>
      <c r="BL17" s="511">
        <f>+[5]Report1!AD22</f>
        <v>2.3042141436064387</v>
      </c>
      <c r="BM17" s="511">
        <f>+[5]Report1!AE22</f>
        <v>2.9408548345406706</v>
      </c>
      <c r="BN17" s="515">
        <v>0</v>
      </c>
      <c r="BO17" s="515">
        <v>0</v>
      </c>
      <c r="BP17" s="515">
        <f>+[5]Report1!AJ22</f>
        <v>861.5836498462694</v>
      </c>
      <c r="BQ17" s="515">
        <f>+[5]Report1!AK22</f>
        <v>990.1517400900027</v>
      </c>
      <c r="BR17" s="515">
        <v>0</v>
      </c>
      <c r="BS17" s="516">
        <v>0</v>
      </c>
      <c r="BT17" s="513">
        <f>+[6]Report1!J22</f>
        <v>0.94123424832014579</v>
      </c>
      <c r="BU17" s="618">
        <f>+[6]Report1!K22</f>
        <v>0.83836936384695182</v>
      </c>
      <c r="BV17" s="514">
        <f>+[6]Report1!BG22</f>
        <v>0.94123424832014579</v>
      </c>
      <c r="BW17" s="514">
        <f>+[6]Report1!BH22</f>
        <v>0.84876155748379845</v>
      </c>
      <c r="BX17" s="511">
        <f>+[6]Report1!R22</f>
        <v>49.134</v>
      </c>
      <c r="BY17" s="511">
        <f>+[6]Report1!S22</f>
        <v>563.57600000000002</v>
      </c>
      <c r="BZ17" s="515">
        <f>+[6]Report1!X22</f>
        <v>79.333842598606225</v>
      </c>
      <c r="CA17" s="515">
        <f>+[6]Report1!Y22</f>
        <v>87.657456168640408</v>
      </c>
      <c r="CB17" s="511">
        <f>+[6]Report1!AD22</f>
        <v>1.8480074897219847</v>
      </c>
      <c r="CC17" s="511">
        <f>+[6]Report1!AE22</f>
        <v>2.1145329112666258</v>
      </c>
      <c r="CD17" s="604">
        <f>+[6]Report1!AJ22</f>
        <v>0</v>
      </c>
      <c r="CE17" s="604">
        <f>+[6]Report1!AK22</f>
        <v>0</v>
      </c>
      <c r="CF17" s="515">
        <f>+[6]Report1!AP22</f>
        <v>851.07990393618093</v>
      </c>
      <c r="CG17" s="515">
        <f>+[6]Report1!AQ22</f>
        <v>988.42913821738114</v>
      </c>
      <c r="CH17" s="604">
        <f>+[6]Report1!AV22</f>
        <v>0</v>
      </c>
      <c r="CI17" s="604">
        <f>+[6]Report1!AW22</f>
        <v>0</v>
      </c>
      <c r="CJ17" s="515">
        <f>+[6]Report1!BB22</f>
        <v>0</v>
      </c>
      <c r="CK17" s="515">
        <f>+[6]Report1!BC22</f>
        <v>0</v>
      </c>
    </row>
    <row r="18" spans="1:89" ht="12.75" customHeight="1">
      <c r="A18" s="567">
        <f t="shared" si="0"/>
        <v>45853</v>
      </c>
      <c r="B18" s="513">
        <f>+Report1!J23</f>
        <v>0.85451837087790183</v>
      </c>
      <c r="C18" s="514">
        <f>+Report1!K23</f>
        <v>0.81567610751034803</v>
      </c>
      <c r="D18" s="514">
        <f>+Report1!AJ23</f>
        <v>0.85451837087790183</v>
      </c>
      <c r="E18" s="514">
        <f>+Report1!AK23</f>
        <v>0.81774775232046648</v>
      </c>
      <c r="F18" s="511">
        <f>+Report1!R23</f>
        <v>50.311</v>
      </c>
      <c r="G18" s="511">
        <f>+Report1!S23</f>
        <v>863.66500000000019</v>
      </c>
      <c r="H18" s="511">
        <f>+Report1!X23</f>
        <v>2.6145574526445508</v>
      </c>
      <c r="I18" s="511">
        <f>+Report1!Y23</f>
        <v>2.3698135272356753</v>
      </c>
      <c r="J18" s="511">
        <f>+Report1!AD23</f>
        <v>1114.6957921726844</v>
      </c>
      <c r="K18" s="512">
        <f>+Report1!AE23</f>
        <v>961.68945134976695</v>
      </c>
      <c r="L18" s="513">
        <f>+[1]Report1!J23</f>
        <v>0.96596621978828778</v>
      </c>
      <c r="M18" s="514">
        <f>+[1]Report1!K23</f>
        <v>0.84689051465617726</v>
      </c>
      <c r="N18" s="514">
        <f>+[1]Report1!BJ23</f>
        <v>0.96596621978828778</v>
      </c>
      <c r="O18" s="514">
        <f>+[1]Report1!BK23</f>
        <v>0.89943377427177174</v>
      </c>
      <c r="P18" s="511">
        <f>+[1]Report1!R23</f>
        <v>76.525000000000006</v>
      </c>
      <c r="Q18" s="511">
        <f>+[1]Report1!S23</f>
        <v>855.42</v>
      </c>
      <c r="R18" s="511">
        <f>+[1]Report1!AL23</f>
        <v>2.3465795491669388</v>
      </c>
      <c r="S18" s="511">
        <f>+[1]Report1!AM23</f>
        <v>2.5964882747656124</v>
      </c>
      <c r="T18" s="511">
        <f>+[1]Report1!AR23</f>
        <v>0.22214962430578242</v>
      </c>
      <c r="U18" s="511">
        <f>+[1]Report1!AS23</f>
        <v>0.21615113043884876</v>
      </c>
      <c r="V18" s="511">
        <f>+[1]Report1!AX23</f>
        <v>497.81496243057683</v>
      </c>
      <c r="W18" s="511">
        <f>+[1]Report1!AY23</f>
        <v>637.01208762946965</v>
      </c>
      <c r="X18" s="511">
        <f>+[1]Report1!BD23</f>
        <v>543.4955896765739</v>
      </c>
      <c r="Y18" s="588">
        <f>+[1]Report1!BE23</f>
        <v>555.89301162002278</v>
      </c>
      <c r="Z18" s="513">
        <f>+[2]Report1!J23</f>
        <v>0.85563426804771892</v>
      </c>
      <c r="AA18" s="618">
        <f>+[2]Report1!K23</f>
        <v>0.86026052409819276</v>
      </c>
      <c r="AB18" s="514">
        <f>+[2]Report1!BC23</f>
        <v>0.85563426804771892</v>
      </c>
      <c r="AC18" s="514">
        <f>+[2]Report1!BD23</f>
        <v>0.86328379914290698</v>
      </c>
      <c r="AD18" s="511">
        <f>+[2]Report1!R23</f>
        <v>40.225999999999999</v>
      </c>
      <c r="AE18" s="511">
        <f>+[2]Report1!S23</f>
        <v>582.96100000000001</v>
      </c>
      <c r="AF18" s="511">
        <f>+[2]Report1!X23</f>
        <v>102.77519771216859</v>
      </c>
      <c r="AG18" s="511">
        <f>+[2]Report1!Y23</f>
        <v>103.23690962151487</v>
      </c>
      <c r="AH18" s="511">
        <f>+[2]Report1!AD23</f>
        <v>1.5064883408740617</v>
      </c>
      <c r="AI18" s="511">
        <f>+[2]Report1!AE23</f>
        <v>1.5457294741843792</v>
      </c>
      <c r="AJ18" s="511">
        <f>+[2]Report1!AJ23</f>
        <v>908.15542186648167</v>
      </c>
      <c r="AK18" s="511">
        <f>+[2]Report1!AK23</f>
        <v>916.66084009050428</v>
      </c>
      <c r="AL18" s="599">
        <f>+[3]Report1!AP23</f>
        <v>0</v>
      </c>
      <c r="AM18" s="600">
        <f>+[3]Report1!AQ23</f>
        <v>0</v>
      </c>
      <c r="AN18" s="513">
        <f>+[4]Report1!J23</f>
        <v>0.88819863888254214</v>
      </c>
      <c r="AO18" s="618">
        <f>+[4]Report1!K23</f>
        <v>0.78292877281102835</v>
      </c>
      <c r="AP18" s="514">
        <f>+[4]Report1!BN23</f>
        <v>0.88819863888254214</v>
      </c>
      <c r="AQ18" s="514">
        <f>+[4]Report1!BO23</f>
        <v>0.80665508473912706</v>
      </c>
      <c r="AR18" s="511">
        <f>+[4]Report1!R23</f>
        <v>49.031999999999996</v>
      </c>
      <c r="AS18" s="511">
        <f>+[4]Report1!S23</f>
        <v>574.99</v>
      </c>
      <c r="AT18" s="515">
        <f>+[4]Report1!AF23</f>
        <v>104.03818657028596</v>
      </c>
      <c r="AU18" s="515">
        <f>+[4]Report1!AG23</f>
        <v>108.49528666501735</v>
      </c>
      <c r="AV18" s="511">
        <f>+[4]Report1!AL23</f>
        <v>1.4439549681840431</v>
      </c>
      <c r="AW18" s="511">
        <f>+[4]Report1!AM23</f>
        <v>1.7066383763195883</v>
      </c>
      <c r="AX18" s="511">
        <f>+[4]Report1!AR23</f>
        <v>0</v>
      </c>
      <c r="AY18" s="511">
        <f>+[4]Report1!AS23</f>
        <v>2.2609088853719195E-2</v>
      </c>
      <c r="AZ18" s="511">
        <f>+[4]Report1!AX23</f>
        <v>854.57374775656626</v>
      </c>
      <c r="BA18" s="511">
        <f>+[4]Report1!AY23</f>
        <v>1053.1444372945616</v>
      </c>
      <c r="BB18" s="511">
        <f>+[4]Report1!BD23</f>
        <v>0</v>
      </c>
      <c r="BC18" s="511">
        <f>+[4]Report1!BE23</f>
        <v>73.583888415450872</v>
      </c>
      <c r="BD18" s="511">
        <f>+[4]Report1!BJ23</f>
        <v>0</v>
      </c>
      <c r="BE18" s="511">
        <f>+[4]Report1!BK23</f>
        <v>41.478982243169447</v>
      </c>
      <c r="BF18" s="513">
        <f>+[5]Report1!J23</f>
        <v>0.91747634706969128</v>
      </c>
      <c r="BG18" s="514">
        <f>+[5]Report1!K23</f>
        <v>0.8247041076881112</v>
      </c>
      <c r="BH18" s="514">
        <f>+[5]Report1!AN23</f>
        <v>0.91747634706969128</v>
      </c>
      <c r="BI18" s="514">
        <f>+[5]Report1!AO23</f>
        <v>0.82982320023708256</v>
      </c>
      <c r="BJ18" s="511">
        <f>+[5]Report1!R23</f>
        <v>49.063000000000002</v>
      </c>
      <c r="BK18" s="511">
        <f>+[5]Report1!S23</f>
        <v>652.59500000000003</v>
      </c>
      <c r="BL18" s="511">
        <f>+[5]Report1!AD23</f>
        <v>2.4417585553268246</v>
      </c>
      <c r="BM18" s="511">
        <f>+[5]Report1!AE23</f>
        <v>2.9033320819191073</v>
      </c>
      <c r="BN18" s="515">
        <v>0</v>
      </c>
      <c r="BO18" s="515">
        <v>0</v>
      </c>
      <c r="BP18" s="515">
        <f>+[5]Report1!AJ23</f>
        <v>906.7190143285128</v>
      </c>
      <c r="BQ18" s="515">
        <f>+[5]Report1!AK23</f>
        <v>983.8791516943885</v>
      </c>
      <c r="BR18" s="515">
        <v>0</v>
      </c>
      <c r="BS18" s="516">
        <v>0</v>
      </c>
      <c r="BT18" s="513">
        <f>+[6]Report1!J23</f>
        <v>1.0699438045932397</v>
      </c>
      <c r="BU18" s="618">
        <f>+[6]Report1!K23</f>
        <v>0.85381641421213916</v>
      </c>
      <c r="BV18" s="514">
        <f>+[6]Report1!BG23</f>
        <v>1.0699438045932397</v>
      </c>
      <c r="BW18" s="514">
        <f>+[6]Report1!BH23</f>
        <v>0.86368594640414986</v>
      </c>
      <c r="BX18" s="511">
        <f>+[6]Report1!R23</f>
        <v>51.405999999999999</v>
      </c>
      <c r="BY18" s="511">
        <f>+[6]Report1!S23</f>
        <v>614.98199999999997</v>
      </c>
      <c r="BZ18" s="515">
        <f>+[6]Report1!X23</f>
        <v>73.076382774696427</v>
      </c>
      <c r="CA18" s="515">
        <f>+[6]Report1!Y23</f>
        <v>86.4386324325163</v>
      </c>
      <c r="CB18" s="511">
        <f>+[6]Report1!AD23</f>
        <v>1.7313154106524531</v>
      </c>
      <c r="CC18" s="511">
        <f>+[6]Report1!AE23</f>
        <v>2.0824999756090423</v>
      </c>
      <c r="CD18" s="604">
        <f>+[6]Report1!AJ23</f>
        <v>0</v>
      </c>
      <c r="CE18" s="604">
        <f>+[6]Report1!AK23</f>
        <v>0</v>
      </c>
      <c r="CF18" s="515">
        <f>+[6]Report1!AP23</f>
        <v>790.8223748200794</v>
      </c>
      <c r="CG18" s="515">
        <f>+[6]Report1!AQ23</f>
        <v>971.91129984292206</v>
      </c>
      <c r="CH18" s="604">
        <f>+[6]Report1!AV23</f>
        <v>0</v>
      </c>
      <c r="CI18" s="604">
        <f>+[6]Report1!AW23</f>
        <v>0</v>
      </c>
      <c r="CJ18" s="515">
        <f>+[6]Report1!BB23</f>
        <v>44.741858926973507</v>
      </c>
      <c r="CK18" s="515">
        <f>+[6]Report1!BC23</f>
        <v>3.7399468602333079</v>
      </c>
    </row>
    <row r="19" spans="1:89" ht="12.75" customHeight="1">
      <c r="A19" s="567">
        <f t="shared" si="0"/>
        <v>45854</v>
      </c>
      <c r="B19" s="513">
        <f>+Report1!J24</f>
        <v>0.93382964604170882</v>
      </c>
      <c r="C19" s="514">
        <f>+Report1!K24</f>
        <v>0.82177353709882495</v>
      </c>
      <c r="D19" s="514">
        <f>+Report1!AJ24</f>
        <v>0.93382964604170882</v>
      </c>
      <c r="E19" s="514">
        <f>+Report1!AK24</f>
        <v>0.82375270023703995</v>
      </c>
      <c r="F19" s="511">
        <f>+Report1!R24</f>
        <v>53.802999999999997</v>
      </c>
      <c r="G19" s="511">
        <f>+Report1!S24</f>
        <v>917.46800000000019</v>
      </c>
      <c r="H19" s="511">
        <f>+Report1!X24</f>
        <v>2.4741185435756372</v>
      </c>
      <c r="I19" s="511">
        <f>+Report1!Y24</f>
        <v>2.3759302776772593</v>
      </c>
      <c r="J19" s="511">
        <f>+Report1!AD24</f>
        <v>1070.8187275802604</v>
      </c>
      <c r="K19" s="512">
        <f>+Report1!AE24</f>
        <v>968.08911046488504</v>
      </c>
      <c r="L19" s="513">
        <f>+[1]Report1!J24</f>
        <v>0.97791778780278849</v>
      </c>
      <c r="M19" s="514">
        <f>+[1]Report1!K24</f>
        <v>0.85725831738289815</v>
      </c>
      <c r="N19" s="514">
        <f>+[1]Report1!BJ24</f>
        <v>0.97791778780278849</v>
      </c>
      <c r="O19" s="514">
        <f>+[1]Report1!BK24</f>
        <v>0.90599705993463231</v>
      </c>
      <c r="P19" s="511">
        <f>+[1]Report1!R24</f>
        <v>84.875</v>
      </c>
      <c r="Q19" s="511">
        <f>+[1]Report1!S24</f>
        <v>940.29499999999996</v>
      </c>
      <c r="R19" s="511">
        <f>+[1]Report1!AL24</f>
        <v>2.1858026509572901</v>
      </c>
      <c r="S19" s="511">
        <f>+[1]Report1!AM24</f>
        <v>2.5594180549721099</v>
      </c>
      <c r="T19" s="511">
        <f>+[1]Report1!AR24</f>
        <v>0.20029455081001474</v>
      </c>
      <c r="U19" s="511">
        <f>+[1]Report1!AS24</f>
        <v>0.21471984855816528</v>
      </c>
      <c r="V19" s="511">
        <f>+[1]Report1!AX24</f>
        <v>438.54480117819202</v>
      </c>
      <c r="W19" s="511">
        <f>+[1]Report1!AY24</f>
        <v>619.09759171323901</v>
      </c>
      <c r="X19" s="511">
        <f>+[1]Report1!BD24</f>
        <v>528.05891016200405</v>
      </c>
      <c r="Y19" s="588">
        <f>+[1]Report1!BE24</f>
        <v>553.38058800695524</v>
      </c>
      <c r="Z19" s="513">
        <f>+[2]Report1!J24</f>
        <v>0.94264268825144581</v>
      </c>
      <c r="AA19" s="618">
        <f>+[2]Report1!K24</f>
        <v>0.86544602049824337</v>
      </c>
      <c r="AB19" s="514">
        <f>+[2]Report1!BC24</f>
        <v>0.94264268825144581</v>
      </c>
      <c r="AC19" s="514">
        <f>+[2]Report1!BD24</f>
        <v>0.86829544364649902</v>
      </c>
      <c r="AD19" s="511">
        <f>+[2]Report1!R24</f>
        <v>42.908999999999999</v>
      </c>
      <c r="AE19" s="511">
        <f>+[2]Report1!S24</f>
        <v>625.87</v>
      </c>
      <c r="AF19" s="511">
        <f>+[2]Report1!X24</f>
        <v>98.380173135817046</v>
      </c>
      <c r="AG19" s="511">
        <f>+[2]Report1!Y24</f>
        <v>102.90393679031222</v>
      </c>
      <c r="AH19" s="511">
        <f>+[2]Report1!AD24</f>
        <v>1.4029690740870215</v>
      </c>
      <c r="AI19" s="511">
        <f>+[2]Report1!AE24</f>
        <v>1.5359419687794589</v>
      </c>
      <c r="AJ19" s="511">
        <f>+[2]Report1!AJ24</f>
        <v>877.98037707703622</v>
      </c>
      <c r="AK19" s="511">
        <f>+[2]Report1!AK24</f>
        <v>914.00894754501576</v>
      </c>
      <c r="AL19" s="599">
        <f>+[3]Report1!AP24</f>
        <v>0</v>
      </c>
      <c r="AM19" s="600">
        <f>+[3]Report1!AQ24</f>
        <v>0</v>
      </c>
      <c r="AN19" s="513">
        <f>+[4]Report1!J24</f>
        <v>0.97590394564520533</v>
      </c>
      <c r="AO19" s="618">
        <f>+[4]Report1!K24</f>
        <v>0.79592368457975515</v>
      </c>
      <c r="AP19" s="514">
        <f>+[4]Report1!BN24</f>
        <v>0.97590394564520533</v>
      </c>
      <c r="AQ19" s="514">
        <f>+[4]Report1!BO24</f>
        <v>0.81837374354626846</v>
      </c>
      <c r="AR19" s="511">
        <f>+[4]Report1!R24</f>
        <v>51.747999999999998</v>
      </c>
      <c r="AS19" s="511">
        <f>+[4]Report1!S24</f>
        <v>626.73800000000006</v>
      </c>
      <c r="AT19" s="515">
        <f>+[4]Report1!AF24</f>
        <v>93.42934686355477</v>
      </c>
      <c r="AU19" s="515">
        <f>+[4]Report1!AG24</f>
        <v>107.25133424335775</v>
      </c>
      <c r="AV19" s="511">
        <f>+[4]Report1!AL24</f>
        <v>1.4242096312900983</v>
      </c>
      <c r="AW19" s="511">
        <f>+[4]Report1!AM24</f>
        <v>1.6833190264512443</v>
      </c>
      <c r="AX19" s="511">
        <f>+[4]Report1!AR24</f>
        <v>0</v>
      </c>
      <c r="AY19" s="511">
        <f>+[4]Report1!AS24</f>
        <v>2.0742319757219123E-2</v>
      </c>
      <c r="AZ19" s="511">
        <f>+[4]Report1!AX24</f>
        <v>897.87547344825123</v>
      </c>
      <c r="BA19" s="511">
        <f>+[4]Report1!AY24</f>
        <v>1040.3243141472194</v>
      </c>
      <c r="BB19" s="511">
        <f>+[4]Report1!BD24</f>
        <v>0</v>
      </c>
      <c r="BC19" s="511">
        <f>+[4]Report1!BE24</f>
        <v>67.508272994457158</v>
      </c>
      <c r="BD19" s="511">
        <f>+[4]Report1!BJ24</f>
        <v>0</v>
      </c>
      <c r="BE19" s="511">
        <f>+[4]Report1!BK24</f>
        <v>38.054178939205855</v>
      </c>
      <c r="BF19" s="513">
        <f>+[5]Report1!J24</f>
        <v>0.8183755653448832</v>
      </c>
      <c r="BG19" s="514">
        <f>+[5]Report1!K24</f>
        <v>0.82430815706229066</v>
      </c>
      <c r="BH19" s="514">
        <f>+[5]Report1!AN24</f>
        <v>0.8183755653448832</v>
      </c>
      <c r="BI19" s="514">
        <f>+[5]Report1!AO24</f>
        <v>0.82910280323106889</v>
      </c>
      <c r="BJ19" s="511">
        <f>+[5]Report1!R24</f>
        <v>43.220999999999997</v>
      </c>
      <c r="BK19" s="511">
        <f>+[5]Report1!S24</f>
        <v>695.81600000000003</v>
      </c>
      <c r="BL19" s="511">
        <f>+[5]Report1!AD24</f>
        <v>3.0054834455473038</v>
      </c>
      <c r="BM19" s="511">
        <f>+[5]Report1!AE24</f>
        <v>2.9096772710026788</v>
      </c>
      <c r="BN19" s="515">
        <v>0</v>
      </c>
      <c r="BO19" s="515">
        <v>0</v>
      </c>
      <c r="BP19" s="515">
        <f>+[5]Report1!AJ24</f>
        <v>1047.1735961685356</v>
      </c>
      <c r="BQ19" s="515">
        <f>+[5]Report1!AK24</f>
        <v>987.81072151258331</v>
      </c>
      <c r="BR19" s="515">
        <v>0</v>
      </c>
      <c r="BS19" s="516">
        <v>0</v>
      </c>
      <c r="BT19" s="513">
        <f>+[6]Report1!J24</f>
        <v>0.90405523022013223</v>
      </c>
      <c r="BU19" s="618">
        <f>+[6]Report1!K24</f>
        <v>0.85680899347288009</v>
      </c>
      <c r="BV19" s="514">
        <f>+[6]Report1!BG24</f>
        <v>0.90405523022013223</v>
      </c>
      <c r="BW19" s="514">
        <f>+[6]Report1!BH24</f>
        <v>0.86611674922506809</v>
      </c>
      <c r="BX19" s="511">
        <f>+[6]Report1!R24</f>
        <v>41.244999999999997</v>
      </c>
      <c r="BY19" s="511">
        <f>+[6]Report1!S24</f>
        <v>656.22699999999998</v>
      </c>
      <c r="BZ19" s="515">
        <f>+[6]Report1!X24</f>
        <v>90.915827601406136</v>
      </c>
      <c r="CA19" s="515">
        <f>+[6]Report1!Y24</f>
        <v>86.720031879263942</v>
      </c>
      <c r="CB19" s="511">
        <f>+[6]Report1!AD24</f>
        <v>2.0591586859013216</v>
      </c>
      <c r="CC19" s="511">
        <f>+[6]Report1!AE24</f>
        <v>2.0810329352495405</v>
      </c>
      <c r="CD19" s="604">
        <f>+[6]Report1!AJ24</f>
        <v>0</v>
      </c>
      <c r="CE19" s="604">
        <f>+[6]Report1!AK24</f>
        <v>0</v>
      </c>
      <c r="CF19" s="515">
        <f>+[6]Report1!AP24</f>
        <v>1001.3308279791224</v>
      </c>
      <c r="CG19" s="515">
        <f>+[6]Report1!AQ24</f>
        <v>973.76036798241876</v>
      </c>
      <c r="CH19" s="604">
        <f>+[6]Report1!AV24</f>
        <v>0</v>
      </c>
      <c r="CI19" s="604">
        <f>+[6]Report1!AW24</f>
        <v>0</v>
      </c>
      <c r="CJ19" s="515">
        <f>+[6]Report1!BB24</f>
        <v>92.859740574615103</v>
      </c>
      <c r="CK19" s="515">
        <f>+[6]Report1!BC24</f>
        <v>9.3412797705671977</v>
      </c>
    </row>
    <row r="20" spans="1:89" ht="12.75" customHeight="1">
      <c r="A20" s="567">
        <f t="shared" si="0"/>
        <v>45855</v>
      </c>
      <c r="B20" s="513">
        <f>+Report1!J25</f>
        <v>0.94110836908639406</v>
      </c>
      <c r="C20" s="514">
        <f>+Report1!K25</f>
        <v>0.82763008783305636</v>
      </c>
      <c r="D20" s="514">
        <f>+Report1!AJ25</f>
        <v>0.94110836908639406</v>
      </c>
      <c r="E20" s="514">
        <f>+Report1!AK25</f>
        <v>0.82952530903744348</v>
      </c>
      <c r="F20" s="511">
        <f>+Report1!R25</f>
        <v>54.225999999999999</v>
      </c>
      <c r="G20" s="511">
        <f>+Report1!S25</f>
        <v>971.69400000000019</v>
      </c>
      <c r="H20" s="511">
        <f>+Report1!X25</f>
        <v>2.468889462619408</v>
      </c>
      <c r="I20" s="511">
        <f>+Report1!Y25</f>
        <v>2.3811179239554838</v>
      </c>
      <c r="J20" s="511">
        <f>+Report1!AD25</f>
        <v>1074.1249585069709</v>
      </c>
      <c r="K20" s="512">
        <f>+Report1!AE25</f>
        <v>974.00650822172008</v>
      </c>
      <c r="L20" s="513">
        <f>+[1]Report1!J25</f>
        <v>1.0120812144568765</v>
      </c>
      <c r="M20" s="514">
        <f>+[1]Report1!K25</f>
        <v>0.86839841034344312</v>
      </c>
      <c r="N20" s="514">
        <f>+[1]Report1!BJ25</f>
        <v>1.0120812144568765</v>
      </c>
      <c r="O20" s="514">
        <f>+[1]Report1!BK25</f>
        <v>0.91403132591034197</v>
      </c>
      <c r="P20" s="511">
        <f>+[1]Report1!R25</f>
        <v>86.07</v>
      </c>
      <c r="Q20" s="511">
        <f>+[1]Report1!S25</f>
        <v>1026.365</v>
      </c>
      <c r="R20" s="511">
        <f>+[1]Report1!AL25</f>
        <v>2.232206343673754</v>
      </c>
      <c r="S20" s="511">
        <f>+[1]Report1!AM25</f>
        <v>2.5319783897541326</v>
      </c>
      <c r="T20" s="511">
        <f>+[1]Report1!AR25</f>
        <v>0.16846752643197399</v>
      </c>
      <c r="U20" s="511">
        <f>+[1]Report1!AS25</f>
        <v>0.21084117248737047</v>
      </c>
      <c r="V20" s="511">
        <f>+[1]Report1!AX25</f>
        <v>467.5037759962911</v>
      </c>
      <c r="W20" s="511">
        <f>+[1]Report1!AY25</f>
        <v>606.38507743346736</v>
      </c>
      <c r="X20" s="511">
        <f>+[1]Report1!BD25</f>
        <v>497.54850702916752</v>
      </c>
      <c r="Y20" s="588">
        <f>+[1]Report1!BE25</f>
        <v>548.69856240226477</v>
      </c>
      <c r="Z20" s="513">
        <f>+[2]Report1!J25</f>
        <v>0.95386056760261961</v>
      </c>
      <c r="AA20" s="618">
        <f>+[2]Report1!K25</f>
        <v>0.87068658592210935</v>
      </c>
      <c r="AB20" s="514">
        <f>+[2]Report1!BC25</f>
        <v>0.95386056760261961</v>
      </c>
      <c r="AC20" s="514">
        <f>+[2]Report1!BD25</f>
        <v>0.87338282151420421</v>
      </c>
      <c r="AD20" s="511">
        <f>+[2]Report1!R25</f>
        <v>43.463000000000001</v>
      </c>
      <c r="AE20" s="511">
        <f>+[2]Report1!S25</f>
        <v>669.33299999999997</v>
      </c>
      <c r="AF20" s="511">
        <f>+[2]Report1!X25</f>
        <v>92.063680423122037</v>
      </c>
      <c r="AG20" s="511">
        <f>+[2]Report1!Y25</f>
        <v>102.20002698385238</v>
      </c>
      <c r="AH20" s="511">
        <f>+[2]Report1!AD25</f>
        <v>1.4241998941628511</v>
      </c>
      <c r="AI20" s="511">
        <f>+[2]Report1!AE25</f>
        <v>1.5286860202619623</v>
      </c>
      <c r="AJ20" s="511">
        <f>+[2]Report1!AJ25</f>
        <v>866.61068034881919</v>
      </c>
      <c r="AK20" s="511">
        <f>+[2]Report1!AK25</f>
        <v>910.9311508621264</v>
      </c>
      <c r="AL20" s="599">
        <f>+[3]Report1!AP25</f>
        <v>0</v>
      </c>
      <c r="AM20" s="600">
        <f>+[3]Report1!AQ25</f>
        <v>0</v>
      </c>
      <c r="AN20" s="513">
        <f>+[4]Report1!J25</f>
        <v>0.9360176341927896</v>
      </c>
      <c r="AO20" s="618">
        <f>+[4]Report1!K25</f>
        <v>0.80476238811315248</v>
      </c>
      <c r="AP20" s="514">
        <f>+[4]Report1!BN25</f>
        <v>0.9360176341927896</v>
      </c>
      <c r="AQ20" s="514">
        <f>+[4]Report1!BO25</f>
        <v>0.82599184328823305</v>
      </c>
      <c r="AR20" s="511">
        <f>+[4]Report1!R25</f>
        <v>49.633000000000003</v>
      </c>
      <c r="AS20" s="511">
        <f>+[4]Report1!S25</f>
        <v>676.37100000000009</v>
      </c>
      <c r="AT20" s="515">
        <f>+[4]Report1!AF25</f>
        <v>97.357712946552581</v>
      </c>
      <c r="AU20" s="515">
        <f>+[4]Report1!AG25</f>
        <v>106.52532720605969</v>
      </c>
      <c r="AV20" s="511">
        <f>+[4]Report1!AL25</f>
        <v>1.4889287369290594</v>
      </c>
      <c r="AW20" s="511">
        <f>+[4]Report1!AM25</f>
        <v>1.6690544094882838</v>
      </c>
      <c r="AX20" s="511">
        <f>+[4]Report1!AR25</f>
        <v>0</v>
      </c>
      <c r="AY20" s="511">
        <f>+[4]Report1!AS25</f>
        <v>1.9220220855122407E-2</v>
      </c>
      <c r="AZ20" s="511">
        <f>+[4]Report1!AX25</f>
        <v>913.41446215219491</v>
      </c>
      <c r="BA20" s="511">
        <f>+[4]Report1!AY25</f>
        <v>1031.0115010844636</v>
      </c>
      <c r="BB20" s="511">
        <f>+[4]Report1!BD25</f>
        <v>0</v>
      </c>
      <c r="BC20" s="511">
        <f>+[4]Report1!BE25</f>
        <v>62.554426490786987</v>
      </c>
      <c r="BD20" s="511">
        <f>+[4]Report1!BJ25</f>
        <v>0</v>
      </c>
      <c r="BE20" s="511">
        <f>+[4]Report1!BK25</f>
        <v>35.26171287651303</v>
      </c>
      <c r="BF20" s="513">
        <f>+[5]Report1!J25</f>
        <v>0.98257308875931326</v>
      </c>
      <c r="BG20" s="514">
        <f>+[5]Report1!K25</f>
        <v>0.83351820572682778</v>
      </c>
      <c r="BH20" s="514">
        <f>+[5]Report1!AN25</f>
        <v>0.98257308875931326</v>
      </c>
      <c r="BI20" s="514">
        <f>+[5]Report1!AO25</f>
        <v>0.83808274123795434</v>
      </c>
      <c r="BJ20" s="511">
        <f>+[5]Report1!R25</f>
        <v>51.249000000000002</v>
      </c>
      <c r="BK20" s="511">
        <f>+[5]Report1!S25</f>
        <v>747.06500000000005</v>
      </c>
      <c r="BL20" s="511">
        <f>+[5]Report1!AD25</f>
        <v>2.5483424066811056</v>
      </c>
      <c r="BM20" s="511">
        <f>+[5]Report1!AE25</f>
        <v>2.8848895343778653</v>
      </c>
      <c r="BN20" s="515">
        <v>0</v>
      </c>
      <c r="BO20" s="515">
        <v>0</v>
      </c>
      <c r="BP20" s="515">
        <f>+[5]Report1!AJ25</f>
        <v>896.12968057912803</v>
      </c>
      <c r="BQ20" s="515">
        <f>+[5]Report1!AK25</f>
        <v>981.52136025646951</v>
      </c>
      <c r="BR20" s="515">
        <v>0</v>
      </c>
      <c r="BS20" s="516">
        <v>0</v>
      </c>
      <c r="BT20" s="513">
        <f>+[6]Report1!J25</f>
        <v>0.88620493497420127</v>
      </c>
      <c r="BU20" s="618">
        <f>+[6]Report1!K25</f>
        <v>0.85844669936952711</v>
      </c>
      <c r="BV20" s="514">
        <f>+[6]Report1!BG25</f>
        <v>0.88620493497420127</v>
      </c>
      <c r="BW20" s="514">
        <f>+[6]Report1!BH25</f>
        <v>0.86724737508015037</v>
      </c>
      <c r="BX20" s="511">
        <f>+[6]Report1!R25</f>
        <v>40.045000000000002</v>
      </c>
      <c r="BY20" s="511">
        <f>+[6]Report1!S25</f>
        <v>696.27199999999993</v>
      </c>
      <c r="BZ20" s="515">
        <f>+[6]Report1!X25</f>
        <v>92.208287953392457</v>
      </c>
      <c r="CA20" s="515">
        <f>+[6]Report1!Y25</f>
        <v>87.035680382274947</v>
      </c>
      <c r="CB20" s="511">
        <f>+[6]Report1!AD25</f>
        <v>2.1126232987888622</v>
      </c>
      <c r="CC20" s="511">
        <f>+[6]Report1!AE25</f>
        <v>2.0828498058230118</v>
      </c>
      <c r="CD20" s="604">
        <f>+[6]Report1!AJ25</f>
        <v>0</v>
      </c>
      <c r="CE20" s="604">
        <f>+[6]Report1!AK25</f>
        <v>0</v>
      </c>
      <c r="CF20" s="515">
        <f>+[6]Report1!AP25</f>
        <v>1009.0086153078057</v>
      </c>
      <c r="CG20" s="515">
        <f>+[6]Report1!AQ25</f>
        <v>975.78761604660224</v>
      </c>
      <c r="CH20" s="604">
        <f>+[6]Report1!AV25</f>
        <v>0</v>
      </c>
      <c r="CI20" s="604">
        <f>+[6]Report1!AW25</f>
        <v>0</v>
      </c>
      <c r="CJ20" s="515">
        <f>+[6]Report1!BB25</f>
        <v>91.147459108502929</v>
      </c>
      <c r="CK20" s="515">
        <f>+[6]Report1!BC25</f>
        <v>14.046234804788934</v>
      </c>
    </row>
    <row r="21" spans="1:89" ht="12.75" customHeight="1">
      <c r="A21" s="567">
        <f t="shared" si="0"/>
        <v>45856</v>
      </c>
      <c r="B21" s="513">
        <f>+Report1!J26</f>
        <v>0.89649942738346289</v>
      </c>
      <c r="C21" s="514">
        <f>+Report1!K26</f>
        <v>0.83097357972888819</v>
      </c>
      <c r="D21" s="514">
        <f>+Report1!AJ26</f>
        <v>0.89649942738346289</v>
      </c>
      <c r="E21" s="514">
        <f>+Report1!AK26</f>
        <v>0.83278387452324532</v>
      </c>
      <c r="F21" s="511">
        <f>+Report1!R26</f>
        <v>53.707000000000001</v>
      </c>
      <c r="G21" s="511">
        <f>+Report1!S26</f>
        <v>1025.4010000000003</v>
      </c>
      <c r="H21" s="511">
        <f>+Report1!X26</f>
        <v>2.42018731264081</v>
      </c>
      <c r="I21" s="511">
        <f>+Report1!Y26</f>
        <v>2.3831642450124391</v>
      </c>
      <c r="J21" s="511">
        <f>+Report1!AD26</f>
        <v>1053.9546055449234</v>
      </c>
      <c r="K21" s="512">
        <f>+Report1!AE26</f>
        <v>978.19391633126668</v>
      </c>
      <c r="L21" s="513">
        <f>+[1]Report1!J26</f>
        <v>1.0025551090305316</v>
      </c>
      <c r="M21" s="514">
        <f>+[1]Report1!K26</f>
        <v>0.87756050985333622</v>
      </c>
      <c r="N21" s="514">
        <f>+[1]Report1!BJ26</f>
        <v>1.0025551090305316</v>
      </c>
      <c r="O21" s="514">
        <f>+[1]Report1!BK26</f>
        <v>0.92037190447572292</v>
      </c>
      <c r="P21" s="511">
        <f>+[1]Report1!R26</f>
        <v>86.855000000000004</v>
      </c>
      <c r="Q21" s="511">
        <f>+[1]Report1!S26</f>
        <v>1113.22</v>
      </c>
      <c r="R21" s="511">
        <f>+[1]Report1!AL26</f>
        <v>2.3019975821771919</v>
      </c>
      <c r="S21" s="511">
        <f>+[1]Report1!AM26</f>
        <v>2.5140349616428024</v>
      </c>
      <c r="T21" s="511">
        <f>+[1]Report1!AR26</f>
        <v>0.1669449081803005</v>
      </c>
      <c r="U21" s="511">
        <f>+[1]Report1!AS26</f>
        <v>0.20741632381739458</v>
      </c>
      <c r="V21" s="511">
        <f>+[1]Report1!AX26</f>
        <v>433.59173334869269</v>
      </c>
      <c r="W21" s="511">
        <f>+[1]Report1!AY26</f>
        <v>592.90349616428148</v>
      </c>
      <c r="X21" s="511">
        <f>+[1]Report1!BD26</f>
        <v>566.25410166368817</v>
      </c>
      <c r="Y21" s="588">
        <f>+[1]Report1!BE26</f>
        <v>550.06827042273778</v>
      </c>
      <c r="Z21" s="513">
        <f>+[2]Report1!J26</f>
        <v>0.95298113713059562</v>
      </c>
      <c r="AA21" s="618">
        <f>+[2]Report1!K26</f>
        <v>0.87553627048731086</v>
      </c>
      <c r="AB21" s="514">
        <f>+[2]Report1!BC26</f>
        <v>0.95298113713059562</v>
      </c>
      <c r="AC21" s="514">
        <f>+[2]Report1!BD26</f>
        <v>0.87808728209019826</v>
      </c>
      <c r="AD21" s="511">
        <f>+[2]Report1!R26</f>
        <v>45.875999999999998</v>
      </c>
      <c r="AE21" s="511">
        <f>+[2]Report1!S26</f>
        <v>715.20899999999995</v>
      </c>
      <c r="AF21" s="511">
        <f>+[2]Report1!X26</f>
        <v>92.773411679448131</v>
      </c>
      <c r="AG21" s="511">
        <f>+[2]Report1!Y26</f>
        <v>101.59537099699421</v>
      </c>
      <c r="AH21" s="511">
        <f>+[2]Report1!AD26</f>
        <v>1.3819862237335427</v>
      </c>
      <c r="AI21" s="511">
        <f>+[2]Report1!AE26</f>
        <v>1.5192761836050721</v>
      </c>
      <c r="AJ21" s="511">
        <f>+[2]Report1!AJ26</f>
        <v>798.34205248931903</v>
      </c>
      <c r="AK21" s="511">
        <f>+[2]Report1!AK26</f>
        <v>903.70929336739277</v>
      </c>
      <c r="AL21" s="599">
        <f>+[3]Report1!AP26</f>
        <v>0</v>
      </c>
      <c r="AM21" s="600">
        <f>+[3]Report1!AQ26</f>
        <v>0</v>
      </c>
      <c r="AN21" s="513">
        <f>+[4]Report1!J26</f>
        <v>0.95587592542654554</v>
      </c>
      <c r="AO21" s="618">
        <f>+[4]Report1!K26</f>
        <v>0.81373052054065209</v>
      </c>
      <c r="AP21" s="514">
        <f>+[4]Report1!BN26</f>
        <v>0.95587592542654554</v>
      </c>
      <c r="AQ21" s="514">
        <f>+[4]Report1!BO26</f>
        <v>0.83389104630707733</v>
      </c>
      <c r="AR21" s="511">
        <f>+[4]Report1!R26</f>
        <v>50.686</v>
      </c>
      <c r="AS21" s="511">
        <f>+[4]Report1!S26</f>
        <v>727.05700000000013</v>
      </c>
      <c r="AT21" s="515">
        <f>+[4]Report1!AF26</f>
        <v>96.24441664926924</v>
      </c>
      <c r="AU21" s="515">
        <f>+[4]Report1!AG26</f>
        <v>105.80860453853639</v>
      </c>
      <c r="AV21" s="511">
        <f>+[4]Report1!AL26</f>
        <v>1.4678609477962357</v>
      </c>
      <c r="AW21" s="511">
        <f>+[4]Report1!AM26</f>
        <v>1.6550284228059147</v>
      </c>
      <c r="AX21" s="511">
        <f>+[4]Report1!AR26</f>
        <v>0</v>
      </c>
      <c r="AY21" s="511">
        <f>+[4]Report1!AS26</f>
        <v>1.7880303745098386E-2</v>
      </c>
      <c r="AZ21" s="511">
        <f>+[4]Report1!AX26</f>
        <v>897.77729550566448</v>
      </c>
      <c r="BA21" s="511">
        <f>+[4]Report1!AY26</f>
        <v>1021.7232211504736</v>
      </c>
      <c r="BB21" s="511">
        <f>+[4]Report1!BD26</f>
        <v>0</v>
      </c>
      <c r="BC21" s="511">
        <f>+[4]Report1!BE26</f>
        <v>58.193511650393418</v>
      </c>
      <c r="BD21" s="511">
        <f>+[4]Report1!BJ26</f>
        <v>0</v>
      </c>
      <c r="BE21" s="511">
        <f>+[4]Report1!BK26</f>
        <v>32.80348033235358</v>
      </c>
      <c r="BF21" s="513">
        <f>+[5]Report1!J26</f>
        <v>0.94587509534028025</v>
      </c>
      <c r="BG21" s="514">
        <f>+[5]Report1!K26</f>
        <v>0.84021593699130026</v>
      </c>
      <c r="BH21" s="514">
        <f>+[5]Report1!AN26</f>
        <v>0.94587509534028025</v>
      </c>
      <c r="BI21" s="514">
        <f>+[5]Report1!AO26</f>
        <v>0.84454145479327425</v>
      </c>
      <c r="BJ21" s="511">
        <f>+[5]Report1!R26</f>
        <v>53.74</v>
      </c>
      <c r="BK21" s="511">
        <f>+[5]Report1!S26</f>
        <v>800.80500000000006</v>
      </c>
      <c r="BL21" s="511">
        <f>+[5]Report1!AD26</f>
        <v>2.4451060662448829</v>
      </c>
      <c r="BM21" s="511">
        <f>+[5]Report1!AE26</f>
        <v>2.8553767771180252</v>
      </c>
      <c r="BN21" s="515">
        <v>0</v>
      </c>
      <c r="BO21" s="515">
        <v>0</v>
      </c>
      <c r="BP21" s="515">
        <f>+[5]Report1!AJ26</f>
        <v>817.98985857834384</v>
      </c>
      <c r="BQ21" s="515">
        <f>+[5]Report1!AK26</f>
        <v>970.54717440575359</v>
      </c>
      <c r="BR21" s="515">
        <v>0</v>
      </c>
      <c r="BS21" s="516">
        <v>0</v>
      </c>
      <c r="BT21" s="513">
        <f>+[6]Report1!J26</f>
        <v>1.0274843016587667</v>
      </c>
      <c r="BU21" s="618">
        <f>+[6]Report1!K26</f>
        <v>0.8677264955382632</v>
      </c>
      <c r="BV21" s="514">
        <f>+[6]Report1!BG26</f>
        <v>1.0274843016587667</v>
      </c>
      <c r="BW21" s="514">
        <f>+[6]Report1!BH26</f>
        <v>0.87612921669098986</v>
      </c>
      <c r="BX21" s="511">
        <f>+[6]Report1!R26</f>
        <v>48.408000000000001</v>
      </c>
      <c r="BY21" s="511">
        <f>+[6]Report1!S26</f>
        <v>744.68</v>
      </c>
      <c r="BZ21" s="515">
        <f>+[6]Report1!X26</f>
        <v>78.100364888216347</v>
      </c>
      <c r="CA21" s="515">
        <f>+[6]Report1!Y26</f>
        <v>86.454839279470534</v>
      </c>
      <c r="CB21" s="511">
        <f>+[6]Report1!AD26</f>
        <v>1.7745000826309703</v>
      </c>
      <c r="CC21" s="511">
        <f>+[6]Report1!AE26</f>
        <v>2.0628055003491435</v>
      </c>
      <c r="CD21" s="604">
        <f>+[6]Report1!AJ26</f>
        <v>0</v>
      </c>
      <c r="CE21" s="604">
        <f>+[6]Report1!AK26</f>
        <v>0</v>
      </c>
      <c r="CF21" s="515">
        <f>+[6]Report1!AP26</f>
        <v>812.78786564204233</v>
      </c>
      <c r="CG21" s="515">
        <f>+[6]Report1!AQ26</f>
        <v>965.19180050491434</v>
      </c>
      <c r="CH21" s="604">
        <f>+[6]Report1!AV26</f>
        <v>0</v>
      </c>
      <c r="CI21" s="604">
        <f>+[6]Report1!AW26</f>
        <v>0</v>
      </c>
      <c r="CJ21" s="515">
        <f>+[6]Report1!BB26</f>
        <v>83.663857213683684</v>
      </c>
      <c r="CK21" s="515">
        <f>+[6]Report1!BC26</f>
        <v>18.57173551055487</v>
      </c>
    </row>
    <row r="22" spans="1:89" ht="12.75" customHeight="1">
      <c r="A22" s="567">
        <f t="shared" si="0"/>
        <v>45857</v>
      </c>
      <c r="B22" s="513">
        <f>+Report1!J27</f>
        <v>0.90712458255772299</v>
      </c>
      <c r="C22" s="514">
        <f>+Report1!K27</f>
        <v>0.83426697155667517</v>
      </c>
      <c r="D22" s="514">
        <f>+Report1!AJ27</f>
        <v>0.90712458255772299</v>
      </c>
      <c r="E22" s="514">
        <f>+Report1!AK27</f>
        <v>0.83600567502584422</v>
      </c>
      <c r="F22" s="511">
        <f>+Report1!R27</f>
        <v>50.598999999999997</v>
      </c>
      <c r="G22" s="511">
        <f>+Report1!S27</f>
        <v>1076.0000000000002</v>
      </c>
      <c r="H22" s="511">
        <f>+Report1!X27</f>
        <v>2.4430719974703061</v>
      </c>
      <c r="I22" s="511">
        <f>+Report1!Y27</f>
        <v>2.3859814126394054</v>
      </c>
      <c r="J22" s="511">
        <f>+Report1!AD27</f>
        <v>1155.8552540564142</v>
      </c>
      <c r="K22" s="512">
        <f>+Report1!AE27</f>
        <v>986.54845724906863</v>
      </c>
      <c r="L22" s="513">
        <f>+[1]Report1!J27</f>
        <v>0.96537690120832464</v>
      </c>
      <c r="M22" s="514">
        <f>+[1]Report1!K27</f>
        <v>0.88294615922814479</v>
      </c>
      <c r="N22" s="514">
        <f>+[1]Report1!BJ27</f>
        <v>0.96537690120832464</v>
      </c>
      <c r="O22" s="514">
        <f>+[1]Report1!BK27</f>
        <v>0.92325800920056234</v>
      </c>
      <c r="P22" s="511">
        <f>+[1]Report1!R27</f>
        <v>80.010999999999996</v>
      </c>
      <c r="Q22" s="511">
        <f>+[1]Report1!S27</f>
        <v>1193.231</v>
      </c>
      <c r="R22" s="511">
        <f>+[1]Report1!AL27</f>
        <v>2.4269662921348316</v>
      </c>
      <c r="S22" s="511">
        <f>+[1]Report1!AM27</f>
        <v>2.5081966526179764</v>
      </c>
      <c r="T22" s="511">
        <f>+[1]Report1!AR27</f>
        <v>0.21247078526702579</v>
      </c>
      <c r="U22" s="511">
        <f>+[1]Report1!AS27</f>
        <v>0.20775524605042947</v>
      </c>
      <c r="V22" s="511">
        <f>+[1]Report1!AX27</f>
        <v>431.83162315179777</v>
      </c>
      <c r="W22" s="511">
        <f>+[1]Report1!AY27</f>
        <v>582.10297084135425</v>
      </c>
      <c r="X22" s="511">
        <f>+[1]Report1!BD27</f>
        <v>558.5232030595804</v>
      </c>
      <c r="Y22" s="588">
        <f>+[1]Report1!BE27</f>
        <v>550.63520810304146</v>
      </c>
      <c r="Z22" s="513">
        <f>+[2]Report1!J27</f>
        <v>0.9657710375063332</v>
      </c>
      <c r="AA22" s="618">
        <f>+[2]Report1!K27</f>
        <v>0.88051674921497836</v>
      </c>
      <c r="AB22" s="514">
        <f>+[2]Report1!BC27</f>
        <v>0.9657710375063332</v>
      </c>
      <c r="AC22" s="514">
        <f>+[2]Report1!BD27</f>
        <v>0.88294027926115459</v>
      </c>
      <c r="AD22" s="511">
        <f>+[2]Report1!R27</f>
        <v>46.088000000000001</v>
      </c>
      <c r="AE22" s="511">
        <f>+[2]Report1!S27</f>
        <v>761.29699999999991</v>
      </c>
      <c r="AF22" s="511">
        <f>+[2]Report1!X27</f>
        <v>93.657329832932518</v>
      </c>
      <c r="AG22" s="511">
        <f>+[2]Report1!Y27</f>
        <v>101.11481158172097</v>
      </c>
      <c r="AH22" s="511">
        <f>+[2]Report1!AD27</f>
        <v>1.3908175663947231</v>
      </c>
      <c r="AI22" s="511">
        <f>+[2]Report1!AE27</f>
        <v>1.5114994542208888</v>
      </c>
      <c r="AJ22" s="511">
        <f>+[2]Report1!AJ27</f>
        <v>861.07273042876091</v>
      </c>
      <c r="AK22" s="511">
        <f>+[2]Report1!AK27</f>
        <v>901.12812739312051</v>
      </c>
      <c r="AL22" s="599">
        <f>+[3]Report1!AP27</f>
        <v>0</v>
      </c>
      <c r="AM22" s="600">
        <f>+[3]Report1!AQ27</f>
        <v>0</v>
      </c>
      <c r="AN22" s="513">
        <f>+[4]Report1!J27</f>
        <v>0.94195814866442595</v>
      </c>
      <c r="AO22" s="618">
        <f>+[4]Report1!K27</f>
        <v>0.82091411846126028</v>
      </c>
      <c r="AP22" s="514">
        <f>+[4]Report1!BN27</f>
        <v>0.94195814866442595</v>
      </c>
      <c r="AQ22" s="514">
        <f>+[4]Report1!BO27</f>
        <v>0.84008660174186944</v>
      </c>
      <c r="AR22" s="511">
        <f>+[4]Report1!R27</f>
        <v>49.948</v>
      </c>
      <c r="AS22" s="511">
        <f>+[4]Report1!S27</f>
        <v>777.00500000000011</v>
      </c>
      <c r="AT22" s="515">
        <f>+[4]Report1!AF27</f>
        <v>97.033505907809541</v>
      </c>
      <c r="AU22" s="515">
        <f>+[4]Report1!AG27</f>
        <v>105.24451727216417</v>
      </c>
      <c r="AV22" s="511">
        <f>+[4]Report1!AL27</f>
        <v>1.4915512132617923</v>
      </c>
      <c r="AW22" s="511">
        <f>+[4]Report1!AM27</f>
        <v>1.6445196620356368</v>
      </c>
      <c r="AX22" s="511">
        <f>+[4]Report1!AR27</f>
        <v>0</v>
      </c>
      <c r="AY22" s="511">
        <f>+[4]Report1!AS27</f>
        <v>1.6730909067509216E-2</v>
      </c>
      <c r="AZ22" s="511">
        <f>+[4]Report1!AX27</f>
        <v>888.82677985104442</v>
      </c>
      <c r="BA22" s="511">
        <f>+[4]Report1!AY27</f>
        <v>1013.1802755452022</v>
      </c>
      <c r="BB22" s="511">
        <f>+[4]Report1!BD27</f>
        <v>0</v>
      </c>
      <c r="BC22" s="511">
        <f>+[4]Report1!BE27</f>
        <v>54.452674049716656</v>
      </c>
      <c r="BD22" s="511">
        <f>+[4]Report1!BJ27</f>
        <v>0</v>
      </c>
      <c r="BE22" s="511">
        <f>+[4]Report1!BK27</f>
        <v>30.694783173853445</v>
      </c>
      <c r="BF22" s="513">
        <f>+[5]Report1!J27</f>
        <v>0.89437675250688309</v>
      </c>
      <c r="BG22" s="514">
        <f>+[5]Report1!K27</f>
        <v>0.84328528938207337</v>
      </c>
      <c r="BH22" s="514">
        <f>+[5]Report1!AN27</f>
        <v>0.89437675250688309</v>
      </c>
      <c r="BI22" s="514">
        <f>+[5]Report1!AO27</f>
        <v>0.84737938679473268</v>
      </c>
      <c r="BJ22" s="511">
        <f>+[5]Report1!R27</f>
        <v>51.21</v>
      </c>
      <c r="BK22" s="511">
        <f>+[5]Report1!S27</f>
        <v>852.0150000000001</v>
      </c>
      <c r="BL22" s="511">
        <f>+[5]Report1!AD27</f>
        <v>2.5405194297988674</v>
      </c>
      <c r="BM22" s="511">
        <f>+[5]Report1!AE27</f>
        <v>2.8364524098754131</v>
      </c>
      <c r="BN22" s="515">
        <v>0</v>
      </c>
      <c r="BO22" s="515">
        <v>0</v>
      </c>
      <c r="BP22" s="515">
        <f>+[5]Report1!AJ27</f>
        <v>769.36818980666624</v>
      </c>
      <c r="BQ22" s="515">
        <f>+[5]Report1!AK27</f>
        <v>958.45539691202487</v>
      </c>
      <c r="BR22" s="515">
        <v>0</v>
      </c>
      <c r="BS22" s="516">
        <v>0</v>
      </c>
      <c r="BT22" s="513">
        <f>+[6]Report1!J27</f>
        <v>0.85784111821427333</v>
      </c>
      <c r="BU22" s="618">
        <f>+[6]Report1!K27</f>
        <v>0.86720514971000517</v>
      </c>
      <c r="BV22" s="514">
        <f>+[6]Report1!BG27</f>
        <v>0.85784111821427333</v>
      </c>
      <c r="BW22" s="514">
        <f>+[6]Report1!BH27</f>
        <v>0.87515587624924185</v>
      </c>
      <c r="BX22" s="511">
        <f>+[6]Report1!R27</f>
        <v>40.988</v>
      </c>
      <c r="BY22" s="511">
        <f>+[6]Report1!S27</f>
        <v>785.66799999999989</v>
      </c>
      <c r="BZ22" s="515">
        <f>+[6]Report1!X27</f>
        <v>92.439041416427628</v>
      </c>
      <c r="CA22" s="515">
        <f>+[6]Report1!Y27</f>
        <v>86.767032823295168</v>
      </c>
      <c r="CB22" s="511">
        <f>+[6]Report1!AD27</f>
        <v>2.1250121986923003</v>
      </c>
      <c r="CC22" s="511">
        <f>+[6]Report1!AE27</f>
        <v>2.0660508000834961</v>
      </c>
      <c r="CD22" s="604">
        <f>+[6]Report1!AJ27</f>
        <v>0</v>
      </c>
      <c r="CE22" s="604">
        <f>+[6]Report1!AK27</f>
        <v>0</v>
      </c>
      <c r="CF22" s="515">
        <f>+[6]Report1!AP27</f>
        <v>997.51158875768499</v>
      </c>
      <c r="CG22" s="515">
        <f>+[6]Report1!AQ27</f>
        <v>966.87791153515207</v>
      </c>
      <c r="CH22" s="604">
        <f>+[6]Report1!AV27</f>
        <v>0</v>
      </c>
      <c r="CI22" s="604">
        <f>+[6]Report1!AW27</f>
        <v>0</v>
      </c>
      <c r="CJ22" s="515">
        <f>+[6]Report1!BB27</f>
        <v>94.905826095442563</v>
      </c>
      <c r="CK22" s="515">
        <f>+[6]Report1!BC27</f>
        <v>22.554055911657343</v>
      </c>
    </row>
    <row r="23" spans="1:89" ht="12.75" customHeight="1">
      <c r="A23" s="567">
        <f t="shared" si="0"/>
        <v>45858</v>
      </c>
      <c r="B23" s="513">
        <f>+Report1!J28</f>
        <v>0.80139310798957797</v>
      </c>
      <c r="C23" s="514">
        <f>+Report1!K28</f>
        <v>0.83289346439263168</v>
      </c>
      <c r="D23" s="514">
        <f>+Report1!AJ28</f>
        <v>0.80139310798957797</v>
      </c>
      <c r="E23" s="514">
        <f>+Report1!AK28</f>
        <v>0.83455663510451195</v>
      </c>
      <c r="F23" s="511">
        <f>+Report1!R28</f>
        <v>45.067999999999998</v>
      </c>
      <c r="G23" s="511">
        <f>+Report1!S28</f>
        <v>1121.0680000000002</v>
      </c>
      <c r="H23" s="511">
        <f>+Report1!X28</f>
        <v>2.6826351291381911</v>
      </c>
      <c r="I23" s="511">
        <f>+Report1!Y28</f>
        <v>2.3979071742302875</v>
      </c>
      <c r="J23" s="511">
        <f>+Report1!AD28</f>
        <v>1261.4542469157518</v>
      </c>
      <c r="K23" s="512">
        <f>+Report1!AE28</f>
        <v>997.59993149389402</v>
      </c>
      <c r="L23" s="513">
        <f>+[1]Report1!J28</f>
        <v>0.59696221251314896</v>
      </c>
      <c r="M23" s="514">
        <f>+[1]Report1!K28</f>
        <v>0.86911079892692766</v>
      </c>
      <c r="N23" s="514">
        <f>+[1]Report1!BJ28</f>
        <v>0.59696221251314896</v>
      </c>
      <c r="O23" s="514">
        <f>+[1]Report1!BK28</f>
        <v>0.90678810899273787</v>
      </c>
      <c r="P23" s="511">
        <f>+[1]Report1!R28</f>
        <v>41.012999999999998</v>
      </c>
      <c r="Q23" s="511">
        <f>+[1]Report1!S28</f>
        <v>1234.2439999999999</v>
      </c>
      <c r="R23" s="511">
        <f>+[1]Report1!AL28</f>
        <v>2.2799843951917684</v>
      </c>
      <c r="S23" s="511">
        <f>+[1]Report1!AM28</f>
        <v>2.5006133309134992</v>
      </c>
      <c r="T23" s="511">
        <f>+[1]Report1!AR28</f>
        <v>0.30478141077219417</v>
      </c>
      <c r="U23" s="511">
        <f>+[1]Report1!AS28</f>
        <v>0.21097935254293315</v>
      </c>
      <c r="V23" s="511">
        <f>+[1]Report1!AX28</f>
        <v>457.43374052131793</v>
      </c>
      <c r="W23" s="511">
        <f>+[1]Report1!AY28</f>
        <v>577.96030606590011</v>
      </c>
      <c r="X23" s="511">
        <f>+[1]Report1!BD28</f>
        <v>757.73535220539168</v>
      </c>
      <c r="Y23" s="588">
        <f>+[1]Report1!BE28</f>
        <v>557.51699015753775</v>
      </c>
      <c r="Z23" s="513">
        <f>+[2]Report1!J28</f>
        <v>1.0140633183244934</v>
      </c>
      <c r="AA23" s="618">
        <f>+[2]Report1!K28</f>
        <v>0.88695769626102816</v>
      </c>
      <c r="AB23" s="514">
        <f>+[2]Report1!BC28</f>
        <v>1.0140633183244934</v>
      </c>
      <c r="AC23" s="514">
        <f>+[2]Report1!BD28</f>
        <v>0.88928090413338734</v>
      </c>
      <c r="AD23" s="511">
        <f>+[2]Report1!R28</f>
        <v>44.429000000000002</v>
      </c>
      <c r="AE23" s="511">
        <f>+[2]Report1!S28</f>
        <v>805.72599999999989</v>
      </c>
      <c r="AF23" s="511">
        <f>+[2]Report1!X28</f>
        <v>94.766775861772445</v>
      </c>
      <c r="AG23" s="511">
        <f>+[2]Report1!Y28</f>
        <v>100.76477089915446</v>
      </c>
      <c r="AH23" s="511">
        <f>+[2]Report1!AD28</f>
        <v>1.361723198811587</v>
      </c>
      <c r="AI23" s="511">
        <f>+[2]Report1!AE28</f>
        <v>1.5032405557224169</v>
      </c>
      <c r="AJ23" s="511">
        <f>+[2]Report1!AJ28</f>
        <v>811.43442346215306</v>
      </c>
      <c r="AK23" s="511">
        <f>+[2]Report1!AK28</f>
        <v>896.1822753640821</v>
      </c>
      <c r="AL23" s="599">
        <f>+[3]Report1!AP28</f>
        <v>0</v>
      </c>
      <c r="AM23" s="600">
        <f>+[3]Report1!AQ28</f>
        <v>0</v>
      </c>
      <c r="AN23" s="513">
        <f>+[4]Report1!J28</f>
        <v>0.93654567992360171</v>
      </c>
      <c r="AO23" s="618">
        <f>+[4]Report1!K28</f>
        <v>0.82704840044616246</v>
      </c>
      <c r="AP23" s="514">
        <f>+[4]Report1!BN28</f>
        <v>0.93654567992360171</v>
      </c>
      <c r="AQ23" s="514">
        <f>+[4]Report1!BO28</f>
        <v>0.84531681060985331</v>
      </c>
      <c r="AR23" s="511">
        <f>+[4]Report1!R28</f>
        <v>49.661000000000001</v>
      </c>
      <c r="AS23" s="511">
        <f>+[4]Report1!S28</f>
        <v>826.66600000000017</v>
      </c>
      <c r="AT23" s="515">
        <f>+[4]Report1!AF28</f>
        <v>99.870137773058119</v>
      </c>
      <c r="AU23" s="515">
        <f>+[4]Report1!AG28</f>
        <v>104.92165766465024</v>
      </c>
      <c r="AV23" s="511">
        <f>+[4]Report1!AL28</f>
        <v>1.4840619399528805</v>
      </c>
      <c r="AW23" s="511">
        <f>+[4]Report1!AM28</f>
        <v>1.6348803507099603</v>
      </c>
      <c r="AX23" s="511">
        <f>+[4]Report1!AR28</f>
        <v>0</v>
      </c>
      <c r="AY23" s="511">
        <f>+[4]Report1!AS28</f>
        <v>1.5725819133725106E-2</v>
      </c>
      <c r="AZ23" s="511">
        <f>+[4]Report1!AX28</f>
        <v>925.29791989690057</v>
      </c>
      <c r="BA23" s="511">
        <f>+[4]Report1!AY28</f>
        <v>1007.9008450813265</v>
      </c>
      <c r="BB23" s="511">
        <f>+[4]Report1!BD28</f>
        <v>0</v>
      </c>
      <c r="BC23" s="511">
        <f>+[4]Report1!BE28</f>
        <v>51.181492888300824</v>
      </c>
      <c r="BD23" s="511">
        <f>+[4]Report1!BJ28</f>
        <v>0</v>
      </c>
      <c r="BE23" s="511">
        <f>+[4]Report1!BK28</f>
        <v>28.850829718411056</v>
      </c>
      <c r="BF23" s="513">
        <f>+[5]Report1!J28</f>
        <v>0.91879432850705778</v>
      </c>
      <c r="BG23" s="514">
        <f>+[5]Report1!K28</f>
        <v>0.84731368366310944</v>
      </c>
      <c r="BH23" s="514">
        <f>+[5]Report1!AN28</f>
        <v>0.91879432850705778</v>
      </c>
      <c r="BI23" s="514">
        <f>+[5]Report1!AO28</f>
        <v>0.85120686751530839</v>
      </c>
      <c r="BJ23" s="511">
        <f>+[5]Report1!R28</f>
        <v>52.316000000000003</v>
      </c>
      <c r="BK23" s="511">
        <f>+[5]Report1!S28</f>
        <v>904.33100000000013</v>
      </c>
      <c r="BL23" s="511">
        <f>+[5]Report1!AD28</f>
        <v>2.5001911461120883</v>
      </c>
      <c r="BM23" s="511">
        <f>+[5]Report1!AE28</f>
        <v>2.8169995278277535</v>
      </c>
      <c r="BN23" s="515">
        <v>0</v>
      </c>
      <c r="BO23" s="515">
        <v>0</v>
      </c>
      <c r="BP23" s="515">
        <f>+[5]Report1!AJ28</f>
        <v>684.38584754187048</v>
      </c>
      <c r="BQ23" s="515">
        <f>+[5]Report1!AK28</f>
        <v>942.60033660241595</v>
      </c>
      <c r="BR23" s="515">
        <v>0</v>
      </c>
      <c r="BS23" s="516">
        <v>0</v>
      </c>
      <c r="BT23" s="513">
        <f>+[6]Report1!J28</f>
        <v>0.98357573665069853</v>
      </c>
      <c r="BU23" s="618">
        <f>+[6]Report1!K28</f>
        <v>0.87302617213099221</v>
      </c>
      <c r="BV23" s="514">
        <f>+[6]Report1!BG28</f>
        <v>0.98357573665069853</v>
      </c>
      <c r="BW23" s="514">
        <f>+[6]Report1!BH28</f>
        <v>0.88062640533081882</v>
      </c>
      <c r="BX23" s="511">
        <f>+[6]Report1!R28</f>
        <v>46.920999999999999</v>
      </c>
      <c r="BY23" s="511">
        <f>+[6]Report1!S28</f>
        <v>832.58899999999994</v>
      </c>
      <c r="BZ23" s="515">
        <f>+[6]Report1!X28</f>
        <v>82.030562078589</v>
      </c>
      <c r="CA23" s="515">
        <f>+[6]Report1!Y28</f>
        <v>86.500106472103454</v>
      </c>
      <c r="CB23" s="511">
        <f>+[6]Report1!AD28</f>
        <v>1.8584429146863879</v>
      </c>
      <c r="CC23" s="511">
        <f>+[6]Report1!AE28</f>
        <v>2.0543509462652043</v>
      </c>
      <c r="CD23" s="604">
        <f>+[6]Report1!AJ28</f>
        <v>0</v>
      </c>
      <c r="CE23" s="604">
        <f>+[6]Report1!AK28</f>
        <v>0</v>
      </c>
      <c r="CF23" s="515">
        <f>+[6]Report1!AP28</f>
        <v>863.88461456490211</v>
      </c>
      <c r="CG23" s="515">
        <f>+[6]Report1!AQ28</f>
        <v>961.07366900115107</v>
      </c>
      <c r="CH23" s="604">
        <f>+[6]Report1!AV28</f>
        <v>0</v>
      </c>
      <c r="CI23" s="604">
        <f>+[6]Report1!AW28</f>
        <v>0</v>
      </c>
      <c r="CJ23" s="515">
        <f>+[6]Report1!BB28</f>
        <v>57.969778990217605</v>
      </c>
      <c r="CK23" s="515">
        <f>+[6]Report1!BC28</f>
        <v>24.549927995685746</v>
      </c>
    </row>
    <row r="24" spans="1:89" ht="12.75" customHeight="1">
      <c r="A24" s="567">
        <f t="shared" si="0"/>
        <v>45859</v>
      </c>
      <c r="B24" s="513">
        <f>+Report1!J29</f>
        <v>0.78503305720966243</v>
      </c>
      <c r="C24" s="514">
        <f>+Report1!K29</f>
        <v>0.83097641888999407</v>
      </c>
      <c r="D24" s="514">
        <f>+Report1!AJ29</f>
        <v>0.78503305720966243</v>
      </c>
      <c r="E24" s="514">
        <f>+Report1!AK29</f>
        <v>0.8325691692760816</v>
      </c>
      <c r="F24" s="511">
        <f>+Report1!R29</f>
        <v>44.09</v>
      </c>
      <c r="G24" s="511">
        <f>+Report1!S29</f>
        <v>1165.1580000000001</v>
      </c>
      <c r="H24" s="511">
        <f>+Report1!X29</f>
        <v>2.7278294397822633</v>
      </c>
      <c r="I24" s="511">
        <f>+Report1!Y29</f>
        <v>2.4103915520470185</v>
      </c>
      <c r="J24" s="511">
        <f>+Report1!AD29</f>
        <v>1288.9652982535788</v>
      </c>
      <c r="K24" s="512">
        <f>+Report1!AE29</f>
        <v>1008.6253023195113</v>
      </c>
      <c r="L24" s="513">
        <f>+[1]Report1!J29</f>
        <v>0.93240491528880731</v>
      </c>
      <c r="M24" s="514">
        <f>+[1]Report1!K29</f>
        <v>0.87157574731723997</v>
      </c>
      <c r="N24" s="514">
        <f>+[1]Report1!BJ29</f>
        <v>0.93909338368829864</v>
      </c>
      <c r="O24" s="514">
        <f>+[1]Report1!BK29</f>
        <v>0.90808958827960007</v>
      </c>
      <c r="P24" s="511">
        <f>+[1]Report1!R29</f>
        <v>53.656999999999996</v>
      </c>
      <c r="Q24" s="511">
        <f>+[1]Report1!S29</f>
        <v>1287.9009999999998</v>
      </c>
      <c r="R24" s="511">
        <f>+[1]Report1!AL29</f>
        <v>3.099204204484038</v>
      </c>
      <c r="S24" s="511">
        <f>+[1]Report1!AM29</f>
        <v>2.5255520416553763</v>
      </c>
      <c r="T24" s="511">
        <f>+[1]Report1!AR29</f>
        <v>0.24600704474719048</v>
      </c>
      <c r="U24" s="511">
        <f>+[1]Report1!AS29</f>
        <v>0.21243868899861093</v>
      </c>
      <c r="V24" s="511">
        <f>+[1]Report1!AX29</f>
        <v>763.55592001042385</v>
      </c>
      <c r="W24" s="511">
        <f>+[1]Report1!AY29</f>
        <v>585.69265805368593</v>
      </c>
      <c r="X24" s="511">
        <f>+[1]Report1!BD29</f>
        <v>421.51070689751566</v>
      </c>
      <c r="Y24" s="588">
        <f>+[1]Report1!BE29</f>
        <v>551.85064690531351</v>
      </c>
      <c r="Z24" s="513">
        <f>+[2]Report1!J29</f>
        <v>0.91235652710721393</v>
      </c>
      <c r="AA24" s="618">
        <f>+[2]Report1!K29</f>
        <v>0.88807273655535601</v>
      </c>
      <c r="AB24" s="514">
        <f>+[2]Report1!BC29</f>
        <v>0.91235652710721393</v>
      </c>
      <c r="AC24" s="514">
        <f>+[2]Report1!BD29</f>
        <v>0.89029648940483619</v>
      </c>
      <c r="AD24" s="511">
        <f>+[2]Report1!R29</f>
        <v>38.055999999999997</v>
      </c>
      <c r="AE24" s="511">
        <f>+[2]Report1!S29</f>
        <v>843.78199999999993</v>
      </c>
      <c r="AF24" s="511">
        <f>+[2]Report1!X29</f>
        <v>104.02659833940206</v>
      </c>
      <c r="AG24" s="511">
        <f>+[2]Report1!Y29</f>
        <v>100.91188485165173</v>
      </c>
      <c r="AH24" s="511">
        <f>+[2]Report1!AD29</f>
        <v>1.5713685095648517</v>
      </c>
      <c r="AI24" s="511">
        <f>+[2]Report1!AE29</f>
        <v>1.5063132420459311</v>
      </c>
      <c r="AJ24" s="511">
        <f>+[2]Report1!AJ29</f>
        <v>1011.9424006726833</v>
      </c>
      <c r="AK24" s="511">
        <f>+[2]Report1!AK29</f>
        <v>901.40325344698044</v>
      </c>
      <c r="AL24" s="599">
        <f>+[3]Report1!AP29</f>
        <v>0</v>
      </c>
      <c r="AM24" s="600">
        <f>+[3]Report1!AQ29</f>
        <v>0</v>
      </c>
      <c r="AN24" s="513">
        <f>+[4]Report1!J29</f>
        <v>1.0031170560144493</v>
      </c>
      <c r="AO24" s="618">
        <f>+[4]Report1!K29</f>
        <v>0.83608475771403568</v>
      </c>
      <c r="AP24" s="514">
        <f>+[4]Report1!BN29</f>
        <v>1.0031170560144493</v>
      </c>
      <c r="AQ24" s="514">
        <f>+[4]Report1!BO29</f>
        <v>0.85358509750687228</v>
      </c>
      <c r="AR24" s="511">
        <f>+[4]Report1!R29</f>
        <v>54.243000000000002</v>
      </c>
      <c r="AS24" s="511">
        <f>+[4]Report1!S29</f>
        <v>880.90900000000022</v>
      </c>
      <c r="AT24" s="515">
        <f>+[4]Report1!AF29</f>
        <v>102.23769727643041</v>
      </c>
      <c r="AU24" s="515">
        <f>+[4]Report1!AG29</f>
        <v>104.75638967063701</v>
      </c>
      <c r="AV24" s="511">
        <f>+[4]Report1!AL29</f>
        <v>1.3365779916302565</v>
      </c>
      <c r="AW24" s="511">
        <f>+[4]Report1!AM29</f>
        <v>1.6165120347277639</v>
      </c>
      <c r="AX24" s="511">
        <f>+[4]Report1!AR29</f>
        <v>0</v>
      </c>
      <c r="AY24" s="511">
        <f>+[4]Report1!AS29</f>
        <v>1.4757483463104584E-2</v>
      </c>
      <c r="AZ24" s="511">
        <f>+[4]Report1!AX29</f>
        <v>826.29058127316034</v>
      </c>
      <c r="BA24" s="511">
        <f>+[4]Report1!AY29</f>
        <v>996.71798108544681</v>
      </c>
      <c r="BB24" s="511">
        <f>+[4]Report1!BD29</f>
        <v>483.01163283741266</v>
      </c>
      <c r="BC24" s="511">
        <f>+[4]Report1!BE29</f>
        <v>77.771937850561017</v>
      </c>
      <c r="BD24" s="511">
        <f>+[4]Report1!BJ29</f>
        <v>0</v>
      </c>
      <c r="BE24" s="511">
        <f>+[4]Report1!BK29</f>
        <v>27.074306199618796</v>
      </c>
      <c r="BF24" s="513">
        <f>+[5]Report1!J29</f>
        <v>1.0596511381092408</v>
      </c>
      <c r="BG24" s="514">
        <f>+[5]Report1!K29</f>
        <v>0.8576724921876937</v>
      </c>
      <c r="BH24" s="514">
        <f>+[5]Report1!AN29</f>
        <v>1.0596511381092408</v>
      </c>
      <c r="BI24" s="514">
        <f>+[5]Report1!AO29</f>
        <v>0.86142018242146101</v>
      </c>
      <c r="BJ24" s="511">
        <f>+[5]Report1!R29</f>
        <v>58.003</v>
      </c>
      <c r="BK24" s="511">
        <f>+[5]Report1!S29</f>
        <v>962.33400000000017</v>
      </c>
      <c r="BL24" s="511">
        <f>+[5]Report1!AD29</f>
        <v>2.2947088943675324</v>
      </c>
      <c r="BM24" s="511">
        <f>+[5]Report1!AE29</f>
        <v>2.7855193726918097</v>
      </c>
      <c r="BN24" s="515">
        <v>0</v>
      </c>
      <c r="BO24" s="515">
        <v>0</v>
      </c>
      <c r="BP24" s="515">
        <f>+[5]Report1!AJ29</f>
        <v>743.91074599589217</v>
      </c>
      <c r="BQ24" s="515">
        <f>+[5]Report1!AK29</f>
        <v>930.62466877404211</v>
      </c>
      <c r="BR24" s="515">
        <v>0</v>
      </c>
      <c r="BS24" s="516">
        <v>0</v>
      </c>
      <c r="BT24" s="513">
        <f>+[6]Report1!J29</f>
        <v>0.9743985438429883</v>
      </c>
      <c r="BU24" s="618">
        <f>+[6]Report1!K29</f>
        <v>0.87775871260988891</v>
      </c>
      <c r="BV24" s="514">
        <f>+[6]Report1!BG29</f>
        <v>0.9743985438429883</v>
      </c>
      <c r="BW24" s="514">
        <f>+[6]Report1!BH29</f>
        <v>0.88504044793399583</v>
      </c>
      <c r="BX24" s="511">
        <f>+[6]Report1!R29</f>
        <v>45.506999999999998</v>
      </c>
      <c r="BY24" s="511">
        <f>+[6]Report1!S29</f>
        <v>878.09599999999989</v>
      </c>
      <c r="BZ24" s="515">
        <f>+[6]Report1!X29</f>
        <v>82.898990490041086</v>
      </c>
      <c r="CA24" s="515">
        <f>+[6]Report1!Y29</f>
        <v>86.313479969994674</v>
      </c>
      <c r="CB24" s="511">
        <f>+[6]Report1!AD29</f>
        <v>1.9161887182191752</v>
      </c>
      <c r="CC24" s="511">
        <f>+[6]Report1!AE29</f>
        <v>2.047190739964651</v>
      </c>
      <c r="CD24" s="604">
        <f>+[6]Report1!AJ29</f>
        <v>0</v>
      </c>
      <c r="CE24" s="604">
        <f>+[6]Report1!AK29</f>
        <v>0</v>
      </c>
      <c r="CF24" s="515">
        <f>+[6]Report1!AP29</f>
        <v>960.78394532707955</v>
      </c>
      <c r="CG24" s="515">
        <f>+[6]Report1!AQ29</f>
        <v>961.05865417904079</v>
      </c>
      <c r="CH24" s="604">
        <f>+[6]Report1!AV29</f>
        <v>0</v>
      </c>
      <c r="CI24" s="604">
        <f>+[6]Report1!AW29</f>
        <v>0</v>
      </c>
      <c r="CJ24" s="515">
        <f>+[6]Report1!BB29</f>
        <v>0</v>
      </c>
      <c r="CK24" s="515">
        <f>+[6]Report1!BC29</f>
        <v>23.277637069295388</v>
      </c>
    </row>
    <row r="25" spans="1:89" ht="12.75" customHeight="1">
      <c r="A25" s="567">
        <f t="shared" si="0"/>
        <v>45860</v>
      </c>
      <c r="B25" s="513">
        <f>+Report1!J30</f>
        <v>0.82502237366406905</v>
      </c>
      <c r="C25" s="514">
        <f>+Report1!K30</f>
        <v>0.83074073135838422</v>
      </c>
      <c r="D25" s="514">
        <f>+Report1!AJ30</f>
        <v>0.82502237366406905</v>
      </c>
      <c r="E25" s="514">
        <f>+Report1!AK30</f>
        <v>0.83226988373065591</v>
      </c>
      <c r="F25" s="511">
        <f>+Report1!R30</f>
        <v>47.679000000000002</v>
      </c>
      <c r="G25" s="511">
        <f>+Report1!S30</f>
        <v>1212.8370000000002</v>
      </c>
      <c r="H25" s="511">
        <f>+Report1!X30</f>
        <v>2.6103106189307659</v>
      </c>
      <c r="I25" s="511">
        <f>+Report1!Y30</f>
        <v>2.4182507624684932</v>
      </c>
      <c r="J25" s="511">
        <f>+Report1!AD30</f>
        <v>1203.5692862685905</v>
      </c>
      <c r="K25" s="512">
        <f>+Report1!AE30</f>
        <v>1016.2889324781461</v>
      </c>
      <c r="L25" s="513">
        <f>+[1]Report1!J30</f>
        <v>0.81731945386552518</v>
      </c>
      <c r="M25" s="514">
        <f>+[1]Report1!K30</f>
        <v>0.86976119335548607</v>
      </c>
      <c r="N25" s="514">
        <f>+[1]Report1!BJ30</f>
        <v>0.81731945386552518</v>
      </c>
      <c r="O25" s="514">
        <f>+[1]Report1!BK30</f>
        <v>0.90493110751690287</v>
      </c>
      <c r="P25" s="511">
        <f>+[1]Report1!R30</f>
        <v>41.789000000000001</v>
      </c>
      <c r="Q25" s="511">
        <f>+[1]Report1!S30</f>
        <v>1329.6899999999998</v>
      </c>
      <c r="R25" s="511">
        <f>+[1]Report1!AL30</f>
        <v>3.3820144057048509</v>
      </c>
      <c r="S25" s="511">
        <f>+[1]Report1!AM30</f>
        <v>2.552468620505532</v>
      </c>
      <c r="T25" s="511">
        <f>+[1]Report1!AR30</f>
        <v>0.24408337122209192</v>
      </c>
      <c r="U25" s="511">
        <f>+[1]Report1!AS30</f>
        <v>0.21343320623603998</v>
      </c>
      <c r="V25" s="511">
        <f>+[1]Report1!AX30</f>
        <v>968.03393237457362</v>
      </c>
      <c r="W25" s="511">
        <f>+[1]Report1!AY30</f>
        <v>597.70873662282281</v>
      </c>
      <c r="X25" s="511">
        <f>+[1]Report1!BD30</f>
        <v>443.58563258273711</v>
      </c>
      <c r="Y25" s="588">
        <f>+[1]Report1!BE30</f>
        <v>548.44813452759672</v>
      </c>
      <c r="Z25" s="513">
        <f>+[2]Report1!J30</f>
        <v>0.86093664954417926</v>
      </c>
      <c r="AA25" s="618">
        <f>+[2]Report1!K30</f>
        <v>0.88677022423853946</v>
      </c>
      <c r="AB25" s="514">
        <f>+[2]Report1!BC30</f>
        <v>0.86093664954417926</v>
      </c>
      <c r="AC25" s="514">
        <f>+[2]Report1!BD30</f>
        <v>0.88888387956818404</v>
      </c>
      <c r="AD25" s="511">
        <f>+[2]Report1!R30</f>
        <v>41.243000000000002</v>
      </c>
      <c r="AE25" s="511">
        <f>+[2]Report1!S30</f>
        <v>885.02499999999998</v>
      </c>
      <c r="AF25" s="511">
        <f>+[2]Report1!X30</f>
        <v>99.979440338703853</v>
      </c>
      <c r="AG25" s="511">
        <f>+[2]Report1!Y30</f>
        <v>100.86843205760918</v>
      </c>
      <c r="AH25" s="511">
        <f>+[2]Report1!AD30</f>
        <v>1.5105593676502678</v>
      </c>
      <c r="AI25" s="511">
        <f>+[2]Report1!AE30</f>
        <v>1.5065111155052116</v>
      </c>
      <c r="AJ25" s="511">
        <f>+[2]Report1!AJ30</f>
        <v>873.48107557645267</v>
      </c>
      <c r="AK25" s="511">
        <f>+[2]Report1!AK30</f>
        <v>900.10205361430417</v>
      </c>
      <c r="AL25" s="599">
        <f>+[3]Report1!AP30</f>
        <v>0</v>
      </c>
      <c r="AM25" s="600">
        <f>+[3]Report1!AQ30</f>
        <v>0</v>
      </c>
      <c r="AN25" s="513">
        <f>+[4]Report1!J30</f>
        <v>0.95281367535189587</v>
      </c>
      <c r="AO25" s="618">
        <f>+[4]Report1!K30</f>
        <v>0.84178233923030954</v>
      </c>
      <c r="AP25" s="514">
        <f>+[4]Report1!BN30</f>
        <v>0.95281367535189587</v>
      </c>
      <c r="AQ25" s="514">
        <f>+[4]Report1!BO30</f>
        <v>0.85852481255939483</v>
      </c>
      <c r="AR25" s="511">
        <f>+[4]Report1!R30</f>
        <v>51.515000000000001</v>
      </c>
      <c r="AS25" s="511">
        <f>+[4]Report1!S30</f>
        <v>932.42400000000021</v>
      </c>
      <c r="AT25" s="515">
        <f>+[4]Report1!AF30</f>
        <v>108.60535214692658</v>
      </c>
      <c r="AU25" s="515">
        <f>+[4]Report1!AG30</f>
        <v>104.96903896105215</v>
      </c>
      <c r="AV25" s="511">
        <f>+[4]Report1!AL30</f>
        <v>1.4073570804620013</v>
      </c>
      <c r="AW25" s="511">
        <f>+[4]Report1!AM30</f>
        <v>1.6049565433751167</v>
      </c>
      <c r="AX25" s="511">
        <f>+[4]Report1!AR30</f>
        <v>0.26400077647287196</v>
      </c>
      <c r="AY25" s="511">
        <f>+[4]Report1!AS30</f>
        <v>2.8527794222370933E-2</v>
      </c>
      <c r="AZ25" s="511">
        <f>+[4]Report1!AX30</f>
        <v>840.4344365718714</v>
      </c>
      <c r="BA25" s="511">
        <f>+[4]Report1!AY30</f>
        <v>988.08355426286732</v>
      </c>
      <c r="BB25" s="511">
        <f>+[4]Report1!BD30</f>
        <v>716.29622440067328</v>
      </c>
      <c r="BC25" s="511">
        <f>+[4]Report1!BE30</f>
        <v>113.04942815714796</v>
      </c>
      <c r="BD25" s="511">
        <f>+[4]Report1!BJ30</f>
        <v>0</v>
      </c>
      <c r="BE25" s="511">
        <f>+[4]Report1!BK30</f>
        <v>25.578492188103262</v>
      </c>
      <c r="BF25" s="513">
        <f>+[5]Report1!J30</f>
        <v>0.97631760935673451</v>
      </c>
      <c r="BG25" s="514">
        <f>+[5]Report1!K30</f>
        <v>0.86346845668746808</v>
      </c>
      <c r="BH25" s="514">
        <f>+[5]Report1!AN30</f>
        <v>0.97631760935673451</v>
      </c>
      <c r="BI25" s="514">
        <f>+[5]Report1!AO30</f>
        <v>0.86705639048148964</v>
      </c>
      <c r="BJ25" s="511">
        <f>+[5]Report1!R30</f>
        <v>56.262999999999998</v>
      </c>
      <c r="BK25" s="511">
        <f>+[5]Report1!S30</f>
        <v>1018.5970000000002</v>
      </c>
      <c r="BL25" s="511">
        <f>+[5]Report1!AD30</f>
        <v>2.5629632262765938</v>
      </c>
      <c r="BM25" s="511">
        <f>+[5]Report1!AE30</f>
        <v>2.7732263103072161</v>
      </c>
      <c r="BN25" s="515">
        <v>0</v>
      </c>
      <c r="BO25" s="515">
        <v>0</v>
      </c>
      <c r="BP25" s="515">
        <f>+[5]Report1!AJ30</f>
        <v>881.4402004870052</v>
      </c>
      <c r="BQ25" s="515">
        <f>+[5]Report1!AK30</f>
        <v>927.90792629469684</v>
      </c>
      <c r="BR25" s="515">
        <v>0</v>
      </c>
      <c r="BS25" s="516">
        <v>0</v>
      </c>
      <c r="BT25" s="513">
        <f>+[6]Report1!J30</f>
        <v>0.90299856236796894</v>
      </c>
      <c r="BU25" s="618">
        <f>+[6]Report1!K30</f>
        <v>0.87893896632447122</v>
      </c>
      <c r="BV25" s="514">
        <f>+[6]Report1!BG30</f>
        <v>0.90299856236796894</v>
      </c>
      <c r="BW25" s="514">
        <f>+[6]Report1!BH30</f>
        <v>0.88588683471954788</v>
      </c>
      <c r="BX25" s="511">
        <f>+[6]Report1!R30</f>
        <v>44.314</v>
      </c>
      <c r="BY25" s="511">
        <f>+[6]Report1!S30</f>
        <v>922.40999999999985</v>
      </c>
      <c r="BZ25" s="515">
        <f>+[6]Report1!X30</f>
        <v>84.166250536216836</v>
      </c>
      <c r="CA25" s="515">
        <f>+[6]Report1!Y30</f>
        <v>86.210323754072874</v>
      </c>
      <c r="CB25" s="511">
        <f>+[6]Report1!AD30</f>
        <v>2.0309608701539017</v>
      </c>
      <c r="CC25" s="511">
        <f>+[6]Report1!AE30</f>
        <v>2.046411031970599</v>
      </c>
      <c r="CD25" s="604">
        <f>+[6]Report1!AJ30</f>
        <v>0</v>
      </c>
      <c r="CE25" s="604">
        <f>+[6]Report1!AK30</f>
        <v>0</v>
      </c>
      <c r="CF25" s="515">
        <f>+[6]Report1!AP30</f>
        <v>1036.0714446901623</v>
      </c>
      <c r="CG25" s="515">
        <f>+[6]Report1!AQ30</f>
        <v>964.66238440606548</v>
      </c>
      <c r="CH25" s="604">
        <f>+[6]Report1!AV30</f>
        <v>0</v>
      </c>
      <c r="CI25" s="604">
        <f>+[6]Report1!AW30</f>
        <v>0</v>
      </c>
      <c r="CJ25" s="515">
        <f>+[6]Report1!BB30</f>
        <v>0</v>
      </c>
      <c r="CK25" s="515">
        <f>+[6]Report1!BC30</f>
        <v>22.159343458982452</v>
      </c>
    </row>
    <row r="26" spans="1:89" ht="12.75" customHeight="1">
      <c r="A26" s="567">
        <f t="shared" si="0"/>
        <v>45861</v>
      </c>
      <c r="B26" s="513">
        <f>+Report1!J31</f>
        <v>0.73249572733576862</v>
      </c>
      <c r="C26" s="514">
        <f>+Report1!K31</f>
        <v>0.82694918401814799</v>
      </c>
      <c r="D26" s="514">
        <f>+Report1!AJ31</f>
        <v>0.73249572733576862</v>
      </c>
      <c r="E26" s="514">
        <f>+Report1!AK31</f>
        <v>0.82841250841212177</v>
      </c>
      <c r="F26" s="511">
        <f>+Report1!R31</f>
        <v>42.927999999999997</v>
      </c>
      <c r="G26" s="511">
        <f>+Report1!S31</f>
        <v>1255.7650000000003</v>
      </c>
      <c r="H26" s="511">
        <f>+Report1!X31</f>
        <v>2.9982994781960488</v>
      </c>
      <c r="I26" s="511">
        <f>+Report1!Y31</f>
        <v>2.4380795769909174</v>
      </c>
      <c r="J26" s="511">
        <f>+Report1!AD31</f>
        <v>1360.7309914275133</v>
      </c>
      <c r="K26" s="512">
        <f>+Report1!AE31</f>
        <v>1028.0635947012358</v>
      </c>
      <c r="L26" s="513">
        <f>+[1]Report1!J31</f>
        <v>0.76869638450581879</v>
      </c>
      <c r="M26" s="514">
        <f>+[1]Report1!K31</f>
        <v>0.86649916496758961</v>
      </c>
      <c r="N26" s="514">
        <f>+[1]Report1!BJ31</f>
        <v>0.76869638450581879</v>
      </c>
      <c r="O26" s="514">
        <f>+[1]Report1!BK31</f>
        <v>0.9003620709559409</v>
      </c>
      <c r="P26" s="511">
        <f>+[1]Report1!R31</f>
        <v>39.195999999999998</v>
      </c>
      <c r="Q26" s="511">
        <f>+[1]Report1!S31</f>
        <v>1368.8859999999997</v>
      </c>
      <c r="R26" s="511">
        <f>+[1]Report1!AL31</f>
        <v>3.8813144198387586</v>
      </c>
      <c r="S26" s="511">
        <f>+[1]Report1!AM31</f>
        <v>2.5905181293402091</v>
      </c>
      <c r="T26" s="511">
        <f>+[1]Report1!AR31</f>
        <v>0.28319216246555773</v>
      </c>
      <c r="U26" s="511">
        <f>+[1]Report1!AS31</f>
        <v>0.21543064944779919</v>
      </c>
      <c r="V26" s="511">
        <f>+[1]Report1!AX31</f>
        <v>985.89881620575181</v>
      </c>
      <c r="W26" s="511">
        <f>+[1]Report1!AY31</f>
        <v>608.82397803761739</v>
      </c>
      <c r="X26" s="511">
        <f>+[1]Report1!BD31</f>
        <v>460.91437901826714</v>
      </c>
      <c r="Y26" s="588">
        <f>+[1]Report1!BE31</f>
        <v>545.94173656535327</v>
      </c>
      <c r="Z26" s="513">
        <f>+[2]Report1!J31</f>
        <v>0.54686543507681717</v>
      </c>
      <c r="AA26" s="618">
        <f>+[2]Report1!K31</f>
        <v>0.87106313389311762</v>
      </c>
      <c r="AB26" s="514">
        <f>+[2]Report1!BC31</f>
        <v>0.54686543507681717</v>
      </c>
      <c r="AC26" s="514">
        <f>+[2]Report1!BD31</f>
        <v>0.87304319007112874</v>
      </c>
      <c r="AD26" s="511">
        <f>+[2]Report1!R31</f>
        <v>26.443000000000001</v>
      </c>
      <c r="AE26" s="511">
        <f>+[2]Report1!S31</f>
        <v>911.46799999999996</v>
      </c>
      <c r="AF26" s="511">
        <f>+[2]Report1!X31</f>
        <v>79.898872531195934</v>
      </c>
      <c r="AG26" s="511">
        <f>+[2]Report1!Y31</f>
        <v>100.26007492103726</v>
      </c>
      <c r="AH26" s="511">
        <f>+[2]Report1!AD31</f>
        <v>1.3538554626933401</v>
      </c>
      <c r="AI26" s="511">
        <f>+[2]Report1!AE31</f>
        <v>1.502082355057994</v>
      </c>
      <c r="AJ26" s="511">
        <f>+[2]Report1!AJ31</f>
        <v>843.83239420643372</v>
      </c>
      <c r="AK26" s="511">
        <f>+[2]Report1!AK31</f>
        <v>898.46958971680885</v>
      </c>
      <c r="AL26" s="599">
        <f>+[3]Report1!AP31</f>
        <v>0</v>
      </c>
      <c r="AM26" s="600">
        <f>+[3]Report1!AQ31</f>
        <v>0</v>
      </c>
      <c r="AN26" s="513">
        <f>+[4]Report1!J31</f>
        <v>0.96832653888341624</v>
      </c>
      <c r="AO26" s="618">
        <f>+[4]Report1!K31</f>
        <v>0.84773311571964227</v>
      </c>
      <c r="AP26" s="514">
        <f>+[4]Report1!BN31</f>
        <v>0.96832653888341624</v>
      </c>
      <c r="AQ26" s="514">
        <f>+[4]Report1!BO31</f>
        <v>0.86378604632621725</v>
      </c>
      <c r="AR26" s="511">
        <f>+[4]Report1!R31</f>
        <v>52.927999999999997</v>
      </c>
      <c r="AS26" s="511">
        <f>+[4]Report1!S31</f>
        <v>985.3520000000002</v>
      </c>
      <c r="AT26" s="515">
        <f>+[4]Report1!AF31</f>
        <v>104.16349519193371</v>
      </c>
      <c r="AU26" s="515">
        <f>+[4]Report1!AG31</f>
        <v>104.92576932683828</v>
      </c>
      <c r="AV26" s="511">
        <f>+[4]Report1!AL31</f>
        <v>1.3660066505441355</v>
      </c>
      <c r="AW26" s="511">
        <f>+[4]Report1!AM31</f>
        <v>1.5921213941819774</v>
      </c>
      <c r="AX26" s="511">
        <f>+[4]Report1!AR31</f>
        <v>0.19271463119709795</v>
      </c>
      <c r="AY26" s="511">
        <f>+[4]Report1!AS31</f>
        <v>3.7347059730938784E-2</v>
      </c>
      <c r="AZ26" s="511">
        <f>+[4]Report1!AX31</f>
        <v>837.24040205562358</v>
      </c>
      <c r="BA26" s="511">
        <f>+[4]Report1!AY31</f>
        <v>979.98104230772344</v>
      </c>
      <c r="BB26" s="511">
        <f>+[4]Report1!BD31</f>
        <v>561.32859733977625</v>
      </c>
      <c r="BC26" s="511">
        <f>+[4]Report1!BE31</f>
        <v>137.12866062077327</v>
      </c>
      <c r="BD26" s="511">
        <f>+[4]Report1!BJ31</f>
        <v>0</v>
      </c>
      <c r="BE26" s="511">
        <f>+[4]Report1!BK31</f>
        <v>24.20454822236114</v>
      </c>
      <c r="BF26" s="513">
        <f>+[5]Report1!J31</f>
        <v>0.82943117486692142</v>
      </c>
      <c r="BG26" s="514">
        <f>+[5]Report1!K31</f>
        <v>0.86198287095494353</v>
      </c>
      <c r="BH26" s="514">
        <f>+[5]Report1!AN31</f>
        <v>0.82943117486692142</v>
      </c>
      <c r="BI26" s="514">
        <f>+[5]Report1!AO31</f>
        <v>0.86540768167862869</v>
      </c>
      <c r="BJ26" s="511">
        <f>+[5]Report1!R31</f>
        <v>44.654000000000003</v>
      </c>
      <c r="BK26" s="511">
        <f>+[5]Report1!S31</f>
        <v>1063.2510000000002</v>
      </c>
      <c r="BL26" s="511">
        <f>+[5]Report1!AD31</f>
        <v>3.0657947776235051</v>
      </c>
      <c r="BM26" s="511">
        <f>+[5]Report1!AE31</f>
        <v>2.7855134864674471</v>
      </c>
      <c r="BN26" s="515">
        <v>0</v>
      </c>
      <c r="BO26" s="515">
        <v>0</v>
      </c>
      <c r="BP26" s="515">
        <f>+[5]Report1!AJ31</f>
        <v>1016.4118556008382</v>
      </c>
      <c r="BQ26" s="515">
        <f>+[5]Report1!AK31</f>
        <v>931.62487973206623</v>
      </c>
      <c r="BR26" s="515">
        <v>0</v>
      </c>
      <c r="BS26" s="516">
        <v>0</v>
      </c>
      <c r="BT26" s="513">
        <f>+[6]Report1!J31</f>
        <v>0.90309485779785093</v>
      </c>
      <c r="BU26" s="618">
        <f>+[6]Report1!K31</f>
        <v>0.88001828761718581</v>
      </c>
      <c r="BV26" s="514">
        <f>+[6]Report1!BG31</f>
        <v>0.90309485779785093</v>
      </c>
      <c r="BW26" s="514">
        <f>+[6]Report1!BH31</f>
        <v>0.88666151913322977</v>
      </c>
      <c r="BX26" s="511">
        <f>+[6]Report1!R31</f>
        <v>44.328000000000003</v>
      </c>
      <c r="BY26" s="511">
        <f>+[6]Report1!S31</f>
        <v>966.73799999999983</v>
      </c>
      <c r="BZ26" s="515">
        <f>+[6]Report1!X31</f>
        <v>81.710626243884647</v>
      </c>
      <c r="CA26" s="515">
        <f>+[6]Report1!Y31</f>
        <v>86.003998367844531</v>
      </c>
      <c r="CB26" s="511">
        <f>+[6]Report1!AD31</f>
        <v>2.0077603320700232</v>
      </c>
      <c r="CC26" s="511">
        <f>+[6]Report1!AE31</f>
        <v>2.0446387749317814</v>
      </c>
      <c r="CD26" s="604">
        <f>+[6]Report1!AJ31</f>
        <v>0</v>
      </c>
      <c r="CE26" s="604">
        <f>+[6]Report1!AK31</f>
        <v>0</v>
      </c>
      <c r="CF26" s="515">
        <f>+[6]Report1!AP31</f>
        <v>911.24154033570721</v>
      </c>
      <c r="CG26" s="515">
        <f>+[6]Report1!AQ31</f>
        <v>962.21286946411544</v>
      </c>
      <c r="CH26" s="604">
        <f>+[6]Report1!AV31</f>
        <v>0</v>
      </c>
      <c r="CI26" s="604">
        <f>+[6]Report1!AW31</f>
        <v>0</v>
      </c>
      <c r="CJ26" s="515">
        <f>+[6]Report1!BB31</f>
        <v>0</v>
      </c>
      <c r="CK26" s="515">
        <f>+[6]Report1!BC31</f>
        <v>21.143267358891453</v>
      </c>
    </row>
    <row r="27" spans="1:89" ht="12.75" customHeight="1">
      <c r="A27" s="567">
        <f t="shared" si="0"/>
        <v>45862</v>
      </c>
      <c r="B27" s="513">
        <f>+Report1!J32</f>
        <v>0.93638366459845312</v>
      </c>
      <c r="C27" s="514">
        <f>+Report1!K32</f>
        <v>0.83105571985926641</v>
      </c>
      <c r="D27" s="514">
        <f>+Report1!AJ32</f>
        <v>0.93638366459845312</v>
      </c>
      <c r="E27" s="514">
        <f>+Report1!AK32</f>
        <v>0.8324710329517131</v>
      </c>
      <c r="F27" s="511">
        <f>+Report1!R32</f>
        <v>55.439</v>
      </c>
      <c r="G27" s="511">
        <f>+Report1!S32</f>
        <v>1311.2040000000004</v>
      </c>
      <c r="H27" s="511">
        <f>+Report1!X32</f>
        <v>2.3249156730821263</v>
      </c>
      <c r="I27" s="511">
        <f>+Report1!Y32</f>
        <v>2.433294895378598</v>
      </c>
      <c r="J27" s="511">
        <f>+Report1!AD32</f>
        <v>1036.5572972095949</v>
      </c>
      <c r="K27" s="512">
        <f>+Report1!AE32</f>
        <v>1028.4227168312484</v>
      </c>
      <c r="L27" s="513">
        <f>+[1]Report1!J32</f>
        <v>0.80971975997680934</v>
      </c>
      <c r="M27" s="514">
        <f>+[1]Report1!K32</f>
        <v>0.86472072992320692</v>
      </c>
      <c r="N27" s="514">
        <f>+[1]Report1!BJ32</f>
        <v>0.80971975997680934</v>
      </c>
      <c r="O27" s="514">
        <f>+[1]Report1!BK32</f>
        <v>0.89741564246769656</v>
      </c>
      <c r="P27" s="511">
        <f>+[1]Report1!R32</f>
        <v>41.362000000000002</v>
      </c>
      <c r="Q27" s="511">
        <f>+[1]Report1!S32</f>
        <v>1410.2479999999998</v>
      </c>
      <c r="R27" s="511">
        <f>+[1]Report1!AL32</f>
        <v>3.3839514530245154</v>
      </c>
      <c r="S27" s="511">
        <f>+[1]Report1!AM32</f>
        <v>2.6137892058701739</v>
      </c>
      <c r="T27" s="511">
        <f>+[1]Report1!AR32</f>
        <v>0.22726173782699097</v>
      </c>
      <c r="U27" s="511">
        <f>+[1]Report1!AS32</f>
        <v>0.21577765045580635</v>
      </c>
      <c r="V27" s="511">
        <f>+[1]Report1!AX32</f>
        <v>893.1591799235681</v>
      </c>
      <c r="W27" s="511">
        <f>+[1]Report1!AY32</f>
        <v>617.16341381090456</v>
      </c>
      <c r="X27" s="511">
        <f>+[1]Report1!BD32</f>
        <v>423.64972680237901</v>
      </c>
      <c r="Y27" s="588">
        <f>+[1]Report1!BE32</f>
        <v>542.35496168049883</v>
      </c>
      <c r="Z27" s="513">
        <f>+[2]Report1!J32</f>
        <v>0.7652765782847083</v>
      </c>
      <c r="AA27" s="618">
        <f>+[2]Report1!K32</f>
        <v>0.86639062692126068</v>
      </c>
      <c r="AB27" s="514">
        <f>+[2]Report1!BC32</f>
        <v>0.7652765782847083</v>
      </c>
      <c r="AC27" s="514">
        <f>+[2]Report1!BD32</f>
        <v>0.86827288445832418</v>
      </c>
      <c r="AD27" s="511">
        <f>+[2]Report1!R32</f>
        <v>37.003999999999998</v>
      </c>
      <c r="AE27" s="511">
        <f>+[2]Report1!S32</f>
        <v>948.47199999999998</v>
      </c>
      <c r="AF27" s="511">
        <f>+[2]Report1!X32</f>
        <v>112.99688426802823</v>
      </c>
      <c r="AG27" s="511">
        <f>+[2]Report1!Y32</f>
        <v>100.75699300936886</v>
      </c>
      <c r="AH27" s="511">
        <f>+[2]Report1!AD32</f>
        <v>1.7457572154361689</v>
      </c>
      <c r="AI27" s="511">
        <f>+[2]Report1!AE32</f>
        <v>1.5115891665752912</v>
      </c>
      <c r="AJ27" s="511">
        <f>+[2]Report1!AJ32</f>
        <v>926.81061506864114</v>
      </c>
      <c r="AK27" s="511">
        <f>+[2]Report1!AK32</f>
        <v>899.57529584426356</v>
      </c>
      <c r="AL27" s="599">
        <f>+[3]Report1!AP32</f>
        <v>0</v>
      </c>
      <c r="AM27" s="600">
        <f>+[3]Report1!AQ32</f>
        <v>0</v>
      </c>
      <c r="AN27" s="513">
        <f>+[4]Report1!J32</f>
        <v>0.94571994357901601</v>
      </c>
      <c r="AO27" s="618">
        <f>+[4]Report1!K32</f>
        <v>0.85213862694026565</v>
      </c>
      <c r="AP27" s="514">
        <f>+[4]Report1!BN32</f>
        <v>0.94571994357901601</v>
      </c>
      <c r="AQ27" s="514">
        <f>+[4]Report1!BO32</f>
        <v>0.86753637792427429</v>
      </c>
      <c r="AR27" s="511">
        <f>+[4]Report1!R32</f>
        <v>51.749000000000002</v>
      </c>
      <c r="AS27" s="511">
        <f>+[4]Report1!S32</f>
        <v>1037.1010000000001</v>
      </c>
      <c r="AT27" s="515">
        <f>+[4]Report1!AF32</f>
        <v>113.52644055310647</v>
      </c>
      <c r="AU27" s="515">
        <f>+[4]Report1!AG32</f>
        <v>105.35492341625501</v>
      </c>
      <c r="AV27" s="511">
        <f>+[4]Report1!AL32</f>
        <v>1.3488183346538096</v>
      </c>
      <c r="AW27" s="511">
        <f>+[4]Report1!AM32</f>
        <v>1.5799811204501779</v>
      </c>
      <c r="AX27" s="511">
        <f>+[4]Report1!AR32</f>
        <v>0.16038957274536705</v>
      </c>
      <c r="AY27" s="511">
        <f>+[4]Report1!AS32</f>
        <v>4.3486603522704143E-2</v>
      </c>
      <c r="AZ27" s="511">
        <f>+[4]Report1!AX32</f>
        <v>829.88463545189234</v>
      </c>
      <c r="BA27" s="511">
        <f>+[4]Report1!AY32</f>
        <v>972.49157025207762</v>
      </c>
      <c r="BB27" s="511">
        <f>+[4]Report1!BD32</f>
        <v>412.93551566213932</v>
      </c>
      <c r="BC27" s="511">
        <f>+[4]Report1!BE32</f>
        <v>150.89080041384616</v>
      </c>
      <c r="BD27" s="511">
        <f>+[4]Report1!BJ32</f>
        <v>0</v>
      </c>
      <c r="BE27" s="511">
        <f>+[4]Report1!BK32</f>
        <v>22.996795876197204</v>
      </c>
      <c r="BF27" s="513">
        <f>+[5]Report1!J32</f>
        <v>0.86279143419063531</v>
      </c>
      <c r="BG27" s="514">
        <f>+[5]Report1!K32</f>
        <v>0.86201526481750512</v>
      </c>
      <c r="BH27" s="514">
        <f>+[5]Report1!AN32</f>
        <v>0.86279143419063531</v>
      </c>
      <c r="BI27" s="514">
        <f>+[5]Report1!AO32</f>
        <v>0.86530246597742611</v>
      </c>
      <c r="BJ27" s="511">
        <f>+[5]Report1!R32</f>
        <v>44.417000000000002</v>
      </c>
      <c r="BK27" s="511">
        <f>+[5]Report1!S32</f>
        <v>1107.6680000000001</v>
      </c>
      <c r="BL27" s="511">
        <f>+[5]Report1!AD32</f>
        <v>2.9380642546772631</v>
      </c>
      <c r="BM27" s="511">
        <f>+[5]Report1!AE32</f>
        <v>2.7916307052293647</v>
      </c>
      <c r="BN27" s="515">
        <v>0</v>
      </c>
      <c r="BO27" s="515">
        <v>0</v>
      </c>
      <c r="BP27" s="515">
        <f>+[5]Report1!AJ32</f>
        <v>1025.7382308575443</v>
      </c>
      <c r="BQ27" s="515">
        <f>+[5]Report1!AK32</f>
        <v>935.39878375108663</v>
      </c>
      <c r="BR27" s="515">
        <v>0</v>
      </c>
      <c r="BS27" s="516">
        <v>0</v>
      </c>
      <c r="BT27" s="513">
        <f>+[6]Report1!J32</f>
        <v>0.89612483548558453</v>
      </c>
      <c r="BU27" s="618">
        <f>+[6]Report1!K32</f>
        <v>0.88075337393010034</v>
      </c>
      <c r="BV27" s="514">
        <f>+[6]Report1!BG32</f>
        <v>0.90115130454769399</v>
      </c>
      <c r="BW27" s="514">
        <f>+[6]Report1!BH32</f>
        <v>0.88732403540712002</v>
      </c>
      <c r="BX27" s="511">
        <f>+[6]Report1!R32</f>
        <v>47.076999999999998</v>
      </c>
      <c r="BY27" s="511">
        <f>+[6]Report1!S32</f>
        <v>1013.8149999999998</v>
      </c>
      <c r="BZ27" s="515">
        <f>+[6]Report1!X32</f>
        <v>79.864552166943042</v>
      </c>
      <c r="CA27" s="515">
        <f>+[6]Report1!Y32</f>
        <v>85.718910152736427</v>
      </c>
      <c r="CB27" s="511">
        <f>+[6]Report1!AD32</f>
        <v>1.9340654672132889</v>
      </c>
      <c r="CC27" s="511">
        <f>+[6]Report1!AE32</f>
        <v>2.0395042488027899</v>
      </c>
      <c r="CD27" s="604">
        <f>+[6]Report1!AJ32</f>
        <v>0.16781018331669395</v>
      </c>
      <c r="CE27" s="604">
        <f>+[6]Report1!AK32</f>
        <v>7.79234870267258E-3</v>
      </c>
      <c r="CF27" s="515">
        <f>+[6]Report1!AP32</f>
        <v>774.62189604263028</v>
      </c>
      <c r="CG27" s="515">
        <f>+[6]Report1!AQ32</f>
        <v>953.50199000803798</v>
      </c>
      <c r="CH27" s="604">
        <f>+[6]Report1!AV32</f>
        <v>436.11530046519624</v>
      </c>
      <c r="CI27" s="604">
        <f>+[6]Report1!AW32</f>
        <v>20.251229267667224</v>
      </c>
      <c r="CJ27" s="515">
        <f>+[6]Report1!BB32</f>
        <v>0</v>
      </c>
      <c r="CK27" s="515">
        <f>+[6]Report1!BC32</f>
        <v>20.161469301598419</v>
      </c>
    </row>
    <row r="28" spans="1:89" ht="12.75" customHeight="1">
      <c r="A28" s="567">
        <f t="shared" si="0"/>
        <v>45863</v>
      </c>
      <c r="B28" s="513">
        <f>+Report1!J33</f>
        <v>0.68308261226217881</v>
      </c>
      <c r="C28" s="514">
        <f>+Report1!K33</f>
        <v>0.82559414058467395</v>
      </c>
      <c r="D28" s="514">
        <f>+Report1!AJ33</f>
        <v>0.68308261226217881</v>
      </c>
      <c r="E28" s="514">
        <f>+Report1!AK33</f>
        <v>0.82694817246054098</v>
      </c>
      <c r="F28" s="511">
        <f>+Report1!R33</f>
        <v>41.302999999999997</v>
      </c>
      <c r="G28" s="511">
        <f>+Report1!S33</f>
        <v>1352.5070000000005</v>
      </c>
      <c r="H28" s="511">
        <f>+Report1!X33</f>
        <v>3.0783962424036995</v>
      </c>
      <c r="I28" s="511">
        <f>+Report1!Y33</f>
        <v>2.4529950676780223</v>
      </c>
      <c r="J28" s="511">
        <f>+Report1!AD33</f>
        <v>1335.7097547393262</v>
      </c>
      <c r="K28" s="512">
        <f>+Report1!AE33</f>
        <v>1037.8066804829832</v>
      </c>
      <c r="L28" s="513">
        <f>+[1]Report1!J33</f>
        <v>0.97487914419975419</v>
      </c>
      <c r="M28" s="514">
        <f>+[1]Report1!K33</f>
        <v>0.868100449969748</v>
      </c>
      <c r="N28" s="514">
        <f>+[1]Report1!BJ33</f>
        <v>0.97487914419975419</v>
      </c>
      <c r="O28" s="514">
        <f>+[1]Report1!BK33</f>
        <v>0.89987926655574901</v>
      </c>
      <c r="P28" s="511">
        <f>+[1]Report1!R33</f>
        <v>50.323</v>
      </c>
      <c r="Q28" s="511">
        <f>+[1]Report1!S33</f>
        <v>1460.5709999999999</v>
      </c>
      <c r="R28" s="511">
        <f>+[1]Report1!AL33</f>
        <v>2.8759016751783482</v>
      </c>
      <c r="S28" s="511">
        <f>+[1]Report1!AM33</f>
        <v>2.62282011624221</v>
      </c>
      <c r="T28" s="511">
        <f>+[1]Report1!AR33</f>
        <v>0.25435685471851838</v>
      </c>
      <c r="U28" s="511">
        <f>+[1]Report1!AS33</f>
        <v>0.21710687121680491</v>
      </c>
      <c r="V28" s="511">
        <f>+[1]Report1!AX33</f>
        <v>673.31220316754127</v>
      </c>
      <c r="W28" s="511">
        <f>+[1]Report1!AY33</f>
        <v>619.09798291216282</v>
      </c>
      <c r="X28" s="511">
        <f>+[1]Report1!BD33</f>
        <v>339.0894819466248</v>
      </c>
      <c r="Y28" s="588">
        <f>+[1]Report1!BE33</f>
        <v>535.35158509925225</v>
      </c>
      <c r="Z28" s="513">
        <f>+[2]Report1!J33</f>
        <v>0.90864297593727716</v>
      </c>
      <c r="AA28" s="618">
        <f>+[2]Report1!K33</f>
        <v>0.86813158730114259</v>
      </c>
      <c r="AB28" s="514">
        <f>+[2]Report1!BC33</f>
        <v>0.90864297593727716</v>
      </c>
      <c r="AC28" s="514">
        <f>+[2]Report1!BD33</f>
        <v>0.86993975311853144</v>
      </c>
      <c r="AD28" s="511">
        <f>+[2]Report1!R33</f>
        <v>42.747999999999998</v>
      </c>
      <c r="AE28" s="511">
        <f>+[2]Report1!S33</f>
        <v>991.22</v>
      </c>
      <c r="AF28" s="511">
        <f>+[2]Report1!X33</f>
        <v>97.921051486286984</v>
      </c>
      <c r="AG28" s="511">
        <f>+[2]Report1!Y33</f>
        <v>100.63468834619751</v>
      </c>
      <c r="AH28" s="511">
        <f>+[2]Report1!AD33</f>
        <v>1.47141386731543</v>
      </c>
      <c r="AI28" s="511">
        <f>+[2]Report1!AE33</f>
        <v>1.5098565404249304</v>
      </c>
      <c r="AJ28" s="511">
        <f>+[2]Report1!AJ33</f>
        <v>799.77589594832284</v>
      </c>
      <c r="AK28" s="511">
        <f>+[2]Report1!AK33</f>
        <v>895.27128185468325</v>
      </c>
      <c r="AL28" s="599">
        <f>+[3]Report1!AP33</f>
        <v>0</v>
      </c>
      <c r="AM28" s="600">
        <f>+[3]Report1!AQ33</f>
        <v>0</v>
      </c>
      <c r="AN28" s="513">
        <f>+[4]Report1!J33</f>
        <v>0.98994566791038774</v>
      </c>
      <c r="AO28" s="618">
        <f>+[4]Report1!K33</f>
        <v>0.85805080795822741</v>
      </c>
      <c r="AP28" s="514">
        <f>+[4]Report1!BN33</f>
        <v>0.98994566791038774</v>
      </c>
      <c r="AQ28" s="514">
        <f>+[4]Report1!BO33</f>
        <v>0.87287871879341261</v>
      </c>
      <c r="AR28" s="511">
        <f>+[4]Report1!R33</f>
        <v>54.006</v>
      </c>
      <c r="AS28" s="511">
        <f>+[4]Report1!S33</f>
        <v>1091.1070000000002</v>
      </c>
      <c r="AT28" s="515">
        <f>+[4]Report1!AF33</f>
        <v>104.72370452560699</v>
      </c>
      <c r="AU28" s="515">
        <f>+[4]Report1!AG33</f>
        <v>105.3236802774901</v>
      </c>
      <c r="AV28" s="511">
        <f>+[4]Report1!AL33</f>
        <v>1.3276302633040773</v>
      </c>
      <c r="AW28" s="511">
        <f>+[4]Report1!AM33</f>
        <v>1.567490631074679</v>
      </c>
      <c r="AX28" s="511">
        <f>+[4]Report1!AR33</f>
        <v>0.17405473465911195</v>
      </c>
      <c r="AY28" s="511">
        <f>+[4]Report1!AS33</f>
        <v>4.9949271702958542E-2</v>
      </c>
      <c r="AZ28" s="511">
        <f>+[4]Report1!AX33</f>
        <v>743.04373588119813</v>
      </c>
      <c r="BA28" s="511">
        <f>+[4]Report1!AY33</f>
        <v>961.13470081302728</v>
      </c>
      <c r="BB28" s="511">
        <f>+[4]Report1!BD33</f>
        <v>500.87027367329398</v>
      </c>
      <c r="BC28" s="511">
        <f>+[4]Report1!BE33</f>
        <v>168.21356658879483</v>
      </c>
      <c r="BD28" s="511">
        <f>+[4]Report1!BJ33</f>
        <v>0</v>
      </c>
      <c r="BE28" s="511">
        <f>+[4]Report1!BK33</f>
        <v>21.858534497533235</v>
      </c>
      <c r="BF28" s="513">
        <f>+[5]Report1!J33</f>
        <v>0.94558942895438769</v>
      </c>
      <c r="BG28" s="514">
        <f>+[5]Report1!K33</f>
        <v>0.86539254552849121</v>
      </c>
      <c r="BH28" s="514">
        <f>+[5]Report1!AN33</f>
        <v>0.94558942895438769</v>
      </c>
      <c r="BI28" s="514">
        <f>+[5]Report1!AO33</f>
        <v>0.86855877949959104</v>
      </c>
      <c r="BJ28" s="511">
        <f>+[5]Report1!R33</f>
        <v>51.168999999999997</v>
      </c>
      <c r="BK28" s="511">
        <f>+[5]Report1!S33</f>
        <v>1158.8370000000002</v>
      </c>
      <c r="BL28" s="511">
        <f>+[5]Report1!AD33</f>
        <v>2.6480877093552739</v>
      </c>
      <c r="BM28" s="511">
        <f>+[5]Report1!AE33</f>
        <v>2.7852924958384997</v>
      </c>
      <c r="BN28" s="515">
        <v>0</v>
      </c>
      <c r="BO28" s="515">
        <v>0</v>
      </c>
      <c r="BP28" s="515">
        <f>+[5]Report1!AJ33</f>
        <v>876.83099142059871</v>
      </c>
      <c r="BQ28" s="515">
        <f>+[5]Report1!AK33</f>
        <v>932.81269496917969</v>
      </c>
      <c r="BR28" s="515">
        <v>0</v>
      </c>
      <c r="BS28" s="516">
        <v>0</v>
      </c>
      <c r="BT28" s="513">
        <f>+[6]Report1!J33</f>
        <v>0.86232968739696869</v>
      </c>
      <c r="BU28" s="618">
        <f>+[6]Report1!K33</f>
        <v>0.87990991580047384</v>
      </c>
      <c r="BV28" s="514">
        <f>+[6]Report1!BG33</f>
        <v>0.86232968739696869</v>
      </c>
      <c r="BW28" s="514">
        <f>+[6]Report1!BH33</f>
        <v>0.88617162165659513</v>
      </c>
      <c r="BX28" s="511">
        <f>+[6]Report1!R33</f>
        <v>47.622999999999998</v>
      </c>
      <c r="BY28" s="511">
        <f>+[6]Report1!S33</f>
        <v>1061.4379999999999</v>
      </c>
      <c r="BZ28" s="515">
        <f>+[6]Report1!X33</f>
        <v>78.0791320255816</v>
      </c>
      <c r="CA28" s="515">
        <f>+[6]Report1!Y33</f>
        <v>85.376140105169341</v>
      </c>
      <c r="CB28" s="511">
        <f>+[6]Report1!AD33</f>
        <v>1.8856434915901981</v>
      </c>
      <c r="CC28" s="511">
        <f>+[6]Report1!AE33</f>
        <v>2.0326010563028651</v>
      </c>
      <c r="CD28" s="604">
        <f>+[6]Report1!AJ33</f>
        <v>0.19528379144531005</v>
      </c>
      <c r="CE28" s="604">
        <f>+[6]Report1!AK33</f>
        <v>1.6204432100603149E-2</v>
      </c>
      <c r="CF28" s="515">
        <f>+[6]Report1!AP33</f>
        <v>702.17972408291666</v>
      </c>
      <c r="CG28" s="515">
        <f>+[6]Report1!AQ33</f>
        <v>942.22604146450362</v>
      </c>
      <c r="CH28" s="604">
        <f>+[6]Report1!AV33</f>
        <v>568.00285576296983</v>
      </c>
      <c r="CI28" s="604">
        <f>+[6]Report1!AW33</f>
        <v>44.826923475511492</v>
      </c>
      <c r="CJ28" s="515">
        <f>+[6]Report1!BB33</f>
        <v>0</v>
      </c>
      <c r="CK28" s="515">
        <f>+[6]Report1!BC33</f>
        <v>19.256894891646997</v>
      </c>
    </row>
    <row r="29" spans="1:89" ht="12.75" customHeight="1">
      <c r="A29" s="567">
        <f t="shared" si="0"/>
        <v>45864</v>
      </c>
      <c r="B29" s="513">
        <f>+Report1!J34</f>
        <v>1.0217425580265307</v>
      </c>
      <c r="C29" s="514">
        <f>+Report1!K34</f>
        <v>0.83232891857764291</v>
      </c>
      <c r="D29" s="514">
        <f>+Report1!AJ34</f>
        <v>1.0217425580265307</v>
      </c>
      <c r="E29" s="514">
        <f>+Report1!AK34</f>
        <v>0.83364705164614628</v>
      </c>
      <c r="F29" s="511">
        <f>+Report1!R34</f>
        <v>59.515000000000001</v>
      </c>
      <c r="G29" s="511">
        <f>+Report1!S34</f>
        <v>1412.0220000000006</v>
      </c>
      <c r="H29" s="511">
        <f>+Report1!X34</f>
        <v>2.0715785936318576</v>
      </c>
      <c r="I29" s="511">
        <f>+Report1!Y34</f>
        <v>2.4369188298765874</v>
      </c>
      <c r="J29" s="511">
        <f>+Report1!AD34</f>
        <v>950.53919180040782</v>
      </c>
      <c r="K29" s="512">
        <f>+Report1!AE34</f>
        <v>1034.1284625876929</v>
      </c>
      <c r="L29" s="513">
        <f>+[1]Report1!J34</f>
        <v>0.71432607017197502</v>
      </c>
      <c r="M29" s="514">
        <f>+[1]Report1!K34</f>
        <v>0.86350197059033884</v>
      </c>
      <c r="N29" s="514">
        <f>+[1]Report1!BJ34</f>
        <v>0.71432607017197502</v>
      </c>
      <c r="O29" s="514">
        <f>+[1]Report1!BK34</f>
        <v>0.89413363466492457</v>
      </c>
      <c r="P29" s="511">
        <f>+[1]Report1!R34</f>
        <v>37.048000000000002</v>
      </c>
      <c r="Q29" s="511">
        <f>+[1]Report1!S34</f>
        <v>1497.6189999999999</v>
      </c>
      <c r="R29" s="511">
        <f>+[1]Report1!AL34</f>
        <v>3.7268948391276182</v>
      </c>
      <c r="S29" s="511">
        <f>+[1]Report1!AM34</f>
        <v>2.6501326438833916</v>
      </c>
      <c r="T29" s="511">
        <f>+[1]Report1!AR34</f>
        <v>0.36709134096307489</v>
      </c>
      <c r="U29" s="511">
        <f>+[1]Report1!AS34</f>
        <v>0.22081717713250165</v>
      </c>
      <c r="V29" s="511">
        <f>+[1]Report1!AX34</f>
        <v>1002.9423990498811</v>
      </c>
      <c r="W29" s="511">
        <f>+[1]Report1!AY34</f>
        <v>628.5935007501912</v>
      </c>
      <c r="X29" s="511">
        <f>+[1]Report1!BD34</f>
        <v>728.78427985316341</v>
      </c>
      <c r="Y29" s="588">
        <f>+[1]Report1!BE34</f>
        <v>540.13671033821015</v>
      </c>
      <c r="Z29" s="513">
        <f>+[2]Report1!J34</f>
        <v>0.90149494390086438</v>
      </c>
      <c r="AA29" s="618">
        <f>+[2]Report1!K34</f>
        <v>0.86951321787737401</v>
      </c>
      <c r="AB29" s="514">
        <f>+[2]Report1!BC34</f>
        <v>0.90149494390086438</v>
      </c>
      <c r="AC29" s="514">
        <f>+[2]Report1!BD34</f>
        <v>0.87124911342052036</v>
      </c>
      <c r="AD29" s="511">
        <f>+[2]Report1!R34</f>
        <v>44.466999999999999</v>
      </c>
      <c r="AE29" s="511">
        <f>+[2]Report1!S34</f>
        <v>1035.6870000000001</v>
      </c>
      <c r="AF29" s="511">
        <f>+[2]Report1!X34</f>
        <v>90.410679723970318</v>
      </c>
      <c r="AG29" s="511">
        <f>+[2]Report1!Y34</f>
        <v>100.19572272105731</v>
      </c>
      <c r="AH29" s="511">
        <f>+[2]Report1!AD34</f>
        <v>1.3875458204960984</v>
      </c>
      <c r="AI29" s="511">
        <f>+[2]Report1!AE34</f>
        <v>1.5046051558047939</v>
      </c>
      <c r="AJ29" s="511">
        <f>+[2]Report1!AJ34</f>
        <v>817.04050194527088</v>
      </c>
      <c r="AK29" s="511">
        <f>+[2]Report1!AK34</f>
        <v>891.91246003860181</v>
      </c>
      <c r="AL29" s="599">
        <f>+[3]Report1!AP34</f>
        <v>0</v>
      </c>
      <c r="AM29" s="600">
        <f>+[3]Report1!AQ34</f>
        <v>0</v>
      </c>
      <c r="AN29" s="513">
        <f>+[4]Report1!J34</f>
        <v>1.0095925932398147</v>
      </c>
      <c r="AO29" s="618">
        <f>+[4]Report1!K34</f>
        <v>0.86426635233919125</v>
      </c>
      <c r="AP29" s="514">
        <f>+[4]Report1!BN34</f>
        <v>1.0095925932398147</v>
      </c>
      <c r="AQ29" s="514">
        <f>+[4]Report1!BO34</f>
        <v>0.87857895106738348</v>
      </c>
      <c r="AR29" s="511">
        <f>+[4]Report1!R34</f>
        <v>54.908000000000001</v>
      </c>
      <c r="AS29" s="511">
        <f>+[4]Report1!S34</f>
        <v>1146.0150000000001</v>
      </c>
      <c r="AT29" s="515">
        <f>+[4]Report1!AF34</f>
        <v>101.34528398883522</v>
      </c>
      <c r="AU29" s="515">
        <f>+[4]Report1!AG34</f>
        <v>105.13306690557312</v>
      </c>
      <c r="AV29" s="511">
        <f>+[4]Report1!AL34</f>
        <v>1.2876083630800612</v>
      </c>
      <c r="AW29" s="511">
        <f>+[4]Report1!AM34</f>
        <v>1.5540808802677104</v>
      </c>
      <c r="AX29" s="511">
        <f>+[4]Report1!AR34</f>
        <v>0.1821228236322576</v>
      </c>
      <c r="AY29" s="511">
        <f>+[4]Report1!AS34</f>
        <v>5.6281985837881701E-2</v>
      </c>
      <c r="AZ29" s="511">
        <f>+[4]Report1!AX34</f>
        <v>753.46652582501611</v>
      </c>
      <c r="BA29" s="511">
        <f>+[4]Report1!AY34</f>
        <v>951.18487977906068</v>
      </c>
      <c r="BB29" s="511">
        <f>+[4]Report1!BD34</f>
        <v>473.86537480877189</v>
      </c>
      <c r="BC29" s="511">
        <f>+[4]Report1!BE34</f>
        <v>182.85799051495857</v>
      </c>
      <c r="BD29" s="511">
        <f>+[4]Report1!BJ34</f>
        <v>0</v>
      </c>
      <c r="BE29" s="511">
        <f>+[4]Report1!BK34</f>
        <v>20.811245926100444</v>
      </c>
      <c r="BF29" s="513">
        <f>+[5]Report1!J34</f>
        <v>0.98118905545868595</v>
      </c>
      <c r="BG29" s="514">
        <f>+[5]Report1!K34</f>
        <v>0.86984544669626973</v>
      </c>
      <c r="BH29" s="514">
        <f>+[5]Report1!AN34</f>
        <v>0.98118905545868595</v>
      </c>
      <c r="BI29" s="514">
        <f>+[5]Report1!AO34</f>
        <v>0.87290515956600301</v>
      </c>
      <c r="BJ29" s="511">
        <f>+[5]Report1!R34</f>
        <v>52.545999999999999</v>
      </c>
      <c r="BK29" s="511">
        <f>+[5]Report1!S34</f>
        <v>1211.3830000000003</v>
      </c>
      <c r="BL29" s="511">
        <f>+[5]Report1!AD34</f>
        <v>2.5387279716819551</v>
      </c>
      <c r="BM29" s="511">
        <f>+[5]Report1!AE34</f>
        <v>2.7745972991200962</v>
      </c>
      <c r="BN29" s="515">
        <v>0</v>
      </c>
      <c r="BO29" s="515">
        <v>0</v>
      </c>
      <c r="BP29" s="515">
        <f>+[5]Report1!AJ34</f>
        <v>880.26700414874597</v>
      </c>
      <c r="BQ29" s="515">
        <f>+[5]Report1!AK34</f>
        <v>930.53342749568003</v>
      </c>
      <c r="BR29" s="515">
        <v>0</v>
      </c>
      <c r="BS29" s="516">
        <v>0</v>
      </c>
      <c r="BT29" s="513">
        <f>+[6]Report1!J34</f>
        <v>1.0128001753572269</v>
      </c>
      <c r="BU29" s="618">
        <f>+[6]Report1!K34</f>
        <v>0.88583171079429812</v>
      </c>
      <c r="BV29" s="514">
        <f>+[6]Report1!BG34</f>
        <v>1.0128001753572269</v>
      </c>
      <c r="BW29" s="514">
        <f>+[6]Report1!BH34</f>
        <v>0.89185273943599352</v>
      </c>
      <c r="BX29" s="511">
        <f>+[6]Report1!R34</f>
        <v>56.981999999999999</v>
      </c>
      <c r="BY29" s="511">
        <f>+[6]Report1!S34</f>
        <v>1118.4199999999998</v>
      </c>
      <c r="BZ29" s="515">
        <f>+[6]Report1!X34</f>
        <v>67.844256983878253</v>
      </c>
      <c r="CA29" s="515">
        <f>+[6]Report1!Y34</f>
        <v>84.482914157835253</v>
      </c>
      <c r="CB29" s="511">
        <f>+[6]Report1!AD34</f>
        <v>1.6478888069916817</v>
      </c>
      <c r="CC29" s="511">
        <f>+[6]Report1!AE34</f>
        <v>2.0130004828239847</v>
      </c>
      <c r="CD29" s="604">
        <f>+[6]Report1!AJ34</f>
        <v>0.18251377628022886</v>
      </c>
      <c r="CE29" s="604">
        <f>+[6]Report1!AK34</f>
        <v>2.4677670284866154E-2</v>
      </c>
      <c r="CF29" s="515">
        <f>+[6]Report1!AP34</f>
        <v>675.90660208486861</v>
      </c>
      <c r="CG29" s="515">
        <f>+[6]Report1!AQ34</f>
        <v>928.65742297169197</v>
      </c>
      <c r="CH29" s="604">
        <f>+[6]Report1!AV34</f>
        <v>475.25534379277752</v>
      </c>
      <c r="CI29" s="604">
        <f>+[6]Report1!AW34</f>
        <v>66.756674594517278</v>
      </c>
      <c r="CJ29" s="515">
        <f>+[6]Report1!BB34</f>
        <v>0</v>
      </c>
      <c r="CK29" s="515">
        <f>+[6]Report1!BC34</f>
        <v>18.275781906618267</v>
      </c>
    </row>
    <row r="30" spans="1:89" ht="12.75" customHeight="1">
      <c r="A30" s="567">
        <f t="shared" si="0"/>
        <v>45865</v>
      </c>
      <c r="B30" s="513">
        <f>+Report1!J35</f>
        <v>0.8922084072045372</v>
      </c>
      <c r="C30" s="514">
        <f>+Report1!K35</f>
        <v>0.83430998858323713</v>
      </c>
      <c r="D30" s="514">
        <f>+Report1!AJ35</f>
        <v>0.8922084072045372</v>
      </c>
      <c r="E30" s="514">
        <f>+Report1!AK35</f>
        <v>0.83558747879035211</v>
      </c>
      <c r="F30" s="511">
        <f>+Report1!R35</f>
        <v>51.79</v>
      </c>
      <c r="G30" s="511">
        <f>+Report1!S35</f>
        <v>1463.8120000000006</v>
      </c>
      <c r="H30" s="511">
        <f>+Report1!X35</f>
        <v>2.3800540644912145</v>
      </c>
      <c r="I30" s="511">
        <f>+Report1!Y35</f>
        <v>2.4349069416017897</v>
      </c>
      <c r="J30" s="511">
        <f>+Report1!AD35</f>
        <v>1072.6267619231687</v>
      </c>
      <c r="K30" s="512">
        <f>+Report1!AE35</f>
        <v>1035.4905411350644</v>
      </c>
      <c r="L30" s="513">
        <f>+[1]Report1!J35</f>
        <v>0.85883334706464498</v>
      </c>
      <c r="M30" s="514">
        <f>+[1]Report1!K35</f>
        <v>0.86333667562279115</v>
      </c>
      <c r="N30" s="514">
        <f>+[1]Report1!BJ35</f>
        <v>0.85484017991458683</v>
      </c>
      <c r="O30" s="514">
        <f>+[1]Report1!BK35</f>
        <v>0.89268841231059282</v>
      </c>
      <c r="P30" s="511">
        <f>+[1]Report1!R35</f>
        <v>54.673000000000002</v>
      </c>
      <c r="Q30" s="511">
        <f>+[1]Report1!S35</f>
        <v>1552.2919999999999</v>
      </c>
      <c r="R30" s="511">
        <f>+[1]Report1!AL35</f>
        <v>3.1261500192050917</v>
      </c>
      <c r="S30" s="511">
        <f>+[1]Report1!AM35</f>
        <v>2.6668983670598068</v>
      </c>
      <c r="T30" s="511">
        <f>+[1]Report1!AR35</f>
        <v>0.32191392460629564</v>
      </c>
      <c r="U30" s="511">
        <f>+[1]Report1!AS35</f>
        <v>0.22437788766546501</v>
      </c>
      <c r="V30" s="511">
        <f>+[1]Report1!AX35</f>
        <v>654.3816874874251</v>
      </c>
      <c r="W30" s="511">
        <f>+[1]Report1!AY35</f>
        <v>629.50178188124437</v>
      </c>
      <c r="X30" s="511">
        <f>+[1]Report1!BD35</f>
        <v>530.42635304446435</v>
      </c>
      <c r="Y30" s="588">
        <f>+[1]Report1!BE35</f>
        <v>539.79470357381206</v>
      </c>
      <c r="Z30" s="513">
        <f>+[2]Report1!J35</f>
        <v>0.93086522002853345</v>
      </c>
      <c r="AA30" s="618">
        <f>+[2]Report1!K35</f>
        <v>0.87189507621134132</v>
      </c>
      <c r="AB30" s="514">
        <f>+[2]Report1!BC35</f>
        <v>0.93086522002853345</v>
      </c>
      <c r="AC30" s="514">
        <f>+[2]Report1!BD35</f>
        <v>0.87356802024659452</v>
      </c>
      <c r="AD30" s="511">
        <f>+[2]Report1!R35</f>
        <v>44.783999999999999</v>
      </c>
      <c r="AE30" s="511">
        <f>+[2]Report1!S35</f>
        <v>1080.4710000000002</v>
      </c>
      <c r="AF30" s="511">
        <f>+[2]Report1!X35</f>
        <v>85.488939551208986</v>
      </c>
      <c r="AG30" s="511">
        <f>+[2]Report1!Y35</f>
        <v>99.586147288233562</v>
      </c>
      <c r="AH30" s="511">
        <f>+[2]Report1!AD35</f>
        <v>1.3844230082172204</v>
      </c>
      <c r="AI30" s="511">
        <f>+[2]Report1!AE35</f>
        <v>1.4996237751869317</v>
      </c>
      <c r="AJ30" s="511">
        <f>+[2]Report1!AJ35</f>
        <v>770.61763129690792</v>
      </c>
      <c r="AK30" s="511">
        <f>+[2]Report1!AK35</f>
        <v>886.88496035525247</v>
      </c>
      <c r="AL30" s="599">
        <f>+[3]Report1!AP35</f>
        <v>0</v>
      </c>
      <c r="AM30" s="600">
        <f>+[3]Report1!AQ35</f>
        <v>0</v>
      </c>
      <c r="AN30" s="513">
        <f>+[4]Report1!J35</f>
        <v>1.0135764970619381</v>
      </c>
      <c r="AO30" s="618">
        <f>+[4]Report1!K35</f>
        <v>0.87013742919762271</v>
      </c>
      <c r="AP30" s="514">
        <f>+[4]Report1!BN35</f>
        <v>1.0135764970619381</v>
      </c>
      <c r="AQ30" s="514">
        <f>+[4]Report1!BO35</f>
        <v>0.88397163294589232</v>
      </c>
      <c r="AR30" s="511">
        <f>+[4]Report1!R35</f>
        <v>55.011000000000003</v>
      </c>
      <c r="AS30" s="511">
        <f>+[4]Report1!S35</f>
        <v>1201.0260000000001</v>
      </c>
      <c r="AT30" s="515">
        <f>+[4]Report1!AF35</f>
        <v>102.47221970431619</v>
      </c>
      <c r="AU30" s="515">
        <f>+[4]Report1!AG35</f>
        <v>105.01119122145941</v>
      </c>
      <c r="AV30" s="511">
        <f>+[4]Report1!AL35</f>
        <v>1.3033756884986638</v>
      </c>
      <c r="AW30" s="511">
        <f>+[4]Report1!AM35</f>
        <v>1.5425977455941837</v>
      </c>
      <c r="AX30" s="511">
        <f>+[4]Report1!AR35</f>
        <v>0.18723528021668395</v>
      </c>
      <c r="AY30" s="511">
        <f>+[4]Report1!AS35</f>
        <v>6.2280083861631634E-2</v>
      </c>
      <c r="AZ30" s="511">
        <f>+[4]Report1!AX35</f>
        <v>734.78649724600552</v>
      </c>
      <c r="BA30" s="511">
        <f>+[4]Report1!AY35</f>
        <v>941.27311148967647</v>
      </c>
      <c r="BB30" s="511">
        <f>+[4]Report1!BD35</f>
        <v>486.81354638163532</v>
      </c>
      <c r="BC30" s="511">
        <f>+[4]Report1!BE35</f>
        <v>196.78016962164051</v>
      </c>
      <c r="BD30" s="511">
        <f>+[4]Report1!BJ35</f>
        <v>0</v>
      </c>
      <c r="BE30" s="511">
        <f>+[4]Report1!BK35</f>
        <v>19.858021391710089</v>
      </c>
      <c r="BF30" s="513">
        <f>+[5]Report1!J35</f>
        <v>1.0090213442833273</v>
      </c>
      <c r="BG30" s="514">
        <f>+[5]Report1!K35</f>
        <v>0.8748068379368783</v>
      </c>
      <c r="BH30" s="514">
        <f>+[5]Report1!AN35</f>
        <v>1.0090213442833273</v>
      </c>
      <c r="BI30" s="514">
        <f>+[5]Report1!AO35</f>
        <v>0.87777393477411814</v>
      </c>
      <c r="BJ30" s="511">
        <f>+[5]Report1!R35</f>
        <v>51.945</v>
      </c>
      <c r="BK30" s="511">
        <f>+[5]Report1!S35</f>
        <v>1263.3280000000002</v>
      </c>
      <c r="BL30" s="511">
        <f>+[5]Report1!AD35</f>
        <v>2.5950524593319861</v>
      </c>
      <c r="BM30" s="511">
        <f>+[5]Report1!AE35</f>
        <v>2.7672148484004153</v>
      </c>
      <c r="BN30" s="515">
        <v>0</v>
      </c>
      <c r="BO30" s="515">
        <v>0</v>
      </c>
      <c r="BP30" s="515">
        <f>+[5]Report1!AJ35</f>
        <v>890.90085667532105</v>
      </c>
      <c r="BQ30" s="515">
        <f>+[5]Report1!AK35</f>
        <v>928.90383178398554</v>
      </c>
      <c r="BR30" s="515">
        <v>0</v>
      </c>
      <c r="BS30" s="516">
        <v>0</v>
      </c>
      <c r="BT30" s="513">
        <f>+[6]Report1!J35</f>
        <v>0.96923806833693893</v>
      </c>
      <c r="BU30" s="618">
        <f>+[6]Report1!K35</f>
        <v>0.88934692494044554</v>
      </c>
      <c r="BV30" s="514">
        <f>+[6]Report1!BG35</f>
        <v>0.96923806833693893</v>
      </c>
      <c r="BW30" s="514">
        <f>+[6]Report1!BH35</f>
        <v>0.89513542132991586</v>
      </c>
      <c r="BX30" s="511">
        <f>+[6]Report1!R35</f>
        <v>53.844000000000001</v>
      </c>
      <c r="BY30" s="511">
        <f>+[6]Report1!S35</f>
        <v>1172.2639999999999</v>
      </c>
      <c r="BZ30" s="515">
        <f>+[6]Report1!X35</f>
        <v>73.908031590974204</v>
      </c>
      <c r="CA30" s="515">
        <f>+[6]Report1!Y35</f>
        <v>83.997192531196475</v>
      </c>
      <c r="CB30" s="511">
        <f>+[6]Report1!AD35</f>
        <v>1.7662135056830843</v>
      </c>
      <c r="CC30" s="511">
        <f>+[6]Report1!AE35</f>
        <v>2.0016651539243724</v>
      </c>
      <c r="CD30" s="604">
        <f>+[6]Report1!AJ35</f>
        <v>0.18757893172869772</v>
      </c>
      <c r="CE30" s="604">
        <f>+[6]Report1!AK35</f>
        <v>3.2159991264766305E-2</v>
      </c>
      <c r="CF30" s="515">
        <f>+[6]Report1!AP35</f>
        <v>708.92179258598219</v>
      </c>
      <c r="CG30" s="515">
        <f>+[6]Report1!AQ35</f>
        <v>918.56460660738469</v>
      </c>
      <c r="CH30" s="604">
        <f>+[6]Report1!AV35</f>
        <v>477.86011440457872</v>
      </c>
      <c r="CI30" s="604">
        <f>+[6]Report1!AW35</f>
        <v>85.639326977541003</v>
      </c>
      <c r="CJ30" s="515">
        <f>+[6]Report1!BB35</f>
        <v>0</v>
      </c>
      <c r="CK30" s="515">
        <f>+[6]Report1!BC35</f>
        <v>17.436345396600082</v>
      </c>
    </row>
    <row r="31" spans="1:89" ht="12.75" customHeight="1">
      <c r="A31" s="567">
        <f t="shared" si="0"/>
        <v>45866</v>
      </c>
      <c r="B31" s="513">
        <f>+Report1!J36</f>
        <v>0.86198207855311371</v>
      </c>
      <c r="C31" s="514">
        <f>+Report1!K36</f>
        <v>0.83516557021497562</v>
      </c>
      <c r="D31" s="514">
        <f>+Report1!AJ36</f>
        <v>0.86198207855311371</v>
      </c>
      <c r="E31" s="514">
        <f>+Report1!AK36</f>
        <v>0.83640477313257566</v>
      </c>
      <c r="F31" s="511">
        <f>+Report1!R36</f>
        <v>48.252000000000002</v>
      </c>
      <c r="G31" s="511">
        <f>+Report1!S36</f>
        <v>1512.0640000000005</v>
      </c>
      <c r="H31" s="511">
        <f>+Report1!X36</f>
        <v>2.6118088369394012</v>
      </c>
      <c r="I31" s="511">
        <f>+Report1!Y36</f>
        <v>2.440552119487005</v>
      </c>
      <c r="J31" s="511">
        <f>+Report1!AD36</f>
        <v>1003.0361435794816</v>
      </c>
      <c r="K31" s="512">
        <f>+Report1!AE36</f>
        <v>1034.4548775713183</v>
      </c>
      <c r="L31" s="513">
        <f>+[1]Report1!J36</f>
        <v>0.99983929760361601</v>
      </c>
      <c r="M31" s="514">
        <f>+[1]Report1!K36</f>
        <v>0.86852061062368024</v>
      </c>
      <c r="N31" s="514">
        <f>+[1]Report1!BJ36</f>
        <v>0.99983929760361601</v>
      </c>
      <c r="O31" s="514">
        <f>+[1]Report1!BK36</f>
        <v>0.8968905826446566</v>
      </c>
      <c r="P31" s="511">
        <f>+[1]Report1!R36</f>
        <v>70.966999999999999</v>
      </c>
      <c r="Q31" s="511">
        <f>+[1]Report1!S36</f>
        <v>1623.259</v>
      </c>
      <c r="R31" s="511">
        <f>+[1]Report1!AL36</f>
        <v>2.2774810827567742</v>
      </c>
      <c r="S31" s="511">
        <f>+[1]Report1!AM36</f>
        <v>2.6498734952339715</v>
      </c>
      <c r="T31" s="511">
        <f>+[1]Report1!AR36</f>
        <v>0.2592754378795778</v>
      </c>
      <c r="U31" s="511">
        <f>+[1]Report1!AS36</f>
        <v>0.225903568068928</v>
      </c>
      <c r="V31" s="511">
        <f>+[1]Report1!AX36</f>
        <v>536.61546916171517</v>
      </c>
      <c r="W31" s="511">
        <f>+[1]Report1!AY36</f>
        <v>625.4409000658552</v>
      </c>
      <c r="X31" s="511">
        <f>+[1]Report1!BD36</f>
        <v>466.86488086011809</v>
      </c>
      <c r="Y31" s="588">
        <f>+[1]Report1!BE36</f>
        <v>536.606296345808</v>
      </c>
      <c r="Z31" s="513">
        <f>+[2]Report1!J36</f>
        <v>0.96140589623814954</v>
      </c>
      <c r="AA31" s="618">
        <f>+[2]Report1!K36</f>
        <v>0.87487676392460134</v>
      </c>
      <c r="AB31" s="514">
        <f>+[2]Report1!BC36</f>
        <v>0.96140589623814954</v>
      </c>
      <c r="AC31" s="514">
        <f>+[2]Report1!BD36</f>
        <v>0.87649940746680455</v>
      </c>
      <c r="AD31" s="511">
        <f>+[2]Report1!R36</f>
        <v>41.054000000000002</v>
      </c>
      <c r="AE31" s="511">
        <f>+[2]Report1!S36</f>
        <v>1121.5250000000003</v>
      </c>
      <c r="AF31" s="511">
        <f>+[2]Report1!X36</f>
        <v>92.028255128138568</v>
      </c>
      <c r="AG31" s="511">
        <f>+[2]Report1!Y36</f>
        <v>99.309486754816518</v>
      </c>
      <c r="AH31" s="511">
        <f>+[2]Report1!AD36</f>
        <v>1.4468748477614848</v>
      </c>
      <c r="AI31" s="511">
        <f>+[2]Report1!AE36</f>
        <v>1.4976928735427202</v>
      </c>
      <c r="AJ31" s="511">
        <f>+[2]Report1!AJ36</f>
        <v>894.88235007551032</v>
      </c>
      <c r="AK31" s="511">
        <f>+[2]Report1!AK36</f>
        <v>887.17770892311808</v>
      </c>
      <c r="AL31" s="599">
        <f>+[3]Report1!AP36</f>
        <v>0</v>
      </c>
      <c r="AM31" s="600">
        <f>+[3]Report1!AQ36</f>
        <v>0</v>
      </c>
      <c r="AN31" s="513">
        <f>+[4]Report1!J36</f>
        <v>1.0053771416695509</v>
      </c>
      <c r="AO31" s="618">
        <f>+[4]Report1!K36</f>
        <v>0.87520729490601445</v>
      </c>
      <c r="AP31" s="514">
        <f>+[4]Report1!BN36</f>
        <v>1.0053771416695509</v>
      </c>
      <c r="AQ31" s="514">
        <f>+[4]Report1!BO36</f>
        <v>0.88859248770990973</v>
      </c>
      <c r="AR31" s="511">
        <f>+[4]Report1!R36</f>
        <v>54.048000000000002</v>
      </c>
      <c r="AS31" s="511">
        <f>+[4]Report1!S36</f>
        <v>1255.0740000000001</v>
      </c>
      <c r="AT31" s="515">
        <f>+[4]Report1!AF36</f>
        <v>102.1499770734996</v>
      </c>
      <c r="AU31" s="515">
        <f>+[4]Report1!AG36</f>
        <v>104.88797705060659</v>
      </c>
      <c r="AV31" s="511">
        <f>+[4]Report1!AL36</f>
        <v>1.3376998223801064</v>
      </c>
      <c r="AW31" s="511">
        <f>+[4]Report1!AM36</f>
        <v>1.5337741041564084</v>
      </c>
      <c r="AX31" s="511">
        <f>+[4]Report1!AR36</f>
        <v>0.19612196566015391</v>
      </c>
      <c r="AY31" s="511">
        <f>+[4]Report1!AS36</f>
        <v>6.8043796620757019E-2</v>
      </c>
      <c r="AZ31" s="511">
        <f>+[4]Report1!AX36</f>
        <v>794.6362492599178</v>
      </c>
      <c r="BA31" s="511">
        <f>+[4]Report1!AY36</f>
        <v>934.95840085923248</v>
      </c>
      <c r="BB31" s="511">
        <f>+[4]Report1!BD36</f>
        <v>506.79026050917378</v>
      </c>
      <c r="BC31" s="511">
        <f>+[4]Report1!BE36</f>
        <v>210.13031900907853</v>
      </c>
      <c r="BD31" s="511">
        <f>+[4]Report1!BJ36</f>
        <v>0</v>
      </c>
      <c r="BE31" s="511">
        <f>+[4]Report1!BK36</f>
        <v>19.002863576171606</v>
      </c>
      <c r="BF31" s="513">
        <f>+[5]Report1!J36</f>
        <v>0.9722668407056384</v>
      </c>
      <c r="BG31" s="514">
        <f>+[5]Report1!K36</f>
        <v>0.87819867846873223</v>
      </c>
      <c r="BH31" s="514">
        <f>+[5]Report1!AN36</f>
        <v>0.9722668407056384</v>
      </c>
      <c r="BI31" s="514">
        <f>+[5]Report1!AO36</f>
        <v>0.88107327773194688</v>
      </c>
      <c r="BJ31" s="511">
        <f>+[5]Report1!R36</f>
        <v>50.627000000000002</v>
      </c>
      <c r="BK31" s="511">
        <f>+[5]Report1!S36</f>
        <v>1313.9550000000002</v>
      </c>
      <c r="BL31" s="511">
        <f>+[5]Report1!AD36</f>
        <v>2.6705117822505775</v>
      </c>
      <c r="BM31" s="511">
        <f>+[5]Report1!AE36</f>
        <v>2.7634888561632627</v>
      </c>
      <c r="BN31" s="515">
        <v>0</v>
      </c>
      <c r="BO31" s="515">
        <v>0</v>
      </c>
      <c r="BP31" s="515">
        <f>+[5]Report1!AJ36</f>
        <v>948.41191459103766</v>
      </c>
      <c r="BQ31" s="515">
        <f>+[5]Report1!AK36</f>
        <v>929.65548287422268</v>
      </c>
      <c r="BR31" s="515">
        <v>0</v>
      </c>
      <c r="BS31" s="516">
        <v>0</v>
      </c>
      <c r="BT31" s="513">
        <f>+[6]Report1!J36</f>
        <v>1.0199730951027712</v>
      </c>
      <c r="BU31" s="618">
        <f>+[6]Report1!K36</f>
        <v>0.89469608661697964</v>
      </c>
      <c r="BV31" s="514">
        <f>+[6]Report1!BG36</f>
        <v>1.0199730951027712</v>
      </c>
      <c r="BW31" s="514">
        <f>+[6]Report1!BH36</f>
        <v>0.90027944543421945</v>
      </c>
      <c r="BX31" s="511">
        <f>+[6]Report1!R36</f>
        <v>57.405999999999999</v>
      </c>
      <c r="BY31" s="511">
        <f>+[6]Report1!S36</f>
        <v>1229.6699999999998</v>
      </c>
      <c r="BZ31" s="515">
        <f>+[6]Report1!X36</f>
        <v>69.380727678306997</v>
      </c>
      <c r="CA31" s="515">
        <f>+[6]Report1!Y36</f>
        <v>83.31483646709394</v>
      </c>
      <c r="CB31" s="511">
        <f>+[6]Report1!AD36</f>
        <v>1.6653311500540013</v>
      </c>
      <c r="CC31" s="511">
        <f>+[6]Report1!AE36</f>
        <v>1.9859637138419257</v>
      </c>
      <c r="CD31" s="604">
        <f>+[6]Report1!AJ36</f>
        <v>0.19161760094763614</v>
      </c>
      <c r="CE31" s="604">
        <f>+[6]Report1!AK36</f>
        <v>3.9604121430953029E-2</v>
      </c>
      <c r="CF31" s="515">
        <f>+[6]Report1!AP36</f>
        <v>661.52057276243522</v>
      </c>
      <c r="CG31" s="515">
        <f>+[6]Report1!AQ36</f>
        <v>906.5647450128896</v>
      </c>
      <c r="CH31" s="604">
        <f>+[6]Report1!AV36</f>
        <v>496.62056231055664</v>
      </c>
      <c r="CI31" s="604">
        <f>+[6]Report1!AW36</f>
        <v>104.82560361723061</v>
      </c>
      <c r="CJ31" s="515">
        <f>+[6]Report1!BB36</f>
        <v>0</v>
      </c>
      <c r="CK31" s="515">
        <f>+[6]Report1!BC36</f>
        <v>16.622345832621765</v>
      </c>
    </row>
    <row r="32" spans="1:89" ht="12.75" customHeight="1">
      <c r="A32" s="567">
        <f t="shared" si="0"/>
        <v>45867</v>
      </c>
      <c r="B32" s="513">
        <f>+Report1!J37</f>
        <v>0.90739687363668242</v>
      </c>
      <c r="C32" s="514">
        <f>+Report1!K37</f>
        <v>0.83744677232052744</v>
      </c>
      <c r="D32" s="514">
        <f>+Report1!AJ37</f>
        <v>0.90739687363668242</v>
      </c>
      <c r="E32" s="514">
        <f>+Report1!AK37</f>
        <v>0.83865006036952083</v>
      </c>
      <c r="F32" s="511">
        <f>+Report1!R37</f>
        <v>53.576000000000001</v>
      </c>
      <c r="G32" s="511">
        <f>+Report1!S37</f>
        <v>1565.6400000000006</v>
      </c>
      <c r="H32" s="511">
        <f>+Report1!X37</f>
        <v>2.4224092877407792</v>
      </c>
      <c r="I32" s="511">
        <f>+Report1!Y37</f>
        <v>2.4399312741115446</v>
      </c>
      <c r="J32" s="511">
        <f>+Report1!AD37</f>
        <v>1059.7450350903266</v>
      </c>
      <c r="K32" s="512">
        <f>+Report1!AE37</f>
        <v>1035.3203035180486</v>
      </c>
      <c r="L32" s="513">
        <f>+[1]Report1!J37</f>
        <v>0.97220522144783683</v>
      </c>
      <c r="M32" s="514">
        <f>+[1]Report1!K37</f>
        <v>0.87253570649791845</v>
      </c>
      <c r="N32" s="514">
        <f>+[1]Report1!BJ37</f>
        <v>0.97220522144783683</v>
      </c>
      <c r="O32" s="514">
        <f>+[1]Report1!BK37</f>
        <v>0.89989853777356799</v>
      </c>
      <c r="P32" s="511">
        <f>+[1]Report1!R37</f>
        <v>73.197999999999993</v>
      </c>
      <c r="Q32" s="511">
        <f>+[1]Report1!S37</f>
        <v>1696.4570000000001</v>
      </c>
      <c r="R32" s="511">
        <f>+[1]Report1!AL37</f>
        <v>2.2845432935326104</v>
      </c>
      <c r="S32" s="511">
        <f>+[1]Report1!AM37</f>
        <v>2.634110384171247</v>
      </c>
      <c r="T32" s="511">
        <f>+[1]Report1!AR37</f>
        <v>0.26230224869531954</v>
      </c>
      <c r="U32" s="511">
        <f>+[1]Report1!AS37</f>
        <v>0.227474082750108</v>
      </c>
      <c r="V32" s="511">
        <f>+[1]Report1!AX37</f>
        <v>493.91445121451426</v>
      </c>
      <c r="W32" s="511">
        <f>+[1]Report1!AY37</f>
        <v>619.76585318696539</v>
      </c>
      <c r="X32" s="511">
        <f>+[1]Report1!BD37</f>
        <v>442.22519740976531</v>
      </c>
      <c r="Y32" s="588">
        <f>+[1]Report1!BE37</f>
        <v>532.5339811147586</v>
      </c>
      <c r="Z32" s="513">
        <f>+[2]Report1!J37</f>
        <v>0.93739574162159067</v>
      </c>
      <c r="AA32" s="618">
        <f>+[2]Report1!K37</f>
        <v>0.87696851322373648</v>
      </c>
      <c r="AB32" s="514">
        <f>+[2]Report1!BC37</f>
        <v>0.93739574162159067</v>
      </c>
      <c r="AC32" s="514">
        <f>+[2]Report1!BD37</f>
        <v>0.87854051887242701</v>
      </c>
      <c r="AD32" s="511">
        <f>+[2]Report1!R37</f>
        <v>41.597000000000001</v>
      </c>
      <c r="AE32" s="511">
        <f>+[2]Report1!S37</f>
        <v>1163.1220000000003</v>
      </c>
      <c r="AF32" s="511">
        <f>+[2]Report1!X37</f>
        <v>91.966404853093621</v>
      </c>
      <c r="AG32" s="511">
        <f>+[2]Report1!Y37</f>
        <v>99.046874425356705</v>
      </c>
      <c r="AH32" s="511">
        <f>+[2]Report1!AD37</f>
        <v>1.4568358295069357</v>
      </c>
      <c r="AI32" s="511">
        <f>+[2]Report1!AE37</f>
        <v>1.4962316936658402</v>
      </c>
      <c r="AJ32" s="511">
        <f>+[2]Report1!AJ37</f>
        <v>941.82032358100128</v>
      </c>
      <c r="AK32" s="511">
        <f>+[2]Report1!AK37</f>
        <v>889.13190533753027</v>
      </c>
      <c r="AL32" s="599">
        <f>+[3]Report1!AP37</f>
        <v>0</v>
      </c>
      <c r="AM32" s="600">
        <f>+[3]Report1!AQ37</f>
        <v>0</v>
      </c>
      <c r="AN32" s="513">
        <f>+[4]Report1!J37</f>
        <v>0.91904231019640781</v>
      </c>
      <c r="AO32" s="618">
        <f>+[4]Report1!K37</f>
        <v>0.87681665886734816</v>
      </c>
      <c r="AP32" s="514">
        <f>+[4]Report1!BN37</f>
        <v>0.91904231019640781</v>
      </c>
      <c r="AQ32" s="514">
        <f>+[4]Report1!BO37</f>
        <v>0.88972688661034161</v>
      </c>
      <c r="AR32" s="511">
        <f>+[4]Report1!R37</f>
        <v>50.231000000000002</v>
      </c>
      <c r="AS32" s="511">
        <f>+[4]Report1!S37</f>
        <v>1305.3050000000001</v>
      </c>
      <c r="AT32" s="515">
        <f>+[4]Report1!AF37</f>
        <v>107.5813842417184</v>
      </c>
      <c r="AU32" s="515">
        <f>+[4]Report1!AG37</f>
        <v>104.99162526816244</v>
      </c>
      <c r="AV32" s="511">
        <f>+[4]Report1!AL37</f>
        <v>1.4552766220063307</v>
      </c>
      <c r="AW32" s="511">
        <f>+[4]Report1!AM37</f>
        <v>1.5307533488341805</v>
      </c>
      <c r="AX32" s="511">
        <f>+[4]Report1!AR37</f>
        <v>0.20107105174095677</v>
      </c>
      <c r="AY32" s="511">
        <f>+[4]Report1!AS37</f>
        <v>7.3162977235205554E-2</v>
      </c>
      <c r="AZ32" s="511">
        <f>+[4]Report1!AX37</f>
        <v>881.46562879496639</v>
      </c>
      <c r="BA32" s="511">
        <f>+[4]Report1!AY37</f>
        <v>932.89988163685894</v>
      </c>
      <c r="BB32" s="511">
        <f>+[4]Report1!BD37</f>
        <v>539.40287870040493</v>
      </c>
      <c r="BC32" s="511">
        <f>+[4]Report1!BE37</f>
        <v>222.80144946966436</v>
      </c>
      <c r="BD32" s="511">
        <f>+[4]Report1!BJ37</f>
        <v>0</v>
      </c>
      <c r="BE32" s="511">
        <f>+[4]Report1!BK37</f>
        <v>18.271591696959717</v>
      </c>
      <c r="BF32" s="513">
        <f>+[5]Report1!J37</f>
        <v>0.85457424271888471</v>
      </c>
      <c r="BG32" s="514">
        <f>+[5]Report1!K37</f>
        <v>0.87739089290787731</v>
      </c>
      <c r="BH32" s="514">
        <f>+[5]Report1!AN37</f>
        <v>0.85457424271888471</v>
      </c>
      <c r="BI32" s="514">
        <f>+[5]Report1!AO37</f>
        <v>0.88016433745993461</v>
      </c>
      <c r="BJ32" s="511">
        <f>+[5]Report1!R37</f>
        <v>45.267000000000003</v>
      </c>
      <c r="BK32" s="511">
        <f>+[5]Report1!S37</f>
        <v>1359.2220000000002</v>
      </c>
      <c r="BL32" s="511">
        <f>+[5]Report1!AD37</f>
        <v>2.9381226942364194</v>
      </c>
      <c r="BM32" s="511">
        <f>+[5]Report1!AE37</f>
        <v>2.7693047934774451</v>
      </c>
      <c r="BN32" s="515">
        <v>0</v>
      </c>
      <c r="BO32" s="515">
        <v>0</v>
      </c>
      <c r="BP32" s="515">
        <f>+[5]Report1!AJ37</f>
        <v>1030.716636843609</v>
      </c>
      <c r="BQ32" s="515">
        <f>+[5]Report1!AK37</f>
        <v>933.02118417741838</v>
      </c>
      <c r="BR32" s="515">
        <v>0</v>
      </c>
      <c r="BS32" s="516">
        <v>0</v>
      </c>
      <c r="BT32" s="513">
        <f>+[6]Report1!J37</f>
        <v>0.92936201336934898</v>
      </c>
      <c r="BU32" s="618">
        <f>+[6]Report1!K37</f>
        <v>0.89604705720996503</v>
      </c>
      <c r="BV32" s="514">
        <f>+[6]Report1!BG37</f>
        <v>0.92936201336934898</v>
      </c>
      <c r="BW32" s="514">
        <f>+[6]Report1!BH37</f>
        <v>0.90141962176582857</v>
      </c>
      <c r="BX32" s="511">
        <f>+[6]Report1!R37</f>
        <v>51.796999999999997</v>
      </c>
      <c r="BY32" s="511">
        <f>+[6]Report1!S37</f>
        <v>1281.4669999999999</v>
      </c>
      <c r="BZ32" s="515">
        <f>+[6]Report1!X37</f>
        <v>77.312449475454287</v>
      </c>
      <c r="CA32" s="515">
        <f>+[6]Report1!Y37</f>
        <v>83.072219498411982</v>
      </c>
      <c r="CB32" s="511">
        <f>+[6]Report1!AD37</f>
        <v>1.8746259435874664</v>
      </c>
      <c r="CC32" s="511">
        <f>+[6]Report1!AE37</f>
        <v>1.9814634321445659</v>
      </c>
      <c r="CD32" s="604">
        <f>+[6]Report1!AJ37</f>
        <v>0.19885321543718751</v>
      </c>
      <c r="CE32" s="604">
        <f>+[6]Report1!AK37</f>
        <v>4.6040982717463659E-2</v>
      </c>
      <c r="CF32" s="515">
        <f>+[6]Report1!AP37</f>
        <v>777.51317643878292</v>
      </c>
      <c r="CG32" s="515">
        <f>+[6]Report1!AQ37</f>
        <v>901.34847015178661</v>
      </c>
      <c r="CH32" s="604">
        <f>+[6]Report1!AV37</f>
        <v>544.44570148850414</v>
      </c>
      <c r="CI32" s="604">
        <f>+[6]Report1!AW37</f>
        <v>122.59508360340143</v>
      </c>
      <c r="CJ32" s="515">
        <f>+[6]Report1!BB37</f>
        <v>0</v>
      </c>
      <c r="CK32" s="515">
        <f>+[6]Report1!BC37</f>
        <v>15.950469266863683</v>
      </c>
    </row>
    <row r="33" spans="1:89" ht="12.75" customHeight="1">
      <c r="A33" s="567">
        <f t="shared" si="0"/>
        <v>45868</v>
      </c>
      <c r="B33" s="513">
        <f>+Report1!J38</f>
        <v>0.89963119048086371</v>
      </c>
      <c r="C33" s="514">
        <f>+Report1!K38</f>
        <v>0.8393375011815174</v>
      </c>
      <c r="D33" s="514">
        <f>+Report1!AJ38</f>
        <v>0.89963119048086371</v>
      </c>
      <c r="E33" s="514">
        <f>+Report1!AK38</f>
        <v>0.84050678604691997</v>
      </c>
      <c r="F33" s="511">
        <f>+Report1!R38</f>
        <v>52.741999999999997</v>
      </c>
      <c r="G33" s="511">
        <f>+Report1!S38</f>
        <v>1618.3820000000005</v>
      </c>
      <c r="H33" s="511">
        <f>+Report1!X38</f>
        <v>2.3927989078912444</v>
      </c>
      <c r="I33" s="511">
        <f>+Report1!Y38</f>
        <v>2.438395261440129</v>
      </c>
      <c r="J33" s="511">
        <f>+Report1!AD38</f>
        <v>972.89901786051951</v>
      </c>
      <c r="K33" s="512">
        <f>+Report1!AE38</f>
        <v>1033.2860350646488</v>
      </c>
      <c r="L33" s="513">
        <f>+[1]Report1!J38</f>
        <v>0.98781386155987561</v>
      </c>
      <c r="M33" s="514">
        <f>+[1]Report1!K38</f>
        <v>0.8768513971198757</v>
      </c>
      <c r="N33" s="514">
        <f>+[1]Report1!BJ38</f>
        <v>0.98781386155987561</v>
      </c>
      <c r="O33" s="514">
        <f>+[1]Report1!BK38</f>
        <v>0.90328907585249718</v>
      </c>
      <c r="P33" s="511">
        <f>+[1]Report1!R38</f>
        <v>74.697999999999993</v>
      </c>
      <c r="Q33" s="511">
        <f>+[1]Report1!S38</f>
        <v>1771.1550000000002</v>
      </c>
      <c r="R33" s="511">
        <f>+[1]Report1!AL38</f>
        <v>2.2916410077913736</v>
      </c>
      <c r="S33" s="511">
        <f>+[1]Report1!AM38</f>
        <v>2.6196668275786141</v>
      </c>
      <c r="T33" s="511">
        <f>+[1]Report1!AR38</f>
        <v>0.23561541138986322</v>
      </c>
      <c r="U33" s="511">
        <f>+[1]Report1!AS38</f>
        <v>0.22781744116127609</v>
      </c>
      <c r="V33" s="511">
        <f>+[1]Report1!AX38</f>
        <v>456.5779538943595</v>
      </c>
      <c r="W33" s="511">
        <f>+[1]Report1!AY38</f>
        <v>612.88344611284765</v>
      </c>
      <c r="X33" s="511">
        <f>+[1]Report1!BD38</f>
        <v>381.44260890519155</v>
      </c>
      <c r="Y33" s="588">
        <f>+[1]Report1!BE38</f>
        <v>526.16174191417451</v>
      </c>
      <c r="Z33" s="513">
        <f>+[2]Report1!J38</f>
        <v>0.93418120338973043</v>
      </c>
      <c r="AA33" s="618">
        <f>+[2]Report1!K38</f>
        <v>0.87894880591694469</v>
      </c>
      <c r="AB33" s="514">
        <f>+[2]Report1!BC38</f>
        <v>0.93418120338973043</v>
      </c>
      <c r="AC33" s="514">
        <f>+[2]Report1!BD38</f>
        <v>0.88046973254377647</v>
      </c>
      <c r="AD33" s="511">
        <f>+[2]Report1!R38</f>
        <v>44.423000000000002</v>
      </c>
      <c r="AE33" s="511">
        <f>+[2]Report1!S38</f>
        <v>1207.5450000000003</v>
      </c>
      <c r="AF33" s="511">
        <f>+[2]Report1!X38</f>
        <v>93.001999742368426</v>
      </c>
      <c r="AG33" s="511">
        <f>+[2]Report1!Y38</f>
        <v>98.824496403798591</v>
      </c>
      <c r="AH33" s="511">
        <f>+[2]Report1!AD38</f>
        <v>1.4024266708686941</v>
      </c>
      <c r="AI33" s="511">
        <f>+[2]Report1!AE38</f>
        <v>1.4927808073405127</v>
      </c>
      <c r="AJ33" s="511">
        <f>+[2]Report1!AJ38</f>
        <v>841.06521396573839</v>
      </c>
      <c r="AK33" s="511">
        <f>+[2]Report1!AK38</f>
        <v>887.36363448152974</v>
      </c>
      <c r="AL33" s="599">
        <f>+[3]Report1!AP38</f>
        <v>0</v>
      </c>
      <c r="AM33" s="600">
        <f>+[3]Report1!AQ38</f>
        <v>0</v>
      </c>
      <c r="AN33" s="513">
        <f>+[4]Report1!J38</f>
        <v>0.96653221638472786</v>
      </c>
      <c r="AO33" s="618">
        <f>+[4]Report1!K38</f>
        <v>0.87989355673919489</v>
      </c>
      <c r="AP33" s="514">
        <f>+[4]Report1!BN38</f>
        <v>0.96653221638472786</v>
      </c>
      <c r="AQ33" s="514">
        <f>+[4]Report1!BO38</f>
        <v>0.89239844917166145</v>
      </c>
      <c r="AR33" s="511">
        <f>+[4]Report1!R38</f>
        <v>51.1</v>
      </c>
      <c r="AS33" s="511">
        <f>+[4]Report1!S38</f>
        <v>1356.405</v>
      </c>
      <c r="AT33" s="515">
        <f>+[4]Report1!AF38</f>
        <v>108.9897867605651</v>
      </c>
      <c r="AU33" s="515">
        <f>+[4]Report1!AG38</f>
        <v>105.14224846128086</v>
      </c>
      <c r="AV33" s="511">
        <f>+[4]Report1!AL38</f>
        <v>1.4461839530332681</v>
      </c>
      <c r="AW33" s="511">
        <f>+[4]Report1!AM38</f>
        <v>1.5275673563574301</v>
      </c>
      <c r="AX33" s="511">
        <f>+[4]Report1!AR38</f>
        <v>0.17808219178082191</v>
      </c>
      <c r="AY33" s="511">
        <f>+[4]Report1!AS38</f>
        <v>7.7115610750476432E-2</v>
      </c>
      <c r="AZ33" s="511">
        <f>+[4]Report1!AX38</f>
        <v>871.48023483365864</v>
      </c>
      <c r="BA33" s="511">
        <f>+[4]Report1!AY38</f>
        <v>930.58601228983969</v>
      </c>
      <c r="BB33" s="511">
        <f>+[4]Report1!BD38</f>
        <v>447.10356164383296</v>
      </c>
      <c r="BC33" s="511">
        <f>+[4]Report1!BE38</f>
        <v>231.25160847976827</v>
      </c>
      <c r="BD33" s="511">
        <f>+[4]Report1!BJ38</f>
        <v>0</v>
      </c>
      <c r="BE33" s="511">
        <f>+[4]Report1!BK38</f>
        <v>17.583243942627757</v>
      </c>
      <c r="BF33" s="513">
        <f>+[5]Report1!J38</f>
        <v>0.79953816040470094</v>
      </c>
      <c r="BG33" s="514">
        <f>+[5]Report1!K38</f>
        <v>0.87487822999750109</v>
      </c>
      <c r="BH33" s="514">
        <f>+[5]Report1!AN38</f>
        <v>0.79953816040470094</v>
      </c>
      <c r="BI33" s="514">
        <f>+[5]Report1!AO38</f>
        <v>0.8775542036163102</v>
      </c>
      <c r="BJ33" s="511">
        <f>+[5]Report1!R38</f>
        <v>41.308999999999997</v>
      </c>
      <c r="BK33" s="511">
        <f>+[5]Report1!S38</f>
        <v>1400.5310000000002</v>
      </c>
      <c r="BL33" s="511">
        <f>+[5]Report1!AD38</f>
        <v>3.1058607083202214</v>
      </c>
      <c r="BM33" s="511">
        <f>+[5]Report1!AE38</f>
        <v>2.7792315914463872</v>
      </c>
      <c r="BN33" s="515">
        <v>0</v>
      </c>
      <c r="BO33" s="515">
        <v>0</v>
      </c>
      <c r="BP33" s="515">
        <f>+[5]Report1!AJ38</f>
        <v>1078.5920743663908</v>
      </c>
      <c r="BQ33" s="515">
        <f>+[5]Report1!AK38</f>
        <v>937.31483273129993</v>
      </c>
      <c r="BR33" s="515">
        <v>0</v>
      </c>
      <c r="BS33" s="516">
        <v>0</v>
      </c>
      <c r="BT33" s="513">
        <f>+[6]Report1!J38</f>
        <v>0.89900748944563569</v>
      </c>
      <c r="BU33" s="618">
        <f>+[6]Report1!K38</f>
        <v>0.89615860609005427</v>
      </c>
      <c r="BV33" s="514">
        <f>+[6]Report1!BG38</f>
        <v>0.89900748944563569</v>
      </c>
      <c r="BW33" s="514">
        <f>+[6]Report1!BH38</f>
        <v>0.90132820848392681</v>
      </c>
      <c r="BX33" s="511">
        <f>+[6]Report1!R38</f>
        <v>50.341999999999999</v>
      </c>
      <c r="BY33" s="511">
        <f>+[6]Report1!S38</f>
        <v>1331.809</v>
      </c>
      <c r="BZ33" s="515">
        <f>+[6]Report1!X38</f>
        <v>82.439991696394458</v>
      </c>
      <c r="CA33" s="515">
        <f>+[6]Report1!Y38</f>
        <v>83.048321467981808</v>
      </c>
      <c r="CB33" s="511">
        <f>+[6]Report1!AD38</f>
        <v>1.9705216320368679</v>
      </c>
      <c r="CC33" s="511">
        <f>+[6]Report1!AE38</f>
        <v>1.9810498352241201</v>
      </c>
      <c r="CD33" s="604">
        <f>+[6]Report1!AJ38</f>
        <v>0.19069564181001947</v>
      </c>
      <c r="CE33" s="604">
        <f>+[6]Report1!AK38</f>
        <v>5.150888753567516E-2</v>
      </c>
      <c r="CF33" s="515">
        <f>+[6]Report1!AP38</f>
        <v>719.68058479995523</v>
      </c>
      <c r="CG33" s="515">
        <f>+[6]Report1!AQ38</f>
        <v>894.48147594737588</v>
      </c>
      <c r="CH33" s="604">
        <f>+[6]Report1!AV38</f>
        <v>491.65523817090804</v>
      </c>
      <c r="CI33" s="604">
        <f>+[6]Report1!AW38</f>
        <v>136.54545208809961</v>
      </c>
      <c r="CJ33" s="515">
        <f>+[6]Report1!BB38</f>
        <v>0</v>
      </c>
      <c r="CK33" s="515">
        <f>+[6]Report1!BC38</f>
        <v>15.347546082058313</v>
      </c>
    </row>
    <row r="34" spans="1:89" ht="12.75" customHeight="1">
      <c r="A34" s="567">
        <f t="shared" si="0"/>
        <v>45869</v>
      </c>
      <c r="B34" s="513">
        <f>+Report1!J39</f>
        <v>0.84132217307710055</v>
      </c>
      <c r="C34" s="514">
        <f>+Report1!K39</f>
        <v>0.83939758980569712</v>
      </c>
      <c r="D34" s="514">
        <f>+Report1!AJ39</f>
        <v>0.84132217307710055</v>
      </c>
      <c r="E34" s="514">
        <f>+Report1!AK39</f>
        <v>0.84053150634019802</v>
      </c>
      <c r="F34" s="511">
        <f>+Report1!R39</f>
        <v>50.648000000000003</v>
      </c>
      <c r="G34" s="511">
        <f>+Report1!S39</f>
        <v>1669.0300000000004</v>
      </c>
      <c r="H34" s="511">
        <f>+Report1!X39</f>
        <v>2.4645198230927186</v>
      </c>
      <c r="I34" s="511">
        <f>+Report1!Y39</f>
        <v>2.4391880313715144</v>
      </c>
      <c r="J34" s="511">
        <f>+Report1!AD39</f>
        <v>1039.2122097615347</v>
      </c>
      <c r="K34" s="512">
        <f>+Report1!AE39</f>
        <v>1033.4658693971942</v>
      </c>
      <c r="L34" s="513">
        <f>+[1]Report1!J39</f>
        <v>1.0064662978848784</v>
      </c>
      <c r="M34" s="514">
        <f>+[1]Report1!K39</f>
        <v>0.88164645374478923</v>
      </c>
      <c r="N34" s="514">
        <f>+[1]Report1!BJ39</f>
        <v>1.0064662978848784</v>
      </c>
      <c r="O34" s="514">
        <f>+[1]Report1!BK39</f>
        <v>0.90721678437063535</v>
      </c>
      <c r="P34" s="511">
        <f>+[1]Report1!R39</f>
        <v>78.097999999999999</v>
      </c>
      <c r="Q34" s="511">
        <f>+[1]Report1!S39</f>
        <v>1849.2530000000002</v>
      </c>
      <c r="R34" s="511">
        <f>+[1]Report1!AL39</f>
        <v>2.2478168455018057</v>
      </c>
      <c r="S34" s="511">
        <f>+[1]Report1!AM39</f>
        <v>2.6039627892992474</v>
      </c>
      <c r="T34" s="511">
        <f>+[1]Report1!AR39</f>
        <v>0.24584496401956515</v>
      </c>
      <c r="U34" s="511">
        <f>+[1]Report1!AS39</f>
        <v>0.22857878289233541</v>
      </c>
      <c r="V34" s="511">
        <f>+[1]Report1!AX39</f>
        <v>419.64621373146156</v>
      </c>
      <c r="W34" s="511">
        <f>+[1]Report1!AY39</f>
        <v>604.72261502347192</v>
      </c>
      <c r="X34" s="511">
        <f>+[1]Report1!BD39</f>
        <v>422.54603190862758</v>
      </c>
      <c r="Y34" s="588">
        <f>+[1]Report1!BE39</f>
        <v>521.7858237893895</v>
      </c>
      <c r="Z34" s="513">
        <f>+[2]Report1!J39</f>
        <v>0.96785843453719056</v>
      </c>
      <c r="AA34" s="618">
        <f>+[2]Report1!K39</f>
        <v>0.88193173114859524</v>
      </c>
      <c r="AB34" s="514">
        <f>+[2]Report1!BC39</f>
        <v>0.96785843453719056</v>
      </c>
      <c r="AC34" s="514">
        <f>+[2]Report1!BD39</f>
        <v>0.88340653340367237</v>
      </c>
      <c r="AD34" s="511">
        <f>+[2]Report1!R39</f>
        <v>46.16</v>
      </c>
      <c r="AE34" s="511">
        <f>+[2]Report1!S39</f>
        <v>1253.7050000000004</v>
      </c>
      <c r="AF34" s="511">
        <f>+[2]Report1!X39</f>
        <v>90.473737788659889</v>
      </c>
      <c r="AG34" s="511">
        <f>+[2]Report1!Y39</f>
        <v>98.517030917360543</v>
      </c>
      <c r="AH34" s="511">
        <f>+[2]Report1!AD39</f>
        <v>1.3388214904679376</v>
      </c>
      <c r="AI34" s="511">
        <f>+[2]Report1!AE39</f>
        <v>1.4871121994408565</v>
      </c>
      <c r="AJ34" s="511">
        <f>+[2]Report1!AJ39</f>
        <v>830.24306759097988</v>
      </c>
      <c r="AK34" s="511">
        <f>+[2]Report1!AK39</f>
        <v>885.26051981925434</v>
      </c>
      <c r="AL34" s="599">
        <f>+[3]Report1!AP39</f>
        <v>0</v>
      </c>
      <c r="AM34" s="600">
        <f>+[3]Report1!AQ39</f>
        <v>0</v>
      </c>
      <c r="AN34" s="513">
        <f>+[4]Report1!J39</f>
        <v>0.98297038004297099</v>
      </c>
      <c r="AO34" s="618">
        <f>+[4]Report1!K39</f>
        <v>0.88320076687716276</v>
      </c>
      <c r="AP34" s="514">
        <f>+[4]Report1!BN39</f>
        <v>0.98297038004297099</v>
      </c>
      <c r="AQ34" s="514">
        <f>+[4]Report1!BO39</f>
        <v>0.89534439715396263</v>
      </c>
      <c r="AR34" s="511">
        <f>+[4]Report1!R39</f>
        <v>50.23</v>
      </c>
      <c r="AS34" s="511">
        <f>+[4]Report1!S39</f>
        <v>1406.635</v>
      </c>
      <c r="AT34" s="515">
        <f>+[4]Report1!AF39</f>
        <v>110.50623905447874</v>
      </c>
      <c r="AU34" s="515">
        <f>+[4]Report1!AG39</f>
        <v>105.33379299664101</v>
      </c>
      <c r="AV34" s="511">
        <f>+[4]Report1!AL39</f>
        <v>1.4334063308779614</v>
      </c>
      <c r="AW34" s="511">
        <f>+[4]Report1!AM39</f>
        <v>1.5242049287839419</v>
      </c>
      <c r="AX34" s="511">
        <f>+[4]Report1!AR39</f>
        <v>0.17917579135974518</v>
      </c>
      <c r="AY34" s="511">
        <f>+[4]Report1!AS39</f>
        <v>8.076011189825362E-2</v>
      </c>
      <c r="AZ34" s="511">
        <f>+[4]Report1!AX39</f>
        <v>846.98427234720293</v>
      </c>
      <c r="BA34" s="511">
        <f>+[4]Report1!AY39</f>
        <v>927.60064977766092</v>
      </c>
      <c r="BB34" s="511">
        <f>+[4]Report1!BD39</f>
        <v>483.91128807485893</v>
      </c>
      <c r="BC34" s="511">
        <f>+[4]Report1!BE39</f>
        <v>240.2739175407979</v>
      </c>
      <c r="BD34" s="511">
        <f>+[4]Report1!BJ39</f>
        <v>0</v>
      </c>
      <c r="BE34" s="511">
        <f>+[4]Report1!BK39</f>
        <v>16.955357999765397</v>
      </c>
      <c r="BF34" s="513">
        <f>+[5]Report1!J39</f>
        <v>1.0666989044765407</v>
      </c>
      <c r="BG34" s="514">
        <f>+[5]Report1!K39</f>
        <v>0.88101947107260103</v>
      </c>
      <c r="BH34" s="514">
        <f>+[5]Report1!AN39</f>
        <v>1.0666989044765407</v>
      </c>
      <c r="BI34" s="514">
        <f>+[5]Report1!AO39</f>
        <v>0.88362769927484108</v>
      </c>
      <c r="BJ34" s="511">
        <f>+[5]Report1!R39</f>
        <v>56.478000000000002</v>
      </c>
      <c r="BK34" s="511">
        <f>+[5]Report1!S39</f>
        <v>1457.0090000000002</v>
      </c>
      <c r="BL34" s="511">
        <f>+[5]Report1!AD39</f>
        <v>2.2769928113601754</v>
      </c>
      <c r="BM34" s="511">
        <f>+[5]Report1!AE39</f>
        <v>2.7597633233562728</v>
      </c>
      <c r="BN34" s="515">
        <v>0</v>
      </c>
      <c r="BO34" s="515">
        <v>0</v>
      </c>
      <c r="BP34" s="515">
        <f>+[5]Report1!AJ39</f>
        <v>824.54902794005864</v>
      </c>
      <c r="BQ34" s="515">
        <f>+[5]Report1!AK39</f>
        <v>932.94369492569979</v>
      </c>
      <c r="BR34" s="515">
        <v>0</v>
      </c>
      <c r="BS34" s="516">
        <v>0</v>
      </c>
      <c r="BT34" s="513">
        <f>+[6]Report1!J39</f>
        <v>0.99336552476772166</v>
      </c>
      <c r="BU34" s="618">
        <f>+[6]Report1!K39</f>
        <v>0.89958178262093658</v>
      </c>
      <c r="BV34" s="514">
        <f>+[6]Report1!BG39</f>
        <v>0.99336552476772166</v>
      </c>
      <c r="BW34" s="514">
        <f>+[6]Report1!BH39</f>
        <v>0.90458737037626458</v>
      </c>
      <c r="BX34" s="511">
        <f>+[6]Report1!R39</f>
        <v>53.884999999999998</v>
      </c>
      <c r="BY34" s="511">
        <f>+[6]Report1!S39</f>
        <v>1385.694</v>
      </c>
      <c r="BZ34" s="515">
        <f>+[6]Report1!X39</f>
        <v>76.793242571568939</v>
      </c>
      <c r="CA34" s="515">
        <f>+[6]Report1!Y39</f>
        <v>82.805082393313654</v>
      </c>
      <c r="CB34" s="511">
        <f>+[6]Report1!AD39</f>
        <v>1.8279669666883178</v>
      </c>
      <c r="CC34" s="511">
        <f>+[6]Report1!AE39</f>
        <v>1.9750969550275892</v>
      </c>
      <c r="CD34" s="604">
        <f>+[6]Report1!AJ39</f>
        <v>0.18001299062818965</v>
      </c>
      <c r="CE34" s="604">
        <f>+[6]Report1!AK39</f>
        <v>5.6505981840146526E-2</v>
      </c>
      <c r="CF34" s="515">
        <f>+[6]Report1!AP39</f>
        <v>697.15468126566066</v>
      </c>
      <c r="CG34" s="515">
        <f>+[6]Report1!AQ39</f>
        <v>886.8080976030775</v>
      </c>
      <c r="CH34" s="604">
        <f>+[6]Report1!AV39</f>
        <v>488.67840772014802</v>
      </c>
      <c r="CI34" s="604">
        <f>+[6]Report1!AW39</f>
        <v>150.23872370090368</v>
      </c>
      <c r="CJ34" s="515">
        <f>+[6]Report1!BB39</f>
        <v>0</v>
      </c>
      <c r="CK34" s="515">
        <f>+[6]Report1!BC39</f>
        <v>14.750731402459706</v>
      </c>
    </row>
    <row r="35" spans="1:89" ht="12.75" customHeight="1">
      <c r="A35" s="567"/>
      <c r="B35" s="513"/>
      <c r="C35" s="514"/>
      <c r="D35" s="514"/>
      <c r="E35" s="514"/>
      <c r="F35" s="511"/>
      <c r="G35" s="511"/>
      <c r="H35" s="511"/>
      <c r="I35" s="511"/>
      <c r="J35" s="511"/>
      <c r="K35" s="512"/>
      <c r="L35" s="513"/>
      <c r="M35" s="514"/>
      <c r="N35" s="514"/>
      <c r="O35" s="514"/>
      <c r="P35" s="511"/>
      <c r="Q35" s="511"/>
      <c r="R35" s="511"/>
      <c r="S35" s="511"/>
      <c r="T35" s="511"/>
      <c r="U35" s="511"/>
      <c r="V35" s="511"/>
      <c r="W35" s="511"/>
      <c r="X35" s="511"/>
      <c r="Y35" s="588"/>
      <c r="Z35" s="513"/>
      <c r="AA35" s="514"/>
      <c r="AB35" s="514"/>
      <c r="AC35" s="514"/>
      <c r="AD35" s="511"/>
      <c r="AE35" s="511"/>
      <c r="AF35" s="511"/>
      <c r="AG35" s="511"/>
      <c r="AH35" s="511"/>
      <c r="AI35" s="511"/>
      <c r="AJ35" s="511"/>
      <c r="AK35" s="588"/>
      <c r="AL35" s="511"/>
      <c r="AM35" s="588"/>
      <c r="AN35" s="513"/>
      <c r="AO35" s="514"/>
      <c r="AP35" s="514"/>
      <c r="AQ35" s="514"/>
      <c r="AR35" s="511"/>
      <c r="AS35" s="511"/>
      <c r="AT35" s="515"/>
      <c r="AU35" s="515"/>
      <c r="AV35" s="511"/>
      <c r="AW35" s="511"/>
      <c r="AX35" s="511"/>
      <c r="AY35" s="511"/>
      <c r="AZ35" s="511"/>
      <c r="BA35" s="511"/>
      <c r="BB35" s="511"/>
      <c r="BC35" s="588"/>
      <c r="BD35" s="511"/>
      <c r="BE35" s="512"/>
      <c r="BF35" s="513"/>
      <c r="BG35" s="514"/>
      <c r="BH35" s="514"/>
      <c r="BI35" s="514"/>
      <c r="BJ35" s="511"/>
      <c r="BK35" s="511"/>
      <c r="BL35" s="511"/>
      <c r="BM35" s="511"/>
      <c r="BN35" s="515"/>
      <c r="BO35" s="515"/>
      <c r="BP35" s="515"/>
      <c r="BQ35" s="515"/>
      <c r="BR35" s="515"/>
      <c r="BS35" s="516"/>
      <c r="BT35" s="513"/>
      <c r="BU35" s="514"/>
      <c r="BV35" s="514"/>
      <c r="BW35" s="514"/>
      <c r="BX35" s="511"/>
      <c r="BY35" s="511"/>
      <c r="BZ35" s="511"/>
      <c r="CA35" s="511"/>
      <c r="CB35" s="511"/>
      <c r="CC35" s="511"/>
      <c r="CD35" s="511"/>
      <c r="CE35" s="511"/>
      <c r="CF35" s="592"/>
      <c r="CG35" s="515"/>
      <c r="CH35" s="515"/>
      <c r="CI35" s="515"/>
      <c r="CJ35" s="515"/>
      <c r="CK35" s="516"/>
    </row>
    <row r="36" spans="1:89" ht="12.75" hidden="1" customHeight="1">
      <c r="A36" s="568" t="s">
        <v>322</v>
      </c>
      <c r="B36" s="711"/>
      <c r="C36" s="704"/>
      <c r="D36" s="703"/>
      <c r="E36" s="704"/>
      <c r="F36" s="705"/>
      <c r="G36" s="639"/>
      <c r="H36" s="828"/>
      <c r="I36" s="829"/>
      <c r="J36" s="828"/>
      <c r="K36" s="830"/>
      <c r="L36" s="711"/>
      <c r="M36" s="704"/>
      <c r="N36" s="703"/>
      <c r="O36" s="704"/>
      <c r="P36" s="705"/>
      <c r="Q36" s="639"/>
      <c r="R36" s="705"/>
      <c r="S36" s="639"/>
      <c r="T36" s="705"/>
      <c r="U36" s="639"/>
      <c r="V36" s="668"/>
      <c r="W36" s="676"/>
      <c r="X36" s="668"/>
      <c r="Y36" s="815"/>
      <c r="Z36" s="708"/>
      <c r="AA36" s="709"/>
      <c r="AB36" s="703"/>
      <c r="AC36" s="704"/>
      <c r="AD36" s="707"/>
      <c r="AE36" s="707"/>
      <c r="AF36" s="707"/>
      <c r="AG36" s="707"/>
      <c r="AH36" s="707"/>
      <c r="AI36" s="707"/>
      <c r="AJ36" s="707"/>
      <c r="AK36" s="707"/>
      <c r="AL36" s="650"/>
      <c r="AM36" s="668"/>
      <c r="AN36" s="708"/>
      <c r="AO36" s="709"/>
      <c r="AP36" s="709"/>
      <c r="AQ36" s="709"/>
      <c r="AR36" s="650"/>
      <c r="AS36" s="650"/>
      <c r="AT36" s="650"/>
      <c r="AU36" s="650"/>
      <c r="AV36" s="650"/>
      <c r="AW36" s="650"/>
      <c r="AX36" s="650"/>
      <c r="AY36" s="650"/>
      <c r="AZ36" s="650"/>
      <c r="BA36" s="650"/>
      <c r="BB36" s="650"/>
      <c r="BC36" s="668"/>
      <c r="BD36" s="650"/>
      <c r="BE36" s="651"/>
      <c r="BF36" s="711"/>
      <c r="BG36" s="704"/>
      <c r="BH36" s="703"/>
      <c r="BI36" s="704"/>
      <c r="BJ36" s="668"/>
      <c r="BK36" s="676"/>
      <c r="BL36" s="668"/>
      <c r="BM36" s="676"/>
      <c r="BN36" s="668"/>
      <c r="BO36" s="676"/>
      <c r="BP36" s="668"/>
      <c r="BQ36" s="676"/>
      <c r="BR36" s="668"/>
      <c r="BS36" s="713"/>
      <c r="BT36" s="711"/>
      <c r="BU36" s="704"/>
      <c r="BV36" s="703"/>
      <c r="BW36" s="704"/>
      <c r="BX36" s="668"/>
      <c r="BY36" s="676"/>
      <c r="BZ36" s="668"/>
      <c r="CA36" s="676"/>
      <c r="CB36" s="668"/>
      <c r="CC36" s="676"/>
      <c r="CD36" s="668"/>
      <c r="CE36" s="676"/>
      <c r="CF36" s="668"/>
      <c r="CG36" s="676"/>
      <c r="CH36" s="650"/>
      <c r="CI36" s="650"/>
      <c r="CJ36" s="650"/>
      <c r="CK36" s="651"/>
    </row>
    <row r="37" spans="1:89" ht="12.75" hidden="1" customHeight="1">
      <c r="A37" s="569" t="s">
        <v>221</v>
      </c>
      <c r="B37" s="796"/>
      <c r="C37" s="797"/>
      <c r="D37" s="798"/>
      <c r="E37" s="797"/>
      <c r="F37" s="805"/>
      <c r="G37" s="806"/>
      <c r="H37" s="807"/>
      <c r="I37" s="808"/>
      <c r="J37" s="807"/>
      <c r="K37" s="809"/>
      <c r="L37" s="796"/>
      <c r="M37" s="797"/>
      <c r="N37" s="798"/>
      <c r="O37" s="797"/>
      <c r="P37" s="805"/>
      <c r="Q37" s="806"/>
      <c r="R37" s="805"/>
      <c r="S37" s="806"/>
      <c r="T37" s="805"/>
      <c r="U37" s="806"/>
      <c r="V37" s="793"/>
      <c r="W37" s="794"/>
      <c r="X37" s="793"/>
      <c r="Y37" s="800"/>
      <c r="Z37" s="810"/>
      <c r="AA37" s="811"/>
      <c r="AB37" s="798"/>
      <c r="AC37" s="797"/>
      <c r="AD37" s="812"/>
      <c r="AE37" s="812"/>
      <c r="AF37" s="812"/>
      <c r="AG37" s="812"/>
      <c r="AH37" s="812"/>
      <c r="AI37" s="812"/>
      <c r="AJ37" s="812"/>
      <c r="AK37" s="812"/>
      <c r="AL37" s="652"/>
      <c r="AM37" s="653"/>
      <c r="AN37" s="810"/>
      <c r="AO37" s="811"/>
      <c r="AP37" s="811"/>
      <c r="AQ37" s="811"/>
      <c r="AR37" s="652"/>
      <c r="AS37" s="652"/>
      <c r="AT37" s="652"/>
      <c r="AU37" s="652"/>
      <c r="AV37" s="652"/>
      <c r="AW37" s="652"/>
      <c r="AX37" s="652"/>
      <c r="AY37" s="652"/>
      <c r="AZ37" s="652"/>
      <c r="BA37" s="652"/>
      <c r="BB37" s="652"/>
      <c r="BC37" s="793"/>
      <c r="BD37" s="652"/>
      <c r="BE37" s="653"/>
      <c r="BF37" s="796"/>
      <c r="BG37" s="797"/>
      <c r="BH37" s="798"/>
      <c r="BI37" s="797"/>
      <c r="BJ37" s="793"/>
      <c r="BK37" s="794"/>
      <c r="BL37" s="793"/>
      <c r="BM37" s="794"/>
      <c r="BN37" s="793"/>
      <c r="BO37" s="794"/>
      <c r="BP37" s="793"/>
      <c r="BQ37" s="794"/>
      <c r="BR37" s="793"/>
      <c r="BS37" s="795"/>
      <c r="BT37" s="796"/>
      <c r="BU37" s="797"/>
      <c r="BV37" s="798"/>
      <c r="BW37" s="797"/>
      <c r="BX37" s="793"/>
      <c r="BY37" s="794"/>
      <c r="BZ37" s="793"/>
      <c r="CA37" s="794"/>
      <c r="CB37" s="793"/>
      <c r="CC37" s="794"/>
      <c r="CD37" s="793"/>
      <c r="CE37" s="794"/>
      <c r="CF37" s="793"/>
      <c r="CG37" s="794"/>
      <c r="CH37" s="652"/>
      <c r="CI37" s="652"/>
      <c r="CJ37" s="652"/>
      <c r="CK37" s="653"/>
    </row>
    <row r="38" spans="1:89" ht="12.75" hidden="1" customHeight="1">
      <c r="A38" s="570" t="s">
        <v>222</v>
      </c>
      <c r="B38" s="778"/>
      <c r="C38" s="779"/>
      <c r="D38" s="780"/>
      <c r="E38" s="779"/>
      <c r="F38" s="785"/>
      <c r="G38" s="786"/>
      <c r="H38" s="787"/>
      <c r="I38" s="788"/>
      <c r="J38" s="787"/>
      <c r="K38" s="789"/>
      <c r="L38" s="778"/>
      <c r="M38" s="779"/>
      <c r="N38" s="780"/>
      <c r="O38" s="779"/>
      <c r="P38" s="785"/>
      <c r="Q38" s="786"/>
      <c r="R38" s="785"/>
      <c r="S38" s="786"/>
      <c r="T38" s="785"/>
      <c r="U38" s="786"/>
      <c r="V38" s="781"/>
      <c r="W38" s="782"/>
      <c r="X38" s="781"/>
      <c r="Y38" s="799"/>
      <c r="Z38" s="791"/>
      <c r="AA38" s="792"/>
      <c r="AB38" s="780"/>
      <c r="AC38" s="779"/>
      <c r="AD38" s="790"/>
      <c r="AE38" s="790"/>
      <c r="AF38" s="790"/>
      <c r="AG38" s="790"/>
      <c r="AH38" s="790"/>
      <c r="AI38" s="790"/>
      <c r="AJ38" s="790"/>
      <c r="AK38" s="790"/>
      <c r="AL38" s="654"/>
      <c r="AM38" s="655"/>
      <c r="AN38" s="791"/>
      <c r="AO38" s="792"/>
      <c r="AP38" s="792"/>
      <c r="AQ38" s="792"/>
      <c r="AR38" s="654"/>
      <c r="AS38" s="654"/>
      <c r="AT38" s="654"/>
      <c r="AU38" s="654"/>
      <c r="AV38" s="654"/>
      <c r="AW38" s="654"/>
      <c r="AX38" s="654"/>
      <c r="AY38" s="654"/>
      <c r="AZ38" s="654"/>
      <c r="BA38" s="654"/>
      <c r="BB38" s="654"/>
      <c r="BC38" s="781"/>
      <c r="BD38" s="654"/>
      <c r="BE38" s="655"/>
      <c r="BF38" s="778"/>
      <c r="BG38" s="779"/>
      <c r="BH38" s="780"/>
      <c r="BI38" s="779"/>
      <c r="BJ38" s="781"/>
      <c r="BK38" s="782"/>
      <c r="BL38" s="781"/>
      <c r="BM38" s="782"/>
      <c r="BN38" s="781"/>
      <c r="BO38" s="782"/>
      <c r="BP38" s="781"/>
      <c r="BQ38" s="782"/>
      <c r="BR38" s="781"/>
      <c r="BS38" s="783"/>
      <c r="BT38" s="778"/>
      <c r="BU38" s="779"/>
      <c r="BV38" s="780"/>
      <c r="BW38" s="779"/>
      <c r="BX38" s="781"/>
      <c r="BY38" s="782"/>
      <c r="BZ38" s="781"/>
      <c r="CA38" s="782"/>
      <c r="CB38" s="781"/>
      <c r="CC38" s="782"/>
      <c r="CD38" s="781"/>
      <c r="CE38" s="782"/>
      <c r="CF38" s="781"/>
      <c r="CG38" s="782"/>
      <c r="CH38" s="654"/>
      <c r="CI38" s="654"/>
      <c r="CJ38" s="654"/>
      <c r="CK38" s="655"/>
    </row>
    <row r="39" spans="1:89" ht="12.75" hidden="1" customHeight="1">
      <c r="A39" s="571" t="s">
        <v>422</v>
      </c>
      <c r="B39" s="700"/>
      <c r="C39" s="701"/>
      <c r="D39" s="702"/>
      <c r="E39" s="701"/>
      <c r="F39" s="669"/>
      <c r="G39" s="641"/>
      <c r="H39" s="696"/>
      <c r="I39" s="697"/>
      <c r="J39" s="669"/>
      <c r="K39" s="641"/>
      <c r="L39" s="700"/>
      <c r="M39" s="701"/>
      <c r="N39" s="702"/>
      <c r="O39" s="701"/>
      <c r="P39" s="669"/>
      <c r="Q39" s="641"/>
      <c r="R39" s="696"/>
      <c r="S39" s="697"/>
      <c r="T39" s="696"/>
      <c r="U39" s="697"/>
      <c r="V39" s="669"/>
      <c r="W39" s="641"/>
      <c r="X39" s="696"/>
      <c r="Y39" s="698"/>
      <c r="Z39" s="699"/>
      <c r="AA39" s="680"/>
      <c r="AB39" s="702"/>
      <c r="AC39" s="701"/>
      <c r="AD39" s="674"/>
      <c r="AE39" s="674"/>
      <c r="AF39" s="667"/>
      <c r="AG39" s="667"/>
      <c r="AH39" s="777"/>
      <c r="AI39" s="777"/>
      <c r="AJ39" s="777"/>
      <c r="AK39" s="777"/>
      <c r="AL39" s="674"/>
      <c r="AM39" s="675"/>
      <c r="AN39" s="701"/>
      <c r="AO39" s="680"/>
      <c r="AP39" s="680"/>
      <c r="AQ39" s="680"/>
      <c r="AR39" s="784"/>
      <c r="AS39" s="784"/>
      <c r="AT39" s="667"/>
      <c r="AU39" s="667"/>
      <c r="AV39" s="667"/>
      <c r="AW39" s="667"/>
      <c r="AX39" s="667"/>
      <c r="AY39" s="667"/>
      <c r="AZ39" s="674"/>
      <c r="BA39" s="674"/>
      <c r="BB39" s="674"/>
      <c r="BC39" s="775"/>
      <c r="BD39" s="674"/>
      <c r="BE39" s="675"/>
      <c r="BF39" s="700"/>
      <c r="BG39" s="701"/>
      <c r="BH39" s="702"/>
      <c r="BI39" s="701"/>
      <c r="BJ39" s="674"/>
      <c r="BK39" s="674"/>
      <c r="BL39" s="667"/>
      <c r="BM39" s="667"/>
      <c r="BN39" s="667"/>
      <c r="BO39" s="667"/>
      <c r="BP39" s="674"/>
      <c r="BQ39" s="674"/>
      <c r="BR39" s="674"/>
      <c r="BS39" s="675"/>
      <c r="BT39" s="700"/>
      <c r="BU39" s="701"/>
      <c r="BV39" s="702"/>
      <c r="BW39" s="701"/>
      <c r="BX39" s="669"/>
      <c r="BY39" s="641"/>
      <c r="BZ39" s="667"/>
      <c r="CA39" s="667"/>
      <c r="CB39" s="667"/>
      <c r="CC39" s="667"/>
      <c r="CD39" s="667"/>
      <c r="CE39" s="667"/>
      <c r="CF39" s="669"/>
      <c r="CG39" s="641"/>
      <c r="CH39" s="656"/>
      <c r="CI39" s="656"/>
      <c r="CJ39" s="656"/>
      <c r="CK39" s="642"/>
    </row>
    <row r="40" spans="1:89" ht="12.75" hidden="1" customHeight="1">
      <c r="A40" s="572" t="s">
        <v>421</v>
      </c>
      <c r="B40" s="768"/>
      <c r="C40" s="774"/>
      <c r="D40" s="682"/>
      <c r="E40" s="682"/>
      <c r="F40" s="684"/>
      <c r="G40" s="685"/>
      <c r="H40" s="684"/>
      <c r="I40" s="685"/>
      <c r="J40" s="684"/>
      <c r="K40" s="685"/>
      <c r="L40" s="768"/>
      <c r="M40" s="774"/>
      <c r="N40" s="682"/>
      <c r="O40" s="682"/>
      <c r="P40" s="684"/>
      <c r="Q40" s="685"/>
      <c r="R40" s="684"/>
      <c r="S40" s="685"/>
      <c r="T40" s="684"/>
      <c r="U40" s="685"/>
      <c r="V40" s="684"/>
      <c r="W40" s="685"/>
      <c r="X40" s="684"/>
      <c r="Y40" s="771"/>
      <c r="Z40" s="683"/>
      <c r="AA40" s="682"/>
      <c r="AB40" s="683"/>
      <c r="AC40" s="682"/>
      <c r="AD40" s="657"/>
      <c r="AE40" s="657"/>
      <c r="AF40" s="772"/>
      <c r="AG40" s="773"/>
      <c r="AH40" s="772"/>
      <c r="AI40" s="773"/>
      <c r="AJ40" s="772"/>
      <c r="AK40" s="773"/>
      <c r="AL40" s="657"/>
      <c r="AM40" s="658"/>
      <c r="AN40" s="769"/>
      <c r="AO40" s="682"/>
      <c r="AP40" s="682"/>
      <c r="AQ40" s="682"/>
      <c r="AR40" s="776"/>
      <c r="AS40" s="776"/>
      <c r="AT40" s="772"/>
      <c r="AU40" s="773"/>
      <c r="AV40" s="772"/>
      <c r="AW40" s="773"/>
      <c r="AX40" s="772"/>
      <c r="AY40" s="773"/>
      <c r="AZ40" s="657"/>
      <c r="BA40" s="657"/>
      <c r="BB40" s="657"/>
      <c r="BC40" s="684"/>
      <c r="BD40" s="657"/>
      <c r="BE40" s="658"/>
      <c r="BF40" s="768"/>
      <c r="BG40" s="769"/>
      <c r="BH40" s="770"/>
      <c r="BI40" s="769"/>
      <c r="BJ40" s="657"/>
      <c r="BK40" s="657"/>
      <c r="BL40" s="657"/>
      <c r="BM40" s="657"/>
      <c r="BN40" s="657"/>
      <c r="BO40" s="657"/>
      <c r="BP40" s="657"/>
      <c r="BQ40" s="657"/>
      <c r="BR40" s="657"/>
      <c r="BS40" s="658"/>
      <c r="BT40" s="768"/>
      <c r="BU40" s="769"/>
      <c r="BV40" s="770"/>
      <c r="BW40" s="769"/>
      <c r="BX40" s="684"/>
      <c r="BY40" s="685"/>
      <c r="BZ40" s="684"/>
      <c r="CA40" s="685"/>
      <c r="CB40" s="684"/>
      <c r="CC40" s="685"/>
      <c r="CD40" s="684"/>
      <c r="CE40" s="685"/>
      <c r="CF40" s="684"/>
      <c r="CG40" s="685"/>
      <c r="CH40" s="657"/>
      <c r="CI40" s="657"/>
      <c r="CJ40" s="657"/>
      <c r="CK40" s="658"/>
    </row>
    <row r="41" spans="1:89" ht="12.75" customHeight="1">
      <c r="A41" s="573" t="s">
        <v>223</v>
      </c>
      <c r="B41" s="755">
        <f>+C34</f>
        <v>0.83939758980569712</v>
      </c>
      <c r="C41" s="756"/>
      <c r="D41" s="757">
        <f>+E34</f>
        <v>0.84053150634019802</v>
      </c>
      <c r="E41" s="756"/>
      <c r="F41" s="758">
        <f>+G34</f>
        <v>1669.0300000000004</v>
      </c>
      <c r="G41" s="759"/>
      <c r="H41" s="750">
        <f>+I34</f>
        <v>2.4391880313715144</v>
      </c>
      <c r="I41" s="751"/>
      <c r="J41" s="752">
        <f>+K34</f>
        <v>1033.4658693971942</v>
      </c>
      <c r="K41" s="754"/>
      <c r="L41" s="755">
        <f>+M34</f>
        <v>0.88164645374478923</v>
      </c>
      <c r="M41" s="756"/>
      <c r="N41" s="757">
        <f>+O34</f>
        <v>0.90721678437063535</v>
      </c>
      <c r="O41" s="756"/>
      <c r="P41" s="752">
        <f>+Q34</f>
        <v>1849.2530000000002</v>
      </c>
      <c r="Q41" s="753"/>
      <c r="R41" s="750">
        <f>+S34</f>
        <v>2.6039627892992474</v>
      </c>
      <c r="S41" s="751"/>
      <c r="T41" s="750">
        <f>+U34</f>
        <v>0.22857878289233541</v>
      </c>
      <c r="U41" s="751"/>
      <c r="V41" s="752">
        <f>+W34</f>
        <v>604.72261502347192</v>
      </c>
      <c r="W41" s="753"/>
      <c r="X41" s="752">
        <f>+Y34</f>
        <v>521.7858237893895</v>
      </c>
      <c r="Y41" s="766"/>
      <c r="Z41" s="767">
        <f>+AA34</f>
        <v>0.88193173114859524</v>
      </c>
      <c r="AA41" s="765"/>
      <c r="AB41" s="765">
        <f>+AC34</f>
        <v>0.88340653340367237</v>
      </c>
      <c r="AC41" s="765"/>
      <c r="AD41" s="764">
        <f>+AE34</f>
        <v>1253.7050000000004</v>
      </c>
      <c r="AE41" s="764"/>
      <c r="AF41" s="659">
        <f>+AG34</f>
        <v>98.517030917360543</v>
      </c>
      <c r="AG41" s="659"/>
      <c r="AH41" s="763">
        <f>+AI34</f>
        <v>1.4871121994408565</v>
      </c>
      <c r="AI41" s="763"/>
      <c r="AJ41" s="763">
        <f>+AK34</f>
        <v>885.26051981925434</v>
      </c>
      <c r="AK41" s="763"/>
      <c r="AL41" s="659">
        <f>+AM34</f>
        <v>0</v>
      </c>
      <c r="AM41" s="660"/>
      <c r="AN41" s="756">
        <f>+AO34</f>
        <v>0.88320076687716276</v>
      </c>
      <c r="AO41" s="765"/>
      <c r="AP41" s="765">
        <f>+AQ34</f>
        <v>0.89534439715396263</v>
      </c>
      <c r="AQ41" s="765"/>
      <c r="AR41" s="762">
        <f>+AS34</f>
        <v>1406.635</v>
      </c>
      <c r="AS41" s="762"/>
      <c r="AT41" s="659">
        <f>+AU34</f>
        <v>105.33379299664101</v>
      </c>
      <c r="AU41" s="659"/>
      <c r="AV41" s="763">
        <f>+AW34</f>
        <v>1.5242049287839419</v>
      </c>
      <c r="AW41" s="763"/>
      <c r="AX41" s="763">
        <f>+AY34</f>
        <v>8.076011189825362E-2</v>
      </c>
      <c r="AY41" s="763"/>
      <c r="AZ41" s="659">
        <f>+BA34</f>
        <v>927.60064977766092</v>
      </c>
      <c r="BA41" s="659"/>
      <c r="BB41" s="659">
        <f>+BC34</f>
        <v>240.2739175407979</v>
      </c>
      <c r="BC41" s="752"/>
      <c r="BD41" s="659">
        <f>+BE34</f>
        <v>16.955357999765397</v>
      </c>
      <c r="BE41" s="660"/>
      <c r="BF41" s="755">
        <f>+BG34</f>
        <v>0.88101947107260103</v>
      </c>
      <c r="BG41" s="756"/>
      <c r="BH41" s="760">
        <f>+BI34</f>
        <v>0.88362769927484108</v>
      </c>
      <c r="BI41" s="761"/>
      <c r="BJ41" s="758">
        <f>+BK34</f>
        <v>1457.0090000000002</v>
      </c>
      <c r="BK41" s="759"/>
      <c r="BL41" s="750">
        <f>+BM34</f>
        <v>2.7597633233562728</v>
      </c>
      <c r="BM41" s="751"/>
      <c r="BN41" s="750">
        <f>+BO34</f>
        <v>0</v>
      </c>
      <c r="BO41" s="751"/>
      <c r="BP41" s="752">
        <f>+BQ34</f>
        <v>932.94369492569979</v>
      </c>
      <c r="BQ41" s="753"/>
      <c r="BR41" s="752">
        <f>+BS34</f>
        <v>0</v>
      </c>
      <c r="BS41" s="754"/>
      <c r="BT41" s="755">
        <f>+BU34</f>
        <v>0.89958178262093658</v>
      </c>
      <c r="BU41" s="756"/>
      <c r="BV41" s="757">
        <f>+BW34</f>
        <v>0.90458737037626458</v>
      </c>
      <c r="BW41" s="756"/>
      <c r="BX41" s="758">
        <f>+BY34</f>
        <v>1385.694</v>
      </c>
      <c r="BY41" s="759"/>
      <c r="BZ41" s="752">
        <f>+CA34</f>
        <v>82.805082393313654</v>
      </c>
      <c r="CA41" s="753"/>
      <c r="CB41" s="750">
        <f>+CC34</f>
        <v>1.9750969550275892</v>
      </c>
      <c r="CC41" s="751"/>
      <c r="CD41" s="750">
        <f>+CE34</f>
        <v>5.6505981840146526E-2</v>
      </c>
      <c r="CE41" s="751"/>
      <c r="CF41" s="752">
        <f>+CG34</f>
        <v>886.8080976030775</v>
      </c>
      <c r="CG41" s="753"/>
      <c r="CH41" s="659">
        <f>+CI34</f>
        <v>150.23872370090368</v>
      </c>
      <c r="CI41" s="659"/>
      <c r="CJ41" s="659">
        <f>+CK34</f>
        <v>14.750731402459706</v>
      </c>
      <c r="CK41" s="660"/>
    </row>
    <row r="42" spans="1:89" ht="12.75" customHeight="1">
      <c r="A42" s="574" t="s">
        <v>224</v>
      </c>
      <c r="B42" s="748">
        <f>+'[7]eff all'!$B$42:$C$42</f>
        <v>0.89683016748794442</v>
      </c>
      <c r="C42" s="742"/>
      <c r="D42" s="741">
        <f>+'[7]eff all'!$D$42:$E$42</f>
        <v>0.91651254782215474</v>
      </c>
      <c r="E42" s="742"/>
      <c r="F42" s="735">
        <f>+'[7]eff all'!$F$42:$G$42</f>
        <v>1608.12</v>
      </c>
      <c r="G42" s="743"/>
      <c r="H42" s="744">
        <f>+'[7]eff all'!$H$42:$I$42</f>
        <v>2.3160037808123777</v>
      </c>
      <c r="I42" s="745"/>
      <c r="J42" s="735">
        <f>+'[7]eff all'!$J$42:$K$42</f>
        <v>1025.4408439668696</v>
      </c>
      <c r="K42" s="747"/>
      <c r="L42" s="748">
        <f>+'[7]eff all'!$L$42:$M$42</f>
        <v>0.92866754762333059</v>
      </c>
      <c r="M42" s="742"/>
      <c r="N42" s="741">
        <f>+'[7]eff all'!$N$42:$O$42</f>
        <v>0.93793898235070616</v>
      </c>
      <c r="O42" s="742"/>
      <c r="P42" s="735">
        <f>+'[7]eff all'!$P$42:$Q$42</f>
        <v>1827.3590000000004</v>
      </c>
      <c r="Q42" s="743"/>
      <c r="R42" s="744">
        <f>+'[7]eff all'!$R$42:$S$42</f>
        <v>2.0916446631450083</v>
      </c>
      <c r="S42" s="745"/>
      <c r="T42" s="744">
        <f>+'[7]eff all'!$T$42:$U$42</f>
        <v>0.23153633194134263</v>
      </c>
      <c r="U42" s="745"/>
      <c r="V42" s="735">
        <f>+'[7]eff all'!$V$42:$W$42</f>
        <v>614.27862833739778</v>
      </c>
      <c r="W42" s="743"/>
      <c r="X42" s="735">
        <f>+'[7]eff all'!$X$42:$Y$42</f>
        <v>437.11553121198392</v>
      </c>
      <c r="Y42" s="736"/>
      <c r="Z42" s="737">
        <f>+'[7]eff all'!$Z$42:$AA$42</f>
        <v>0.83629623576679857</v>
      </c>
      <c r="AA42" s="738"/>
      <c r="AB42" s="738">
        <f>+'[7]eff all'!$AB$42:$AC$42</f>
        <v>0.84011645284697367</v>
      </c>
      <c r="AC42" s="738"/>
      <c r="AD42" s="661">
        <f>+'[7]eff all'!$AD$42:$AE$42</f>
        <v>1132.2849999999999</v>
      </c>
      <c r="AE42" s="661"/>
      <c r="AF42" s="661">
        <f>+'[7]eff all'!$AF$42:$AG$42</f>
        <v>111.28199961501578</v>
      </c>
      <c r="AG42" s="661"/>
      <c r="AH42" s="746">
        <f>+'[7]eff all'!$AH$42:$AI$42</f>
        <v>1.6594761919481404</v>
      </c>
      <c r="AI42" s="746"/>
      <c r="AJ42" s="746">
        <f>+'[7]eff all'!$AJ$42:$AK$42</f>
        <v>964.83334142905812</v>
      </c>
      <c r="AK42" s="746"/>
      <c r="AL42" s="661">
        <f>+'[7]eff all'!$AL$42:$AM$42</f>
        <v>0</v>
      </c>
      <c r="AM42" s="662"/>
      <c r="AN42" s="742">
        <f>+'[7]eff all'!$AN$42:$AO$42</f>
        <v>0.841493556505851</v>
      </c>
      <c r="AO42" s="738"/>
      <c r="AP42" s="738">
        <f>+'[7]eff all'!$AP$42:$AQ$42</f>
        <v>0.85108230952572761</v>
      </c>
      <c r="AQ42" s="738"/>
      <c r="AR42" s="749">
        <f>+'[7]eff all'!$AR$42:$AS$42</f>
        <v>1316.3440000000001</v>
      </c>
      <c r="AS42" s="749"/>
      <c r="AT42" s="661">
        <f>+'[7]eff all'!$AT$42:$AU$42</f>
        <v>121.83943867945894</v>
      </c>
      <c r="AU42" s="661"/>
      <c r="AV42" s="746">
        <f>+'[7]eff all'!$AV$42:$AW$42</f>
        <v>1.4904158791318984</v>
      </c>
      <c r="AW42" s="746"/>
      <c r="AX42" s="746">
        <f>+'[7]eff all'!$AX$42:$AY$42</f>
        <v>0.19523771901569797</v>
      </c>
      <c r="AY42" s="746"/>
      <c r="AZ42" s="661">
        <f>+'[7]eff all'!$AZ$42:$BA$42</f>
        <v>883.63400448514949</v>
      </c>
      <c r="BA42" s="661"/>
      <c r="BB42" s="661">
        <f>+'[7]eff all'!$BB$42:$BC$42</f>
        <v>521.88219796648889</v>
      </c>
      <c r="BC42" s="735"/>
      <c r="BD42" s="661">
        <f>+'[7]eff all'!$BD$42:$BE$42</f>
        <v>0</v>
      </c>
      <c r="BE42" s="662"/>
      <c r="BF42" s="748">
        <f>+'[7]eff all'!$BF$42:$BG$42</f>
        <v>0.81559727954315242</v>
      </c>
      <c r="BG42" s="742"/>
      <c r="BH42" s="741">
        <f>+'[7]eff all'!$BH$42:$BI$42</f>
        <v>0.82877820530328572</v>
      </c>
      <c r="BI42" s="742"/>
      <c r="BJ42" s="735">
        <f>+'[7]eff all'!$BJ$42:$BK$42</f>
        <v>1259.7350000000001</v>
      </c>
      <c r="BK42" s="743"/>
      <c r="BL42" s="744">
        <f>+'[7]eff all'!$BL$42:$BM$42</f>
        <v>2.8948151793829653</v>
      </c>
      <c r="BM42" s="745"/>
      <c r="BN42" s="744">
        <f>+'[7]eff all'!$BN$42:$BO$42</f>
        <v>0</v>
      </c>
      <c r="BO42" s="745"/>
      <c r="BP42" s="735">
        <f>+'[7]eff all'!$BP$42:$BQ$42</f>
        <v>971.01940308418136</v>
      </c>
      <c r="BQ42" s="743"/>
      <c r="BR42" s="735">
        <f>+'[7]eff all'!$BR$42:$BS$42</f>
        <v>0</v>
      </c>
      <c r="BS42" s="747"/>
      <c r="BT42" s="748">
        <f>+'[7]eff all'!$BT$42:$BU$42</f>
        <v>0.90927146053562879</v>
      </c>
      <c r="BU42" s="742"/>
      <c r="BV42" s="741">
        <f>+'[7]eff all'!$BV$42:$BW$42</f>
        <v>0.93351910522430248</v>
      </c>
      <c r="BW42" s="742"/>
      <c r="BX42" s="735">
        <f>+'[7]eff all'!$BX$42:$BY$42</f>
        <v>1433.0600000000002</v>
      </c>
      <c r="BY42" s="743"/>
      <c r="BZ42" s="735">
        <f>+'[7]eff all'!$BZ$42:$CA$42</f>
        <v>77.094083288095504</v>
      </c>
      <c r="CA42" s="743"/>
      <c r="CB42" s="744">
        <f>+'[7]eff all'!$CB$42:$CC$42</f>
        <v>1.8864527654110776</v>
      </c>
      <c r="CC42" s="745"/>
      <c r="CD42" s="744">
        <f>+'[7]eff all'!$CD$42:$CE$42</f>
        <v>0.14263185072502196</v>
      </c>
      <c r="CE42" s="745"/>
      <c r="CF42" s="735">
        <f>+'[7]eff all'!$CF$42:$CG$42</f>
        <v>754.59782022786919</v>
      </c>
      <c r="CG42" s="743"/>
      <c r="CH42" s="661">
        <f>+'[7]eff all'!$CH$42:$CI$42</f>
        <v>384.70371094022579</v>
      </c>
      <c r="CI42" s="661"/>
      <c r="CJ42" s="661">
        <v>0</v>
      </c>
      <c r="CK42" s="662"/>
    </row>
    <row r="43" spans="1:89" ht="12.75" customHeight="1">
      <c r="A43" s="575" t="s">
        <v>225</v>
      </c>
      <c r="B43" s="732">
        <f>+'[8]eff all'!$B$43:$C$43</f>
        <v>0.81728992699563985</v>
      </c>
      <c r="C43" s="724"/>
      <c r="D43" s="723">
        <f>+'[8]eff all'!$D$43:$E$43</f>
        <v>0.81728992699563985</v>
      </c>
      <c r="E43" s="724"/>
      <c r="F43" s="725">
        <f>+'[8]eff all'!$F$43:$G$43</f>
        <v>1753.6980000000001</v>
      </c>
      <c r="G43" s="726"/>
      <c r="H43" s="727">
        <f>+'[8]eff all'!$H$43:$I$43</f>
        <v>2.3283626941468825</v>
      </c>
      <c r="I43" s="728"/>
      <c r="J43" s="725">
        <f>+'[8]eff all'!$J$43:$K$43</f>
        <v>919.17354641449094</v>
      </c>
      <c r="K43" s="664"/>
      <c r="L43" s="732">
        <f>+'[8]eff all'!$L$43:$M$43</f>
        <v>0.88541366395827092</v>
      </c>
      <c r="M43" s="724"/>
      <c r="N43" s="723">
        <f>+'[8]eff all'!$N$43:$O$43</f>
        <v>0.92564375346980865</v>
      </c>
      <c r="O43" s="724"/>
      <c r="P43" s="725">
        <f>+'[8]eff all'!$P$43:$Q$43</f>
        <v>1848.3660000000002</v>
      </c>
      <c r="Q43" s="726"/>
      <c r="R43" s="727">
        <f>+'[8]eff all'!$R$43:$S$43</f>
        <v>2.3081272864789759</v>
      </c>
      <c r="S43" s="728"/>
      <c r="T43" s="727">
        <f>+'[8]eff all'!$T$43:$U$43</f>
        <v>0.22165523494805681</v>
      </c>
      <c r="U43" s="728"/>
      <c r="V43" s="725">
        <f>+'[8]eff all'!$V$43:$W$43</f>
        <v>618.58478751390965</v>
      </c>
      <c r="W43" s="726"/>
      <c r="X43" s="725">
        <f>+'[8]eff all'!$X$43:$Y$43</f>
        <v>420.83341222523308</v>
      </c>
      <c r="Y43" s="664"/>
      <c r="Z43" s="732">
        <f>+'[8]eff all'!$Z$43:$AA$43</f>
        <v>0.80335180840639453</v>
      </c>
      <c r="AA43" s="724"/>
      <c r="AB43" s="723">
        <f>+'[8]eff all'!$AB$43:$AC$43</f>
        <v>0.86162048557993176</v>
      </c>
      <c r="AC43" s="724"/>
      <c r="AD43" s="725">
        <f>+'[8]eff all'!$AD$43:$AE$43</f>
        <v>1130.835</v>
      </c>
      <c r="AE43" s="726"/>
      <c r="AF43" s="725">
        <f>+'[8]eff all'!$AF$43:$AG$43</f>
        <v>107.89351601751943</v>
      </c>
      <c r="AG43" s="726"/>
      <c r="AH43" s="727">
        <f>+'[8]eff all'!$AH$43:$AI$43</f>
        <v>1.5947507815021644</v>
      </c>
      <c r="AI43" s="728"/>
      <c r="AJ43" s="727">
        <f>+'[8]eff all'!$AJ$43:$AK$43</f>
        <v>914.38361918405428</v>
      </c>
      <c r="AK43" s="728"/>
      <c r="AL43" s="725">
        <f>+'[8]eff all'!$AL$43:$AM$43</f>
        <v>20.165629822211024</v>
      </c>
      <c r="AM43" s="664"/>
      <c r="AN43" s="732">
        <f>+'[8]eff all'!$AN$43:$AO$43</f>
        <v>0.85071018918198382</v>
      </c>
      <c r="AO43" s="724"/>
      <c r="AP43" s="723">
        <f>+'[8]eff all'!$AP$43:$AQ$43</f>
        <v>0.85071018918198382</v>
      </c>
      <c r="AQ43" s="724"/>
      <c r="AR43" s="739">
        <f>+'[8]eff all'!$AR$43:$AS$43</f>
        <v>1375.3570000000002</v>
      </c>
      <c r="AS43" s="740"/>
      <c r="AT43" s="725">
        <f>+'[8]eff all'!$AT$43:$AU$43</f>
        <v>113.79764973808959</v>
      </c>
      <c r="AU43" s="726"/>
      <c r="AV43" s="727">
        <f>+'[8]eff all'!$AV$43:$AW$43</f>
        <v>1.4656558260873356</v>
      </c>
      <c r="AW43" s="728"/>
      <c r="AX43" s="727">
        <f>+'[8]eff all'!$AX$43:$AY$43</f>
        <v>0.1861334911590227</v>
      </c>
      <c r="AY43" s="728"/>
      <c r="AZ43" s="725">
        <f>+'[8]eff all'!$AZ$43:$BA$43</f>
        <v>878.4606469447566</v>
      </c>
      <c r="BA43" s="726"/>
      <c r="BB43" s="725">
        <f>+'[8]eff all'!$BB$43:$BC$43</f>
        <v>550.25945990750074</v>
      </c>
      <c r="BC43" s="664"/>
      <c r="BD43" s="663">
        <f>+'[8]eff all'!$BD$43:$BE$43</f>
        <v>0</v>
      </c>
      <c r="BE43" s="664"/>
      <c r="BF43" s="732">
        <f>+'[8]eff all'!$BF$43:$BG$43</f>
        <v>0.89363459307778192</v>
      </c>
      <c r="BG43" s="724"/>
      <c r="BH43" s="723">
        <f>+'[8]eff all'!$BH$43:$BI$43</f>
        <v>0.89363459307778192</v>
      </c>
      <c r="BI43" s="724"/>
      <c r="BJ43" s="725">
        <f>+'[8]eff all'!$BJ$43:$BK$43</f>
        <v>1430.6919999999998</v>
      </c>
      <c r="BK43" s="726"/>
      <c r="BL43" s="727">
        <f>+'[8]eff all'!$BL$43:$BM$43</f>
        <v>2.6821286482345617</v>
      </c>
      <c r="BM43" s="728"/>
      <c r="BN43" s="727">
        <f>+'[8]eff all'!$BN$43:$BO$43</f>
        <v>0</v>
      </c>
      <c r="BO43" s="728"/>
      <c r="BP43" s="725">
        <f>+'[8]eff all'!$BP$43:$BQ$43</f>
        <v>974.33568621579991</v>
      </c>
      <c r="BQ43" s="726"/>
      <c r="BR43" s="725">
        <f>+'[8]eff all'!$BR$43:$BS$43</f>
        <v>0</v>
      </c>
      <c r="BS43" s="664"/>
      <c r="BT43" s="732">
        <f>+'[8]eff all'!$BT$43:$BU$43</f>
        <v>0.90863447914298279</v>
      </c>
      <c r="BU43" s="724"/>
      <c r="BV43" s="723">
        <f>+'[8]eff all'!$BV$43:$BW$43</f>
        <v>0.91878389692957507</v>
      </c>
      <c r="BW43" s="724"/>
      <c r="BX43" s="725">
        <f>+'[8]eff all'!$BX$43:$BY$43</f>
        <v>1460.105</v>
      </c>
      <c r="BY43" s="726"/>
      <c r="BZ43" s="725">
        <f>+'[8]eff all'!$BZ$43:$CA$43</f>
        <v>77.669648185232361</v>
      </c>
      <c r="CA43" s="726"/>
      <c r="CB43" s="727">
        <f>+'[8]eff all'!$CB$43:$CC$43</f>
        <v>2.0032805859852543</v>
      </c>
      <c r="CC43" s="728"/>
      <c r="CD43" s="727">
        <f>+'[8]eff all'!$CD$43:$CE$43</f>
        <v>8.3692611147828416E-2</v>
      </c>
      <c r="CE43" s="728"/>
      <c r="CF43" s="725">
        <f>+'[8]eff all'!$CF$43:$CG$43</f>
        <v>840.7660191674878</v>
      </c>
      <c r="CG43" s="726"/>
      <c r="CH43" s="725">
        <f>+'[8]eff all'!$CH$43:$CI$43</f>
        <v>246.27502816578257</v>
      </c>
      <c r="CI43" s="664"/>
      <c r="CJ43" s="663">
        <f>+'[8]eff all'!$CJ$43:$CK$43</f>
        <v>20.270490976769814</v>
      </c>
      <c r="CK43" s="664"/>
    </row>
    <row r="44" spans="1:89" ht="12.75" customHeight="1">
      <c r="A44" s="576" t="s">
        <v>226</v>
      </c>
      <c r="B44" s="716">
        <f>+'[9]eff all'!$B$44:$C$44</f>
        <v>0.85128629745489748</v>
      </c>
      <c r="C44" s="717"/>
      <c r="D44" s="718">
        <f>+'[9]eff all'!$D$44:$E$44</f>
        <v>0.88261388777069127</v>
      </c>
      <c r="E44" s="717"/>
      <c r="F44" s="719">
        <f>+'[9]eff all'!$F$44:$G$44</f>
        <v>1626.8629999999996</v>
      </c>
      <c r="G44" s="637"/>
      <c r="H44" s="729">
        <f>+'[9]eff all'!$H$44:$I$44</f>
        <v>2.4992417923328527</v>
      </c>
      <c r="I44" s="730"/>
      <c r="J44" s="719">
        <f>+'[9]eff all'!$J$44:$K$44</f>
        <v>943.70529048850415</v>
      </c>
      <c r="K44" s="733"/>
      <c r="L44" s="716">
        <f>+'[9]eff all'!$L$44:$M$44</f>
        <v>0.91684997474795549</v>
      </c>
      <c r="M44" s="717"/>
      <c r="N44" s="718">
        <f>+'[9]eff all'!$N$44:$O$44</f>
        <v>0.9454769668630435</v>
      </c>
      <c r="O44" s="717"/>
      <c r="P44" s="719">
        <f>+'[9]eff all'!$P$44:$Q$44</f>
        <v>1788.1659999999997</v>
      </c>
      <c r="Q44" s="637"/>
      <c r="R44" s="729">
        <f>+'[9]eff all'!$R$44:$S$44</f>
        <v>2.1331811476115754</v>
      </c>
      <c r="S44" s="730"/>
      <c r="T44" s="729">
        <f>+'[9]eff all'!$T$44:$U$44</f>
        <v>0.21231250342529728</v>
      </c>
      <c r="U44" s="730"/>
      <c r="V44" s="729">
        <f>+'[9]eff all'!$V$44:$W$44</f>
        <v>722.2509375527776</v>
      </c>
      <c r="W44" s="730"/>
      <c r="X44" s="729">
        <f>+'[9]eff all'!$X$44:$Y$44</f>
        <v>464.24761459506601</v>
      </c>
      <c r="Y44" s="734"/>
      <c r="Z44" s="720">
        <f>+'[9]eff all'!$Z$44:$AA$44</f>
        <v>0.86206949583301151</v>
      </c>
      <c r="AA44" s="721"/>
      <c r="AB44" s="721">
        <f>+'[9]eff all'!$AB$44:$AC$44</f>
        <v>0.90942581099977049</v>
      </c>
      <c r="AC44" s="721"/>
      <c r="AD44" s="714">
        <f>+'[9]eff all'!$AD$44:$AE$44</f>
        <v>1188.7909999999999</v>
      </c>
      <c r="AE44" s="714"/>
      <c r="AF44" s="714">
        <f>+'[9]eff all'!$AF$44:$AG$44</f>
        <v>106.25948485661435</v>
      </c>
      <c r="AG44" s="714"/>
      <c r="AH44" s="715">
        <f>+'[9]eff all'!$AH$44:$AI$44</f>
        <v>1.5097691688446497</v>
      </c>
      <c r="AI44" s="715"/>
      <c r="AJ44" s="715">
        <f>+'[9]eff all'!$AJ$44:$AK$44</f>
        <v>921.84495003747463</v>
      </c>
      <c r="AK44" s="715"/>
      <c r="AL44" s="714">
        <f>+'[9]eff all'!$AL$44:$AM$44</f>
        <v>7.5538929887591681</v>
      </c>
      <c r="AM44" s="719"/>
      <c r="AN44" s="720">
        <f>+'[9]eff all'!$AN$44:$AO$44</f>
        <v>0.9113017975148916</v>
      </c>
      <c r="AO44" s="721"/>
      <c r="AP44" s="721">
        <f>+'[9]eff all'!$AP$44:$AQ$44</f>
        <v>0.94321744444989342</v>
      </c>
      <c r="AQ44" s="721"/>
      <c r="AR44" s="722">
        <f>+'[9]eff all'!$AR$44:$AS$44</f>
        <v>1441.538</v>
      </c>
      <c r="AS44" s="722"/>
      <c r="AT44" s="714">
        <f>+'[9]eff all'!$AT$44:$AU$44</f>
        <v>98.381360721465839</v>
      </c>
      <c r="AU44" s="714"/>
      <c r="AV44" s="715">
        <f>+'[9]eff all'!$AV$44:$AW$44</f>
        <v>1.4245895703061591</v>
      </c>
      <c r="AW44" s="715"/>
      <c r="AX44" s="714">
        <f>+'[9]eff all'!$AX$44:$AY$44</f>
        <v>6.3755312952158888E-2</v>
      </c>
      <c r="AY44" s="714"/>
      <c r="AZ44" s="714">
        <f>+'[9]eff all'!$AZ$44:$BA$44</f>
        <v>884.49349236718024</v>
      </c>
      <c r="BA44" s="714"/>
      <c r="BB44" s="714">
        <f>+'[9]eff all'!$BB$44:$BC$44</f>
        <v>178.9753721372584</v>
      </c>
      <c r="BC44" s="638"/>
      <c r="BD44" s="637">
        <f>+'[9]eff all'!$BD$44:$BE$44</f>
        <v>0</v>
      </c>
      <c r="BE44" s="638"/>
      <c r="BF44" s="716">
        <f>+'[9]eff all'!$BF$44:$BG$44</f>
        <v>0.83968007638049036</v>
      </c>
      <c r="BG44" s="717"/>
      <c r="BH44" s="718">
        <f>+'[9]eff all'!$BH$44:$BI$44</f>
        <v>0.88025535162218882</v>
      </c>
      <c r="BI44" s="717"/>
      <c r="BJ44" s="719">
        <f>+'[9]eff all'!$BJ$44:$BK$44</f>
        <v>1283.7219999999998</v>
      </c>
      <c r="BK44" s="637"/>
      <c r="BL44" s="729">
        <f>+'[9]eff all'!$BL$44:$BM$44</f>
        <v>2.9010175100216404</v>
      </c>
      <c r="BM44" s="730"/>
      <c r="BN44" s="729">
        <f>+'[9]eff all'!$BN$44:$BO$44</f>
        <v>0</v>
      </c>
      <c r="BO44" s="730"/>
      <c r="BP44" s="719">
        <f>+'[9]eff all'!$BP$44:$BQ$44</f>
        <v>1018.1901188326394</v>
      </c>
      <c r="BQ44" s="637"/>
      <c r="BR44" s="719">
        <f>+'[9]eff all'!$BR$44:$BS$44</f>
        <v>0</v>
      </c>
      <c r="BS44" s="731"/>
      <c r="BT44" s="720">
        <f>+'[9]eff all'!$BT$44:$BU$44</f>
        <v>0.86479672437549404</v>
      </c>
      <c r="BU44" s="721"/>
      <c r="BV44" s="721">
        <f>+'[9]eff all'!$BV$44:$BW$44</f>
        <v>0.91368891665471463</v>
      </c>
      <c r="BW44" s="721"/>
      <c r="BX44" s="714">
        <f>+'[9]eff all'!$BX$44:$BY$44</f>
        <v>1364.9880000000001</v>
      </c>
      <c r="BY44" s="714"/>
      <c r="BZ44" s="715">
        <f>+'[9]eff all'!$BZ$44:$CA$44</f>
        <v>71.774411764880114</v>
      </c>
      <c r="CA44" s="715"/>
      <c r="CB44" s="715">
        <f>+'[9]eff all'!$CB$44:$CC$44</f>
        <v>1.9880760856505704</v>
      </c>
      <c r="CC44" s="715"/>
      <c r="CD44" s="715">
        <f>+'[9]eff all'!$CD$44:$CE$44</f>
        <v>0.17403816004243261</v>
      </c>
      <c r="CE44" s="715"/>
      <c r="CF44" s="714">
        <f>+'[9]eff all'!$CF$44:$CG$44</f>
        <v>844.20451628287208</v>
      </c>
      <c r="CG44" s="714"/>
      <c r="CH44" s="714">
        <f>+'[9]eff all'!$CH$44:$CI$44</f>
        <v>469.40954792276608</v>
      </c>
      <c r="CI44" s="638"/>
      <c r="CJ44" s="637">
        <f>+'[9]eff all'!$CJ$44:$CK$44</f>
        <v>0</v>
      </c>
      <c r="CK44" s="638"/>
    </row>
    <row r="45" spans="1:89">
      <c r="A45" s="568" t="s">
        <v>227</v>
      </c>
      <c r="B45" s="711">
        <f>+'[10]eff all'!$B$45:$C$45</f>
        <v>0.84979165368605014</v>
      </c>
      <c r="C45" s="704"/>
      <c r="D45" s="703">
        <f>+'[10]eff all'!$D$45:$E$45</f>
        <v>0.85889246846907286</v>
      </c>
      <c r="E45" s="704"/>
      <c r="F45" s="668">
        <f>+'[10]eff all'!$F$45:$G$45</f>
        <v>1534.4690000000003</v>
      </c>
      <c r="G45" s="676"/>
      <c r="H45" s="705">
        <f>+'[10]eff all'!$H$45:$I$45</f>
        <v>2.4307190304919817</v>
      </c>
      <c r="I45" s="639"/>
      <c r="J45" s="668">
        <f>+'[10]eff all'!$J$45:$K$45</f>
        <v>1009.2876688939294</v>
      </c>
      <c r="K45" s="713"/>
      <c r="L45" s="711">
        <f>+'[10]eff all'!$L$45:$M$45</f>
        <v>0.85741705611332952</v>
      </c>
      <c r="M45" s="704"/>
      <c r="N45" s="703">
        <f>+'[10]eff all'!$N$45:$O$45</f>
        <v>0.89481520731611941</v>
      </c>
      <c r="O45" s="704"/>
      <c r="P45" s="668">
        <f>+'[10]eff all'!$P$45:$Q$45</f>
        <v>1704.768</v>
      </c>
      <c r="Q45" s="676"/>
      <c r="R45" s="705">
        <f>+'[10]eff all'!$R$45:$S$45</f>
        <v>2.4058077110785745</v>
      </c>
      <c r="S45" s="639"/>
      <c r="T45" s="705">
        <f>+'[10]eff all'!$T$45:$U$45</f>
        <v>0.14817265457821827</v>
      </c>
      <c r="U45" s="639"/>
      <c r="V45" s="705">
        <f>+'[10]eff all'!$V$45:$W$45</f>
        <v>708.74890307654778</v>
      </c>
      <c r="W45" s="639"/>
      <c r="X45" s="705">
        <f>+'[10]eff all'!$X$45:$Y$45</f>
        <v>419.01830630326219</v>
      </c>
      <c r="Y45" s="706"/>
      <c r="Z45" s="708">
        <f>+'[10]eff all'!$Z$45:$AA$45</f>
        <v>0.87132155033301406</v>
      </c>
      <c r="AA45" s="709"/>
      <c r="AB45" s="709">
        <f>+'[10]eff all'!$AB$45:$AC$45</f>
        <v>0.87132155033301406</v>
      </c>
      <c r="AC45" s="709"/>
      <c r="AD45" s="650">
        <f>+'[10]eff all'!$AD$45:$AE$45</f>
        <v>1204.6450000000002</v>
      </c>
      <c r="AE45" s="650"/>
      <c r="AF45" s="707">
        <f>+'[10]eff all'!$AF$45:$AG$45</f>
        <v>105.43835507766659</v>
      </c>
      <c r="AG45" s="707"/>
      <c r="AH45" s="707">
        <f>+'[10]eff all'!$AH$45:$AI$45</f>
        <v>1.5603767084908828</v>
      </c>
      <c r="AI45" s="707"/>
      <c r="AJ45" s="707">
        <f>+'[10]eff all'!$AJ$45:$AK$45</f>
        <v>928.04959137339199</v>
      </c>
      <c r="AK45" s="707"/>
      <c r="AL45" s="650">
        <f>+'[10]eff all'!$AL$45:$AM$45</f>
        <v>0</v>
      </c>
      <c r="AM45" s="668"/>
      <c r="AN45" s="708">
        <f>+'[10]eff all'!$AN$45:$AO$45</f>
        <v>0.47758007033586591</v>
      </c>
      <c r="AO45" s="709"/>
      <c r="AP45" s="709">
        <f>+'[10]eff all'!$AP$45:$AQ$45</f>
        <v>0.8638562625636298</v>
      </c>
      <c r="AQ45" s="709"/>
      <c r="AR45" s="712">
        <f>+'[10]eff all'!$AR$45:$AS$45</f>
        <v>764.20999999999992</v>
      </c>
      <c r="AS45" s="712"/>
      <c r="AT45" s="707">
        <f>+'[10]eff all'!$AT$45:$AU$45</f>
        <v>117.91593614950136</v>
      </c>
      <c r="AU45" s="707"/>
      <c r="AV45" s="707">
        <f>+'[10]eff all'!$AV$45:$AW$45</f>
        <v>1.737087973201084</v>
      </c>
      <c r="AW45" s="707"/>
      <c r="AX45" s="707">
        <f>+'[10]eff all'!$AX$45:$AY$45</f>
        <v>0</v>
      </c>
      <c r="AY45" s="707"/>
      <c r="AZ45" s="650">
        <f>+'[10]eff all'!$AZ$45:$BA$45</f>
        <v>1171.1575352324626</v>
      </c>
      <c r="BA45" s="650"/>
      <c r="BB45" s="707">
        <f>+'[10]eff all'!$BB$45:$BC$45</f>
        <v>0</v>
      </c>
      <c r="BC45" s="640"/>
      <c r="BD45" s="676">
        <f>+'[10]eff all'!$BD$45:$BE$45</f>
        <v>23.422881145234534</v>
      </c>
      <c r="BE45" s="651"/>
      <c r="BF45" s="711">
        <f>+'[10]eff all'!$BF$45:$BG$45</f>
        <v>0.79411423930112257</v>
      </c>
      <c r="BG45" s="704"/>
      <c r="BH45" s="703">
        <f>+'[10]eff all'!$BH$45:$BI$45</f>
        <v>0.80751482141228126</v>
      </c>
      <c r="BI45" s="704"/>
      <c r="BJ45" s="668">
        <f>+'[10]eff all'!$BJ$45:$BK$45</f>
        <v>1316.4520000000002</v>
      </c>
      <c r="BK45" s="676"/>
      <c r="BL45" s="705">
        <f>+'[10]eff all'!$BL$45:$BM$45</f>
        <v>2.6146034948482737</v>
      </c>
      <c r="BM45" s="639"/>
      <c r="BN45" s="705">
        <f>+'[10]eff all'!$BN$45:$BO$45</f>
        <v>0</v>
      </c>
      <c r="BO45" s="639"/>
      <c r="BP45" s="668">
        <f>+'[10]eff all'!$BP$45:$BQ$45</f>
        <v>1083.3644303830235</v>
      </c>
      <c r="BQ45" s="676"/>
      <c r="BR45" s="705">
        <f>+'[10]eff all'!$BR$45:$BS$45</f>
        <v>0</v>
      </c>
      <c r="BS45" s="706"/>
      <c r="BT45" s="708">
        <f>+'[10]eff all'!$BT$45:$BU$45</f>
        <v>0.79215109753247104</v>
      </c>
      <c r="BU45" s="709"/>
      <c r="BV45" s="709">
        <f>+'[10]eff all'!$BV$45:$BW$45</f>
        <v>0.80246910810737848</v>
      </c>
      <c r="BW45" s="709"/>
      <c r="BX45" s="650">
        <f>+'[10]eff all'!$BX$45:$BY$45</f>
        <v>1219.0239999999997</v>
      </c>
      <c r="BY45" s="650"/>
      <c r="BZ45" s="707">
        <f>+'[10]eff all'!$BZ$45:$CA$45</f>
        <v>89.967609483204555</v>
      </c>
      <c r="CA45" s="707"/>
      <c r="CB45" s="707">
        <f>+'[10]eff all'!$CB$45:$CC$45</f>
        <v>2.2528678680649445</v>
      </c>
      <c r="CC45" s="707"/>
      <c r="CD45" s="707">
        <f>+'[10]eff all'!$CD$45:$CE$45</f>
        <v>0</v>
      </c>
      <c r="CE45" s="707"/>
      <c r="CF45" s="650">
        <f>+'[10]eff all'!$CF$45:$CG$45</f>
        <v>1093.3749039341374</v>
      </c>
      <c r="CG45" s="650"/>
      <c r="CH45" s="707">
        <f>+'[10]eff all'!$CH$45:$CI$45</f>
        <v>0</v>
      </c>
      <c r="CI45" s="640"/>
      <c r="CJ45" s="639">
        <f>+'[10]eff all'!$CJ$45:$CK$45</f>
        <v>3.7653073278297011</v>
      </c>
      <c r="CK45" s="640"/>
    </row>
    <row r="46" spans="1:89">
      <c r="A46" s="577" t="s">
        <v>228</v>
      </c>
      <c r="B46" s="700">
        <f>+'[11]eff all'!$B$46:$C$46</f>
        <v>0.83769523903512089</v>
      </c>
      <c r="C46" s="701"/>
      <c r="D46" s="702">
        <f>+'[11]eff all'!$D$46:$E$46</f>
        <v>0.8766254011798259</v>
      </c>
      <c r="E46" s="701"/>
      <c r="F46" s="669">
        <f>+'[11]eff all'!$F$46:$G$46</f>
        <v>1634.1919999999996</v>
      </c>
      <c r="G46" s="641"/>
      <c r="H46" s="696">
        <f>+'[11]eff all'!$H$46:$I$46</f>
        <v>2.3108465835103833</v>
      </c>
      <c r="I46" s="697"/>
      <c r="J46" s="669">
        <f>+'[11]eff all'!$J$46:$K$46</f>
        <v>925.52625884841029</v>
      </c>
      <c r="K46" s="710"/>
      <c r="L46" s="700">
        <f>+'[11]eff all'!$L$46:$M$46</f>
        <v>0.84617170172403267</v>
      </c>
      <c r="M46" s="701"/>
      <c r="N46" s="702">
        <f>+'[11]eff all'!$N$46:$O$46</f>
        <v>0.9204051477742291</v>
      </c>
      <c r="O46" s="701"/>
      <c r="P46" s="669">
        <f>+'[11]eff all'!$P$46:$Q$46</f>
        <v>1544.1629999999998</v>
      </c>
      <c r="Q46" s="641"/>
      <c r="R46" s="696">
        <f>+'[11]eff all'!$R$46:$S$46</f>
        <v>2.2768451258060192</v>
      </c>
      <c r="S46" s="697"/>
      <c r="T46" s="696">
        <f>+'[11]eff all'!$T$46:$U$46</f>
        <v>0.21063190867803475</v>
      </c>
      <c r="U46" s="697"/>
      <c r="V46" s="669">
        <f>+'[11]eff all'!$V$46:$W$46</f>
        <v>556.96866198710893</v>
      </c>
      <c r="W46" s="641"/>
      <c r="X46" s="696">
        <f>+'[11]eff all'!$X$46:$Y$46</f>
        <v>505.65160543284605</v>
      </c>
      <c r="Y46" s="698"/>
      <c r="Z46" s="699">
        <f>+'[11]eff all'!$Z$46:$AA$46</f>
        <v>0.81429519491858005</v>
      </c>
      <c r="AA46" s="680"/>
      <c r="AB46" s="680">
        <f>+'[11]eff all'!$AB$46:$AC$46</f>
        <v>0.84116945725970971</v>
      </c>
      <c r="AC46" s="680"/>
      <c r="AD46" s="656">
        <f>+'[11]eff all'!$AD$46:$AE$46</f>
        <v>1037.251</v>
      </c>
      <c r="AE46" s="656"/>
      <c r="AF46" s="656">
        <f>+'[11]eff all'!$AF$46:$AG$46</f>
        <v>107.29574153254443</v>
      </c>
      <c r="AG46" s="656"/>
      <c r="AH46" s="667">
        <f>+'[11]eff all'!$AH$46:$AI$46</f>
        <v>1.536754363215846</v>
      </c>
      <c r="AI46" s="667"/>
      <c r="AJ46" s="667">
        <f>+'[11]eff all'!$AJ$46:$AK$46</f>
        <v>927.08314573810958</v>
      </c>
      <c r="AK46" s="667"/>
      <c r="AL46" s="656">
        <f>+'[11]eff all'!$AL$46:$AM$46</f>
        <v>0</v>
      </c>
      <c r="AM46" s="669"/>
      <c r="AN46" s="699">
        <f>+'[11]eff all'!$AN$46:$AO$46</f>
        <v>0.88342597272628431</v>
      </c>
      <c r="AO46" s="680"/>
      <c r="AP46" s="680">
        <f>+'[11]eff all'!$AP$46:$AQ$46</f>
        <v>0.90448559347378232</v>
      </c>
      <c r="AQ46" s="680"/>
      <c r="AR46" s="681">
        <f>+'[11]eff all'!$AR$46:$AS$46</f>
        <v>1294.864</v>
      </c>
      <c r="AS46" s="681"/>
      <c r="AT46" s="656">
        <f>+'[11]eff all'!$AT$46:$AU$46</f>
        <v>106.60047579603155</v>
      </c>
      <c r="AU46" s="656"/>
      <c r="AV46" s="667">
        <f>+'[11]eff all'!$AV$46:$AW$46</f>
        <v>1.7585630614489243</v>
      </c>
      <c r="AW46" s="667"/>
      <c r="AX46" s="667">
        <f>+'[11]eff all'!$AX$46:$AY$46</f>
        <v>7.321232191179923E-2</v>
      </c>
      <c r="AY46" s="667"/>
      <c r="AZ46" s="656">
        <f>+'[11]eff all'!$AZ$46:$BA$46</f>
        <v>932.75272152133323</v>
      </c>
      <c r="BA46" s="656"/>
      <c r="BB46" s="656">
        <f>+'[11]eff all'!$BB$46:$BC$46</f>
        <v>205.07134339976946</v>
      </c>
      <c r="BC46" s="642"/>
      <c r="BD46" s="641">
        <f>+'[11]eff all'!$BD$46:$BE$46</f>
        <v>0</v>
      </c>
      <c r="BE46" s="642"/>
      <c r="BF46" s="700">
        <f>+'[11]eff all'!$BF$46:$BG$46</f>
        <v>0.85694754288718977</v>
      </c>
      <c r="BG46" s="701"/>
      <c r="BH46" s="702">
        <f>+'[11]eff all'!$BH$46:$BI$46</f>
        <v>0.88509205317544382</v>
      </c>
      <c r="BI46" s="701"/>
      <c r="BJ46" s="669">
        <f>+'[11]eff all'!$BJ$46:$BK$46</f>
        <v>1241.78</v>
      </c>
      <c r="BK46" s="641"/>
      <c r="BL46" s="669">
        <f>+'[11]eff all'!$BL$46:$BM$46</f>
        <v>2.5784760585610975</v>
      </c>
      <c r="BM46" s="641"/>
      <c r="BN46" s="696">
        <f>+'[11]eff all'!$BN$46:$BO$46</f>
        <v>0</v>
      </c>
      <c r="BO46" s="697"/>
      <c r="BP46" s="669">
        <f>+'[11]eff all'!$BP$46:$BQ$46</f>
        <v>1074.7242034080921</v>
      </c>
      <c r="BQ46" s="641"/>
      <c r="BR46" s="696">
        <f>+'[11]eff all'!$BR$46:$BS$46</f>
        <v>0</v>
      </c>
      <c r="BS46" s="698"/>
      <c r="BT46" s="699">
        <f>+'[11]eff all'!$BT$46:$BU$46</f>
        <v>0.52741321849552625</v>
      </c>
      <c r="BU46" s="680"/>
      <c r="BV46" s="680">
        <f>+'[11]eff all'!$BV$46:$BW$46</f>
        <v>0.87317352495084033</v>
      </c>
      <c r="BW46" s="680"/>
      <c r="BX46" s="656">
        <f>+'[11]eff all'!$BX$46:$BY$46</f>
        <v>769.93799999999987</v>
      </c>
      <c r="BY46" s="656"/>
      <c r="BZ46" s="667">
        <f>+'[11]eff all'!$BZ$46:$CA$46</f>
        <v>79.808070660850817</v>
      </c>
      <c r="CA46" s="667"/>
      <c r="CB46" s="667">
        <f>+'[11]eff all'!$CB$46:$CC$46</f>
        <v>2.0515937646927416</v>
      </c>
      <c r="CC46" s="667"/>
      <c r="CD46" s="667">
        <f>+'[11]eff all'!$CD$46:$CE$46</f>
        <v>7.8512815317597004E-2</v>
      </c>
      <c r="CE46" s="667"/>
      <c r="CF46" s="656">
        <f>+'[11]eff all'!$CF$46:$CG$46</f>
        <v>1021.1664039077168</v>
      </c>
      <c r="CG46" s="656"/>
      <c r="CH46" s="656">
        <f>+'[11]eff all'!$CH$46:$CI$46</f>
        <v>210.64553249742193</v>
      </c>
      <c r="CI46" s="642"/>
      <c r="CJ46" s="641">
        <f>+'[11]eff all'!$CJ$46:$CK$46</f>
        <v>0</v>
      </c>
      <c r="CK46" s="642"/>
    </row>
    <row r="47" spans="1:89" ht="13.5" thickBot="1">
      <c r="A47" s="578" t="s">
        <v>229</v>
      </c>
      <c r="B47" s="691">
        <f>+'[12]eff all'!$B$47:$C$47</f>
        <v>0.83356468968646791</v>
      </c>
      <c r="C47" s="692"/>
      <c r="D47" s="693">
        <f>+'[12]eff all'!$D$47:$E$47</f>
        <v>0.83361178337123676</v>
      </c>
      <c r="E47" s="692"/>
      <c r="F47" s="670">
        <f>+'[12]eff all'!$F$47:$G$47</f>
        <v>1793.9010000000003</v>
      </c>
      <c r="G47" s="643"/>
      <c r="H47" s="686">
        <f>+'[12]eff all'!$H$47:$I$47</f>
        <v>2.2654867799282119</v>
      </c>
      <c r="I47" s="687"/>
      <c r="J47" s="670">
        <f>+'[12]eff all'!$J$47:$K$47</f>
        <v>869.87488161275269</v>
      </c>
      <c r="K47" s="695"/>
      <c r="L47" s="691">
        <f>+'[12]eff all'!$L$47:$M$47</f>
        <v>0.92571232966703221</v>
      </c>
      <c r="M47" s="692"/>
      <c r="N47" s="693">
        <f>+'[12]eff all'!$N$47:$O$47</f>
        <v>0.92998023945781472</v>
      </c>
      <c r="O47" s="692"/>
      <c r="P47" s="670">
        <f>+'[12]eff all'!$P$47:$Q$47</f>
        <v>1900.5750000000003</v>
      </c>
      <c r="Q47" s="643"/>
      <c r="R47" s="686">
        <f>+'[12]eff all'!$R$47:$S$47</f>
        <v>2.404628073083146</v>
      </c>
      <c r="S47" s="687"/>
      <c r="T47" s="686">
        <f>+'[12]eff all'!$T$47:$U$47</f>
        <v>0.23240335161727366</v>
      </c>
      <c r="U47" s="687"/>
      <c r="V47" s="670">
        <f>+'[12]eff all'!$V$47:$W$47</f>
        <v>527.49748365626192</v>
      </c>
      <c r="W47" s="643"/>
      <c r="X47" s="686">
        <f>+'[12]eff all'!$X$47:$Y$47</f>
        <v>446.15971482314541</v>
      </c>
      <c r="Y47" s="688"/>
      <c r="Z47" s="689">
        <f>+'[12]eff all'!$Z$47:$AA$47</f>
        <v>0.89180765054163103</v>
      </c>
      <c r="AA47" s="690"/>
      <c r="AB47" s="690">
        <f>+'[12]eff all'!$AB$47:$AC$47</f>
        <v>0.89180765054163103</v>
      </c>
      <c r="AC47" s="690"/>
      <c r="AD47" s="665">
        <f>+'[12]eff all'!$AD$47:$AE$47</f>
        <v>1235.4100000000003</v>
      </c>
      <c r="AE47" s="665"/>
      <c r="AF47" s="666">
        <f>+'[12]eff all'!$AF$47:$AG$47</f>
        <v>96.393123699060041</v>
      </c>
      <c r="AG47" s="666"/>
      <c r="AH47" s="665">
        <f>+'[12]eff all'!$AH$47:$AI$47</f>
        <v>1.4614581394031132</v>
      </c>
      <c r="AI47" s="665"/>
      <c r="AJ47" s="665">
        <f>+'[12]eff all'!$AJ$47:$AK$47</f>
        <v>901.21823524174181</v>
      </c>
      <c r="AK47" s="665"/>
      <c r="AL47" s="666">
        <f>+'[12]eff all'!$AL$47:$AM$47</f>
        <v>0</v>
      </c>
      <c r="AM47" s="670"/>
      <c r="AN47" s="689">
        <f>+'[12]eff all'!$AN$47:$AO$47</f>
        <v>0.65645764284355046</v>
      </c>
      <c r="AO47" s="690"/>
      <c r="AP47" s="690">
        <f>+'[12]eff all'!$AP$47:$AQ$47</f>
        <v>0.84659221514529037</v>
      </c>
      <c r="AQ47" s="690"/>
      <c r="AR47" s="694">
        <f>+'[12]eff all'!$AR$47:$AS$47</f>
        <v>1045.3910000000001</v>
      </c>
      <c r="AS47" s="694"/>
      <c r="AT47" s="666">
        <f>+'[12]eff all'!$AT$47:$AU$47</f>
        <v>0</v>
      </c>
      <c r="AU47" s="666"/>
      <c r="AV47" s="665">
        <f>+'[12]eff all'!$AV$47:$AW$47</f>
        <v>1.7690031768017898</v>
      </c>
      <c r="AW47" s="665"/>
      <c r="AX47" s="665">
        <f>+'[12]eff all'!$AX$47:$AY$47</f>
        <v>9.0148088131617746E-2</v>
      </c>
      <c r="AY47" s="665"/>
      <c r="AZ47" s="666">
        <f>+'[12]eff all'!$AZ$47:$BA$47</f>
        <v>1055.9628120004859</v>
      </c>
      <c r="BA47" s="666"/>
      <c r="BB47" s="666">
        <f>+'[12]eff all'!$BB$47:$BC$47</f>
        <v>340.1813292825363</v>
      </c>
      <c r="BC47" s="644"/>
      <c r="BD47" s="643">
        <f>+'[12]eff all'!$BD$47:$BE$47</f>
        <v>7.6095929656941745</v>
      </c>
      <c r="BE47" s="644"/>
      <c r="BF47" s="691">
        <f>+'[12]eff all'!$BF$47:$BG$47</f>
        <v>0.90491767701928916</v>
      </c>
      <c r="BG47" s="692"/>
      <c r="BH47" s="693">
        <f>+'[12]eff all'!$BH$47:$BI$47</f>
        <v>0.90491767701928916</v>
      </c>
      <c r="BI47" s="692"/>
      <c r="BJ47" s="670">
        <f>+'[12]eff all'!$BJ$47:$BK$47</f>
        <v>1444.9050000000002</v>
      </c>
      <c r="BK47" s="643"/>
      <c r="BL47" s="670">
        <f>+'[12]eff all'!$BL$47:$BM$47</f>
        <v>2.4918593263916997</v>
      </c>
      <c r="BM47" s="643"/>
      <c r="BN47" s="686">
        <f>+'[12]eff all'!$BN$47:$BO$47</f>
        <v>0</v>
      </c>
      <c r="BO47" s="687"/>
      <c r="BP47" s="670">
        <f>+'[12]eff all'!$BP$47:$BQ$47</f>
        <v>1021.2881687593227</v>
      </c>
      <c r="BQ47" s="643"/>
      <c r="BR47" s="686">
        <f>+'[12]eff all'!$BR$47:$BS$47</f>
        <v>0</v>
      </c>
      <c r="BS47" s="688"/>
      <c r="BT47" s="689">
        <f>+'[12]eff all'!$BT$47:$BU$47</f>
        <v>0.83316575545335458</v>
      </c>
      <c r="BU47" s="690"/>
      <c r="BV47" s="690">
        <f>+'[12]eff all'!$BV$47:$BW$47</f>
        <v>0.84218323358645453</v>
      </c>
      <c r="BW47" s="690"/>
      <c r="BX47" s="666">
        <f>+'[12]eff all'!$BX$47:$BY$47</f>
        <v>1301.6999999999998</v>
      </c>
      <c r="BY47" s="666"/>
      <c r="BZ47" s="665">
        <f>+'[12]eff all'!$BZ$47:$CA$47</f>
        <v>87.852276445978333</v>
      </c>
      <c r="CA47" s="665"/>
      <c r="CB47" s="665">
        <f>+'[12]eff all'!$CB$47:$CC$47</f>
        <v>1.9540600752861652</v>
      </c>
      <c r="CC47" s="665"/>
      <c r="CD47" s="665">
        <f>+'[12]eff all'!$CD$47:$CE$47</f>
        <v>9.0078359068909902E-2</v>
      </c>
      <c r="CE47" s="665"/>
      <c r="CF47" s="666">
        <f>+'[12]eff all'!$CF$47:$CG$47</f>
        <v>925.71845933687518</v>
      </c>
      <c r="CG47" s="666"/>
      <c r="CH47" s="666">
        <f>+'[12]eff all'!$CH$47:$CI$47</f>
        <v>294.56672044249837</v>
      </c>
      <c r="CI47" s="644"/>
      <c r="CJ47" s="643">
        <f>+'[12]eff all'!$CJ$47:$CK$47</f>
        <v>8.7308903741261457</v>
      </c>
      <c r="CK47" s="644"/>
    </row>
    <row r="49" spans="1:2">
      <c r="A49" s="593"/>
      <c r="B49" s="594"/>
    </row>
    <row r="50" spans="1:2">
      <c r="B50" s="594"/>
    </row>
  </sheetData>
  <mergeCells count="579">
    <mergeCell ref="V36:W36"/>
    <mergeCell ref="AV36:AW36"/>
    <mergeCell ref="AX36:AY36"/>
    <mergeCell ref="AZ36:BA36"/>
    <mergeCell ref="BB36:BC36"/>
    <mergeCell ref="BF36:BG36"/>
    <mergeCell ref="D36:E36"/>
    <mergeCell ref="N36:O36"/>
    <mergeCell ref="AB36:AC36"/>
    <mergeCell ref="D37:E37"/>
    <mergeCell ref="N37:O37"/>
    <mergeCell ref="AB37:AC37"/>
    <mergeCell ref="A1:A3"/>
    <mergeCell ref="B1:K1"/>
    <mergeCell ref="L1:Y1"/>
    <mergeCell ref="BF1:BS1"/>
    <mergeCell ref="T2:U2"/>
    <mergeCell ref="V2:W2"/>
    <mergeCell ref="X2:Y2"/>
    <mergeCell ref="Z2:AA2"/>
    <mergeCell ref="AH2:AI2"/>
    <mergeCell ref="AJ2:AK2"/>
    <mergeCell ref="AN2:AO2"/>
    <mergeCell ref="B36:C36"/>
    <mergeCell ref="F36:G36"/>
    <mergeCell ref="H36:I36"/>
    <mergeCell ref="J36:K36"/>
    <mergeCell ref="L36:M36"/>
    <mergeCell ref="P36:Q36"/>
    <mergeCell ref="BP2:BQ2"/>
    <mergeCell ref="BR2:BS2"/>
    <mergeCell ref="R36:S36"/>
    <mergeCell ref="T36:U36"/>
    <mergeCell ref="BZ2:CA2"/>
    <mergeCell ref="BB2:BC2"/>
    <mergeCell ref="BF2:BG2"/>
    <mergeCell ref="BH2:BI2"/>
    <mergeCell ref="BJ2:BK2"/>
    <mergeCell ref="CH2:CI2"/>
    <mergeCell ref="D39:E39"/>
    <mergeCell ref="N39:O39"/>
    <mergeCell ref="T39:U39"/>
    <mergeCell ref="AR2:AS2"/>
    <mergeCell ref="AF36:AG36"/>
    <mergeCell ref="AH36:AI36"/>
    <mergeCell ref="AJ36:AK36"/>
    <mergeCell ref="AN36:AO36"/>
    <mergeCell ref="AP36:AQ36"/>
    <mergeCell ref="AR36:AS36"/>
    <mergeCell ref="X36:Y36"/>
    <mergeCell ref="Z36:AA36"/>
    <mergeCell ref="AD36:AE36"/>
    <mergeCell ref="BL36:BM36"/>
    <mergeCell ref="BL2:BM2"/>
    <mergeCell ref="BN2:BO2"/>
    <mergeCell ref="BN36:BO36"/>
    <mergeCell ref="BP36:BQ36"/>
    <mergeCell ref="AT2:AU2"/>
    <mergeCell ref="AV2:AW2"/>
    <mergeCell ref="AX2:AY2"/>
    <mergeCell ref="AZ2:BA2"/>
    <mergeCell ref="AB2:AC2"/>
    <mergeCell ref="AD2:AE2"/>
    <mergeCell ref="AF2:AG2"/>
    <mergeCell ref="BV2:BW2"/>
    <mergeCell ref="BX2:BY2"/>
    <mergeCell ref="BT2:BU2"/>
    <mergeCell ref="AP2:AQ2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Z37:AA37"/>
    <mergeCell ref="AD37:AE37"/>
    <mergeCell ref="AF37:AG37"/>
    <mergeCell ref="AH37:AI37"/>
    <mergeCell ref="CF36:CG36"/>
    <mergeCell ref="AN37:AO37"/>
    <mergeCell ref="AP37:AQ37"/>
    <mergeCell ref="AR37:AS37"/>
    <mergeCell ref="AT37:AU37"/>
    <mergeCell ref="AV37:AW37"/>
    <mergeCell ref="BX37:BY37"/>
    <mergeCell ref="BZ37:CA37"/>
    <mergeCell ref="CB37:CC37"/>
    <mergeCell ref="CD37:CE37"/>
    <mergeCell ref="CF37:CG37"/>
    <mergeCell ref="BB37:BC37"/>
    <mergeCell ref="BF37:BG37"/>
    <mergeCell ref="BH37:BI37"/>
    <mergeCell ref="BJ37:BK37"/>
    <mergeCell ref="AJ37:AK37"/>
    <mergeCell ref="BR36:BS36"/>
    <mergeCell ref="AT36:AU36"/>
    <mergeCell ref="CB2:CC2"/>
    <mergeCell ref="CD2:CE2"/>
    <mergeCell ref="CF2:CG2"/>
    <mergeCell ref="AL2:AM2"/>
    <mergeCell ref="AL36:AM36"/>
    <mergeCell ref="CH36:CI36"/>
    <mergeCell ref="B37:C37"/>
    <mergeCell ref="F37:G37"/>
    <mergeCell ref="H37:I37"/>
    <mergeCell ref="J37:K37"/>
    <mergeCell ref="L37:M37"/>
    <mergeCell ref="P37:Q37"/>
    <mergeCell ref="R37:S37"/>
    <mergeCell ref="T37:U37"/>
    <mergeCell ref="BT36:BU36"/>
    <mergeCell ref="BV36:BW36"/>
    <mergeCell ref="BX36:BY36"/>
    <mergeCell ref="BZ36:CA36"/>
    <mergeCell ref="CB36:CC36"/>
    <mergeCell ref="CD36:CE36"/>
    <mergeCell ref="BH36:BI36"/>
    <mergeCell ref="BJ36:BK36"/>
    <mergeCell ref="AX37:AY37"/>
    <mergeCell ref="AZ37:BA37"/>
    <mergeCell ref="CH37:CI37"/>
    <mergeCell ref="BL37:BM37"/>
    <mergeCell ref="BN37:BO37"/>
    <mergeCell ref="BP37:BQ37"/>
    <mergeCell ref="BR37:BS37"/>
    <mergeCell ref="BT37:BU37"/>
    <mergeCell ref="BV37:BW37"/>
    <mergeCell ref="R38:S38"/>
    <mergeCell ref="T38:U38"/>
    <mergeCell ref="V38:W38"/>
    <mergeCell ref="X38:Y38"/>
    <mergeCell ref="Z38:AA38"/>
    <mergeCell ref="AD38:AE38"/>
    <mergeCell ref="BF38:BG38"/>
    <mergeCell ref="CF38:CG38"/>
    <mergeCell ref="CH38:CI38"/>
    <mergeCell ref="BV38:BW38"/>
    <mergeCell ref="BX38:BY38"/>
    <mergeCell ref="BZ38:CA38"/>
    <mergeCell ref="CB38:CC38"/>
    <mergeCell ref="CD38:CE38"/>
    <mergeCell ref="AL37:AM37"/>
    <mergeCell ref="V37:W37"/>
    <mergeCell ref="X37:Y37"/>
    <mergeCell ref="B38:C38"/>
    <mergeCell ref="F38:G38"/>
    <mergeCell ref="H38:I38"/>
    <mergeCell ref="J38:K38"/>
    <mergeCell ref="L38:M38"/>
    <mergeCell ref="P38:Q38"/>
    <mergeCell ref="AX38:AY38"/>
    <mergeCell ref="AZ38:BA38"/>
    <mergeCell ref="BB38:BC38"/>
    <mergeCell ref="AF38:AG38"/>
    <mergeCell ref="AH38:AI38"/>
    <mergeCell ref="AJ38:AK38"/>
    <mergeCell ref="AN38:AO38"/>
    <mergeCell ref="AP38:AQ38"/>
    <mergeCell ref="AR38:AS38"/>
    <mergeCell ref="D38:E38"/>
    <mergeCell ref="N38:O38"/>
    <mergeCell ref="AB38:AC38"/>
    <mergeCell ref="AL38:AM38"/>
    <mergeCell ref="B39:C39"/>
    <mergeCell ref="F39:G39"/>
    <mergeCell ref="H39:I39"/>
    <mergeCell ref="J39:K39"/>
    <mergeCell ref="L39:M39"/>
    <mergeCell ref="P39:Q39"/>
    <mergeCell ref="R39:S39"/>
    <mergeCell ref="V39:W39"/>
    <mergeCell ref="BT38:BU38"/>
    <mergeCell ref="BH38:BI38"/>
    <mergeCell ref="BJ38:BK38"/>
    <mergeCell ref="BL38:BM38"/>
    <mergeCell ref="BN38:BO38"/>
    <mergeCell ref="BP38:BQ38"/>
    <mergeCell ref="BR38:BS38"/>
    <mergeCell ref="AT38:AU38"/>
    <mergeCell ref="AV38:AW38"/>
    <mergeCell ref="AR39:AS39"/>
    <mergeCell ref="AT39:AU39"/>
    <mergeCell ref="AV39:AW39"/>
    <mergeCell ref="AX39:AY39"/>
    <mergeCell ref="X39:Y39"/>
    <mergeCell ref="Z39:AA39"/>
    <mergeCell ref="AD39:AE39"/>
    <mergeCell ref="AF39:AG39"/>
    <mergeCell ref="AH39:AI39"/>
    <mergeCell ref="AJ39:AK39"/>
    <mergeCell ref="AB39:AC39"/>
    <mergeCell ref="BZ39:CA39"/>
    <mergeCell ref="CB39:CC39"/>
    <mergeCell ref="CD39:CE39"/>
    <mergeCell ref="CF39:CG39"/>
    <mergeCell ref="CH39:CI39"/>
    <mergeCell ref="BV39:BW39"/>
    <mergeCell ref="BX39:BY39"/>
    <mergeCell ref="AL39:AM39"/>
    <mergeCell ref="B40:C40"/>
    <mergeCell ref="F40:G40"/>
    <mergeCell ref="H40:I40"/>
    <mergeCell ref="J40:K40"/>
    <mergeCell ref="L40:M40"/>
    <mergeCell ref="BN39:BO39"/>
    <mergeCell ref="BP39:BQ39"/>
    <mergeCell ref="BR39:BS39"/>
    <mergeCell ref="BT39:BU39"/>
    <mergeCell ref="AZ39:BA39"/>
    <mergeCell ref="BB39:BC39"/>
    <mergeCell ref="BF39:BG39"/>
    <mergeCell ref="BH39:BI39"/>
    <mergeCell ref="BJ39:BK39"/>
    <mergeCell ref="BL39:BM39"/>
    <mergeCell ref="AN39:AO39"/>
    <mergeCell ref="AP39:AQ39"/>
    <mergeCell ref="AF40:AG40"/>
    <mergeCell ref="AH40:AI40"/>
    <mergeCell ref="AJ40:AK40"/>
    <mergeCell ref="AN40:AO40"/>
    <mergeCell ref="AP40:AQ40"/>
    <mergeCell ref="AR40:AS40"/>
    <mergeCell ref="P40:Q40"/>
    <mergeCell ref="R40:S40"/>
    <mergeCell ref="V40:W40"/>
    <mergeCell ref="X40:Y40"/>
    <mergeCell ref="Z40:AA40"/>
    <mergeCell ref="AD40:AE40"/>
    <mergeCell ref="BL40:BM40"/>
    <mergeCell ref="BN40:BO40"/>
    <mergeCell ref="BP40:BQ40"/>
    <mergeCell ref="BR40:BS40"/>
    <mergeCell ref="AT40:AU40"/>
    <mergeCell ref="AV40:AW40"/>
    <mergeCell ref="AX40:AY40"/>
    <mergeCell ref="AZ40:BA40"/>
    <mergeCell ref="BB40:BC40"/>
    <mergeCell ref="BF40:BG40"/>
    <mergeCell ref="AL40:AM40"/>
    <mergeCell ref="R41:S41"/>
    <mergeCell ref="T41:U41"/>
    <mergeCell ref="V41:W41"/>
    <mergeCell ref="X41:Y41"/>
    <mergeCell ref="Z41:AA41"/>
    <mergeCell ref="AB41:AC41"/>
    <mergeCell ref="CF40:CG40"/>
    <mergeCell ref="CH40:CI40"/>
    <mergeCell ref="B41:C41"/>
    <mergeCell ref="D41:E41"/>
    <mergeCell ref="F41:G41"/>
    <mergeCell ref="H41:I41"/>
    <mergeCell ref="J41:K41"/>
    <mergeCell ref="L41:M41"/>
    <mergeCell ref="N41:O41"/>
    <mergeCell ref="P41:Q41"/>
    <mergeCell ref="BT40:BU40"/>
    <mergeCell ref="BV40:BW40"/>
    <mergeCell ref="BX40:BY40"/>
    <mergeCell ref="BZ40:CA40"/>
    <mergeCell ref="CB40:CC40"/>
    <mergeCell ref="CD40:CE40"/>
    <mergeCell ref="BH40:BI40"/>
    <mergeCell ref="BJ40:BK40"/>
    <mergeCell ref="BN41:BO41"/>
    <mergeCell ref="BP41:BQ41"/>
    <mergeCell ref="AR41:AS41"/>
    <mergeCell ref="AT41:AU41"/>
    <mergeCell ref="AV41:AW41"/>
    <mergeCell ref="AX41:AY41"/>
    <mergeCell ref="AZ41:BA41"/>
    <mergeCell ref="BB41:BC41"/>
    <mergeCell ref="AD41:AE41"/>
    <mergeCell ref="AF41:AG41"/>
    <mergeCell ref="AH41:AI41"/>
    <mergeCell ref="AJ41:AK41"/>
    <mergeCell ref="AN41:AO41"/>
    <mergeCell ref="AP41:AQ41"/>
    <mergeCell ref="AL41:AM41"/>
    <mergeCell ref="P42:Q42"/>
    <mergeCell ref="R42:S42"/>
    <mergeCell ref="T42:U42"/>
    <mergeCell ref="V42:W42"/>
    <mergeCell ref="CD41:CE41"/>
    <mergeCell ref="CF41:CG41"/>
    <mergeCell ref="CH41:CI41"/>
    <mergeCell ref="B42:C42"/>
    <mergeCell ref="D42:E42"/>
    <mergeCell ref="F42:G42"/>
    <mergeCell ref="H42:I42"/>
    <mergeCell ref="J42:K42"/>
    <mergeCell ref="L42:M42"/>
    <mergeCell ref="N42:O42"/>
    <mergeCell ref="BR41:BS41"/>
    <mergeCell ref="BT41:BU41"/>
    <mergeCell ref="BV41:BW41"/>
    <mergeCell ref="BX41:BY41"/>
    <mergeCell ref="BZ41:CA41"/>
    <mergeCell ref="CB41:CC41"/>
    <mergeCell ref="BF41:BG41"/>
    <mergeCell ref="BH41:BI41"/>
    <mergeCell ref="BJ41:BK41"/>
    <mergeCell ref="BL41:BM41"/>
    <mergeCell ref="CH43:CI43"/>
    <mergeCell ref="BV43:BW43"/>
    <mergeCell ref="BX43:BY43"/>
    <mergeCell ref="AL42:AM42"/>
    <mergeCell ref="B43:C43"/>
    <mergeCell ref="D43:E43"/>
    <mergeCell ref="F43:G43"/>
    <mergeCell ref="H43:I43"/>
    <mergeCell ref="J43:K43"/>
    <mergeCell ref="L43:M43"/>
    <mergeCell ref="BP42:BQ42"/>
    <mergeCell ref="BR42:BS42"/>
    <mergeCell ref="BT42:BU42"/>
    <mergeCell ref="BB42:BC42"/>
    <mergeCell ref="BF42:BG42"/>
    <mergeCell ref="BH42:BI42"/>
    <mergeCell ref="BJ42:BK42"/>
    <mergeCell ref="BL42:BM42"/>
    <mergeCell ref="BN42:BO42"/>
    <mergeCell ref="AP42:AQ42"/>
    <mergeCell ref="AR42:AS42"/>
    <mergeCell ref="AT42:AU42"/>
    <mergeCell ref="AV42:AW42"/>
    <mergeCell ref="AX42:AY42"/>
    <mergeCell ref="AH44:AI44"/>
    <mergeCell ref="L44:M44"/>
    <mergeCell ref="N44:O44"/>
    <mergeCell ref="P44:Q44"/>
    <mergeCell ref="X42:Y42"/>
    <mergeCell ref="Z42:AA42"/>
    <mergeCell ref="AR43:AS43"/>
    <mergeCell ref="AT43:AU43"/>
    <mergeCell ref="CH42:CI42"/>
    <mergeCell ref="BV42:BW42"/>
    <mergeCell ref="BX42:BY42"/>
    <mergeCell ref="BZ42:CA42"/>
    <mergeCell ref="CB42:CC42"/>
    <mergeCell ref="CD42:CE42"/>
    <mergeCell ref="CF42:CG42"/>
    <mergeCell ref="AZ42:BA42"/>
    <mergeCell ref="AB42:AC42"/>
    <mergeCell ref="AD42:AE42"/>
    <mergeCell ref="AF42:AG42"/>
    <mergeCell ref="AH42:AI42"/>
    <mergeCell ref="AJ42:AK42"/>
    <mergeCell ref="AN42:AO42"/>
    <mergeCell ref="CD43:CE43"/>
    <mergeCell ref="CF43:CG43"/>
    <mergeCell ref="AD43:AE43"/>
    <mergeCell ref="AF43:AG43"/>
    <mergeCell ref="AH43:AI43"/>
    <mergeCell ref="AJ43:AK43"/>
    <mergeCell ref="BZ43:CA43"/>
    <mergeCell ref="B44:C44"/>
    <mergeCell ref="D44:E44"/>
    <mergeCell ref="F44:G44"/>
    <mergeCell ref="H44:I44"/>
    <mergeCell ref="J44:K44"/>
    <mergeCell ref="BN43:BO43"/>
    <mergeCell ref="BP43:BQ43"/>
    <mergeCell ref="BR43:BS43"/>
    <mergeCell ref="BT43:BU43"/>
    <mergeCell ref="AZ43:BA43"/>
    <mergeCell ref="BB43:BC43"/>
    <mergeCell ref="BF43:BG43"/>
    <mergeCell ref="BH43:BI43"/>
    <mergeCell ref="BJ43:BK43"/>
    <mergeCell ref="BL43:BM43"/>
    <mergeCell ref="AN43:AO43"/>
    <mergeCell ref="AP43:AQ43"/>
    <mergeCell ref="X44:Y44"/>
    <mergeCell ref="AV43:AW43"/>
    <mergeCell ref="N43:O43"/>
    <mergeCell ref="P43:Q43"/>
    <mergeCell ref="R43:S43"/>
    <mergeCell ref="T43:U43"/>
    <mergeCell ref="V43:W43"/>
    <mergeCell ref="X43:Y43"/>
    <mergeCell ref="CD44:CE44"/>
    <mergeCell ref="CF44:CG44"/>
    <mergeCell ref="CH44:CI44"/>
    <mergeCell ref="BL44:BM44"/>
    <mergeCell ref="BN44:BO44"/>
    <mergeCell ref="BP44:BQ44"/>
    <mergeCell ref="BR44:BS44"/>
    <mergeCell ref="BT44:BU44"/>
    <mergeCell ref="BV44:BW44"/>
    <mergeCell ref="AL43:AM43"/>
    <mergeCell ref="AL44:AM44"/>
    <mergeCell ref="R44:S44"/>
    <mergeCell ref="T44:U44"/>
    <mergeCell ref="V44:W44"/>
    <mergeCell ref="CB43:CC43"/>
    <mergeCell ref="AX43:AY43"/>
    <mergeCell ref="Z43:AA43"/>
    <mergeCell ref="AB43:AC43"/>
    <mergeCell ref="D45:E45"/>
    <mergeCell ref="F45:G45"/>
    <mergeCell ref="H45:I45"/>
    <mergeCell ref="J45:K45"/>
    <mergeCell ref="L45:M45"/>
    <mergeCell ref="BX44:BY44"/>
    <mergeCell ref="BZ44:CA44"/>
    <mergeCell ref="CB44:CC44"/>
    <mergeCell ref="AX44:AY44"/>
    <mergeCell ref="AZ44:BA44"/>
    <mergeCell ref="BB44:BC44"/>
    <mergeCell ref="BF44:BG44"/>
    <mergeCell ref="BH44:BI44"/>
    <mergeCell ref="BJ44:BK44"/>
    <mergeCell ref="AJ44:AK44"/>
    <mergeCell ref="AN44:AO44"/>
    <mergeCell ref="AP44:AQ44"/>
    <mergeCell ref="AR44:AS44"/>
    <mergeCell ref="AT44:AU44"/>
    <mergeCell ref="AV44:AW44"/>
    <mergeCell ref="Z44:AA44"/>
    <mergeCell ref="AB44:AC44"/>
    <mergeCell ref="AD44:AE44"/>
    <mergeCell ref="AF44:AG44"/>
    <mergeCell ref="CH45:CI45"/>
    <mergeCell ref="B46:C46"/>
    <mergeCell ref="D46:E46"/>
    <mergeCell ref="F46:G46"/>
    <mergeCell ref="H46:I46"/>
    <mergeCell ref="J46:K46"/>
    <mergeCell ref="BN45:BO45"/>
    <mergeCell ref="BP45:BQ45"/>
    <mergeCell ref="BR45:BS45"/>
    <mergeCell ref="BT45:BU45"/>
    <mergeCell ref="BV45:BW45"/>
    <mergeCell ref="BX45:BY45"/>
    <mergeCell ref="AZ45:BA45"/>
    <mergeCell ref="BB45:BC45"/>
    <mergeCell ref="BF45:BG45"/>
    <mergeCell ref="BH45:BI45"/>
    <mergeCell ref="BJ45:BK45"/>
    <mergeCell ref="BL45:BM45"/>
    <mergeCell ref="AN45:AO45"/>
    <mergeCell ref="AP45:AQ45"/>
    <mergeCell ref="AR45:AS45"/>
    <mergeCell ref="AT45:AU45"/>
    <mergeCell ref="AV45:AW45"/>
    <mergeCell ref="B45:C45"/>
    <mergeCell ref="N45:O45"/>
    <mergeCell ref="P45:Q45"/>
    <mergeCell ref="R45:S45"/>
    <mergeCell ref="T45:U45"/>
    <mergeCell ref="V45:W45"/>
    <mergeCell ref="X45:Y45"/>
    <mergeCell ref="AJ46:AK46"/>
    <mergeCell ref="AN46:AO46"/>
    <mergeCell ref="CF45:CG45"/>
    <mergeCell ref="BZ45:CA45"/>
    <mergeCell ref="CB45:CC45"/>
    <mergeCell ref="CD45:CE45"/>
    <mergeCell ref="AX45:AY45"/>
    <mergeCell ref="Z45:AA45"/>
    <mergeCell ref="AB45:AC45"/>
    <mergeCell ref="AD45:AE45"/>
    <mergeCell ref="AF45:AG45"/>
    <mergeCell ref="AH45:AI45"/>
    <mergeCell ref="AJ45:AK45"/>
    <mergeCell ref="AV46:AW46"/>
    <mergeCell ref="X46:Y46"/>
    <mergeCell ref="Z46:AA46"/>
    <mergeCell ref="AB46:AC46"/>
    <mergeCell ref="AD46:AE46"/>
    <mergeCell ref="AF46:AG46"/>
    <mergeCell ref="AH46:AI46"/>
    <mergeCell ref="L46:M46"/>
    <mergeCell ref="N46:O46"/>
    <mergeCell ref="P46:Q46"/>
    <mergeCell ref="R46:S46"/>
    <mergeCell ref="T46:U46"/>
    <mergeCell ref="V46:W46"/>
    <mergeCell ref="CF46:CG46"/>
    <mergeCell ref="CH46:CI46"/>
    <mergeCell ref="BL46:BM46"/>
    <mergeCell ref="BN46:BO46"/>
    <mergeCell ref="BP46:BQ46"/>
    <mergeCell ref="BR46:BS46"/>
    <mergeCell ref="BT46:BU46"/>
    <mergeCell ref="BV46:BW46"/>
    <mergeCell ref="AX46:AY46"/>
    <mergeCell ref="AZ46:BA46"/>
    <mergeCell ref="BB46:BC46"/>
    <mergeCell ref="BF46:BG46"/>
    <mergeCell ref="BH46:BI46"/>
    <mergeCell ref="BJ46:BK46"/>
    <mergeCell ref="N47:O47"/>
    <mergeCell ref="P47:Q47"/>
    <mergeCell ref="R47:S47"/>
    <mergeCell ref="T47:U47"/>
    <mergeCell ref="V47:W47"/>
    <mergeCell ref="X47:Y47"/>
    <mergeCell ref="B47:C47"/>
    <mergeCell ref="D47:E47"/>
    <mergeCell ref="F47:G47"/>
    <mergeCell ref="H47:I47"/>
    <mergeCell ref="J47:K47"/>
    <mergeCell ref="L47:M47"/>
    <mergeCell ref="D40:E40"/>
    <mergeCell ref="N40:O40"/>
    <mergeCell ref="AB40:AC40"/>
    <mergeCell ref="T40:U40"/>
    <mergeCell ref="BN47:BO47"/>
    <mergeCell ref="BP47:BQ47"/>
    <mergeCell ref="BR47:BS47"/>
    <mergeCell ref="BT47:BU47"/>
    <mergeCell ref="BV47:BW47"/>
    <mergeCell ref="AZ47:BA47"/>
    <mergeCell ref="BB47:BC47"/>
    <mergeCell ref="BF47:BG47"/>
    <mergeCell ref="BH47:BI47"/>
    <mergeCell ref="BJ47:BK47"/>
    <mergeCell ref="BL47:BM47"/>
    <mergeCell ref="AN47:AO47"/>
    <mergeCell ref="AP47:AQ47"/>
    <mergeCell ref="AR47:AS47"/>
    <mergeCell ref="AT47:AU47"/>
    <mergeCell ref="AV47:AW47"/>
    <mergeCell ref="AX47:AY47"/>
    <mergeCell ref="Z47:AA47"/>
    <mergeCell ref="AB47:AC47"/>
    <mergeCell ref="AD47:AE47"/>
    <mergeCell ref="AL45:AM45"/>
    <mergeCell ref="AL46:AM46"/>
    <mergeCell ref="AL47:AM47"/>
    <mergeCell ref="Z1:AM1"/>
    <mergeCell ref="BD2:BE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AN1:BE1"/>
    <mergeCell ref="AF47:AG47"/>
    <mergeCell ref="AH47:AI47"/>
    <mergeCell ref="AJ47:AK47"/>
    <mergeCell ref="AP46:AQ46"/>
    <mergeCell ref="AR46:AS46"/>
    <mergeCell ref="AT46:AU46"/>
    <mergeCell ref="CJ44:CK44"/>
    <mergeCell ref="CJ45:CK45"/>
    <mergeCell ref="CJ46:CK46"/>
    <mergeCell ref="CJ47:CK47"/>
    <mergeCell ref="BT1:CK1"/>
    <mergeCell ref="CJ2:CK2"/>
    <mergeCell ref="CJ36:CK36"/>
    <mergeCell ref="CJ37:CK37"/>
    <mergeCell ref="CJ38:CK38"/>
    <mergeCell ref="CJ39:CK39"/>
    <mergeCell ref="CJ40:CK40"/>
    <mergeCell ref="CJ41:CK41"/>
    <mergeCell ref="CJ42:CK42"/>
    <mergeCell ref="CJ43:CK43"/>
    <mergeCell ref="BZ47:CA47"/>
    <mergeCell ref="CB47:CC47"/>
    <mergeCell ref="CD47:CE47"/>
    <mergeCell ref="CF47:CG47"/>
    <mergeCell ref="CH47:CI47"/>
    <mergeCell ref="BX47:BY47"/>
    <mergeCell ref="BX46:BY46"/>
    <mergeCell ref="BZ46:CA46"/>
    <mergeCell ref="CB46:CC46"/>
    <mergeCell ref="CD46:CE46"/>
  </mergeCells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K65536"/>
  <sheetViews>
    <sheetView zoomScaleNormal="100" workbookViewId="0">
      <pane xSplit="3" ySplit="8" topLeftCell="O9" activePane="bottomRight" state="frozen"/>
      <selection pane="topRight" activeCell="E1" sqref="E1"/>
      <selection pane="bottomLeft" activeCell="A9" sqref="A9"/>
      <selection pane="bottomRight" activeCell="AG23" sqref="AG23"/>
    </sheetView>
  </sheetViews>
  <sheetFormatPr defaultColWidth="9.140625" defaultRowHeight="12.75"/>
  <cols>
    <col min="1" max="1" width="7.5703125" style="293" customWidth="1"/>
    <col min="2" max="2" width="19.5703125" style="292" bestFit="1" customWidth="1"/>
    <col min="3" max="3" width="12.28515625" style="292" bestFit="1" customWidth="1"/>
    <col min="4" max="4" width="8.28515625" style="292" customWidth="1"/>
    <col min="5" max="5" width="8" style="292" customWidth="1"/>
    <col min="6" max="6" width="6.85546875" style="292" customWidth="1"/>
    <col min="7" max="11" width="8.7109375" style="292" customWidth="1"/>
    <col min="12" max="12" width="8.7109375" style="294" customWidth="1"/>
    <col min="13" max="15" width="8.7109375" style="295" customWidth="1"/>
    <col min="16" max="16" width="8.7109375" style="294" customWidth="1"/>
    <col min="17" max="17" width="8.7109375" style="295" customWidth="1"/>
    <col min="18" max="18" width="8.7109375" style="294" customWidth="1"/>
    <col min="19" max="19" width="8.7109375" style="296" customWidth="1"/>
    <col min="20" max="21" width="7.7109375" style="296" customWidth="1"/>
    <col min="22" max="23" width="7.7109375" style="297" customWidth="1"/>
    <col min="24" max="24" width="7.7109375" style="296" customWidth="1"/>
    <col min="25" max="25" width="7.7109375" style="297" customWidth="1"/>
    <col min="26" max="26" width="10.7109375" style="296" bestFit="1" customWidth="1"/>
    <col min="27" max="27" width="11.140625" style="296" customWidth="1"/>
    <col min="28" max="31" width="7.5703125" style="297" customWidth="1"/>
    <col min="32" max="32" width="11.140625" bestFit="1" customWidth="1"/>
    <col min="34" max="34" width="8.7109375" style="294" customWidth="1"/>
    <col min="35" max="35" width="8.7109375" style="295" customWidth="1"/>
    <col min="36" max="37" width="8.7109375" style="292" customWidth="1"/>
  </cols>
  <sheetData>
    <row r="1" spans="1:37" ht="12.75" customHeight="1">
      <c r="A1" s="291"/>
    </row>
    <row r="2" spans="1:37">
      <c r="A2" s="291"/>
    </row>
    <row r="3" spans="1:37" ht="12.75" customHeight="1">
      <c r="A3" s="845" t="s">
        <v>199</v>
      </c>
      <c r="B3" s="845"/>
      <c r="C3" s="845"/>
      <c r="D3" s="845"/>
      <c r="E3" s="845"/>
      <c r="F3" s="845"/>
      <c r="G3" s="845"/>
      <c r="H3" s="845"/>
      <c r="I3" s="845"/>
      <c r="J3" s="845"/>
      <c r="K3" s="845"/>
      <c r="L3" s="845"/>
      <c r="M3" s="845"/>
      <c r="N3" s="845"/>
      <c r="O3" s="845"/>
      <c r="P3" s="845"/>
      <c r="Q3" s="845"/>
      <c r="R3" s="845"/>
      <c r="S3" s="845"/>
      <c r="T3" s="845"/>
      <c r="U3" s="845"/>
      <c r="V3" s="845"/>
      <c r="W3" s="845"/>
      <c r="X3" s="845"/>
      <c r="Y3" s="845"/>
      <c r="Z3" s="845"/>
      <c r="AA3" s="845"/>
      <c r="AB3" s="845"/>
      <c r="AC3" s="845"/>
      <c r="AD3" s="845"/>
      <c r="AE3" s="845"/>
      <c r="AH3"/>
      <c r="AI3"/>
      <c r="AJ3"/>
      <c r="AK3"/>
    </row>
    <row r="4" spans="1:37" ht="12.75" customHeight="1">
      <c r="A4" s="845"/>
      <c r="B4" s="845"/>
      <c r="C4" s="845"/>
      <c r="D4" s="845"/>
      <c r="E4" s="845"/>
      <c r="F4" s="845"/>
      <c r="G4" s="845"/>
      <c r="H4" s="845"/>
      <c r="I4" s="845"/>
      <c r="J4" s="845"/>
      <c r="K4" s="845"/>
      <c r="L4" s="845"/>
      <c r="M4" s="845"/>
      <c r="N4" s="845"/>
      <c r="O4" s="845"/>
      <c r="P4" s="845"/>
      <c r="Q4" s="845"/>
      <c r="R4" s="845"/>
      <c r="S4" s="845"/>
      <c r="T4" s="845"/>
      <c r="U4" s="845"/>
      <c r="V4" s="845"/>
      <c r="W4" s="845"/>
      <c r="X4" s="845"/>
      <c r="Y4" s="845"/>
      <c r="Z4" s="845"/>
      <c r="AA4" s="845"/>
      <c r="AB4" s="845"/>
      <c r="AC4" s="845"/>
      <c r="AD4" s="845"/>
      <c r="AE4" s="845"/>
      <c r="AH4"/>
      <c r="AI4"/>
      <c r="AJ4"/>
      <c r="AK4"/>
    </row>
    <row r="5" spans="1:37">
      <c r="H5" s="294"/>
      <c r="I5" s="295"/>
      <c r="J5" s="295"/>
      <c r="K5" s="295"/>
      <c r="AJ5" s="295"/>
      <c r="AK5" s="295"/>
    </row>
    <row r="6" spans="1:37" ht="22.7" customHeight="1">
      <c r="A6" s="847" t="s">
        <v>7</v>
      </c>
      <c r="B6" s="846" t="s">
        <v>8</v>
      </c>
      <c r="C6" s="846" t="s">
        <v>5</v>
      </c>
      <c r="D6" s="846" t="s">
        <v>195</v>
      </c>
      <c r="E6" s="846" t="s">
        <v>196</v>
      </c>
      <c r="F6" s="846" t="s">
        <v>192</v>
      </c>
      <c r="G6" s="846" t="s">
        <v>191</v>
      </c>
      <c r="H6" s="846" t="s">
        <v>193</v>
      </c>
      <c r="I6" s="846" t="s">
        <v>194</v>
      </c>
      <c r="J6" s="831" t="s">
        <v>198</v>
      </c>
      <c r="K6" s="832"/>
      <c r="L6" s="839" t="s">
        <v>197</v>
      </c>
      <c r="M6" s="839"/>
      <c r="N6" s="839" t="s">
        <v>200</v>
      </c>
      <c r="O6" s="839"/>
      <c r="P6" s="842" t="s">
        <v>30</v>
      </c>
      <c r="Q6" s="842"/>
      <c r="R6" s="840" t="s">
        <v>22</v>
      </c>
      <c r="S6" s="840"/>
      <c r="T6" s="840" t="s">
        <v>31</v>
      </c>
      <c r="U6" s="840"/>
      <c r="V6" s="840"/>
      <c r="W6" s="840"/>
      <c r="X6" s="840"/>
      <c r="Y6" s="840"/>
      <c r="Z6" s="840" t="s">
        <v>32</v>
      </c>
      <c r="AA6" s="840"/>
      <c r="AB6" s="840"/>
      <c r="AC6" s="840"/>
      <c r="AD6" s="840"/>
      <c r="AE6" s="840"/>
      <c r="AF6" s="835" t="s">
        <v>311</v>
      </c>
      <c r="AG6" s="836"/>
      <c r="AH6" s="839" t="s">
        <v>405</v>
      </c>
      <c r="AI6" s="839"/>
      <c r="AJ6" s="843" t="s">
        <v>406</v>
      </c>
      <c r="AK6" s="844"/>
    </row>
    <row r="7" spans="1:37" ht="22.7" customHeight="1">
      <c r="A7" s="848"/>
      <c r="B7" s="846"/>
      <c r="C7" s="846"/>
      <c r="D7" s="846"/>
      <c r="E7" s="846"/>
      <c r="F7" s="846"/>
      <c r="G7" s="846"/>
      <c r="H7" s="846"/>
      <c r="I7" s="846"/>
      <c r="J7" s="833"/>
      <c r="K7" s="834"/>
      <c r="L7" s="839"/>
      <c r="M7" s="839"/>
      <c r="N7" s="839"/>
      <c r="O7" s="839"/>
      <c r="P7" s="842"/>
      <c r="Q7" s="842"/>
      <c r="R7" s="840"/>
      <c r="S7" s="840"/>
      <c r="T7" s="840" t="s">
        <v>35</v>
      </c>
      <c r="U7" s="840"/>
      <c r="V7" s="841" t="s">
        <v>33</v>
      </c>
      <c r="W7" s="841"/>
      <c r="X7" s="840" t="s">
        <v>34</v>
      </c>
      <c r="Y7" s="840"/>
      <c r="Z7" s="840" t="s">
        <v>35</v>
      </c>
      <c r="AA7" s="840"/>
      <c r="AB7" s="840" t="s">
        <v>25</v>
      </c>
      <c r="AC7" s="840"/>
      <c r="AD7" s="840" t="s">
        <v>26</v>
      </c>
      <c r="AE7" s="840"/>
      <c r="AF7" s="837"/>
      <c r="AG7" s="838"/>
      <c r="AH7" s="839"/>
      <c r="AI7" s="839"/>
      <c r="AJ7" s="833"/>
      <c r="AK7" s="834"/>
    </row>
    <row r="8" spans="1:37" s="1" customFormat="1">
      <c r="A8" s="849"/>
      <c r="B8" s="846"/>
      <c r="C8" s="846"/>
      <c r="D8" s="846"/>
      <c r="E8" s="846"/>
      <c r="F8" s="846"/>
      <c r="G8" s="846"/>
      <c r="H8" s="846"/>
      <c r="I8" s="846"/>
      <c r="J8" s="455" t="s">
        <v>36</v>
      </c>
      <c r="K8" s="453" t="s">
        <v>37</v>
      </c>
      <c r="L8" s="298" t="s">
        <v>36</v>
      </c>
      <c r="M8" s="299" t="s">
        <v>37</v>
      </c>
      <c r="N8" s="298" t="s">
        <v>36</v>
      </c>
      <c r="O8" s="299" t="s">
        <v>37</v>
      </c>
      <c r="P8" s="298" t="s">
        <v>36</v>
      </c>
      <c r="Q8" s="299" t="s">
        <v>37</v>
      </c>
      <c r="R8" s="298" t="s">
        <v>36</v>
      </c>
      <c r="S8" s="300" t="s">
        <v>37</v>
      </c>
      <c r="T8" s="301" t="s">
        <v>36</v>
      </c>
      <c r="U8" s="300" t="s">
        <v>37</v>
      </c>
      <c r="V8" s="302" t="s">
        <v>36</v>
      </c>
      <c r="W8" s="303" t="s">
        <v>37</v>
      </c>
      <c r="X8" s="301" t="s">
        <v>36</v>
      </c>
      <c r="Y8" s="303" t="s">
        <v>37</v>
      </c>
      <c r="Z8" s="301" t="s">
        <v>36</v>
      </c>
      <c r="AA8" s="300" t="s">
        <v>37</v>
      </c>
      <c r="AB8" s="302" t="s">
        <v>36</v>
      </c>
      <c r="AC8" s="303" t="s">
        <v>37</v>
      </c>
      <c r="AD8" s="302" t="s">
        <v>36</v>
      </c>
      <c r="AE8" s="303" t="s">
        <v>37</v>
      </c>
      <c r="AF8" s="524" t="s">
        <v>330</v>
      </c>
      <c r="AG8" s="524" t="s">
        <v>331</v>
      </c>
      <c r="AH8" s="298" t="s">
        <v>36</v>
      </c>
      <c r="AI8" s="299" t="s">
        <v>37</v>
      </c>
      <c r="AJ8" s="455" t="s">
        <v>36</v>
      </c>
      <c r="AK8" s="453" t="s">
        <v>37</v>
      </c>
    </row>
    <row r="9" spans="1:37" s="428" customFormat="1" ht="12.75" customHeight="1">
      <c r="A9" s="442">
        <v>45839</v>
      </c>
      <c r="B9" s="452" t="s">
        <v>231</v>
      </c>
      <c r="C9" s="504" t="s">
        <v>493</v>
      </c>
      <c r="D9" s="422">
        <f>+'1'!F42</f>
        <v>1281.1290322580646</v>
      </c>
      <c r="E9" s="422">
        <f>+'1'!G42</f>
        <v>1276.6450806451612</v>
      </c>
      <c r="F9" s="50">
        <f t="shared" ref="F9:F39" si="0">1-(E9/D9)</f>
        <v>3.5000000000001696E-3</v>
      </c>
      <c r="G9" s="448">
        <f>+P9/N9</f>
        <v>0.99820111425465141</v>
      </c>
      <c r="H9" s="443">
        <f>+P9/L9</f>
        <v>0.99430493504210415</v>
      </c>
      <c r="I9" s="443">
        <f>+R9/P9</f>
        <v>0.99661853276249901</v>
      </c>
      <c r="J9" s="449">
        <f>+R9/L9</f>
        <v>0.9909427254801737</v>
      </c>
      <c r="K9" s="449">
        <f>+S9/M9</f>
        <v>0.9909427254801737</v>
      </c>
      <c r="L9" s="423">
        <f>+Efficiency1!K6</f>
        <v>69.299666099999996</v>
      </c>
      <c r="M9" s="424">
        <f>L9</f>
        <v>69.299666099999996</v>
      </c>
      <c r="N9" s="423">
        <f>+Efficiency1!C6</f>
        <v>69.029175600000002</v>
      </c>
      <c r="O9" s="424">
        <f>N9</f>
        <v>69.029175600000002</v>
      </c>
      <c r="P9" s="590">
        <f>'1'!I38</f>
        <v>68.905000000000001</v>
      </c>
      <c r="Q9" s="424">
        <f>P9</f>
        <v>68.905000000000001</v>
      </c>
      <c r="R9" s="14">
        <f>'1'!I40</f>
        <v>68.671999999999997</v>
      </c>
      <c r="S9" s="424">
        <f>R9</f>
        <v>68.671999999999997</v>
      </c>
      <c r="T9" s="579">
        <f t="shared" ref="T9:T39" si="1">+AF9+AG9</f>
        <v>139.654</v>
      </c>
      <c r="U9" s="426">
        <f>T9</f>
        <v>139.654</v>
      </c>
      <c r="V9" s="427">
        <f t="shared" ref="V9:V39" si="2">T9/(P9)</f>
        <v>2.0267614832015091</v>
      </c>
      <c r="W9" s="427">
        <f t="shared" ref="W9:W39" si="3">U9/(Q9)</f>
        <v>2.0267614832015091</v>
      </c>
      <c r="X9" s="423">
        <f t="shared" ref="X9:X39" si="4">IF(AND(R9&gt;0,T9&gt;0),T9/(R9),0)</f>
        <v>2.0336381640260952</v>
      </c>
      <c r="Y9" s="427">
        <f t="shared" ref="Y9:Y39" si="5">IF(AND(S9&gt;0,U9&gt;0),U9/(S9),0)</f>
        <v>2.0336381640260952</v>
      </c>
      <c r="Z9" s="426">
        <f>'1'!I46</f>
        <v>59765.059999997873</v>
      </c>
      <c r="AA9" s="426">
        <f>Z9</f>
        <v>59765.059999997873</v>
      </c>
      <c r="AB9" s="427">
        <f t="shared" ref="AB9:AB39" si="6">IF(AND(L9&gt;0,Z9&gt;0),(Z9/(P9*1000)*1000),0)</f>
        <v>867.35447355050974</v>
      </c>
      <c r="AC9" s="427">
        <f t="shared" ref="AC9:AC39" si="7">IF(AND(M9&gt;0,AA9&gt;0),(AA9/(Q9*1000)*1000),0)</f>
        <v>867.35447355050974</v>
      </c>
      <c r="AD9" s="427">
        <f t="shared" ref="AD9:AD39" si="8">IF(AND(R9&gt;0,Z9&gt;0),(Z9/(R9*1000)*1000),0)</f>
        <v>870.29735554516935</v>
      </c>
      <c r="AE9" s="427">
        <f t="shared" ref="AE9:AE39" si="9">IF(AND(S9&gt;0,AA9&gt;0),(AA9/(S9*1000)*1000),0)</f>
        <v>870.29735554516935</v>
      </c>
      <c r="AF9" s="506">
        <f>0.63</f>
        <v>0.63</v>
      </c>
      <c r="AG9" s="525">
        <v>139.024</v>
      </c>
      <c r="AH9" s="423">
        <f>+Efficiency2!K6</f>
        <v>69.299666099999996</v>
      </c>
      <c r="AI9" s="424">
        <f>AH9</f>
        <v>69.299666099999996</v>
      </c>
      <c r="AJ9" s="449">
        <f>+R9/AH9</f>
        <v>0.9909427254801737</v>
      </c>
      <c r="AK9" s="449">
        <f>+S9/AI9</f>
        <v>0.9909427254801737</v>
      </c>
    </row>
    <row r="10" spans="1:37" s="428" customFormat="1" ht="12.75" customHeight="1">
      <c r="A10" s="442">
        <f t="shared" ref="A10:A38" si="10">A9+1</f>
        <v>45840</v>
      </c>
      <c r="B10" s="452" t="s">
        <v>231</v>
      </c>
      <c r="C10" s="504" t="s">
        <v>493</v>
      </c>
      <c r="D10" s="422">
        <f>+'2'!F42</f>
        <v>1297.7777777777778</v>
      </c>
      <c r="E10" s="422">
        <f>+'2'!G42</f>
        <v>1293.2355555555553</v>
      </c>
      <c r="F10" s="50">
        <f t="shared" si="0"/>
        <v>3.5000000000002807E-3</v>
      </c>
      <c r="G10" s="448">
        <f t="shared" ref="G10:G41" si="11">+P10/N10</f>
        <v>0.98342032650610978</v>
      </c>
      <c r="H10" s="443">
        <f t="shared" ref="H10:H41" si="12">+P10/L10</f>
        <v>0.98038741879136437</v>
      </c>
      <c r="I10" s="443">
        <f t="shared" ref="I10:I41" si="13">+R10/P10</f>
        <v>1.0110504457932799</v>
      </c>
      <c r="J10" s="449">
        <f t="shared" ref="J10:J41" si="14">+R10/L10</f>
        <v>0.99122113681913193</v>
      </c>
      <c r="K10" s="449">
        <f t="shared" ref="K10:K39" si="15">+S10/M10</f>
        <v>0.99108287285882679</v>
      </c>
      <c r="L10" s="423">
        <f>+Efficiency1!K12</f>
        <v>70.243659475862074</v>
      </c>
      <c r="M10" s="424">
        <f t="shared" ref="M10:O38" si="16">M9+L10</f>
        <v>139.54332557586207</v>
      </c>
      <c r="N10" s="423">
        <f>+Efficiency1!C12</f>
        <v>70.027025213793095</v>
      </c>
      <c r="O10" s="424">
        <f t="shared" si="16"/>
        <v>139.05620081379311</v>
      </c>
      <c r="P10" s="590">
        <f>'2'!I38</f>
        <v>68.865999999999985</v>
      </c>
      <c r="Q10" s="424">
        <f t="shared" ref="Q10:Q38" si="17">Q9+P10</f>
        <v>137.77099999999999</v>
      </c>
      <c r="R10" s="14">
        <f>'2'!I40</f>
        <v>69.626999999999995</v>
      </c>
      <c r="S10" s="424">
        <f t="shared" ref="S10:S38" si="18">S9+R10</f>
        <v>138.29899999999998</v>
      </c>
      <c r="T10" s="579">
        <f t="shared" si="1"/>
        <v>142.654</v>
      </c>
      <c r="U10" s="425">
        <f t="shared" ref="U10:U38" si="19">T10+U9</f>
        <v>282.30799999999999</v>
      </c>
      <c r="V10" s="427">
        <f t="shared" si="2"/>
        <v>2.0714721342897806</v>
      </c>
      <c r="W10" s="427">
        <f t="shared" si="3"/>
        <v>2.0491104804349249</v>
      </c>
      <c r="X10" s="423">
        <f t="shared" si="4"/>
        <v>2.0488316314073565</v>
      </c>
      <c r="Y10" s="427">
        <f t="shared" si="5"/>
        <v>2.0412873556569466</v>
      </c>
      <c r="Z10" s="426">
        <f>'2'!I46</f>
        <v>59560.400000001267</v>
      </c>
      <c r="AA10" s="425">
        <f t="shared" ref="AA10:AA38" si="20">Z10+AA9</f>
        <v>119325.45999999915</v>
      </c>
      <c r="AB10" s="427">
        <f t="shared" si="6"/>
        <v>864.87381291205065</v>
      </c>
      <c r="AC10" s="427">
        <f t="shared" si="7"/>
        <v>866.11449434205429</v>
      </c>
      <c r="AD10" s="427">
        <f t="shared" si="8"/>
        <v>855.42102919846127</v>
      </c>
      <c r="AE10" s="427">
        <f t="shared" si="9"/>
        <v>862.80782941307734</v>
      </c>
      <c r="AF10" s="506">
        <f>0.815</f>
        <v>0.81499999999999995</v>
      </c>
      <c r="AG10" s="525">
        <v>141.839</v>
      </c>
      <c r="AH10" s="423">
        <f>+Efficiency2!K12</f>
        <v>69.755856285057476</v>
      </c>
      <c r="AI10" s="424">
        <f t="shared" ref="AI10:AI38" si="21">AI9+AH10</f>
        <v>139.05552238505749</v>
      </c>
      <c r="AJ10" s="449">
        <f t="shared" ref="AJ10:AJ41" si="22">+R10/AH10</f>
        <v>0.99815275316052443</v>
      </c>
      <c r="AK10" s="449">
        <f t="shared" ref="AK10:AK39" si="23">+S10/AI10</f>
        <v>0.99455956604900142</v>
      </c>
    </row>
    <row r="11" spans="1:37" s="428" customFormat="1" ht="12.75" customHeight="1">
      <c r="A11" s="442">
        <f t="shared" si="10"/>
        <v>45841</v>
      </c>
      <c r="B11" s="452" t="s">
        <v>231</v>
      </c>
      <c r="C11" s="504" t="s">
        <v>494</v>
      </c>
      <c r="D11" s="422">
        <f>+'3'!F42</f>
        <v>1271.9828815977176</v>
      </c>
      <c r="E11" s="422">
        <f>+'3'!G42</f>
        <v>1267.5309415121253</v>
      </c>
      <c r="F11" s="50">
        <f t="shared" si="0"/>
        <v>3.5000000000001696E-3</v>
      </c>
      <c r="G11" s="448">
        <f t="shared" si="11"/>
        <v>0.9573865789274334</v>
      </c>
      <c r="H11" s="443">
        <f>+P11/L11</f>
        <v>0.95361676482806856</v>
      </c>
      <c r="I11" s="443">
        <f t="shared" si="13"/>
        <v>0.9585373690636847</v>
      </c>
      <c r="J11" s="449">
        <f t="shared" si="14"/>
        <v>0.91407730485331939</v>
      </c>
      <c r="K11" s="449">
        <f t="shared" si="15"/>
        <v>0.96267080914719638</v>
      </c>
      <c r="L11" s="423">
        <f>+SUM(Efficiency1!K17:K18)</f>
        <v>81.589379370892019</v>
      </c>
      <c r="M11" s="424">
        <f t="shared" si="16"/>
        <v>221.13270494675407</v>
      </c>
      <c r="N11" s="423">
        <f>+SUM(Efficiency1!C17:C18)</f>
        <v>81.268112288732382</v>
      </c>
      <c r="O11" s="424">
        <f t="shared" si="16"/>
        <v>220.32431310252548</v>
      </c>
      <c r="P11" s="590">
        <f>'3'!I38</f>
        <v>77.805000000000007</v>
      </c>
      <c r="Q11" s="424">
        <f t="shared" si="17"/>
        <v>215.57599999999999</v>
      </c>
      <c r="R11" s="14">
        <f>'3'!I40</f>
        <v>74.578999999999994</v>
      </c>
      <c r="S11" s="424">
        <f t="shared" si="18"/>
        <v>212.87799999999999</v>
      </c>
      <c r="T11" s="579">
        <f t="shared" si="1"/>
        <v>155.36199999999999</v>
      </c>
      <c r="U11" s="425">
        <f t="shared" si="19"/>
        <v>437.66999999999996</v>
      </c>
      <c r="V11" s="427">
        <f t="shared" si="2"/>
        <v>1.996812544180965</v>
      </c>
      <c r="W11" s="427">
        <f t="shared" si="3"/>
        <v>2.0302352766541727</v>
      </c>
      <c r="X11" s="423">
        <f t="shared" si="4"/>
        <v>2.0831869561136513</v>
      </c>
      <c r="Y11" s="427">
        <f t="shared" si="5"/>
        <v>2.0559663281316056</v>
      </c>
      <c r="Z11" s="426">
        <f>'3'!I46</f>
        <v>57682.279999996463</v>
      </c>
      <c r="AA11" s="425">
        <f t="shared" si="20"/>
        <v>177007.73999999563</v>
      </c>
      <c r="AB11" s="427">
        <f t="shared" si="6"/>
        <v>741.36983484347365</v>
      </c>
      <c r="AC11" s="427">
        <f t="shared" si="7"/>
        <v>821.09205106317779</v>
      </c>
      <c r="AD11" s="427">
        <f t="shared" si="8"/>
        <v>773.43863554078848</v>
      </c>
      <c r="AE11" s="427">
        <f t="shared" si="9"/>
        <v>831.49851088414789</v>
      </c>
      <c r="AF11" s="506">
        <f>8.405</f>
        <v>8.4049999999999994</v>
      </c>
      <c r="AG11" s="525">
        <v>146.95699999999999</v>
      </c>
      <c r="AH11" s="423">
        <f>+SUM(Efficiency2!K17:K18)</f>
        <v>79.394782711737093</v>
      </c>
      <c r="AI11" s="424">
        <f t="shared" si="21"/>
        <v>218.45030509679458</v>
      </c>
      <c r="AJ11" s="449">
        <f t="shared" si="22"/>
        <v>0.93934383913837238</v>
      </c>
      <c r="AK11" s="449">
        <f t="shared" si="23"/>
        <v>0.97449165797994408</v>
      </c>
    </row>
    <row r="12" spans="1:37" s="428" customFormat="1" ht="12.75" customHeight="1">
      <c r="A12" s="442">
        <f t="shared" si="10"/>
        <v>45842</v>
      </c>
      <c r="B12" s="452" t="s">
        <v>231</v>
      </c>
      <c r="C12" s="504" t="s">
        <v>505</v>
      </c>
      <c r="D12" s="422">
        <f>+'4'!F42</f>
        <v>1260</v>
      </c>
      <c r="E12" s="422">
        <f>+'4'!G42</f>
        <v>1255.5899999999999</v>
      </c>
      <c r="F12" s="50">
        <f t="shared" si="0"/>
        <v>3.5000000000000586E-3</v>
      </c>
      <c r="G12" s="448">
        <f t="shared" si="11"/>
        <v>0.95683377337748832</v>
      </c>
      <c r="H12" s="443">
        <f t="shared" si="12"/>
        <v>0.95303681395932383</v>
      </c>
      <c r="I12" s="443">
        <f t="shared" si="13"/>
        <v>0.99329054105279124</v>
      </c>
      <c r="J12" s="449">
        <f t="shared" si="14"/>
        <v>0.94664245258088509</v>
      </c>
      <c r="K12" s="449">
        <f t="shared" si="15"/>
        <v>0.95829494965514939</v>
      </c>
      <c r="L12" s="423">
        <f>+Efficiency1!K22</f>
        <v>83.041912800000006</v>
      </c>
      <c r="M12" s="424">
        <f t="shared" si="16"/>
        <v>304.17461774675405</v>
      </c>
      <c r="N12" s="423">
        <f>+Efficiency1!C22</f>
        <v>82.712381400000012</v>
      </c>
      <c r="O12" s="424">
        <f t="shared" si="16"/>
        <v>303.03669450252551</v>
      </c>
      <c r="P12" s="590">
        <f>'4'!I38</f>
        <v>79.141999999999996</v>
      </c>
      <c r="Q12" s="424">
        <f t="shared" si="17"/>
        <v>294.71799999999996</v>
      </c>
      <c r="R12" s="14">
        <f>'4'!I40</f>
        <v>78.611000000000004</v>
      </c>
      <c r="S12" s="424">
        <f t="shared" si="18"/>
        <v>291.48899999999998</v>
      </c>
      <c r="T12" s="579">
        <f t="shared" si="1"/>
        <v>159.79799999999997</v>
      </c>
      <c r="U12" s="425">
        <f t="shared" si="19"/>
        <v>597.46799999999996</v>
      </c>
      <c r="V12" s="427">
        <f t="shared" si="2"/>
        <v>2.019130171084885</v>
      </c>
      <c r="W12" s="427">
        <f t="shared" si="3"/>
        <v>2.0272531708277066</v>
      </c>
      <c r="X12" s="423">
        <f t="shared" si="4"/>
        <v>2.0327689509101776</v>
      </c>
      <c r="Y12" s="427">
        <f t="shared" si="5"/>
        <v>2.0497102806623921</v>
      </c>
      <c r="Z12" s="426">
        <f>'4'!I46</f>
        <v>59149.900000002628</v>
      </c>
      <c r="AA12" s="425">
        <f t="shared" si="20"/>
        <v>236157.63999999827</v>
      </c>
      <c r="AB12" s="427">
        <f t="shared" si="6"/>
        <v>747.38950241341672</v>
      </c>
      <c r="AC12" s="427">
        <f t="shared" si="7"/>
        <v>801.30036170168887</v>
      </c>
      <c r="AD12" s="427">
        <f t="shared" si="8"/>
        <v>752.4379539759401</v>
      </c>
      <c r="AE12" s="427">
        <f t="shared" si="9"/>
        <v>810.17685058440713</v>
      </c>
      <c r="AF12" s="506">
        <f>11.414</f>
        <v>11.414</v>
      </c>
      <c r="AG12" s="525">
        <v>148.38399999999999</v>
      </c>
      <c r="AH12" s="423">
        <f>+Efficiency2!K22</f>
        <v>83.041912800000006</v>
      </c>
      <c r="AI12" s="424">
        <f t="shared" si="21"/>
        <v>301.49221789679461</v>
      </c>
      <c r="AJ12" s="449">
        <f t="shared" si="22"/>
        <v>0.94664245258088509</v>
      </c>
      <c r="AK12" s="449">
        <f t="shared" si="23"/>
        <v>0.96682097479471629</v>
      </c>
    </row>
    <row r="13" spans="1:37" s="428" customFormat="1" ht="12.75" customHeight="1">
      <c r="A13" s="442">
        <f t="shared" si="10"/>
        <v>45843</v>
      </c>
      <c r="B13" s="452" t="s">
        <v>231</v>
      </c>
      <c r="C13" s="504" t="s">
        <v>518</v>
      </c>
      <c r="D13" s="422">
        <f>+'5'!F42</f>
        <v>1260</v>
      </c>
      <c r="E13" s="422">
        <f>+'5'!G42</f>
        <v>1255.5899999999999</v>
      </c>
      <c r="F13" s="50">
        <f t="shared" si="0"/>
        <v>3.5000000000000586E-3</v>
      </c>
      <c r="G13" s="448">
        <f t="shared" si="11"/>
        <v>0.96439395273752437</v>
      </c>
      <c r="H13" s="443">
        <f t="shared" si="12"/>
        <v>0.95300347298078203</v>
      </c>
      <c r="I13" s="443">
        <f t="shared" si="13"/>
        <v>1.00025492063918</v>
      </c>
      <c r="J13" s="449">
        <f t="shared" si="14"/>
        <v>0.95324641323525505</v>
      </c>
      <c r="K13" s="449">
        <f t="shared" si="15"/>
        <v>0.95726237640656375</v>
      </c>
      <c r="L13" s="423">
        <f>+Efficiency1!K26</f>
        <v>78.208529258426964</v>
      </c>
      <c r="M13" s="424">
        <f t="shared" si="16"/>
        <v>382.383147005181</v>
      </c>
      <c r="N13" s="423">
        <f>+Efficiency1!C26</f>
        <v>77.284806471910116</v>
      </c>
      <c r="O13" s="424">
        <f t="shared" si="16"/>
        <v>380.32150097443559</v>
      </c>
      <c r="P13" s="590">
        <f>'5'!I38</f>
        <v>74.533000000000001</v>
      </c>
      <c r="Q13" s="424">
        <f t="shared" si="17"/>
        <v>369.25099999999998</v>
      </c>
      <c r="R13" s="14">
        <f>'5'!I40</f>
        <v>74.552000000000007</v>
      </c>
      <c r="S13" s="424">
        <f t="shared" si="18"/>
        <v>366.041</v>
      </c>
      <c r="T13" s="579">
        <f t="shared" si="1"/>
        <v>153.42200000000003</v>
      </c>
      <c r="U13" s="425">
        <f t="shared" si="19"/>
        <v>750.89</v>
      </c>
      <c r="V13" s="427">
        <f t="shared" si="2"/>
        <v>2.0584439107509427</v>
      </c>
      <c r="W13" s="427">
        <f t="shared" si="3"/>
        <v>2.0335489951279753</v>
      </c>
      <c r="X13" s="423">
        <f t="shared" si="4"/>
        <v>2.0579193046464215</v>
      </c>
      <c r="Y13" s="427">
        <f t="shared" si="5"/>
        <v>2.0513822222100804</v>
      </c>
      <c r="Z13" s="426">
        <f>'5'!I46</f>
        <v>58812.819999997504</v>
      </c>
      <c r="AA13" s="425">
        <f t="shared" si="20"/>
        <v>294970.45999999577</v>
      </c>
      <c r="AB13" s="427">
        <f t="shared" si="6"/>
        <v>789.08429823028064</v>
      </c>
      <c r="AC13" s="427">
        <f t="shared" si="7"/>
        <v>798.83455968973897</v>
      </c>
      <c r="AD13" s="427">
        <f t="shared" si="8"/>
        <v>788.88319562181425</v>
      </c>
      <c r="AE13" s="427">
        <f t="shared" si="9"/>
        <v>805.83994689118367</v>
      </c>
      <c r="AF13" s="506">
        <f>7.217</f>
        <v>7.2169999999999996</v>
      </c>
      <c r="AG13" s="525">
        <v>146.20500000000001</v>
      </c>
      <c r="AH13" s="423">
        <f>+Efficiency2!K26</f>
        <v>78.208529258426964</v>
      </c>
      <c r="AI13" s="424">
        <f t="shared" si="21"/>
        <v>379.70074715522156</v>
      </c>
      <c r="AJ13" s="449">
        <f t="shared" si="22"/>
        <v>0.95324641323525505</v>
      </c>
      <c r="AK13" s="449">
        <f t="shared" si="23"/>
        <v>0.96402496635162671</v>
      </c>
    </row>
    <row r="14" spans="1:37" s="428" customFormat="1" ht="12.75" customHeight="1">
      <c r="A14" s="442">
        <f t="shared" si="10"/>
        <v>45844</v>
      </c>
      <c r="B14" s="452" t="s">
        <v>231</v>
      </c>
      <c r="C14" s="504" t="s">
        <v>518</v>
      </c>
      <c r="D14" s="422">
        <f>+'6'!F42</f>
        <v>1249.8403483309144</v>
      </c>
      <c r="E14" s="422">
        <f>+'6'!G42</f>
        <v>1245.4659071117562</v>
      </c>
      <c r="F14" s="50">
        <f t="shared" si="0"/>
        <v>3.4999999999999476E-3</v>
      </c>
      <c r="G14" s="448">
        <f t="shared" si="11"/>
        <v>0.89934258255407085</v>
      </c>
      <c r="H14" s="443">
        <f t="shared" si="12"/>
        <v>0.88196891762593355</v>
      </c>
      <c r="I14" s="443">
        <f t="shared" si="13"/>
        <v>1.0177926130179231</v>
      </c>
      <c r="J14" s="449">
        <f t="shared" si="14"/>
        <v>0.89766144927108837</v>
      </c>
      <c r="K14" s="449">
        <f t="shared" si="15"/>
        <v>0.94715096235074236</v>
      </c>
      <c r="L14" s="423">
        <f>+Efficiency1!K30</f>
        <v>78.126335999999995</v>
      </c>
      <c r="M14" s="424">
        <f t="shared" si="16"/>
        <v>460.50948300518098</v>
      </c>
      <c r="N14" s="423">
        <f>+Efficiency1!C30</f>
        <v>76.617077114612499</v>
      </c>
      <c r="O14" s="424">
        <f t="shared" si="16"/>
        <v>456.93857808904806</v>
      </c>
      <c r="P14" s="590">
        <f>'6'!I38</f>
        <v>68.905000000000001</v>
      </c>
      <c r="Q14" s="424">
        <f t="shared" si="17"/>
        <v>438.15599999999995</v>
      </c>
      <c r="R14" s="14">
        <f>'6'!I40</f>
        <v>70.131</v>
      </c>
      <c r="S14" s="424">
        <f t="shared" si="18"/>
        <v>436.17200000000003</v>
      </c>
      <c r="T14" s="579">
        <f t="shared" si="1"/>
        <v>148.565</v>
      </c>
      <c r="U14" s="425">
        <f t="shared" si="19"/>
        <v>899.45499999999993</v>
      </c>
      <c r="V14" s="427">
        <f t="shared" si="2"/>
        <v>2.1560844641172627</v>
      </c>
      <c r="W14" s="427">
        <f t="shared" si="3"/>
        <v>2.0528190872657226</v>
      </c>
      <c r="X14" s="423">
        <f t="shared" si="4"/>
        <v>2.1183927221913277</v>
      </c>
      <c r="Y14" s="427">
        <f t="shared" si="5"/>
        <v>2.0621566721385141</v>
      </c>
      <c r="Z14" s="426">
        <f>'6'!I46</f>
        <v>55340.660000001022</v>
      </c>
      <c r="AA14" s="425">
        <f t="shared" si="20"/>
        <v>350311.11999999679</v>
      </c>
      <c r="AB14" s="427">
        <f t="shared" si="6"/>
        <v>803.14432914884287</v>
      </c>
      <c r="AC14" s="427">
        <f t="shared" si="7"/>
        <v>799.51231981302737</v>
      </c>
      <c r="AD14" s="427">
        <f t="shared" si="8"/>
        <v>789.10410517461639</v>
      </c>
      <c r="AE14" s="427">
        <f t="shared" si="9"/>
        <v>803.1490329502966</v>
      </c>
      <c r="AF14" s="506">
        <f>5.759</f>
        <v>5.7590000000000003</v>
      </c>
      <c r="AG14" s="525">
        <v>142.80600000000001</v>
      </c>
      <c r="AH14" s="423">
        <f>+Efficiency2!K30</f>
        <v>78.126335999999995</v>
      </c>
      <c r="AI14" s="424">
        <f t="shared" si="21"/>
        <v>457.82708315522154</v>
      </c>
      <c r="AJ14" s="449">
        <f t="shared" si="22"/>
        <v>0.89766144927108837</v>
      </c>
      <c r="AK14" s="449">
        <f t="shared" si="23"/>
        <v>0.95270030115741411</v>
      </c>
    </row>
    <row r="15" spans="1:37" s="428" customFormat="1" ht="12.75" customHeight="1">
      <c r="A15" s="442">
        <f t="shared" si="10"/>
        <v>45845</v>
      </c>
      <c r="B15" s="452" t="s">
        <v>231</v>
      </c>
      <c r="C15" s="504" t="s">
        <v>582</v>
      </c>
      <c r="D15" s="422">
        <f>+'7'!F42</f>
        <v>1058.1924198250729</v>
      </c>
      <c r="E15" s="422">
        <f>+'7'!G42</f>
        <v>1055.5789053398059</v>
      </c>
      <c r="F15" s="50">
        <f t="shared" si="0"/>
        <v>2.4697913501392499E-3</v>
      </c>
      <c r="G15" s="448">
        <f t="shared" si="11"/>
        <v>0.72028497545456793</v>
      </c>
      <c r="H15" s="443">
        <f t="shared" si="12"/>
        <v>0.69314087259721202</v>
      </c>
      <c r="I15" s="443">
        <f t="shared" si="13"/>
        <v>1.1039529351951047</v>
      </c>
      <c r="J15" s="449">
        <f t="shared" si="14"/>
        <v>0.76519490080738828</v>
      </c>
      <c r="K15" s="449">
        <f t="shared" si="15"/>
        <v>0.92037659924773518</v>
      </c>
      <c r="L15" s="423">
        <f>+SUM(Efficiency1!K35:K38)</f>
        <v>79.45426705777777</v>
      </c>
      <c r="M15" s="424">
        <f t="shared" si="16"/>
        <v>539.96375006295875</v>
      </c>
      <c r="N15" s="423">
        <f>+SUM(Efficiency1!C35:C38)</f>
        <v>76.460014961777773</v>
      </c>
      <c r="O15" s="424">
        <f t="shared" si="16"/>
        <v>533.39859305082587</v>
      </c>
      <c r="P15" s="590">
        <f>'7'!I38</f>
        <v>55.073</v>
      </c>
      <c r="Q15" s="424">
        <f t="shared" si="17"/>
        <v>493.22899999999993</v>
      </c>
      <c r="R15" s="14">
        <f>'7'!I40</f>
        <v>60.798000000000002</v>
      </c>
      <c r="S15" s="424">
        <f t="shared" si="18"/>
        <v>496.97</v>
      </c>
      <c r="T15" s="579">
        <f t="shared" si="1"/>
        <v>114.601</v>
      </c>
      <c r="U15" s="425">
        <f t="shared" si="19"/>
        <v>1014.0559999999999</v>
      </c>
      <c r="V15" s="427">
        <f t="shared" si="2"/>
        <v>2.0808926334138325</v>
      </c>
      <c r="W15" s="427">
        <f t="shared" si="3"/>
        <v>2.0559537253486719</v>
      </c>
      <c r="X15" s="423">
        <f t="shared" si="4"/>
        <v>1.8849468732524095</v>
      </c>
      <c r="Y15" s="427">
        <f t="shared" si="5"/>
        <v>2.0404772923918948</v>
      </c>
      <c r="Z15" s="426">
        <f>'7'!I46</f>
        <v>47740.620000000927</v>
      </c>
      <c r="AA15" s="425">
        <f t="shared" si="20"/>
        <v>398051.73999999772</v>
      </c>
      <c r="AB15" s="427">
        <f t="shared" si="6"/>
        <v>866.86071214571439</v>
      </c>
      <c r="AC15" s="427">
        <f t="shared" si="7"/>
        <v>807.03231156318418</v>
      </c>
      <c r="AD15" s="427">
        <f t="shared" si="8"/>
        <v>785.23339583540451</v>
      </c>
      <c r="AE15" s="427">
        <f t="shared" si="9"/>
        <v>800.9572811236045</v>
      </c>
      <c r="AF15" s="506">
        <f>2.958</f>
        <v>2.9580000000000002</v>
      </c>
      <c r="AG15" s="525">
        <v>111.643</v>
      </c>
      <c r="AH15" s="423">
        <f>+SUM(Efficiency2!K35:K38)</f>
        <v>79.45426705777777</v>
      </c>
      <c r="AI15" s="424">
        <f t="shared" si="21"/>
        <v>537.28135021299931</v>
      </c>
      <c r="AJ15" s="449">
        <f t="shared" si="22"/>
        <v>0.76519490080738828</v>
      </c>
      <c r="AK15" s="449">
        <f t="shared" si="23"/>
        <v>0.92497161832060937</v>
      </c>
    </row>
    <row r="16" spans="1:37" s="428" customFormat="1" ht="12.75" customHeight="1">
      <c r="A16" s="442">
        <f t="shared" si="10"/>
        <v>45846</v>
      </c>
      <c r="B16" s="452" t="s">
        <v>231</v>
      </c>
      <c r="C16" s="504" t="s">
        <v>518</v>
      </c>
      <c r="D16" s="422">
        <f>+'8'!F42</f>
        <v>1105.4956896551723</v>
      </c>
      <c r="E16" s="422">
        <f>+'8'!G42</f>
        <v>1101.6264547413793</v>
      </c>
      <c r="F16" s="50">
        <f t="shared" si="0"/>
        <v>3.4999999999998366E-3</v>
      </c>
      <c r="G16" s="448">
        <f t="shared" si="11"/>
        <v>0.5983715085118414</v>
      </c>
      <c r="H16" s="443">
        <f t="shared" si="12"/>
        <v>0.51874569359963585</v>
      </c>
      <c r="I16" s="443">
        <f t="shared" si="13"/>
        <v>0.30045643976979564</v>
      </c>
      <c r="J16" s="449">
        <f t="shared" si="14"/>
        <v>0.15586048424485982</v>
      </c>
      <c r="K16" s="449">
        <f t="shared" si="15"/>
        <v>0.82419168298980816</v>
      </c>
      <c r="L16" s="423">
        <f>+Efficiency1!K42</f>
        <v>77.710524631578934</v>
      </c>
      <c r="M16" s="424">
        <f t="shared" si="16"/>
        <v>617.67427469453764</v>
      </c>
      <c r="N16" s="423">
        <f>+Efficiency1!C42</f>
        <v>67.369517810526318</v>
      </c>
      <c r="O16" s="424">
        <f t="shared" si="16"/>
        <v>600.76811086135217</v>
      </c>
      <c r="P16" s="590">
        <f>'8'!I38</f>
        <v>40.311999999999998</v>
      </c>
      <c r="Q16" s="424">
        <f t="shared" si="17"/>
        <v>533.54099999999994</v>
      </c>
      <c r="R16" s="14">
        <f>'8'!I40</f>
        <v>12.112</v>
      </c>
      <c r="S16" s="424">
        <f t="shared" si="18"/>
        <v>509.08200000000005</v>
      </c>
      <c r="T16" s="579">
        <f t="shared" si="1"/>
        <v>109.65100000000001</v>
      </c>
      <c r="U16" s="425">
        <f t="shared" si="19"/>
        <v>1123.7069999999999</v>
      </c>
      <c r="V16" s="427">
        <f t="shared" si="2"/>
        <v>2.7200585433617785</v>
      </c>
      <c r="W16" s="427">
        <f t="shared" si="3"/>
        <v>2.1061305504169314</v>
      </c>
      <c r="X16" s="423">
        <f t="shared" si="4"/>
        <v>9.0530878467635407</v>
      </c>
      <c r="Y16" s="427">
        <f t="shared" si="5"/>
        <v>2.2073202352469736</v>
      </c>
      <c r="Z16" s="426">
        <f>'8'!I46</f>
        <v>41908.620000000868</v>
      </c>
      <c r="AA16" s="425">
        <f t="shared" si="20"/>
        <v>439960.35999999859</v>
      </c>
      <c r="AB16" s="427">
        <f t="shared" si="6"/>
        <v>1039.6065687636651</v>
      </c>
      <c r="AC16" s="427">
        <f t="shared" si="7"/>
        <v>824.60459458598052</v>
      </c>
      <c r="AD16" s="427">
        <f t="shared" si="8"/>
        <v>3460.0908190225286</v>
      </c>
      <c r="AE16" s="427">
        <f t="shared" si="9"/>
        <v>864.22297390204039</v>
      </c>
      <c r="AF16" s="506">
        <f>4.843</f>
        <v>4.843</v>
      </c>
      <c r="AG16" s="525">
        <v>104.80800000000001</v>
      </c>
      <c r="AH16" s="423">
        <f>+Efficiency2!K42</f>
        <v>77.710524631578934</v>
      </c>
      <c r="AI16" s="424">
        <f t="shared" si="21"/>
        <v>614.99187484457821</v>
      </c>
      <c r="AJ16" s="449">
        <f t="shared" si="22"/>
        <v>0.15586048424485982</v>
      </c>
      <c r="AK16" s="449">
        <f t="shared" si="23"/>
        <v>0.82778654616966463</v>
      </c>
    </row>
    <row r="17" spans="1:37" s="428" customFormat="1" ht="12.75" customHeight="1">
      <c r="A17" s="442">
        <f t="shared" si="10"/>
        <v>45847</v>
      </c>
      <c r="B17" s="452" t="s">
        <v>231</v>
      </c>
      <c r="C17" s="504" t="s">
        <v>518</v>
      </c>
      <c r="D17" s="422">
        <f>+'9'!F42</f>
        <v>1107</v>
      </c>
      <c r="E17" s="422">
        <f>+'9'!G42</f>
        <v>1103.1254999999999</v>
      </c>
      <c r="F17" s="50">
        <f t="shared" si="0"/>
        <v>3.5000000000000586E-3</v>
      </c>
      <c r="G17" s="448">
        <f t="shared" si="11"/>
        <v>0.96920217304366973</v>
      </c>
      <c r="H17" s="443">
        <f t="shared" si="12"/>
        <v>0.84175590304501413</v>
      </c>
      <c r="I17" s="443">
        <f t="shared" si="13"/>
        <v>0.99865683715676856</v>
      </c>
      <c r="J17" s="449">
        <f t="shared" si="14"/>
        <v>0.8406252877929733</v>
      </c>
      <c r="K17" s="449">
        <f t="shared" si="15"/>
        <v>0.82603075417425698</v>
      </c>
      <c r="L17" s="423">
        <f>+Efficiency1!K48</f>
        <v>77.833727999999994</v>
      </c>
      <c r="M17" s="424">
        <f t="shared" si="16"/>
        <v>695.50800269453759</v>
      </c>
      <c r="N17" s="423">
        <f>+Efficiency1!C48</f>
        <v>67.598899200000005</v>
      </c>
      <c r="O17" s="424">
        <f t="shared" si="16"/>
        <v>668.36701006135218</v>
      </c>
      <c r="P17" s="590">
        <f>'9'!I38</f>
        <v>65.516999999999996</v>
      </c>
      <c r="Q17" s="424">
        <f t="shared" si="17"/>
        <v>599.05799999999999</v>
      </c>
      <c r="R17" s="14">
        <f>'9'!I40</f>
        <v>65.429000000000002</v>
      </c>
      <c r="S17" s="424">
        <f t="shared" si="18"/>
        <v>574.51100000000008</v>
      </c>
      <c r="T17" s="579">
        <f t="shared" si="1"/>
        <v>142.18899999999999</v>
      </c>
      <c r="U17" s="425">
        <f t="shared" si="19"/>
        <v>1265.896</v>
      </c>
      <c r="V17" s="427">
        <f t="shared" si="2"/>
        <v>2.170261153593724</v>
      </c>
      <c r="W17" s="427">
        <f t="shared" si="3"/>
        <v>2.1131443032227262</v>
      </c>
      <c r="X17" s="423">
        <f t="shared" si="4"/>
        <v>2.1731800883400325</v>
      </c>
      <c r="Y17" s="427">
        <f t="shared" si="5"/>
        <v>2.2034321361993063</v>
      </c>
      <c r="Z17" s="426">
        <f>'9'!I46</f>
        <v>52778.659999998774</v>
      </c>
      <c r="AA17" s="425">
        <f t="shared" si="20"/>
        <v>492739.01999999734</v>
      </c>
      <c r="AB17" s="427">
        <f t="shared" si="6"/>
        <v>805.57198894941439</v>
      </c>
      <c r="AC17" s="427">
        <f t="shared" si="7"/>
        <v>822.5230612060891</v>
      </c>
      <c r="AD17" s="427">
        <f t="shared" si="8"/>
        <v>806.65545858868052</v>
      </c>
      <c r="AE17" s="427">
        <f t="shared" si="9"/>
        <v>857.66681577897941</v>
      </c>
      <c r="AF17" s="506">
        <f>5.064</f>
        <v>5.0640000000000001</v>
      </c>
      <c r="AG17" s="525">
        <v>137.125</v>
      </c>
      <c r="AH17" s="423">
        <f>+Efficiency2!K48</f>
        <v>77.833727999999994</v>
      </c>
      <c r="AI17" s="424">
        <f t="shared" si="21"/>
        <v>692.82560284457816</v>
      </c>
      <c r="AJ17" s="449">
        <f t="shared" si="22"/>
        <v>0.8406252877929733</v>
      </c>
      <c r="AK17" s="449">
        <f t="shared" si="23"/>
        <v>0.82922888190216082</v>
      </c>
    </row>
    <row r="18" spans="1:37" s="428" customFormat="1" ht="12.75" customHeight="1">
      <c r="A18" s="442">
        <f t="shared" si="10"/>
        <v>45848</v>
      </c>
      <c r="B18" s="452" t="s">
        <v>612</v>
      </c>
      <c r="C18" s="504" t="s">
        <v>611</v>
      </c>
      <c r="D18" s="422">
        <f>+'10'!F42</f>
        <v>1484.4166666666667</v>
      </c>
      <c r="E18" s="422">
        <f>+'10'!G42</f>
        <v>1242.1112083333335</v>
      </c>
      <c r="F18" s="50">
        <f t="shared" si="0"/>
        <v>0.16323277943075276</v>
      </c>
      <c r="G18" s="448">
        <f t="shared" si="11"/>
        <v>0.9527539038477959</v>
      </c>
      <c r="H18" s="443">
        <f t="shared" si="12"/>
        <v>0.88050608334529457</v>
      </c>
      <c r="I18" s="443">
        <f>+R18/P18</f>
        <v>0.9998115696250236</v>
      </c>
      <c r="J18" s="449">
        <f t="shared" si="14"/>
        <v>0.88034016925384084</v>
      </c>
      <c r="K18" s="449">
        <f t="shared" si="15"/>
        <v>0.83075725094017017</v>
      </c>
      <c r="L18" s="423">
        <f>+SUM(Efficiency1!K52:K53)</f>
        <v>66.299371582089549</v>
      </c>
      <c r="M18" s="424">
        <f t="shared" si="16"/>
        <v>761.80737427662712</v>
      </c>
      <c r="N18" s="423">
        <f>+SUM(Efficiency1!C52:C53)</f>
        <v>61.271856</v>
      </c>
      <c r="O18" s="424">
        <f t="shared" si="16"/>
        <v>729.63886606135213</v>
      </c>
      <c r="P18" s="590">
        <f>'10'!I38</f>
        <v>58.376999999999995</v>
      </c>
      <c r="Q18" s="424">
        <f t="shared" si="17"/>
        <v>657.43499999999995</v>
      </c>
      <c r="R18" s="14">
        <f>'10'!I40</f>
        <v>58.366</v>
      </c>
      <c r="S18" s="424">
        <f t="shared" si="18"/>
        <v>632.87700000000007</v>
      </c>
      <c r="T18" s="579">
        <f t="shared" si="1"/>
        <v>132.90300000000002</v>
      </c>
      <c r="U18" s="425">
        <f t="shared" si="19"/>
        <v>1398.799</v>
      </c>
      <c r="V18" s="427">
        <f t="shared" si="2"/>
        <v>2.2766329204995124</v>
      </c>
      <c r="W18" s="427">
        <f t="shared" si="3"/>
        <v>2.1276612897092488</v>
      </c>
      <c r="X18" s="423">
        <f t="shared" si="4"/>
        <v>2.2770619881437826</v>
      </c>
      <c r="Y18" s="427">
        <f t="shared" si="5"/>
        <v>2.2102225234919262</v>
      </c>
      <c r="Z18" s="426">
        <f>'10'!I46</f>
        <v>53064.619999999457</v>
      </c>
      <c r="AA18" s="425">
        <f t="shared" si="20"/>
        <v>545803.63999999675</v>
      </c>
      <c r="AB18" s="427">
        <f t="shared" si="6"/>
        <v>908.99874950750234</v>
      </c>
      <c r="AC18" s="427">
        <f t="shared" si="7"/>
        <v>830.2016777323945</v>
      </c>
      <c r="AD18" s="427">
        <f t="shared" si="8"/>
        <v>909.17006476372296</v>
      </c>
      <c r="AE18" s="427">
        <f t="shared" si="9"/>
        <v>862.4166149188494</v>
      </c>
      <c r="AF18" s="506">
        <f>1.276</f>
        <v>1.276</v>
      </c>
      <c r="AG18" s="525">
        <v>131.62700000000001</v>
      </c>
      <c r="AH18" s="423">
        <f>+SUM(Efficiency2!K52:K53)</f>
        <v>66.299371582089549</v>
      </c>
      <c r="AI18" s="424">
        <f t="shared" si="21"/>
        <v>759.12497442666768</v>
      </c>
      <c r="AJ18" s="449">
        <f t="shared" si="22"/>
        <v>0.88034016925384084</v>
      </c>
      <c r="AK18" s="449">
        <f t="shared" si="23"/>
        <v>0.83369276643543844</v>
      </c>
    </row>
    <row r="19" spans="1:37" s="428" customFormat="1" ht="12.75" customHeight="1">
      <c r="A19" s="442">
        <f t="shared" si="10"/>
        <v>45849</v>
      </c>
      <c r="B19" s="446" t="s">
        <v>607</v>
      </c>
      <c r="C19" s="429" t="s">
        <v>629</v>
      </c>
      <c r="D19" s="422">
        <f>+'11'!F42</f>
        <v>1640</v>
      </c>
      <c r="E19" s="422">
        <f>+'11'!G42</f>
        <v>1312</v>
      </c>
      <c r="F19" s="50">
        <f t="shared" si="0"/>
        <v>0.19999999999999996</v>
      </c>
      <c r="G19" s="448">
        <f t="shared" si="11"/>
        <v>0.9344718171356281</v>
      </c>
      <c r="H19" s="443">
        <f t="shared" si="12"/>
        <v>0.90149045888378232</v>
      </c>
      <c r="I19" s="443">
        <f t="shared" si="13"/>
        <v>0.97759508202792278</v>
      </c>
      <c r="J19" s="449">
        <f t="shared" si="14"/>
        <v>0.88129263909988098</v>
      </c>
      <c r="K19" s="449">
        <f t="shared" si="15"/>
        <v>0.83444155409629261</v>
      </c>
      <c r="L19" s="423">
        <f>+Efficiency1!K57</f>
        <v>59.907456000000003</v>
      </c>
      <c r="M19" s="424">
        <f t="shared" si="16"/>
        <v>821.71483027662714</v>
      </c>
      <c r="N19" s="423">
        <f>+Efficiency1!C57</f>
        <v>57.793075199999997</v>
      </c>
      <c r="O19" s="424">
        <f t="shared" si="16"/>
        <v>787.43194126135211</v>
      </c>
      <c r="P19" s="590">
        <f>'11'!I38</f>
        <v>54.006</v>
      </c>
      <c r="Q19" s="424">
        <f t="shared" si="17"/>
        <v>711.44099999999992</v>
      </c>
      <c r="R19" s="14">
        <f>'11'!I40</f>
        <v>52.795999999999999</v>
      </c>
      <c r="S19" s="424">
        <f t="shared" si="18"/>
        <v>685.67300000000012</v>
      </c>
      <c r="T19" s="579">
        <f t="shared" si="1"/>
        <v>127.309</v>
      </c>
      <c r="U19" s="425">
        <f t="shared" si="19"/>
        <v>1526.1079999999999</v>
      </c>
      <c r="V19" s="427">
        <f t="shared" si="2"/>
        <v>2.3573121505017962</v>
      </c>
      <c r="W19" s="427">
        <f t="shared" si="3"/>
        <v>2.1450942523694869</v>
      </c>
      <c r="X19" s="423">
        <f t="shared" si="4"/>
        <v>2.4113379801500114</v>
      </c>
      <c r="Y19" s="427">
        <f t="shared" si="5"/>
        <v>2.2257081728462396</v>
      </c>
      <c r="Z19" s="426">
        <f>'11'!I46</f>
        <v>58050.100000000602</v>
      </c>
      <c r="AA19" s="425">
        <f t="shared" si="20"/>
        <v>603853.73999999731</v>
      </c>
      <c r="AB19" s="427">
        <f t="shared" si="6"/>
        <v>1074.8824204718105</v>
      </c>
      <c r="AC19" s="427">
        <f t="shared" si="7"/>
        <v>848.77556958341927</v>
      </c>
      <c r="AD19" s="427">
        <f t="shared" si="8"/>
        <v>1099.5170088643195</v>
      </c>
      <c r="AE19" s="427">
        <f t="shared" si="9"/>
        <v>880.67306135723175</v>
      </c>
      <c r="AF19" s="589">
        <f>0.22</f>
        <v>0.22</v>
      </c>
      <c r="AG19" s="525">
        <v>127.089</v>
      </c>
      <c r="AH19" s="423">
        <f>+Efficiency2!K57</f>
        <v>59.907456000000003</v>
      </c>
      <c r="AI19" s="424">
        <f t="shared" si="21"/>
        <v>819.0324304266677</v>
      </c>
      <c r="AJ19" s="449">
        <f t="shared" si="22"/>
        <v>0.88129263909988098</v>
      </c>
      <c r="AK19" s="449">
        <f t="shared" si="23"/>
        <v>0.83717442011765619</v>
      </c>
    </row>
    <row r="20" spans="1:37" s="428" customFormat="1" ht="12.75" customHeight="1">
      <c r="A20" s="442">
        <f t="shared" si="10"/>
        <v>45850</v>
      </c>
      <c r="B20" s="446" t="s">
        <v>607</v>
      </c>
      <c r="C20" s="429" t="s">
        <v>660</v>
      </c>
      <c r="D20" s="422">
        <f>+'12'!F42</f>
        <v>1656.6666666666667</v>
      </c>
      <c r="E20" s="422">
        <f>+'12'!G42</f>
        <v>1375.4666666666667</v>
      </c>
      <c r="F20" s="50">
        <f t="shared" si="0"/>
        <v>0.16973843058350102</v>
      </c>
      <c r="G20" s="448">
        <f t="shared" si="11"/>
        <v>0.97583054794951407</v>
      </c>
      <c r="H20" s="443">
        <f t="shared" si="12"/>
        <v>0.93514033101936855</v>
      </c>
      <c r="I20" s="443">
        <f t="shared" si="13"/>
        <v>0.83590376310919179</v>
      </c>
      <c r="J20" s="449">
        <f t="shared" si="14"/>
        <v>0.78168732173426547</v>
      </c>
      <c r="K20" s="449">
        <f t="shared" si="15"/>
        <v>0.83091103631758045</v>
      </c>
      <c r="L20" s="423">
        <f>+SUM(Efficiency1!K62:K64)</f>
        <v>58.936608947153289</v>
      </c>
      <c r="M20" s="424">
        <f t="shared" si="16"/>
        <v>880.65143922378047</v>
      </c>
      <c r="N20" s="423">
        <f>+SUM(Efficiency1!C62:C64)</f>
        <v>56.479068128999998</v>
      </c>
      <c r="O20" s="424">
        <f t="shared" si="16"/>
        <v>843.91100939035209</v>
      </c>
      <c r="P20" s="590">
        <f>'12'!I38</f>
        <v>55.114000000000004</v>
      </c>
      <c r="Q20" s="424">
        <f t="shared" si="17"/>
        <v>766.55499999999995</v>
      </c>
      <c r="R20" s="14">
        <f>'12'!I40</f>
        <v>46.07</v>
      </c>
      <c r="S20" s="424">
        <f t="shared" si="18"/>
        <v>731.74300000000017</v>
      </c>
      <c r="T20" s="579">
        <f t="shared" si="1"/>
        <v>129.279</v>
      </c>
      <c r="U20" s="425">
        <f t="shared" si="19"/>
        <v>1655.3869999999999</v>
      </c>
      <c r="V20" s="427">
        <f t="shared" si="2"/>
        <v>2.345665348187393</v>
      </c>
      <c r="W20" s="427">
        <f t="shared" si="3"/>
        <v>2.1595149728329996</v>
      </c>
      <c r="X20" s="423">
        <f t="shared" si="4"/>
        <v>2.8061428261341437</v>
      </c>
      <c r="Y20" s="427">
        <f t="shared" si="5"/>
        <v>2.2622519108484802</v>
      </c>
      <c r="Z20" s="426">
        <f>'12'!I46</f>
        <v>58672.420000000297</v>
      </c>
      <c r="AA20" s="425">
        <f t="shared" si="20"/>
        <v>662526.15999999759</v>
      </c>
      <c r="AB20" s="427">
        <f t="shared" si="6"/>
        <v>1064.5647203977264</v>
      </c>
      <c r="AC20" s="427">
        <f t="shared" si="7"/>
        <v>864.29044230354975</v>
      </c>
      <c r="AD20" s="427">
        <f t="shared" si="8"/>
        <v>1273.5493813761732</v>
      </c>
      <c r="AE20" s="427">
        <f t="shared" si="9"/>
        <v>905.40826492361043</v>
      </c>
      <c r="AF20" s="589">
        <f>0.105</f>
        <v>0.105</v>
      </c>
      <c r="AG20" s="525">
        <v>129.17400000000001</v>
      </c>
      <c r="AH20" s="423">
        <f>+SUM(Efficiency2!K62:K64)</f>
        <v>58.936608947153289</v>
      </c>
      <c r="AI20" s="424">
        <f t="shared" si="21"/>
        <v>877.96903937382103</v>
      </c>
      <c r="AJ20" s="449">
        <f t="shared" si="22"/>
        <v>0.78168732173426547</v>
      </c>
      <c r="AK20" s="449">
        <f t="shared" si="23"/>
        <v>0.8334496630107695</v>
      </c>
    </row>
    <row r="21" spans="1:37" s="428" customFormat="1" ht="12.75" customHeight="1">
      <c r="A21" s="442">
        <f t="shared" si="10"/>
        <v>45851</v>
      </c>
      <c r="B21" s="446" t="s">
        <v>607</v>
      </c>
      <c r="C21" s="429" t="s">
        <v>661</v>
      </c>
      <c r="D21" s="422">
        <f>+'13'!F42</f>
        <v>1623.75</v>
      </c>
      <c r="E21" s="422">
        <f>+'13'!G42</f>
        <v>1344.7</v>
      </c>
      <c r="F21" s="50">
        <f t="shared" si="0"/>
        <v>0.17185527328714389</v>
      </c>
      <c r="G21" s="448">
        <f t="shared" si="11"/>
        <v>0.98153430587321577</v>
      </c>
      <c r="H21" s="443">
        <f t="shared" si="12"/>
        <v>0.92648084632416328</v>
      </c>
      <c r="I21" s="443">
        <f t="shared" si="13"/>
        <v>0.65121361397223465</v>
      </c>
      <c r="J21" s="449">
        <f t="shared" si="14"/>
        <v>0.60333694021081286</v>
      </c>
      <c r="K21" s="449">
        <f t="shared" si="15"/>
        <v>0.81633737328539069</v>
      </c>
      <c r="L21" s="423">
        <f>+SUM(Efficiency1!K67:K68)</f>
        <v>60.254888399999992</v>
      </c>
      <c r="M21" s="424">
        <f t="shared" si="16"/>
        <v>940.9063276237805</v>
      </c>
      <c r="N21" s="423">
        <f>+SUM(Efficiency1!C67:C68)</f>
        <v>56.8752408</v>
      </c>
      <c r="O21" s="424">
        <f t="shared" si="16"/>
        <v>900.78625019035212</v>
      </c>
      <c r="P21" s="590">
        <f>'13'!I38</f>
        <v>55.825000000000003</v>
      </c>
      <c r="Q21" s="424">
        <f t="shared" si="17"/>
        <v>822.38</v>
      </c>
      <c r="R21" s="14">
        <f>'13'!I40</f>
        <v>36.353999999999999</v>
      </c>
      <c r="S21" s="424">
        <f t="shared" si="18"/>
        <v>768.09700000000021</v>
      </c>
      <c r="T21" s="579">
        <f t="shared" si="1"/>
        <v>129.14700000000002</v>
      </c>
      <c r="U21" s="425">
        <f t="shared" si="19"/>
        <v>1784.5339999999999</v>
      </c>
      <c r="V21" s="427">
        <f t="shared" si="2"/>
        <v>2.3134258844603677</v>
      </c>
      <c r="W21" s="427">
        <f t="shared" si="3"/>
        <v>2.1699627909239037</v>
      </c>
      <c r="X21" s="423">
        <f t="shared" si="4"/>
        <v>3.5524839082356832</v>
      </c>
      <c r="Y21" s="427">
        <f t="shared" si="5"/>
        <v>2.3233185391949185</v>
      </c>
      <c r="Z21" s="426">
        <f>'13'!I46</f>
        <v>55700.259999998627</v>
      </c>
      <c r="AA21" s="425">
        <f t="shared" si="20"/>
        <v>718226.4199999962</v>
      </c>
      <c r="AB21" s="427">
        <f t="shared" si="6"/>
        <v>997.76551724135481</v>
      </c>
      <c r="AC21" s="427">
        <f t="shared" si="7"/>
        <v>873.35102993749376</v>
      </c>
      <c r="AD21" s="427">
        <f t="shared" si="8"/>
        <v>1532.1631732408712</v>
      </c>
      <c r="AE21" s="427">
        <f t="shared" si="9"/>
        <v>935.07254943060059</v>
      </c>
      <c r="AF21" s="589">
        <f>0.103</f>
        <v>0.10299999999999999</v>
      </c>
      <c r="AG21" s="525">
        <v>129.04400000000001</v>
      </c>
      <c r="AH21" s="423">
        <f>+SUM(Efficiency2!K67:K68)</f>
        <v>60.254888399999992</v>
      </c>
      <c r="AI21" s="424">
        <f t="shared" si="21"/>
        <v>938.22392777382106</v>
      </c>
      <c r="AJ21" s="449">
        <f t="shared" si="22"/>
        <v>0.60333694021081286</v>
      </c>
      <c r="AK21" s="449">
        <f t="shared" si="23"/>
        <v>0.81867129718436094</v>
      </c>
    </row>
    <row r="22" spans="1:37" s="428" customFormat="1" ht="12.75" customHeight="1">
      <c r="A22" s="442">
        <f t="shared" si="10"/>
        <v>45852</v>
      </c>
      <c r="B22" s="446" t="s">
        <v>607</v>
      </c>
      <c r="C22" s="429" t="s">
        <v>680</v>
      </c>
      <c r="D22" s="422">
        <f>+'14'!F42</f>
        <v>1633.6666666666667</v>
      </c>
      <c r="E22" s="422">
        <f>+'14'!G42</f>
        <v>1372.28</v>
      </c>
      <c r="F22" s="50">
        <f t="shared" si="0"/>
        <v>0.16000000000000003</v>
      </c>
      <c r="G22" s="448">
        <f t="shared" si="11"/>
        <v>0.907344514932241</v>
      </c>
      <c r="H22" s="443">
        <f t="shared" si="12"/>
        <v>0.85647028490424815</v>
      </c>
      <c r="I22" s="443">
        <f t="shared" si="13"/>
        <v>0.89484923381117143</v>
      </c>
      <c r="J22" s="449">
        <f t="shared" si="14"/>
        <v>0.76641177822860218</v>
      </c>
      <c r="K22" s="449">
        <f t="shared" si="15"/>
        <v>0.81338911457210228</v>
      </c>
      <c r="L22" s="423">
        <f>+Efficiency1!K72</f>
        <v>59.050501682792415</v>
      </c>
      <c r="M22" s="424">
        <f t="shared" si="16"/>
        <v>999.9568293065729</v>
      </c>
      <c r="N22" s="423">
        <f>+Efficiency1!C72</f>
        <v>55.739577599999997</v>
      </c>
      <c r="O22" s="424">
        <f t="shared" si="16"/>
        <v>956.52582779035208</v>
      </c>
      <c r="P22" s="590">
        <f>'14'!I38</f>
        <v>50.575000000000003</v>
      </c>
      <c r="Q22" s="424">
        <f t="shared" si="17"/>
        <v>872.95500000000004</v>
      </c>
      <c r="R22" s="14">
        <f>'14'!I40</f>
        <v>45.256999999999998</v>
      </c>
      <c r="S22" s="424">
        <f t="shared" si="18"/>
        <v>813.35400000000016</v>
      </c>
      <c r="T22" s="579">
        <f t="shared" si="1"/>
        <v>130.65</v>
      </c>
      <c r="U22" s="425">
        <f t="shared" si="19"/>
        <v>1915.184</v>
      </c>
      <c r="V22" s="427">
        <f t="shared" si="2"/>
        <v>2.583292140385566</v>
      </c>
      <c r="W22" s="427">
        <f t="shared" si="3"/>
        <v>2.1939091934864909</v>
      </c>
      <c r="X22" s="423">
        <f t="shared" si="4"/>
        <v>2.8868462337317986</v>
      </c>
      <c r="Y22" s="427">
        <f t="shared" si="5"/>
        <v>2.3546745943340781</v>
      </c>
      <c r="Z22" s="426">
        <f>'14'!I46</f>
        <v>56269.640000000429</v>
      </c>
      <c r="AA22" s="425">
        <f t="shared" si="20"/>
        <v>774496.05999999668</v>
      </c>
      <c r="AB22" s="427">
        <f t="shared" si="6"/>
        <v>1112.5979238754412</v>
      </c>
      <c r="AC22" s="427">
        <f t="shared" si="7"/>
        <v>887.21189522941813</v>
      </c>
      <c r="AD22" s="427">
        <f t="shared" si="8"/>
        <v>1243.3356165897083</v>
      </c>
      <c r="AE22" s="427">
        <f t="shared" si="9"/>
        <v>952.22505821572963</v>
      </c>
      <c r="AF22" s="589">
        <f>0.126</f>
        <v>0.126</v>
      </c>
      <c r="AG22" s="525">
        <v>130.524</v>
      </c>
      <c r="AH22" s="423">
        <f>+Efficiency2!K72</f>
        <v>59.050501682792415</v>
      </c>
      <c r="AI22" s="424">
        <f t="shared" si="21"/>
        <v>997.27442945661346</v>
      </c>
      <c r="AJ22" s="449">
        <f t="shared" si="22"/>
        <v>0.76641177822860218</v>
      </c>
      <c r="AK22" s="449">
        <f t="shared" si="23"/>
        <v>0.81557691240832642</v>
      </c>
    </row>
    <row r="23" spans="1:37" s="428" customFormat="1" ht="12.75" customHeight="1">
      <c r="A23" s="442">
        <f t="shared" si="10"/>
        <v>45853</v>
      </c>
      <c r="B23" s="446" t="s">
        <v>607</v>
      </c>
      <c r="C23" s="429" t="s">
        <v>680</v>
      </c>
      <c r="D23" s="422">
        <f>+'15'!F42</f>
        <v>1646.6666666666667</v>
      </c>
      <c r="E23" s="422">
        <f>+'15'!G42</f>
        <v>1383.2</v>
      </c>
      <c r="F23" s="50">
        <f t="shared" si="0"/>
        <v>0.16000000000000003</v>
      </c>
      <c r="G23" s="448">
        <f t="shared" si="11"/>
        <v>0.94000646198989268</v>
      </c>
      <c r="H23" s="443">
        <f t="shared" si="12"/>
        <v>0.894364529731424</v>
      </c>
      <c r="I23" s="443">
        <f t="shared" si="13"/>
        <v>0.95544751884839629</v>
      </c>
      <c r="J23" s="449">
        <f t="shared" si="14"/>
        <v>0.85451837087790183</v>
      </c>
      <c r="K23" s="449">
        <f t="shared" si="15"/>
        <v>0.81567610751034803</v>
      </c>
      <c r="L23" s="423">
        <f>+Efficiency1!K77</f>
        <v>58.876440477590045</v>
      </c>
      <c r="M23" s="424">
        <f t="shared" si="16"/>
        <v>1058.8332697841629</v>
      </c>
      <c r="N23" s="423">
        <f>+Efficiency1!C77</f>
        <v>56.017700015094348</v>
      </c>
      <c r="O23" s="424">
        <f t="shared" si="16"/>
        <v>1012.5435278054464</v>
      </c>
      <c r="P23" s="590">
        <f>'15'!I38</f>
        <v>52.656999999999996</v>
      </c>
      <c r="Q23" s="424">
        <f t="shared" si="17"/>
        <v>925.61200000000008</v>
      </c>
      <c r="R23" s="14">
        <f>'15'!I40</f>
        <v>50.311</v>
      </c>
      <c r="S23" s="424">
        <f t="shared" si="18"/>
        <v>863.66500000000019</v>
      </c>
      <c r="T23" s="579">
        <f t="shared" si="1"/>
        <v>131.541</v>
      </c>
      <c r="U23" s="425">
        <f t="shared" si="19"/>
        <v>2046.7249999999999</v>
      </c>
      <c r="V23" s="427">
        <f t="shared" si="2"/>
        <v>2.4980724310158196</v>
      </c>
      <c r="W23" s="427">
        <f t="shared" si="3"/>
        <v>2.2112126895502646</v>
      </c>
      <c r="X23" s="423">
        <f t="shared" si="4"/>
        <v>2.6145574526445508</v>
      </c>
      <c r="Y23" s="427">
        <f t="shared" si="5"/>
        <v>2.3698135272356753</v>
      </c>
      <c r="Z23" s="426">
        <f>'15'!I46</f>
        <v>56081.459999999919</v>
      </c>
      <c r="AA23" s="425">
        <f t="shared" si="20"/>
        <v>830577.51999999664</v>
      </c>
      <c r="AB23" s="427">
        <f t="shared" si="6"/>
        <v>1065.0333289021387</v>
      </c>
      <c r="AC23" s="427">
        <f t="shared" si="7"/>
        <v>897.32795166873007</v>
      </c>
      <c r="AD23" s="427">
        <f t="shared" si="8"/>
        <v>1114.6957921726844</v>
      </c>
      <c r="AE23" s="427">
        <f t="shared" si="9"/>
        <v>961.68945134976695</v>
      </c>
      <c r="AF23" s="589">
        <f>0.153</f>
        <v>0.153</v>
      </c>
      <c r="AG23" s="525">
        <v>131.38800000000001</v>
      </c>
      <c r="AH23" s="423">
        <f>+Efficiency2!K77</f>
        <v>58.876440477590045</v>
      </c>
      <c r="AI23" s="424">
        <f t="shared" si="21"/>
        <v>1056.1508699342035</v>
      </c>
      <c r="AJ23" s="449">
        <f t="shared" si="22"/>
        <v>0.85451837087790183</v>
      </c>
      <c r="AK23" s="449">
        <f t="shared" si="23"/>
        <v>0.81774775232046648</v>
      </c>
    </row>
    <row r="24" spans="1:37" s="428" customFormat="1" ht="12.75" customHeight="1">
      <c r="A24" s="442">
        <f t="shared" si="10"/>
        <v>45854</v>
      </c>
      <c r="B24" s="446" t="s">
        <v>607</v>
      </c>
      <c r="C24" s="429" t="s">
        <v>695</v>
      </c>
      <c r="D24" s="422">
        <f>+'16'!F42</f>
        <v>1670</v>
      </c>
      <c r="E24" s="422">
        <f>+'16'!G42</f>
        <v>1402.8</v>
      </c>
      <c r="F24" s="50">
        <f t="shared" si="0"/>
        <v>0.16000000000000003</v>
      </c>
      <c r="G24" s="448">
        <f t="shared" si="11"/>
        <v>0.96397454477151212</v>
      </c>
      <c r="H24" s="443">
        <f t="shared" si="12"/>
        <v>0.93001122472451137</v>
      </c>
      <c r="I24" s="443">
        <f t="shared" si="13"/>
        <v>1.004105779818226</v>
      </c>
      <c r="J24" s="449">
        <f t="shared" si="14"/>
        <v>0.93382964604170882</v>
      </c>
      <c r="K24" s="449">
        <f t="shared" si="15"/>
        <v>0.82177353709882495</v>
      </c>
      <c r="L24" s="423">
        <f>+Efficiency1!K82</f>
        <v>57.615433637236364</v>
      </c>
      <c r="M24" s="424">
        <f t="shared" si="16"/>
        <v>1116.4487034213992</v>
      </c>
      <c r="N24" s="423">
        <f>+Efficiency1!C82</f>
        <v>55.585492677818181</v>
      </c>
      <c r="O24" s="424">
        <f t="shared" si="16"/>
        <v>1068.1290204832646</v>
      </c>
      <c r="P24" s="590">
        <f>'16'!I38</f>
        <v>53.582999999999998</v>
      </c>
      <c r="Q24" s="424">
        <f t="shared" si="17"/>
        <v>979.19500000000005</v>
      </c>
      <c r="R24" s="14">
        <f>'16'!I40</f>
        <v>53.802999999999997</v>
      </c>
      <c r="S24" s="424">
        <f t="shared" si="18"/>
        <v>917.46800000000019</v>
      </c>
      <c r="T24" s="579">
        <f t="shared" si="1"/>
        <v>133.11500000000001</v>
      </c>
      <c r="U24" s="425">
        <f t="shared" si="19"/>
        <v>2179.84</v>
      </c>
      <c r="V24" s="427">
        <f t="shared" si="2"/>
        <v>2.4842767295597485</v>
      </c>
      <c r="W24" s="427">
        <f t="shared" si="3"/>
        <v>2.2261551580635115</v>
      </c>
      <c r="X24" s="423">
        <f t="shared" si="4"/>
        <v>2.4741185435756372</v>
      </c>
      <c r="Y24" s="427">
        <f t="shared" si="5"/>
        <v>2.3759302776772593</v>
      </c>
      <c r="Z24" s="426">
        <f>'16'!I46</f>
        <v>57613.260000000751</v>
      </c>
      <c r="AA24" s="425">
        <f t="shared" si="20"/>
        <v>888190.77999999735</v>
      </c>
      <c r="AB24" s="427">
        <f t="shared" si="6"/>
        <v>1075.2152735009379</v>
      </c>
      <c r="AC24" s="427">
        <f t="shared" si="7"/>
        <v>907.0622092637293</v>
      </c>
      <c r="AD24" s="427">
        <f t="shared" si="8"/>
        <v>1070.8187275802604</v>
      </c>
      <c r="AE24" s="427">
        <f t="shared" si="9"/>
        <v>968.08911046488504</v>
      </c>
      <c r="AF24" s="589">
        <f>0.132</f>
        <v>0.13200000000000001</v>
      </c>
      <c r="AG24" s="525">
        <v>132.983</v>
      </c>
      <c r="AH24" s="423">
        <f>+Efficiency2!K82</f>
        <v>57.615433637236364</v>
      </c>
      <c r="AI24" s="424">
        <f t="shared" si="21"/>
        <v>1113.7663035714397</v>
      </c>
      <c r="AJ24" s="449">
        <f t="shared" si="22"/>
        <v>0.93382964604170882</v>
      </c>
      <c r="AK24" s="449">
        <f t="shared" si="23"/>
        <v>0.82375270023703995</v>
      </c>
    </row>
    <row r="25" spans="1:37" s="428" customFormat="1" ht="12.75" customHeight="1">
      <c r="A25" s="442">
        <f t="shared" si="10"/>
        <v>45855</v>
      </c>
      <c r="B25" s="446" t="s">
        <v>607</v>
      </c>
      <c r="C25" s="429" t="s">
        <v>703</v>
      </c>
      <c r="D25" s="422">
        <f>+'17'!F42</f>
        <v>1695.5555555555557</v>
      </c>
      <c r="E25" s="422">
        <f>+'17'!G42</f>
        <v>1416.7111111111112</v>
      </c>
      <c r="F25" s="50">
        <f t="shared" si="0"/>
        <v>0.16445609436435127</v>
      </c>
      <c r="G25" s="448">
        <f t="shared" si="11"/>
        <v>0.96026893054788554</v>
      </c>
      <c r="H25" s="443">
        <f t="shared" si="12"/>
        <v>0.94261827997988645</v>
      </c>
      <c r="I25" s="443">
        <f t="shared" si="13"/>
        <v>0.99839817354961058</v>
      </c>
      <c r="J25" s="449">
        <f t="shared" si="14"/>
        <v>0.94110836908639406</v>
      </c>
      <c r="K25" s="449">
        <f t="shared" si="15"/>
        <v>0.82763008783305636</v>
      </c>
      <c r="L25" s="423">
        <f>+SUM(Efficiency1!K86:K87)</f>
        <v>57.619294208000007</v>
      </c>
      <c r="M25" s="424">
        <f t="shared" si="16"/>
        <v>1174.0679976293991</v>
      </c>
      <c r="N25" s="423">
        <f>+SUM(Efficiency1!C86:C87)</f>
        <v>56.560197120000005</v>
      </c>
      <c r="O25" s="424">
        <f t="shared" si="16"/>
        <v>1124.6892176032648</v>
      </c>
      <c r="P25" s="590">
        <f>'17'!I38</f>
        <v>54.313000000000002</v>
      </c>
      <c r="Q25" s="424">
        <f t="shared" si="17"/>
        <v>1033.508</v>
      </c>
      <c r="R25" s="14">
        <f>'17'!I40</f>
        <v>54.225999999999999</v>
      </c>
      <c r="S25" s="424">
        <f t="shared" si="18"/>
        <v>971.69400000000019</v>
      </c>
      <c r="T25" s="579">
        <f t="shared" si="1"/>
        <v>133.87800000000001</v>
      </c>
      <c r="U25" s="425">
        <f t="shared" si="19"/>
        <v>2313.7180000000003</v>
      </c>
      <c r="V25" s="427">
        <f t="shared" si="2"/>
        <v>2.4649347301750963</v>
      </c>
      <c r="W25" s="427">
        <f t="shared" si="3"/>
        <v>2.2387035223723477</v>
      </c>
      <c r="X25" s="423">
        <f t="shared" si="4"/>
        <v>2.468889462619408</v>
      </c>
      <c r="Y25" s="427">
        <f t="shared" si="5"/>
        <v>2.3811179239554838</v>
      </c>
      <c r="Z25" s="426">
        <f>'17'!I46</f>
        <v>58245.499999999003</v>
      </c>
      <c r="AA25" s="425">
        <f t="shared" si="20"/>
        <v>946436.2799999963</v>
      </c>
      <c r="AB25" s="427">
        <f t="shared" si="6"/>
        <v>1072.4043967374112</v>
      </c>
      <c r="AC25" s="427">
        <f t="shared" si="7"/>
        <v>915.75128591166811</v>
      </c>
      <c r="AD25" s="427">
        <f t="shared" si="8"/>
        <v>1074.1249585069709</v>
      </c>
      <c r="AE25" s="427">
        <f t="shared" si="9"/>
        <v>974.00650822172008</v>
      </c>
      <c r="AF25" s="589">
        <f>0.15</f>
        <v>0.15</v>
      </c>
      <c r="AG25" s="525">
        <v>133.72800000000001</v>
      </c>
      <c r="AH25" s="423">
        <f>+SUM(Efficiency2!K86:K87)</f>
        <v>57.619294208000007</v>
      </c>
      <c r="AI25" s="424">
        <f t="shared" si="21"/>
        <v>1171.3855977794396</v>
      </c>
      <c r="AJ25" s="449">
        <f t="shared" si="22"/>
        <v>0.94110836908639406</v>
      </c>
      <c r="AK25" s="449">
        <f t="shared" si="23"/>
        <v>0.82952530903744348</v>
      </c>
    </row>
    <row r="26" spans="1:37" s="428" customFormat="1" ht="12.75" customHeight="1">
      <c r="A26" s="442">
        <f t="shared" si="10"/>
        <v>45856</v>
      </c>
      <c r="B26" s="446" t="s">
        <v>607</v>
      </c>
      <c r="C26" s="467" t="s">
        <v>629</v>
      </c>
      <c r="D26" s="422">
        <f>+'18'!F42</f>
        <v>1673.3333333333333</v>
      </c>
      <c r="E26" s="422">
        <f>+'18'!G42</f>
        <v>1338.6666666666667</v>
      </c>
      <c r="F26" s="50">
        <f t="shared" si="0"/>
        <v>0.19999999999999996</v>
      </c>
      <c r="G26" s="448">
        <f t="shared" si="11"/>
        <v>0.90650631691770311</v>
      </c>
      <c r="H26" s="443">
        <f t="shared" si="12"/>
        <v>0.89184224414403435</v>
      </c>
      <c r="I26" s="443">
        <f t="shared" si="13"/>
        <v>1.0052219809837539</v>
      </c>
      <c r="J26" s="449">
        <f t="shared" si="14"/>
        <v>0.89649942738346289</v>
      </c>
      <c r="K26" s="449">
        <f t="shared" si="15"/>
        <v>0.83097357972888819</v>
      </c>
      <c r="L26" s="423">
        <f>+Efficiency1!K91</f>
        <v>59.907456000000003</v>
      </c>
      <c r="M26" s="424">
        <f t="shared" si="16"/>
        <v>1233.975453629399</v>
      </c>
      <c r="N26" s="423">
        <f>+Efficiency1!C91</f>
        <v>58.938364800000002</v>
      </c>
      <c r="O26" s="424">
        <f t="shared" si="16"/>
        <v>1183.6275824032648</v>
      </c>
      <c r="P26" s="590">
        <f>'18'!I38</f>
        <v>53.427999999999997</v>
      </c>
      <c r="Q26" s="424">
        <f t="shared" si="17"/>
        <v>1086.9360000000001</v>
      </c>
      <c r="R26" s="14">
        <f>'18'!I40</f>
        <v>53.707000000000001</v>
      </c>
      <c r="S26" s="424">
        <f t="shared" si="18"/>
        <v>1025.4010000000003</v>
      </c>
      <c r="T26" s="579">
        <f t="shared" si="1"/>
        <v>129.98099999999999</v>
      </c>
      <c r="U26" s="425">
        <f t="shared" si="19"/>
        <v>2443.6990000000005</v>
      </c>
      <c r="V26" s="427">
        <f t="shared" si="2"/>
        <v>2.432825484764543</v>
      </c>
      <c r="W26" s="427">
        <f t="shared" si="3"/>
        <v>2.2482455268755475</v>
      </c>
      <c r="X26" s="423">
        <f t="shared" si="4"/>
        <v>2.42018731264081</v>
      </c>
      <c r="Y26" s="427">
        <f t="shared" si="5"/>
        <v>2.3831642450124391</v>
      </c>
      <c r="Z26" s="426">
        <f>'18'!I46</f>
        <v>56604.740000001198</v>
      </c>
      <c r="AA26" s="425">
        <f t="shared" si="20"/>
        <v>1003041.0199999975</v>
      </c>
      <c r="AB26" s="427">
        <f t="shared" si="6"/>
        <v>1059.4583364528187</v>
      </c>
      <c r="AC26" s="427">
        <f t="shared" si="7"/>
        <v>922.81516115023999</v>
      </c>
      <c r="AD26" s="427">
        <f t="shared" si="8"/>
        <v>1053.9546055449234</v>
      </c>
      <c r="AE26" s="427">
        <f t="shared" si="9"/>
        <v>978.19391633126668</v>
      </c>
      <c r="AF26" s="589">
        <f>0.469</f>
        <v>0.46899999999999997</v>
      </c>
      <c r="AG26" s="525">
        <v>129.512</v>
      </c>
      <c r="AH26" s="423">
        <f>+Efficiency2!K91</f>
        <v>59.907456000000003</v>
      </c>
      <c r="AI26" s="424">
        <f t="shared" si="21"/>
        <v>1231.2930537794396</v>
      </c>
      <c r="AJ26" s="449">
        <f t="shared" si="22"/>
        <v>0.89649942738346289</v>
      </c>
      <c r="AK26" s="449">
        <f t="shared" si="23"/>
        <v>0.83278387452324532</v>
      </c>
    </row>
    <row r="27" spans="1:37" s="428" customFormat="1" ht="12.75" customHeight="1">
      <c r="A27" s="442">
        <f t="shared" si="10"/>
        <v>45857</v>
      </c>
      <c r="B27" s="446" t="s">
        <v>607</v>
      </c>
      <c r="C27" s="467" t="s">
        <v>730</v>
      </c>
      <c r="D27" s="422">
        <f>+'19'!F42</f>
        <v>1667.4305555555557</v>
      </c>
      <c r="E27" s="422">
        <f>+'19'!G42</f>
        <v>1290.9527777777778</v>
      </c>
      <c r="F27" s="50">
        <f t="shared" si="0"/>
        <v>0.22578318270792552</v>
      </c>
      <c r="G27" s="448">
        <f t="shared" si="11"/>
        <v>0.91270532906588808</v>
      </c>
      <c r="H27" s="443">
        <f t="shared" si="12"/>
        <v>0.89301546881095073</v>
      </c>
      <c r="I27" s="443">
        <f t="shared" si="13"/>
        <v>1.015799405765679</v>
      </c>
      <c r="J27" s="449">
        <f t="shared" si="14"/>
        <v>0.90712458255772299</v>
      </c>
      <c r="K27" s="449">
        <f t="shared" si="15"/>
        <v>0.83426697155667517</v>
      </c>
      <c r="L27" s="423">
        <f>+SUM(Efficiency1!K95:K96)</f>
        <v>55.779548887685706</v>
      </c>
      <c r="M27" s="424">
        <f t="shared" si="16"/>
        <v>1289.7550025170847</v>
      </c>
      <c r="N27" s="423">
        <f>+SUM(Efficiency1!C95:C96)</f>
        <v>54.576212512071436</v>
      </c>
      <c r="O27" s="424">
        <f t="shared" si="16"/>
        <v>1238.2037949153362</v>
      </c>
      <c r="P27" s="590">
        <f>'19'!I38</f>
        <v>49.811999999999998</v>
      </c>
      <c r="Q27" s="424">
        <f t="shared" si="17"/>
        <v>1136.748</v>
      </c>
      <c r="R27" s="14">
        <f>'19'!I40</f>
        <v>50.598999999999997</v>
      </c>
      <c r="S27" s="424">
        <f t="shared" si="18"/>
        <v>1076.0000000000002</v>
      </c>
      <c r="T27" s="579">
        <f t="shared" si="1"/>
        <v>123.617</v>
      </c>
      <c r="U27" s="425">
        <f t="shared" si="19"/>
        <v>2567.3160000000007</v>
      </c>
      <c r="V27" s="427">
        <f t="shared" si="2"/>
        <v>2.481671083273107</v>
      </c>
      <c r="W27" s="427">
        <f t="shared" si="3"/>
        <v>2.2584741736954896</v>
      </c>
      <c r="X27" s="423">
        <f t="shared" si="4"/>
        <v>2.4430719974703061</v>
      </c>
      <c r="Y27" s="427">
        <f t="shared" si="5"/>
        <v>2.3859814126394054</v>
      </c>
      <c r="Z27" s="426">
        <f>'19'!I46</f>
        <v>58485.120000000505</v>
      </c>
      <c r="AA27" s="425">
        <f t="shared" si="20"/>
        <v>1061526.139999998</v>
      </c>
      <c r="AB27" s="427">
        <f t="shared" si="6"/>
        <v>1174.1170802216434</v>
      </c>
      <c r="AC27" s="427">
        <f t="shared" si="7"/>
        <v>933.82714550630214</v>
      </c>
      <c r="AD27" s="427">
        <f t="shared" si="8"/>
        <v>1155.8552540564142</v>
      </c>
      <c r="AE27" s="427">
        <f t="shared" si="9"/>
        <v>986.54845724906863</v>
      </c>
      <c r="AF27" s="589">
        <f>0.411</f>
        <v>0.41099999999999998</v>
      </c>
      <c r="AG27" s="525">
        <v>123.206</v>
      </c>
      <c r="AH27" s="423">
        <f>+SUM(Efficiency2!K95:K96)</f>
        <v>55.779548887685706</v>
      </c>
      <c r="AI27" s="424">
        <f t="shared" si="21"/>
        <v>1287.0726026671252</v>
      </c>
      <c r="AJ27" s="449">
        <f t="shared" si="22"/>
        <v>0.90712458255772299</v>
      </c>
      <c r="AK27" s="449">
        <f t="shared" si="23"/>
        <v>0.83600567502584422</v>
      </c>
    </row>
    <row r="28" spans="1:37" s="428" customFormat="1" ht="12.75" customHeight="1">
      <c r="A28" s="442">
        <f t="shared" si="10"/>
        <v>45858</v>
      </c>
      <c r="B28" s="446" t="s">
        <v>607</v>
      </c>
      <c r="C28" s="446" t="s">
        <v>629</v>
      </c>
      <c r="D28" s="422">
        <f>+'20'!F42</f>
        <v>1650.7638888888889</v>
      </c>
      <c r="E28" s="422">
        <f>+'20'!G42</f>
        <v>1254.5805555555555</v>
      </c>
      <c r="F28" s="50">
        <f t="shared" si="0"/>
        <v>0.24</v>
      </c>
      <c r="G28" s="448">
        <f t="shared" si="11"/>
        <v>0.87199250190798971</v>
      </c>
      <c r="H28" s="443">
        <f t="shared" si="12"/>
        <v>0.84634566361657826</v>
      </c>
      <c r="I28" s="443">
        <f t="shared" si="13"/>
        <v>0.94688629296579552</v>
      </c>
      <c r="J28" s="449">
        <f t="shared" si="14"/>
        <v>0.80139310798957797</v>
      </c>
      <c r="K28" s="449">
        <f t="shared" si="15"/>
        <v>0.83289346439263168</v>
      </c>
      <c r="L28" s="423">
        <f>+Efficiency1!K99</f>
        <v>56.237069611267614</v>
      </c>
      <c r="M28" s="424">
        <f t="shared" si="16"/>
        <v>1345.9920721283522</v>
      </c>
      <c r="N28" s="423">
        <f>+Efficiency1!C99</f>
        <v>54.583038152112685</v>
      </c>
      <c r="O28" s="424">
        <f t="shared" si="16"/>
        <v>1292.7868330674489</v>
      </c>
      <c r="P28" s="590">
        <f>'20'!I38</f>
        <v>47.595999999999997</v>
      </c>
      <c r="Q28" s="424">
        <f t="shared" si="17"/>
        <v>1184.3440000000001</v>
      </c>
      <c r="R28" s="14">
        <f>'20'!I40</f>
        <v>45.067999999999998</v>
      </c>
      <c r="S28" s="424">
        <f t="shared" si="18"/>
        <v>1121.0680000000002</v>
      </c>
      <c r="T28" s="579">
        <f t="shared" si="1"/>
        <v>120.901</v>
      </c>
      <c r="U28" s="425">
        <f t="shared" si="19"/>
        <v>2688.2170000000006</v>
      </c>
      <c r="V28" s="427">
        <f t="shared" si="2"/>
        <v>2.5401504328094799</v>
      </c>
      <c r="W28" s="427">
        <f t="shared" si="3"/>
        <v>2.2697940800983503</v>
      </c>
      <c r="X28" s="423">
        <f t="shared" si="4"/>
        <v>2.6826351291381911</v>
      </c>
      <c r="Y28" s="427">
        <f t="shared" si="5"/>
        <v>2.3979071742302875</v>
      </c>
      <c r="Z28" s="426">
        <f>'20'!I46</f>
        <v>56851.219999999099</v>
      </c>
      <c r="AA28" s="425">
        <f t="shared" si="20"/>
        <v>1118377.3599999971</v>
      </c>
      <c r="AB28" s="427">
        <f t="shared" si="6"/>
        <v>1194.4537356080154</v>
      </c>
      <c r="AC28" s="427">
        <f t="shared" si="7"/>
        <v>944.30111521652248</v>
      </c>
      <c r="AD28" s="427">
        <f t="shared" si="8"/>
        <v>1261.4542469157518</v>
      </c>
      <c r="AE28" s="427">
        <f t="shared" si="9"/>
        <v>997.59993149389402</v>
      </c>
      <c r="AF28" s="589">
        <f>0.402</f>
        <v>0.40200000000000002</v>
      </c>
      <c r="AG28" s="525">
        <v>120.499</v>
      </c>
      <c r="AH28" s="423">
        <f>+Efficiency2!K99</f>
        <v>56.237069611267614</v>
      </c>
      <c r="AI28" s="424">
        <f t="shared" si="21"/>
        <v>1343.3096722783928</v>
      </c>
      <c r="AJ28" s="449">
        <f t="shared" si="22"/>
        <v>0.80139310798957797</v>
      </c>
      <c r="AK28" s="449">
        <f t="shared" si="23"/>
        <v>0.83455663510451195</v>
      </c>
    </row>
    <row r="29" spans="1:37" s="428" customFormat="1" ht="12.75" customHeight="1">
      <c r="A29" s="442">
        <f t="shared" si="10"/>
        <v>45859</v>
      </c>
      <c r="B29" s="446" t="s">
        <v>607</v>
      </c>
      <c r="C29" s="446" t="s">
        <v>629</v>
      </c>
      <c r="D29" s="422">
        <f>+'21'!F42</f>
        <v>1650</v>
      </c>
      <c r="E29" s="422">
        <f>+'21'!G42</f>
        <v>1254</v>
      </c>
      <c r="F29" s="50">
        <f t="shared" si="0"/>
        <v>0.24</v>
      </c>
      <c r="G29" s="448">
        <f t="shared" si="11"/>
        <v>0.92252296676400403</v>
      </c>
      <c r="H29" s="443">
        <f t="shared" si="12"/>
        <v>0.89538993832976865</v>
      </c>
      <c r="I29" s="443">
        <f t="shared" si="13"/>
        <v>0.87674992045816114</v>
      </c>
      <c r="J29" s="449">
        <f t="shared" si="14"/>
        <v>0.78503305720966243</v>
      </c>
      <c r="K29" s="449">
        <f t="shared" si="15"/>
        <v>0.83097641888999407</v>
      </c>
      <c r="L29" s="423">
        <f>+Efficiency1!K103</f>
        <v>56.163240000000002</v>
      </c>
      <c r="M29" s="424">
        <f t="shared" si="16"/>
        <v>1402.1553121283523</v>
      </c>
      <c r="N29" s="423">
        <f>+Efficiency1!C103</f>
        <v>54.511380000000003</v>
      </c>
      <c r="O29" s="424">
        <f t="shared" si="16"/>
        <v>1347.2982130674488</v>
      </c>
      <c r="P29" s="590">
        <f>'21'!I38</f>
        <v>50.287999999999997</v>
      </c>
      <c r="Q29" s="424">
        <f t="shared" si="17"/>
        <v>1234.6320000000001</v>
      </c>
      <c r="R29" s="14">
        <f>'21'!I40</f>
        <v>44.09</v>
      </c>
      <c r="S29" s="424">
        <f t="shared" si="18"/>
        <v>1165.1580000000001</v>
      </c>
      <c r="T29" s="579">
        <f t="shared" si="1"/>
        <v>120.27</v>
      </c>
      <c r="U29" s="425">
        <f t="shared" si="19"/>
        <v>2808.4870000000005</v>
      </c>
      <c r="V29" s="427">
        <f t="shared" si="2"/>
        <v>2.3916242443525295</v>
      </c>
      <c r="W29" s="427">
        <f t="shared" si="3"/>
        <v>2.2747563646495479</v>
      </c>
      <c r="X29" s="423">
        <f t="shared" si="4"/>
        <v>2.7278294397822633</v>
      </c>
      <c r="Y29" s="427">
        <f t="shared" si="5"/>
        <v>2.4103915520470185</v>
      </c>
      <c r="Z29" s="426">
        <f>'21'!I46</f>
        <v>56830.480000000294</v>
      </c>
      <c r="AA29" s="425">
        <f t="shared" si="20"/>
        <v>1175207.8399999973</v>
      </c>
      <c r="AB29" s="427">
        <f t="shared" si="6"/>
        <v>1130.100222717155</v>
      </c>
      <c r="AC29" s="427">
        <f t="shared" si="7"/>
        <v>951.86892936518518</v>
      </c>
      <c r="AD29" s="427">
        <f t="shared" si="8"/>
        <v>1288.9652982535788</v>
      </c>
      <c r="AE29" s="427">
        <f t="shared" si="9"/>
        <v>1008.6253023195113</v>
      </c>
      <c r="AF29" s="589">
        <f>0.485</f>
        <v>0.48499999999999999</v>
      </c>
      <c r="AG29" s="525">
        <v>119.785</v>
      </c>
      <c r="AH29" s="423">
        <f>+Efficiency2!K103</f>
        <v>56.163240000000002</v>
      </c>
      <c r="AI29" s="424">
        <f t="shared" si="21"/>
        <v>1399.4729122783929</v>
      </c>
      <c r="AJ29" s="449">
        <f t="shared" si="22"/>
        <v>0.78503305720966243</v>
      </c>
      <c r="AK29" s="449">
        <f t="shared" si="23"/>
        <v>0.8325691692760816</v>
      </c>
    </row>
    <row r="30" spans="1:37" s="428" customFormat="1" ht="12.75" customHeight="1">
      <c r="A30" s="442">
        <f t="shared" si="10"/>
        <v>45860</v>
      </c>
      <c r="B30" s="446" t="s">
        <v>607</v>
      </c>
      <c r="C30" s="446" t="s">
        <v>751</v>
      </c>
      <c r="D30" s="422">
        <f>+'22'!F42</f>
        <v>1660</v>
      </c>
      <c r="E30" s="422">
        <f>+'22'!G42</f>
        <v>1261.5999999999999</v>
      </c>
      <c r="F30" s="50">
        <f t="shared" si="0"/>
        <v>0.2400000000000001</v>
      </c>
      <c r="G30" s="448">
        <f t="shared" si="11"/>
        <v>0.94578447562972245</v>
      </c>
      <c r="H30" s="443">
        <f t="shared" si="12"/>
        <v>0.92341112377740808</v>
      </c>
      <c r="I30" s="443">
        <f t="shared" si="13"/>
        <v>0.89345076360910725</v>
      </c>
      <c r="J30" s="449">
        <f t="shared" si="14"/>
        <v>0.82502237366406905</v>
      </c>
      <c r="K30" s="449">
        <f t="shared" si="15"/>
        <v>0.83074073135838422</v>
      </c>
      <c r="L30" s="423">
        <f>+SUM(Efficiency1!K107:K108)</f>
        <v>57.791159999999998</v>
      </c>
      <c r="M30" s="424">
        <f t="shared" si="16"/>
        <v>1459.9464721283523</v>
      </c>
      <c r="N30" s="423">
        <f>+SUM(Efficiency1!C107:C108)</f>
        <v>56.424059999999997</v>
      </c>
      <c r="O30" s="424">
        <f t="shared" si="16"/>
        <v>1403.7222730674489</v>
      </c>
      <c r="P30" s="590">
        <f>'22'!I38</f>
        <v>53.364999999999995</v>
      </c>
      <c r="Q30" s="424">
        <f t="shared" si="17"/>
        <v>1287.9970000000001</v>
      </c>
      <c r="R30" s="14">
        <f>'22'!I40</f>
        <v>47.679000000000002</v>
      </c>
      <c r="S30" s="424">
        <f t="shared" si="18"/>
        <v>1212.8370000000002</v>
      </c>
      <c r="T30" s="579">
        <f t="shared" si="1"/>
        <v>124.45699999999999</v>
      </c>
      <c r="U30" s="425">
        <f t="shared" si="19"/>
        <v>2932.9440000000004</v>
      </c>
      <c r="V30" s="427">
        <f t="shared" si="2"/>
        <v>2.3321840157406539</v>
      </c>
      <c r="W30" s="427">
        <f t="shared" si="3"/>
        <v>2.2771357386701991</v>
      </c>
      <c r="X30" s="423">
        <f t="shared" si="4"/>
        <v>2.6103106189307659</v>
      </c>
      <c r="Y30" s="427">
        <f t="shared" si="5"/>
        <v>2.4182507624684932</v>
      </c>
      <c r="Z30" s="426">
        <f>'22'!I46</f>
        <v>57384.980000000127</v>
      </c>
      <c r="AA30" s="425">
        <f t="shared" si="20"/>
        <v>1232592.8199999975</v>
      </c>
      <c r="AB30" s="427">
        <f t="shared" si="6"/>
        <v>1075.3298978731402</v>
      </c>
      <c r="AC30" s="427">
        <f t="shared" si="7"/>
        <v>956.98423210612873</v>
      </c>
      <c r="AD30" s="427">
        <f t="shared" si="8"/>
        <v>1203.5692862685905</v>
      </c>
      <c r="AE30" s="427">
        <f t="shared" si="9"/>
        <v>1016.2889324781461</v>
      </c>
      <c r="AF30" s="589">
        <f>0.398</f>
        <v>0.39800000000000002</v>
      </c>
      <c r="AG30" s="525">
        <v>124.059</v>
      </c>
      <c r="AH30" s="423">
        <f>+SUM(Efficiency2!K107:K108)</f>
        <v>57.791159999999998</v>
      </c>
      <c r="AI30" s="424">
        <f t="shared" si="21"/>
        <v>1457.2640722783929</v>
      </c>
      <c r="AJ30" s="449">
        <f t="shared" si="22"/>
        <v>0.82502237366406905</v>
      </c>
      <c r="AK30" s="449">
        <f t="shared" si="23"/>
        <v>0.83226988373065591</v>
      </c>
    </row>
    <row r="31" spans="1:37" s="428" customFormat="1" ht="12.75" customHeight="1">
      <c r="A31" s="442">
        <f t="shared" si="10"/>
        <v>45861</v>
      </c>
      <c r="B31" s="446" t="s">
        <v>607</v>
      </c>
      <c r="C31" s="446" t="s">
        <v>759</v>
      </c>
      <c r="D31" s="422">
        <f>+'23'!F42</f>
        <v>1693.3333333333333</v>
      </c>
      <c r="E31" s="422">
        <f>+'23'!G42</f>
        <v>1286.9333333333334</v>
      </c>
      <c r="F31" s="50">
        <f t="shared" si="0"/>
        <v>0.23999999999999988</v>
      </c>
      <c r="G31" s="448">
        <f t="shared" si="11"/>
        <v>0.89933718432940823</v>
      </c>
      <c r="H31" s="443">
        <f t="shared" si="12"/>
        <v>0.8951606958572903</v>
      </c>
      <c r="I31" s="443">
        <f t="shared" si="13"/>
        <v>0.81828405863403286</v>
      </c>
      <c r="J31" s="449">
        <f t="shared" si="14"/>
        <v>0.73249572733576862</v>
      </c>
      <c r="K31" s="449">
        <f t="shared" si="15"/>
        <v>0.82694918401814799</v>
      </c>
      <c r="L31" s="423">
        <f>+Efficiency1!K111</f>
        <v>58.605119999999999</v>
      </c>
      <c r="M31" s="424">
        <f t="shared" si="16"/>
        <v>1518.5515921283522</v>
      </c>
      <c r="N31" s="423">
        <f>+Efficiency1!C111</f>
        <v>58.33296</v>
      </c>
      <c r="O31" s="424">
        <f t="shared" si="16"/>
        <v>1462.0552330674489</v>
      </c>
      <c r="P31" s="590">
        <f>'23'!I38</f>
        <v>52.460999999999999</v>
      </c>
      <c r="Q31" s="424">
        <f t="shared" si="17"/>
        <v>1340.4580000000001</v>
      </c>
      <c r="R31" s="14">
        <f>'23'!I40</f>
        <v>42.927999999999997</v>
      </c>
      <c r="S31" s="424">
        <f t="shared" si="18"/>
        <v>1255.7650000000003</v>
      </c>
      <c r="T31" s="579">
        <f t="shared" si="1"/>
        <v>128.71099999999998</v>
      </c>
      <c r="U31" s="425">
        <f t="shared" si="19"/>
        <v>3061.6550000000002</v>
      </c>
      <c r="V31" s="427">
        <f t="shared" si="2"/>
        <v>2.4534606660185658</v>
      </c>
      <c r="W31" s="427">
        <f t="shared" si="3"/>
        <v>2.2840365009571357</v>
      </c>
      <c r="X31" s="423">
        <f t="shared" si="4"/>
        <v>2.9982994781960488</v>
      </c>
      <c r="Y31" s="427">
        <f t="shared" si="5"/>
        <v>2.4380795769909174</v>
      </c>
      <c r="Z31" s="426">
        <f>'23'!I46</f>
        <v>58413.460000000297</v>
      </c>
      <c r="AA31" s="425">
        <f t="shared" si="20"/>
        <v>1291006.2799999977</v>
      </c>
      <c r="AB31" s="427">
        <f t="shared" si="6"/>
        <v>1113.4644783744172</v>
      </c>
      <c r="AC31" s="427">
        <f t="shared" si="7"/>
        <v>963.10834058209787</v>
      </c>
      <c r="AD31" s="427">
        <f t="shared" si="8"/>
        <v>1360.7309914275133</v>
      </c>
      <c r="AE31" s="427">
        <f t="shared" si="9"/>
        <v>1028.0635947012358</v>
      </c>
      <c r="AF31" s="589">
        <f>0.834</f>
        <v>0.83399999999999996</v>
      </c>
      <c r="AG31" s="525">
        <v>127.877</v>
      </c>
      <c r="AH31" s="423">
        <f>+Efficiency2!K111</f>
        <v>58.605119999999999</v>
      </c>
      <c r="AI31" s="424">
        <f t="shared" si="21"/>
        <v>1515.8691922783928</v>
      </c>
      <c r="AJ31" s="449">
        <f t="shared" si="22"/>
        <v>0.73249572733576862</v>
      </c>
      <c r="AK31" s="449">
        <f t="shared" si="23"/>
        <v>0.82841250841212177</v>
      </c>
    </row>
    <row r="32" spans="1:37" s="428" customFormat="1" ht="12.75" customHeight="1">
      <c r="A32" s="442">
        <f t="shared" si="10"/>
        <v>45862</v>
      </c>
      <c r="B32" s="446" t="s">
        <v>607</v>
      </c>
      <c r="C32" s="446" t="s">
        <v>774</v>
      </c>
      <c r="D32" s="422">
        <f>+'24'!F42</f>
        <v>1695.3194444444443</v>
      </c>
      <c r="E32" s="422">
        <f>+'24'!G42</f>
        <v>1288.4427777777778</v>
      </c>
      <c r="F32" s="50">
        <f t="shared" si="0"/>
        <v>0.24</v>
      </c>
      <c r="G32" s="448">
        <f t="shared" si="11"/>
        <v>0.90420717233436299</v>
      </c>
      <c r="H32" s="443">
        <f t="shared" si="12"/>
        <v>0.90150510857479083</v>
      </c>
      <c r="I32" s="443">
        <f t="shared" si="13"/>
        <v>1.0386892494472966</v>
      </c>
      <c r="J32" s="449">
        <f t="shared" si="14"/>
        <v>0.93638366459845312</v>
      </c>
      <c r="K32" s="449">
        <f t="shared" si="15"/>
        <v>0.83105571985926641</v>
      </c>
      <c r="L32" s="423">
        <f>+SUM(Efficiency1!K116:K117)</f>
        <v>59.20543266180723</v>
      </c>
      <c r="M32" s="424">
        <f t="shared" si="16"/>
        <v>1577.7570247901594</v>
      </c>
      <c r="N32" s="423">
        <f>+SUM(Efficiency1!C116:C117)</f>
        <v>59.028507661807232</v>
      </c>
      <c r="O32" s="424">
        <f t="shared" si="16"/>
        <v>1521.0837407292561</v>
      </c>
      <c r="P32" s="590">
        <f>'24'!I38</f>
        <v>53.373999999999995</v>
      </c>
      <c r="Q32" s="424">
        <f t="shared" si="17"/>
        <v>1393.8320000000001</v>
      </c>
      <c r="R32" s="14">
        <f>'24'!I40</f>
        <v>55.439</v>
      </c>
      <c r="S32" s="424">
        <f t="shared" si="18"/>
        <v>1311.2040000000004</v>
      </c>
      <c r="T32" s="579">
        <f t="shared" si="1"/>
        <v>128.89099999999999</v>
      </c>
      <c r="U32" s="425">
        <f t="shared" si="19"/>
        <v>3190.5460000000003</v>
      </c>
      <c r="V32" s="427">
        <f t="shared" si="2"/>
        <v>2.4148649155019299</v>
      </c>
      <c r="W32" s="427">
        <f t="shared" si="3"/>
        <v>2.2890463126115628</v>
      </c>
      <c r="X32" s="423">
        <f t="shared" si="4"/>
        <v>2.3249156730821263</v>
      </c>
      <c r="Y32" s="427">
        <f t="shared" si="5"/>
        <v>2.433294895378598</v>
      </c>
      <c r="Z32" s="426">
        <f>+'24'!I46</f>
        <v>57465.700000002726</v>
      </c>
      <c r="AA32" s="425">
        <f t="shared" si="20"/>
        <v>1348471.9800000004</v>
      </c>
      <c r="AB32" s="427">
        <f t="shared" si="6"/>
        <v>1076.6609210477523</v>
      </c>
      <c r="AC32" s="427">
        <f t="shared" si="7"/>
        <v>967.45660883090682</v>
      </c>
      <c r="AD32" s="427">
        <f t="shared" si="8"/>
        <v>1036.5572972095949</v>
      </c>
      <c r="AE32" s="427">
        <f t="shared" si="9"/>
        <v>1028.4227168312484</v>
      </c>
      <c r="AF32" s="589">
        <f>0.338</f>
        <v>0.33800000000000002</v>
      </c>
      <c r="AG32" s="525">
        <v>128.553</v>
      </c>
      <c r="AH32" s="423">
        <f>+SUM(Efficiency2!K116:K117)</f>
        <v>59.20543266180723</v>
      </c>
      <c r="AI32" s="424">
        <f t="shared" si="21"/>
        <v>1575.0746249402</v>
      </c>
      <c r="AJ32" s="449">
        <f t="shared" si="22"/>
        <v>0.93638366459845312</v>
      </c>
      <c r="AK32" s="449">
        <f t="shared" si="23"/>
        <v>0.8324710329517131</v>
      </c>
    </row>
    <row r="33" spans="1:37" s="428" customFormat="1" ht="12.75" customHeight="1">
      <c r="A33" s="442">
        <f t="shared" si="10"/>
        <v>45863</v>
      </c>
      <c r="B33" s="446" t="s">
        <v>607</v>
      </c>
      <c r="C33" s="446" t="s">
        <v>786</v>
      </c>
      <c r="D33" s="422">
        <f>+'25'!F42</f>
        <v>1611.6666666666667</v>
      </c>
      <c r="E33" s="422">
        <f>+'25'!G42</f>
        <v>1224.8666666666666</v>
      </c>
      <c r="F33" s="50">
        <f t="shared" si="0"/>
        <v>0.2400000000000001</v>
      </c>
      <c r="G33" s="448">
        <f t="shared" si="11"/>
        <v>0.91248393944472372</v>
      </c>
      <c r="H33" s="443">
        <f t="shared" si="12"/>
        <v>0.8644584689476329</v>
      </c>
      <c r="I33" s="443">
        <f t="shared" si="13"/>
        <v>0.79018557489955998</v>
      </c>
      <c r="J33" s="449">
        <f t="shared" si="14"/>
        <v>0.68308261226217881</v>
      </c>
      <c r="K33" s="449">
        <f t="shared" si="15"/>
        <v>0.82559414058467395</v>
      </c>
      <c r="L33" s="423">
        <f>+Efficiency1!K121</f>
        <v>60.465600000000002</v>
      </c>
      <c r="M33" s="424">
        <f t="shared" si="16"/>
        <v>1638.2226247901594</v>
      </c>
      <c r="N33" s="423">
        <f>+Efficiency1!C121</f>
        <v>57.283200000000001</v>
      </c>
      <c r="O33" s="424">
        <f t="shared" si="16"/>
        <v>1578.3669407292562</v>
      </c>
      <c r="P33" s="590">
        <f>'25'!I38</f>
        <v>52.269999999999996</v>
      </c>
      <c r="Q33" s="424">
        <f t="shared" si="17"/>
        <v>1446.1020000000001</v>
      </c>
      <c r="R33" s="14">
        <f>'25'!I40</f>
        <v>41.302999999999997</v>
      </c>
      <c r="S33" s="424">
        <f t="shared" si="18"/>
        <v>1352.5070000000005</v>
      </c>
      <c r="T33" s="579">
        <f t="shared" si="1"/>
        <v>127.14699999999999</v>
      </c>
      <c r="U33" s="425">
        <f t="shared" si="19"/>
        <v>3317.6930000000002</v>
      </c>
      <c r="V33" s="427">
        <f t="shared" si="2"/>
        <v>2.4325043045724124</v>
      </c>
      <c r="W33" s="427">
        <f t="shared" si="3"/>
        <v>2.2942316655394985</v>
      </c>
      <c r="X33" s="423">
        <f t="shared" si="4"/>
        <v>3.0783962424036995</v>
      </c>
      <c r="Y33" s="427">
        <f t="shared" si="5"/>
        <v>2.4529950676780223</v>
      </c>
      <c r="Z33" s="426">
        <f>+'25'!I46</f>
        <v>55168.819999998392</v>
      </c>
      <c r="AA33" s="425">
        <f t="shared" si="20"/>
        <v>1403640.7999999989</v>
      </c>
      <c r="AB33" s="427">
        <f t="shared" si="6"/>
        <v>1055.4585804476449</v>
      </c>
      <c r="AC33" s="427">
        <f t="shared" si="7"/>
        <v>970.63747923728681</v>
      </c>
      <c r="AD33" s="427">
        <f t="shared" si="8"/>
        <v>1335.7097547393262</v>
      </c>
      <c r="AE33" s="427">
        <f t="shared" si="9"/>
        <v>1037.8066804829832</v>
      </c>
      <c r="AF33" s="589">
        <f>0.404</f>
        <v>0.40400000000000003</v>
      </c>
      <c r="AG33" s="525">
        <v>126.74299999999999</v>
      </c>
      <c r="AH33" s="423">
        <f>+Efficiency2!K121</f>
        <v>60.465600000000002</v>
      </c>
      <c r="AI33" s="424">
        <f t="shared" si="21"/>
        <v>1635.5402249402</v>
      </c>
      <c r="AJ33" s="449">
        <f t="shared" si="22"/>
        <v>0.68308261226217881</v>
      </c>
      <c r="AK33" s="449">
        <f t="shared" si="23"/>
        <v>0.82694817246054098</v>
      </c>
    </row>
    <row r="34" spans="1:37" s="428" customFormat="1" ht="12.75" customHeight="1">
      <c r="A34" s="442">
        <f t="shared" si="10"/>
        <v>45864</v>
      </c>
      <c r="B34" s="446" t="s">
        <v>607</v>
      </c>
      <c r="C34" s="446" t="s">
        <v>798</v>
      </c>
      <c r="D34" s="422">
        <f>+'26'!F42</f>
        <v>1600</v>
      </c>
      <c r="E34" s="422">
        <f>+'26'!G42</f>
        <v>1216</v>
      </c>
      <c r="F34" s="50">
        <f t="shared" si="0"/>
        <v>0.24</v>
      </c>
      <c r="G34" s="448">
        <f t="shared" si="11"/>
        <v>0.96183761072897855</v>
      </c>
      <c r="H34" s="443">
        <f t="shared" si="12"/>
        <v>0.90525892774492089</v>
      </c>
      <c r="I34" s="443">
        <f t="shared" si="13"/>
        <v>1.1286743789114355</v>
      </c>
      <c r="J34" s="449">
        <f t="shared" si="14"/>
        <v>1.0217425580265307</v>
      </c>
      <c r="K34" s="449">
        <f t="shared" si="15"/>
        <v>0.83232891857764291</v>
      </c>
      <c r="L34" s="423">
        <f>+SUM(Efficiency1!K125:K126)</f>
        <v>58.248528</v>
      </c>
      <c r="M34" s="424">
        <f t="shared" si="16"/>
        <v>1696.4711527901595</v>
      </c>
      <c r="N34" s="423">
        <f>+SUM(Efficiency1!C125:C126)</f>
        <v>54.822143999999994</v>
      </c>
      <c r="O34" s="424">
        <f t="shared" si="16"/>
        <v>1633.1890847292561</v>
      </c>
      <c r="P34" s="590">
        <f>'26'!I38</f>
        <v>52.730000000000004</v>
      </c>
      <c r="Q34" s="424">
        <f t="shared" si="17"/>
        <v>1498.8320000000001</v>
      </c>
      <c r="R34" s="14">
        <f>'26'!I40</f>
        <v>59.515000000000001</v>
      </c>
      <c r="S34" s="424">
        <f t="shared" si="18"/>
        <v>1412.0220000000006</v>
      </c>
      <c r="T34" s="579">
        <f t="shared" si="1"/>
        <v>123.29</v>
      </c>
      <c r="U34" s="425">
        <f t="shared" si="19"/>
        <v>3440.9830000000002</v>
      </c>
      <c r="V34" s="427">
        <f t="shared" si="2"/>
        <v>2.3381376825336622</v>
      </c>
      <c r="W34" s="427">
        <f t="shared" si="3"/>
        <v>2.2957763111542855</v>
      </c>
      <c r="X34" s="423">
        <f t="shared" si="4"/>
        <v>2.0715785936318576</v>
      </c>
      <c r="Y34" s="427">
        <f t="shared" si="5"/>
        <v>2.4369188298765874</v>
      </c>
      <c r="Z34" s="426">
        <f>'26'!I46</f>
        <v>56571.34000000127</v>
      </c>
      <c r="AA34" s="425">
        <f t="shared" si="20"/>
        <v>1460212.1400000001</v>
      </c>
      <c r="AB34" s="427">
        <f t="shared" si="6"/>
        <v>1072.8492319363029</v>
      </c>
      <c r="AC34" s="427">
        <f t="shared" si="7"/>
        <v>974.23336304535815</v>
      </c>
      <c r="AD34" s="427">
        <f t="shared" si="8"/>
        <v>950.53919180040782</v>
      </c>
      <c r="AE34" s="427">
        <f t="shared" si="9"/>
        <v>1034.1284625876929</v>
      </c>
      <c r="AF34" s="589">
        <f>0.491</f>
        <v>0.49099999999999999</v>
      </c>
      <c r="AG34" s="525">
        <v>122.79900000000001</v>
      </c>
      <c r="AH34" s="423">
        <f>+SUM(Efficiency2!K125:K126)</f>
        <v>58.248528</v>
      </c>
      <c r="AI34" s="424">
        <f t="shared" si="21"/>
        <v>1693.7887529402001</v>
      </c>
      <c r="AJ34" s="449">
        <f t="shared" si="22"/>
        <v>1.0217425580265307</v>
      </c>
      <c r="AK34" s="449">
        <f t="shared" si="23"/>
        <v>0.83364705164614628</v>
      </c>
    </row>
    <row r="35" spans="1:37" s="428" customFormat="1" ht="12.75" customHeight="1">
      <c r="A35" s="442">
        <f t="shared" si="10"/>
        <v>45865</v>
      </c>
      <c r="B35" s="446" t="s">
        <v>607</v>
      </c>
      <c r="C35" s="446" t="s">
        <v>759</v>
      </c>
      <c r="D35" s="422">
        <f>+'27'!F42</f>
        <v>1600</v>
      </c>
      <c r="E35" s="422">
        <f>+'27'!G42</f>
        <v>1216</v>
      </c>
      <c r="F35" s="50">
        <f t="shared" si="0"/>
        <v>0.24</v>
      </c>
      <c r="G35" s="448">
        <f t="shared" si="11"/>
        <v>0.93334642445456606</v>
      </c>
      <c r="H35" s="443">
        <f t="shared" si="12"/>
        <v>0.87844369360429742</v>
      </c>
      <c r="I35" s="443">
        <f t="shared" si="13"/>
        <v>1.0156694318605242</v>
      </c>
      <c r="J35" s="449">
        <f t="shared" si="14"/>
        <v>0.8922084072045372</v>
      </c>
      <c r="K35" s="449">
        <f t="shared" si="15"/>
        <v>0.83430998858323713</v>
      </c>
      <c r="L35" s="423">
        <f>+Efficiency1!K129</f>
        <v>58.046976000000001</v>
      </c>
      <c r="M35" s="424">
        <f t="shared" si="16"/>
        <v>1754.5181287901596</v>
      </c>
      <c r="N35" s="423">
        <f>+Efficiency1!C129</f>
        <v>54.632447999999997</v>
      </c>
      <c r="O35" s="424">
        <f t="shared" si="16"/>
        <v>1687.8215327292562</v>
      </c>
      <c r="P35" s="590">
        <f>'27'!I38</f>
        <v>50.991000000000007</v>
      </c>
      <c r="Q35" s="424">
        <f t="shared" si="17"/>
        <v>1549.8230000000001</v>
      </c>
      <c r="R35" s="14">
        <f>'27'!I40</f>
        <v>51.79</v>
      </c>
      <c r="S35" s="424">
        <f t="shared" si="18"/>
        <v>1463.8120000000006</v>
      </c>
      <c r="T35" s="579">
        <f t="shared" si="1"/>
        <v>123.26300000000001</v>
      </c>
      <c r="U35" s="425">
        <f t="shared" si="19"/>
        <v>3564.2460000000001</v>
      </c>
      <c r="V35" s="427">
        <f t="shared" si="2"/>
        <v>2.4173481594791237</v>
      </c>
      <c r="W35" s="427">
        <f t="shared" si="3"/>
        <v>2.2997761679882154</v>
      </c>
      <c r="X35" s="423">
        <f t="shared" si="4"/>
        <v>2.3800540644912145</v>
      </c>
      <c r="Y35" s="427">
        <f t="shared" si="5"/>
        <v>2.4349069416017897</v>
      </c>
      <c r="Z35" s="426">
        <f>'27'!I46</f>
        <v>55551.340000000906</v>
      </c>
      <c r="AA35" s="425">
        <f t="shared" si="20"/>
        <v>1515763.4800000011</v>
      </c>
      <c r="AB35" s="427">
        <f t="shared" si="6"/>
        <v>1089.4342138808986</v>
      </c>
      <c r="AC35" s="427">
        <f t="shared" si="7"/>
        <v>978.02360656668611</v>
      </c>
      <c r="AD35" s="427">
        <f t="shared" si="8"/>
        <v>1072.6267619231687</v>
      </c>
      <c r="AE35" s="427">
        <f t="shared" si="9"/>
        <v>1035.4905411350644</v>
      </c>
      <c r="AF35" s="589">
        <f>0.494</f>
        <v>0.49399999999999999</v>
      </c>
      <c r="AG35" s="525">
        <v>122.76900000000001</v>
      </c>
      <c r="AH35" s="423">
        <f>+Efficiency2!K129</f>
        <v>58.046976000000001</v>
      </c>
      <c r="AI35" s="424">
        <f t="shared" si="21"/>
        <v>1751.8357289402002</v>
      </c>
      <c r="AJ35" s="449">
        <f t="shared" si="22"/>
        <v>0.8922084072045372</v>
      </c>
      <c r="AK35" s="449">
        <f t="shared" si="23"/>
        <v>0.83558747879035211</v>
      </c>
    </row>
    <row r="36" spans="1:37" s="428" customFormat="1" ht="12.75" customHeight="1">
      <c r="A36" s="442">
        <f t="shared" si="10"/>
        <v>45866</v>
      </c>
      <c r="B36" s="446" t="s">
        <v>607</v>
      </c>
      <c r="C36" s="446" t="s">
        <v>811</v>
      </c>
      <c r="D36" s="422">
        <f>+'28'!F42</f>
        <v>1612.9166666666667</v>
      </c>
      <c r="E36" s="422">
        <f>+'28'!G42</f>
        <v>1281.9611111111112</v>
      </c>
      <c r="F36" s="50">
        <f t="shared" si="0"/>
        <v>0.2051907345216567</v>
      </c>
      <c r="G36" s="448">
        <f t="shared" si="11"/>
        <v>0.99580930673010348</v>
      </c>
      <c r="H36" s="443">
        <f t="shared" si="12"/>
        <v>0.93238478458763696</v>
      </c>
      <c r="I36" s="443">
        <f t="shared" si="13"/>
        <v>0.92449179008679339</v>
      </c>
      <c r="J36" s="449">
        <f t="shared" si="14"/>
        <v>0.86198207855311371</v>
      </c>
      <c r="K36" s="449">
        <f t="shared" si="15"/>
        <v>0.83516557021497562</v>
      </c>
      <c r="L36" s="423">
        <f>+SUM(Efficiency1!K133:K135)</f>
        <v>55.977961956000001</v>
      </c>
      <c r="M36" s="424">
        <f t="shared" si="16"/>
        <v>1810.4960907461596</v>
      </c>
      <c r="N36" s="423">
        <f>+SUM(Efficiency1!C133:C135)</f>
        <v>52.412645319999996</v>
      </c>
      <c r="O36" s="424">
        <f t="shared" si="16"/>
        <v>1740.2341780492561</v>
      </c>
      <c r="P36" s="590">
        <f>'28'!I38</f>
        <v>52.192999999999998</v>
      </c>
      <c r="Q36" s="424">
        <f t="shared" si="17"/>
        <v>1602.0160000000001</v>
      </c>
      <c r="R36" s="14">
        <f>'28'!I40</f>
        <v>48.252000000000002</v>
      </c>
      <c r="S36" s="424">
        <f t="shared" si="18"/>
        <v>1512.0640000000005</v>
      </c>
      <c r="T36" s="579">
        <f t="shared" si="1"/>
        <v>126.02500000000001</v>
      </c>
      <c r="U36" s="425">
        <f t="shared" si="19"/>
        <v>3690.2710000000002</v>
      </c>
      <c r="V36" s="427">
        <f t="shared" si="2"/>
        <v>2.4145958270266128</v>
      </c>
      <c r="W36" s="427">
        <f t="shared" si="3"/>
        <v>2.3035169436509997</v>
      </c>
      <c r="X36" s="423">
        <f t="shared" si="4"/>
        <v>2.6118088369394012</v>
      </c>
      <c r="Y36" s="427">
        <f t="shared" si="5"/>
        <v>2.440552119487005</v>
      </c>
      <c r="Z36" s="426">
        <f>'28'!I46</f>
        <v>48398.499999997155</v>
      </c>
      <c r="AA36" s="425">
        <f t="shared" si="20"/>
        <v>1564161.9799999984</v>
      </c>
      <c r="AB36" s="427">
        <f t="shared" si="6"/>
        <v>927.2986798995488</v>
      </c>
      <c r="AC36" s="427">
        <f t="shared" si="7"/>
        <v>976.37101002736449</v>
      </c>
      <c r="AD36" s="427">
        <f t="shared" si="8"/>
        <v>1003.0361435794816</v>
      </c>
      <c r="AE36" s="427">
        <f t="shared" si="9"/>
        <v>1034.4548775713183</v>
      </c>
      <c r="AF36" s="589">
        <f>0.301</f>
        <v>0.30099999999999999</v>
      </c>
      <c r="AG36" s="525">
        <v>125.724</v>
      </c>
      <c r="AH36" s="423">
        <f>+SUM(Efficiency2!K133:K135)</f>
        <v>55.977961956000001</v>
      </c>
      <c r="AI36" s="424">
        <f t="shared" si="21"/>
        <v>1807.8136908962001</v>
      </c>
      <c r="AJ36" s="449">
        <f t="shared" si="22"/>
        <v>0.86198207855311371</v>
      </c>
      <c r="AK36" s="449">
        <f t="shared" si="23"/>
        <v>0.83640477313257566</v>
      </c>
    </row>
    <row r="37" spans="1:37" s="428" customFormat="1" ht="12.75" customHeight="1">
      <c r="A37" s="442">
        <f t="shared" si="10"/>
        <v>45867</v>
      </c>
      <c r="B37" s="446" t="s">
        <v>607</v>
      </c>
      <c r="C37" s="429" t="s">
        <v>819</v>
      </c>
      <c r="D37" s="422">
        <f>+'29'!F42</f>
        <v>1618.3333333333333</v>
      </c>
      <c r="E37" s="422">
        <f>+'29'!G42</f>
        <v>1295.4000000000001</v>
      </c>
      <c r="F37" s="50">
        <f t="shared" si="0"/>
        <v>0.19954685890834178</v>
      </c>
      <c r="G37" s="448">
        <f t="shared" si="11"/>
        <v>0.96566263263516849</v>
      </c>
      <c r="H37" s="443">
        <f t="shared" si="12"/>
        <v>0.91088581935807178</v>
      </c>
      <c r="I37" s="443">
        <f t="shared" si="13"/>
        <v>0.99616972221189248</v>
      </c>
      <c r="J37" s="449">
        <f t="shared" si="14"/>
        <v>0.90739687363668242</v>
      </c>
      <c r="K37" s="449">
        <f t="shared" si="15"/>
        <v>0.83744677232052744</v>
      </c>
      <c r="L37" s="423">
        <f>+SUM(Efficiency1!K138:K140)</f>
        <v>59.04362419200001</v>
      </c>
      <c r="M37" s="424">
        <f t="shared" si="16"/>
        <v>1869.5397149381595</v>
      </c>
      <c r="N37" s="423">
        <f>+SUM(Efficiency1!C138:C140)</f>
        <v>55.694399039999993</v>
      </c>
      <c r="O37" s="424">
        <f t="shared" si="16"/>
        <v>1795.9285770892561</v>
      </c>
      <c r="P37" s="590">
        <f>'29'!I38</f>
        <v>53.781999999999996</v>
      </c>
      <c r="Q37" s="424">
        <f t="shared" si="17"/>
        <v>1655.798</v>
      </c>
      <c r="R37" s="14">
        <f>'29'!I40</f>
        <v>53.576000000000001</v>
      </c>
      <c r="S37" s="424">
        <f t="shared" si="18"/>
        <v>1565.6400000000006</v>
      </c>
      <c r="T37" s="579">
        <f t="shared" si="1"/>
        <v>129.78299999999999</v>
      </c>
      <c r="U37" s="425">
        <f t="shared" si="19"/>
        <v>3820.0540000000001</v>
      </c>
      <c r="V37" s="427">
        <f t="shared" si="2"/>
        <v>2.4131307872522405</v>
      </c>
      <c r="W37" s="427">
        <f t="shared" si="3"/>
        <v>2.3070773125707364</v>
      </c>
      <c r="X37" s="423">
        <f t="shared" si="4"/>
        <v>2.4224092877407792</v>
      </c>
      <c r="Y37" s="427">
        <f t="shared" si="5"/>
        <v>2.4399312741115446</v>
      </c>
      <c r="Z37" s="426">
        <f>'29'!I46</f>
        <v>56776.899999999339</v>
      </c>
      <c r="AA37" s="425">
        <f t="shared" si="20"/>
        <v>1620938.8799999978</v>
      </c>
      <c r="AB37" s="427">
        <f t="shared" si="6"/>
        <v>1055.6859172213628</v>
      </c>
      <c r="AC37" s="427">
        <f t="shared" si="7"/>
        <v>978.94723873322573</v>
      </c>
      <c r="AD37" s="427">
        <f t="shared" si="8"/>
        <v>1059.7450350903266</v>
      </c>
      <c r="AE37" s="427">
        <f t="shared" si="9"/>
        <v>1035.3203035180486</v>
      </c>
      <c r="AF37" s="589">
        <f>0.26</f>
        <v>0.26</v>
      </c>
      <c r="AG37" s="525">
        <v>129.523</v>
      </c>
      <c r="AH37" s="423">
        <f>+SUM(Efficiency2!K138:K140)</f>
        <v>59.04362419200001</v>
      </c>
      <c r="AI37" s="424">
        <f t="shared" si="21"/>
        <v>1866.8573150882</v>
      </c>
      <c r="AJ37" s="449">
        <f t="shared" si="22"/>
        <v>0.90739687363668242</v>
      </c>
      <c r="AK37" s="449">
        <f t="shared" si="23"/>
        <v>0.83865006036952083</v>
      </c>
    </row>
    <row r="38" spans="1:37" s="428" customFormat="1" ht="12.75" customHeight="1">
      <c r="A38" s="442">
        <f t="shared" si="10"/>
        <v>45868</v>
      </c>
      <c r="B38" s="446" t="s">
        <v>607</v>
      </c>
      <c r="C38" s="446" t="s">
        <v>759</v>
      </c>
      <c r="D38" s="422">
        <f>+'30'!F42</f>
        <v>1606.6666666666667</v>
      </c>
      <c r="E38" s="422">
        <f>+'30'!G42</f>
        <v>1221.0666666666666</v>
      </c>
      <c r="F38" s="50">
        <f t="shared" si="0"/>
        <v>0.2400000000000001</v>
      </c>
      <c r="G38" s="448">
        <f t="shared" si="11"/>
        <v>0.96198290642735085</v>
      </c>
      <c r="H38" s="443">
        <f t="shared" si="12"/>
        <v>0.90879091042489735</v>
      </c>
      <c r="I38" s="443">
        <f t="shared" si="13"/>
        <v>0.9899209820004129</v>
      </c>
      <c r="J38" s="449">
        <f t="shared" si="14"/>
        <v>0.89963119048086371</v>
      </c>
      <c r="K38" s="449">
        <f t="shared" si="15"/>
        <v>0.8393375011815174</v>
      </c>
      <c r="L38" s="423">
        <f>+Efficiency1!K143</f>
        <v>58.626246575342464</v>
      </c>
      <c r="M38" s="424">
        <f t="shared" si="16"/>
        <v>1928.165961513502</v>
      </c>
      <c r="N38" s="423">
        <f>+Efficiency1!C143</f>
        <v>55.38456</v>
      </c>
      <c r="O38" s="424">
        <f t="shared" si="16"/>
        <v>1851.3131370892561</v>
      </c>
      <c r="P38" s="590">
        <f>'30'!I38</f>
        <v>53.278999999999996</v>
      </c>
      <c r="Q38" s="424">
        <f t="shared" si="17"/>
        <v>1709.077</v>
      </c>
      <c r="R38" s="14">
        <f>'30'!I40</f>
        <v>52.741999999999997</v>
      </c>
      <c r="S38" s="424">
        <f t="shared" si="18"/>
        <v>1618.3820000000005</v>
      </c>
      <c r="T38" s="579">
        <f t="shared" si="1"/>
        <v>126.20099999999999</v>
      </c>
      <c r="U38" s="425">
        <f t="shared" si="19"/>
        <v>3946.2550000000001</v>
      </c>
      <c r="V38" s="427">
        <f t="shared" si="2"/>
        <v>2.3686818446292159</v>
      </c>
      <c r="W38" s="427">
        <f t="shared" si="3"/>
        <v>2.3089977806734279</v>
      </c>
      <c r="X38" s="423">
        <f t="shared" si="4"/>
        <v>2.3927989078912444</v>
      </c>
      <c r="Y38" s="427">
        <f t="shared" si="5"/>
        <v>2.438395261440129</v>
      </c>
      <c r="Z38" s="426">
        <f>'30'!I46</f>
        <v>51312.639999999519</v>
      </c>
      <c r="AA38" s="425">
        <f t="shared" si="20"/>
        <v>1672251.5199999972</v>
      </c>
      <c r="AB38" s="427">
        <f t="shared" si="6"/>
        <v>963.09315114772278</v>
      </c>
      <c r="AC38" s="427">
        <f t="shared" si="7"/>
        <v>978.45300123984896</v>
      </c>
      <c r="AD38" s="427">
        <f t="shared" si="8"/>
        <v>972.89901786051951</v>
      </c>
      <c r="AE38" s="427">
        <f t="shared" si="9"/>
        <v>1033.2860350646488</v>
      </c>
      <c r="AF38" s="506">
        <f>0.342</f>
        <v>0.34200000000000003</v>
      </c>
      <c r="AG38" s="525">
        <v>125.85899999999999</v>
      </c>
      <c r="AH38" s="423">
        <f>+Efficiency2!K143</f>
        <v>58.626246575342464</v>
      </c>
      <c r="AI38" s="424">
        <f t="shared" si="21"/>
        <v>1925.4835616635426</v>
      </c>
      <c r="AJ38" s="449">
        <f t="shared" si="22"/>
        <v>0.89963119048086371</v>
      </c>
      <c r="AK38" s="449">
        <f t="shared" si="23"/>
        <v>0.84050678604691997</v>
      </c>
    </row>
    <row r="39" spans="1:37" s="428" customFormat="1" ht="12.75" customHeight="1">
      <c r="A39" s="442">
        <f>A38+1</f>
        <v>45869</v>
      </c>
      <c r="B39" s="446" t="s">
        <v>607</v>
      </c>
      <c r="C39" s="446" t="s">
        <v>838</v>
      </c>
      <c r="D39" s="422">
        <f>+'31'!F42</f>
        <v>1598</v>
      </c>
      <c r="E39" s="422">
        <f>+'31'!G42</f>
        <v>1214.48</v>
      </c>
      <c r="F39" s="50">
        <f t="shared" si="0"/>
        <v>0.24</v>
      </c>
      <c r="G39" s="448">
        <f t="shared" si="11"/>
        <v>0.94155668554386196</v>
      </c>
      <c r="H39" s="443">
        <f t="shared" si="12"/>
        <v>0.88419558424263511</v>
      </c>
      <c r="I39" s="443">
        <f t="shared" si="13"/>
        <v>0.95151139416483499</v>
      </c>
      <c r="J39" s="449">
        <f t="shared" si="14"/>
        <v>0.84132217307710055</v>
      </c>
      <c r="K39" s="449">
        <f t="shared" si="15"/>
        <v>0.83939758980569712</v>
      </c>
      <c r="L39" s="423">
        <f>+SUM(Efficiency1!K147:K148)</f>
        <v>60.200481599999996</v>
      </c>
      <c r="M39" s="424">
        <f>M38+L39</f>
        <v>1988.3664431135021</v>
      </c>
      <c r="N39" s="423">
        <f>+SUM(Efficiency1!C147:C148)</f>
        <v>56.532974400000001</v>
      </c>
      <c r="O39" s="424">
        <f>O38+N39</f>
        <v>1907.8461114892561</v>
      </c>
      <c r="P39" s="590">
        <f>'31'!I38</f>
        <v>53.228999999999999</v>
      </c>
      <c r="Q39" s="424">
        <f>Q38+P39</f>
        <v>1762.306</v>
      </c>
      <c r="R39" s="14">
        <f>'31'!I40</f>
        <v>50.648000000000003</v>
      </c>
      <c r="S39" s="424">
        <f>S38+R39</f>
        <v>1669.0300000000004</v>
      </c>
      <c r="T39" s="579">
        <f t="shared" si="1"/>
        <v>124.82300000000001</v>
      </c>
      <c r="U39" s="425">
        <f>T39+U38</f>
        <v>4071.078</v>
      </c>
      <c r="V39" s="427">
        <f t="shared" si="2"/>
        <v>2.3450186928178249</v>
      </c>
      <c r="W39" s="427">
        <f t="shared" si="3"/>
        <v>2.310085762631461</v>
      </c>
      <c r="X39" s="423">
        <f t="shared" si="4"/>
        <v>2.4645198230927186</v>
      </c>
      <c r="Y39" s="427">
        <f t="shared" si="5"/>
        <v>2.4391880313715144</v>
      </c>
      <c r="Z39" s="426">
        <f>'31'!I46</f>
        <v>52634.020000002209</v>
      </c>
      <c r="AA39" s="425">
        <f>Z39+AA38</f>
        <v>1724885.5399999993</v>
      </c>
      <c r="AB39" s="427">
        <f t="shared" si="6"/>
        <v>988.82225854331671</v>
      </c>
      <c r="AC39" s="427">
        <f t="shared" si="7"/>
        <v>978.76619610896148</v>
      </c>
      <c r="AD39" s="427">
        <f t="shared" si="8"/>
        <v>1039.2122097615347</v>
      </c>
      <c r="AE39" s="427">
        <f t="shared" si="9"/>
        <v>1033.4658693971942</v>
      </c>
      <c r="AF39" s="506">
        <f>0.911</f>
        <v>0.91100000000000003</v>
      </c>
      <c r="AG39" s="525">
        <v>123.91200000000001</v>
      </c>
      <c r="AH39" s="423">
        <f>+SUM(Efficiency2!K147:K148)</f>
        <v>60.200481599999996</v>
      </c>
      <c r="AI39" s="424">
        <f>AI38+AH39</f>
        <v>1985.6840432635427</v>
      </c>
      <c r="AJ39" s="449">
        <f t="shared" si="22"/>
        <v>0.84132217307710055</v>
      </c>
      <c r="AK39" s="449">
        <f t="shared" si="23"/>
        <v>0.84053150634019802</v>
      </c>
    </row>
    <row r="40" spans="1:37" s="428" customFormat="1" ht="12.75" customHeight="1" thickBot="1">
      <c r="A40" s="442"/>
      <c r="B40" s="430"/>
      <c r="C40" s="430"/>
      <c r="D40" s="430"/>
      <c r="E40" s="430"/>
      <c r="F40" s="444"/>
      <c r="G40" s="448"/>
      <c r="H40" s="443"/>
      <c r="I40" s="443"/>
      <c r="J40" s="449"/>
      <c r="K40" s="454"/>
      <c r="L40" s="431"/>
      <c r="M40" s="432"/>
      <c r="N40" s="432"/>
      <c r="O40" s="432"/>
      <c r="P40" s="432"/>
      <c r="Q40" s="432"/>
      <c r="R40" s="432"/>
      <c r="S40" s="432"/>
      <c r="T40" s="433"/>
      <c r="U40" s="433"/>
      <c r="V40" s="434"/>
      <c r="W40" s="434"/>
      <c r="X40" s="431"/>
      <c r="Y40" s="434"/>
      <c r="Z40" s="433"/>
      <c r="AA40" s="433"/>
      <c r="AB40" s="434"/>
      <c r="AC40" s="434"/>
      <c r="AD40" s="434"/>
      <c r="AE40" s="434"/>
      <c r="AF40" s="506"/>
      <c r="AG40" s="525"/>
      <c r="AH40" s="431"/>
      <c r="AI40" s="432"/>
      <c r="AJ40" s="449"/>
      <c r="AK40" s="454"/>
    </row>
    <row r="41" spans="1:37" s="428" customFormat="1" ht="12.75" customHeight="1" thickTop="1" thickBot="1">
      <c r="A41" s="435"/>
      <c r="B41" s="436"/>
      <c r="C41" s="436"/>
      <c r="D41" s="436"/>
      <c r="E41" s="436"/>
      <c r="F41" s="445"/>
      <c r="G41" s="448">
        <f t="shared" si="11"/>
        <v>0.92371496285114518</v>
      </c>
      <c r="H41" s="443">
        <f t="shared" si="12"/>
        <v>0.88630845994387075</v>
      </c>
      <c r="I41" s="443">
        <f t="shared" si="13"/>
        <v>0.94707162093302777</v>
      </c>
      <c r="J41" s="449">
        <f t="shared" si="14"/>
        <v>0.83939758980569712</v>
      </c>
      <c r="K41" s="454"/>
      <c r="L41" s="437">
        <f>SUM(L9:L39)</f>
        <v>1988.3664431135021</v>
      </c>
      <c r="M41" s="438"/>
      <c r="N41" s="437">
        <f>SUM(N9:N39)</f>
        <v>1907.8461114892561</v>
      </c>
      <c r="O41" s="438"/>
      <c r="P41" s="437">
        <f>SUM(P9:P39)</f>
        <v>1762.306</v>
      </c>
      <c r="Q41" s="438"/>
      <c r="R41" s="437">
        <f>SUM(R9:R39)</f>
        <v>1669.0300000000004</v>
      </c>
      <c r="S41" s="438"/>
      <c r="T41" s="439">
        <f>SUM(T9:T40)</f>
        <v>4071.078</v>
      </c>
      <c r="U41" s="439"/>
      <c r="V41" s="440">
        <f>T41/P41</f>
        <v>2.310085762631461</v>
      </c>
      <c r="W41" s="440"/>
      <c r="X41" s="441">
        <f>T41/R41</f>
        <v>2.4391880313715144</v>
      </c>
      <c r="Y41" s="440"/>
      <c r="Z41" s="439">
        <f>SUM(Z9:Z39)</f>
        <v>1724885.5399999993</v>
      </c>
      <c r="AA41" s="439"/>
      <c r="AB41" s="440">
        <f>Z41/P41</f>
        <v>978.76619610896137</v>
      </c>
      <c r="AC41" s="440"/>
      <c r="AD41" s="440">
        <f>Z41/R41</f>
        <v>1033.4658693971942</v>
      </c>
      <c r="AE41" s="440"/>
      <c r="AF41" s="506"/>
      <c r="AG41" s="525"/>
      <c r="AH41" s="437">
        <f>SUM(AH9:AH39)</f>
        <v>1985.6840432635427</v>
      </c>
      <c r="AI41" s="438"/>
      <c r="AJ41" s="449">
        <f t="shared" si="22"/>
        <v>0.84053150634019802</v>
      </c>
      <c r="AK41" s="454"/>
    </row>
    <row r="42" spans="1:37" ht="12.75" customHeight="1" thickTop="1">
      <c r="S42" s="295"/>
      <c r="T42" s="295"/>
      <c r="U42" s="295"/>
      <c r="X42" s="295"/>
      <c r="Z42" s="295"/>
      <c r="AA42" s="295"/>
    </row>
    <row r="43" spans="1:37" ht="12.75" customHeight="1">
      <c r="S43" s="295"/>
      <c r="T43" s="295"/>
      <c r="U43" s="295"/>
      <c r="X43" s="295"/>
      <c r="Z43" s="295"/>
      <c r="AA43" s="295"/>
    </row>
    <row r="44" spans="1:37">
      <c r="S44" s="295"/>
      <c r="T44" s="295"/>
      <c r="U44" s="295"/>
      <c r="X44" s="295"/>
      <c r="Z44" s="295"/>
      <c r="AA44" s="295"/>
    </row>
    <row r="45" spans="1:37">
      <c r="R45" s="304"/>
      <c r="S45" s="305"/>
    </row>
    <row r="46" spans="1:37">
      <c r="R46" s="306"/>
    </row>
    <row r="47" spans="1:37">
      <c r="R47" s="306"/>
    </row>
    <row r="48" spans="1:37">
      <c r="R48" s="306"/>
    </row>
    <row r="49" spans="18:37">
      <c r="R49" s="306"/>
      <c r="AJ49"/>
      <c r="AK49"/>
    </row>
    <row r="50" spans="18:37">
      <c r="R50" s="306"/>
      <c r="AJ50"/>
      <c r="AK50"/>
    </row>
    <row r="51" spans="18:37">
      <c r="R51" s="306"/>
      <c r="AJ51"/>
      <c r="AK51"/>
    </row>
    <row r="52" spans="18:37">
      <c r="R52" s="306"/>
      <c r="AJ52"/>
      <c r="AK52"/>
    </row>
    <row r="53" spans="18:37">
      <c r="R53" s="306"/>
      <c r="AJ53"/>
      <c r="AK53"/>
    </row>
    <row r="54" spans="18:37">
      <c r="R54" s="306"/>
      <c r="AJ54"/>
      <c r="AK54"/>
    </row>
    <row r="55" spans="18:37">
      <c r="R55" s="306"/>
      <c r="AJ55"/>
      <c r="AK55"/>
    </row>
    <row r="56" spans="18:37">
      <c r="R56" s="306"/>
      <c r="AJ56"/>
      <c r="AK56"/>
    </row>
    <row r="57" spans="18:37">
      <c r="R57" s="306"/>
      <c r="AJ57"/>
      <c r="AK57"/>
    </row>
    <row r="58" spans="18:37">
      <c r="R58" s="306"/>
      <c r="AJ58"/>
      <c r="AK58"/>
    </row>
    <row r="59" spans="18:37">
      <c r="R59" s="306"/>
      <c r="AJ59"/>
      <c r="AK59"/>
    </row>
    <row r="60" spans="18:37">
      <c r="AJ60"/>
      <c r="AK60"/>
    </row>
    <row r="65536" spans="3:35">
      <c r="C65536" s="307"/>
      <c r="AH65536"/>
      <c r="AI65536"/>
    </row>
  </sheetData>
  <mergeCells count="26">
    <mergeCell ref="AH6:AI7"/>
    <mergeCell ref="AJ6:AK7"/>
    <mergeCell ref="A3:AE4"/>
    <mergeCell ref="Z7:AA7"/>
    <mergeCell ref="AB7:AC7"/>
    <mergeCell ref="AD7:AE7"/>
    <mergeCell ref="D6:D8"/>
    <mergeCell ref="A6:A8"/>
    <mergeCell ref="B6:B8"/>
    <mergeCell ref="C6:C8"/>
    <mergeCell ref="L6:M7"/>
    <mergeCell ref="H6:H8"/>
    <mergeCell ref="I6:I8"/>
    <mergeCell ref="E6:E8"/>
    <mergeCell ref="F6:F8"/>
    <mergeCell ref="G6:G8"/>
    <mergeCell ref="J6:K7"/>
    <mergeCell ref="AF6:AG7"/>
    <mergeCell ref="N6:O7"/>
    <mergeCell ref="T7:U7"/>
    <mergeCell ref="V7:W7"/>
    <mergeCell ref="X7:Y7"/>
    <mergeCell ref="T6:Y6"/>
    <mergeCell ref="P6:Q7"/>
    <mergeCell ref="R6:S7"/>
    <mergeCell ref="Z6:AE6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Y45"/>
  <sheetViews>
    <sheetView zoomScaleNormal="100" workbookViewId="0">
      <pane xSplit="3" ySplit="6" topLeftCell="D10" activePane="bottomRight" state="frozen"/>
      <selection pane="topRight" activeCell="D1" sqref="D1"/>
      <selection pane="bottomLeft" activeCell="A7" sqref="A7"/>
      <selection pane="bottomRight" activeCell="M22" sqref="M22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8.85546875" customWidth="1"/>
    <col min="9" max="9" width="12.85546875" customWidth="1"/>
    <col min="10" max="10" width="11.5703125" customWidth="1"/>
    <col min="11" max="11" width="12" customWidth="1"/>
    <col min="12" max="12" width="12.28515625" bestFit="1" customWidth="1"/>
    <col min="13" max="13" width="13" bestFit="1" customWidth="1"/>
    <col min="14" max="15" width="11" bestFit="1" customWidth="1"/>
    <col min="16" max="16" width="13.5703125" customWidth="1"/>
    <col min="17" max="17" width="12.42578125" customWidth="1"/>
    <col min="18" max="19" width="13.140625" customWidth="1"/>
    <col min="20" max="20" width="13" bestFit="1" customWidth="1"/>
    <col min="21" max="21" width="13.7109375" bestFit="1" customWidth="1"/>
    <col min="22" max="43" width="13.5703125" customWidth="1"/>
    <col min="44" max="44" width="13.85546875" bestFit="1" customWidth="1"/>
    <col min="45" max="46" width="10.85546875" bestFit="1" customWidth="1"/>
    <col min="49" max="49" width="39" bestFit="1" customWidth="1"/>
  </cols>
  <sheetData>
    <row r="2" spans="1:51" ht="24.75" customHeight="1">
      <c r="A2" s="850" t="s">
        <v>20</v>
      </c>
      <c r="B2" s="850"/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  <c r="P2" s="850"/>
      <c r="Q2" s="850"/>
      <c r="R2" s="850"/>
      <c r="S2" s="850"/>
      <c r="T2" s="850"/>
      <c r="U2" s="850"/>
      <c r="V2" s="850"/>
      <c r="W2" s="850"/>
      <c r="X2" s="850"/>
      <c r="Y2" s="850"/>
      <c r="Z2" s="850"/>
      <c r="AA2" s="850"/>
      <c r="AB2" s="850"/>
      <c r="AC2" s="850"/>
      <c r="AD2" s="850"/>
      <c r="AE2" s="850"/>
      <c r="AF2" s="850"/>
      <c r="AG2" s="850"/>
      <c r="AH2" s="850"/>
      <c r="AI2" s="850"/>
      <c r="AJ2" s="850"/>
      <c r="AK2" s="850"/>
      <c r="AL2" s="850"/>
      <c r="AM2" s="850"/>
      <c r="AN2" s="850"/>
      <c r="AO2" s="850"/>
      <c r="AP2" s="850"/>
      <c r="AQ2" s="850"/>
      <c r="AR2" s="850"/>
      <c r="AS2" s="308"/>
      <c r="AT2" s="308"/>
      <c r="AU2" s="308"/>
      <c r="AV2" s="308"/>
      <c r="AW2" s="308"/>
    </row>
    <row r="3" spans="1:51" ht="12.75" customHeight="1">
      <c r="A3" s="308"/>
      <c r="B3" s="308"/>
      <c r="C3" s="308"/>
      <c r="D3" s="309"/>
      <c r="E3" s="310"/>
      <c r="F3" s="311"/>
      <c r="G3" s="312"/>
      <c r="H3" s="313"/>
      <c r="I3" s="314"/>
      <c r="J3" s="314"/>
      <c r="K3" s="314"/>
      <c r="L3" s="315"/>
      <c r="M3" s="314"/>
      <c r="N3" s="314"/>
      <c r="O3" s="314"/>
      <c r="P3" s="316"/>
      <c r="Q3" s="314"/>
      <c r="R3" s="314"/>
      <c r="S3" s="314"/>
      <c r="T3" s="317"/>
      <c r="U3" s="314"/>
      <c r="V3" s="314"/>
      <c r="W3" s="314"/>
      <c r="X3" s="314"/>
      <c r="Y3" s="314"/>
      <c r="Z3" s="314"/>
      <c r="AA3" s="314"/>
      <c r="AB3" s="314"/>
      <c r="AC3" s="314"/>
      <c r="AD3" s="314"/>
      <c r="AE3" s="314"/>
      <c r="AF3" s="314"/>
      <c r="AG3" s="314"/>
      <c r="AH3" s="314"/>
      <c r="AI3" s="314"/>
      <c r="AJ3" s="314"/>
      <c r="AK3" s="314"/>
      <c r="AL3" s="314"/>
      <c r="AM3" s="314"/>
      <c r="AN3" s="314"/>
      <c r="AO3" s="314"/>
      <c r="AP3" s="314"/>
      <c r="AQ3" s="314"/>
      <c r="AR3" s="314"/>
      <c r="AS3" s="6"/>
      <c r="AT3" s="6"/>
      <c r="AU3" s="308"/>
      <c r="AV3" s="308"/>
      <c r="AW3" s="308"/>
    </row>
    <row r="4" spans="1:51">
      <c r="A4" s="851" t="s">
        <v>7</v>
      </c>
      <c r="B4" s="854" t="s">
        <v>21</v>
      </c>
      <c r="C4" s="854" t="s">
        <v>22</v>
      </c>
      <c r="D4" s="892"/>
      <c r="E4" s="893"/>
      <c r="F4" s="893"/>
      <c r="G4" s="893"/>
      <c r="H4" s="893"/>
      <c r="I4" s="893"/>
      <c r="J4" s="893"/>
      <c r="K4" s="893"/>
      <c r="L4" s="893"/>
      <c r="M4" s="893"/>
      <c r="N4" s="893"/>
      <c r="O4" s="893"/>
      <c r="P4" s="893"/>
      <c r="Q4" s="893"/>
      <c r="R4" s="893"/>
      <c r="S4" s="893"/>
      <c r="T4" s="893"/>
      <c r="U4" s="893"/>
      <c r="V4" s="893"/>
      <c r="W4" s="893"/>
      <c r="X4" s="893"/>
      <c r="Y4" s="893"/>
      <c r="Z4" s="893"/>
      <c r="AA4" s="893"/>
      <c r="AB4" s="893"/>
      <c r="AC4" s="893"/>
      <c r="AD4" s="893"/>
      <c r="AE4" s="893"/>
      <c r="AF4" s="893"/>
      <c r="AG4" s="893"/>
      <c r="AH4" s="893"/>
      <c r="AI4" s="893"/>
      <c r="AJ4" s="893"/>
      <c r="AK4" s="893"/>
      <c r="AL4" s="893"/>
      <c r="AM4" s="893"/>
      <c r="AN4" s="893"/>
      <c r="AO4" s="893"/>
      <c r="AP4" s="893"/>
      <c r="AQ4" s="894"/>
      <c r="AR4" s="872" t="s">
        <v>146</v>
      </c>
      <c r="AS4" s="873"/>
      <c r="AT4" s="874"/>
    </row>
    <row r="5" spans="1:51" ht="14.25" customHeight="1">
      <c r="A5" s="852"/>
      <c r="B5" s="855"/>
      <c r="C5" s="855"/>
      <c r="D5" s="857" t="s">
        <v>174</v>
      </c>
      <c r="E5" s="858"/>
      <c r="F5" s="858"/>
      <c r="G5" s="859"/>
      <c r="H5" s="869" t="s">
        <v>175</v>
      </c>
      <c r="I5" s="870"/>
      <c r="J5" s="870"/>
      <c r="K5" s="871"/>
      <c r="L5" s="881" t="s">
        <v>419</v>
      </c>
      <c r="M5" s="882"/>
      <c r="N5" s="882"/>
      <c r="O5" s="883"/>
      <c r="P5" s="878" t="s">
        <v>176</v>
      </c>
      <c r="Q5" s="879"/>
      <c r="R5" s="879"/>
      <c r="S5" s="880"/>
      <c r="T5" s="884" t="s">
        <v>178</v>
      </c>
      <c r="U5" s="885"/>
      <c r="V5" s="885"/>
      <c r="W5" s="885"/>
      <c r="X5" s="886" t="s">
        <v>179</v>
      </c>
      <c r="Y5" s="887"/>
      <c r="Z5" s="887"/>
      <c r="AA5" s="888"/>
      <c r="AB5" s="860" t="s">
        <v>180</v>
      </c>
      <c r="AC5" s="861"/>
      <c r="AD5" s="861"/>
      <c r="AE5" s="862"/>
      <c r="AF5" s="863" t="s">
        <v>181</v>
      </c>
      <c r="AG5" s="864"/>
      <c r="AH5" s="864"/>
      <c r="AI5" s="865"/>
      <c r="AJ5" s="889" t="s">
        <v>182</v>
      </c>
      <c r="AK5" s="890"/>
      <c r="AL5" s="890"/>
      <c r="AM5" s="891"/>
      <c r="AN5" s="866" t="s">
        <v>183</v>
      </c>
      <c r="AO5" s="867"/>
      <c r="AP5" s="867"/>
      <c r="AQ5" s="868"/>
      <c r="AR5" s="875"/>
      <c r="AS5" s="876"/>
      <c r="AT5" s="877"/>
    </row>
    <row r="6" spans="1:51" ht="14.25" customHeight="1">
      <c r="A6" s="853"/>
      <c r="B6" s="856"/>
      <c r="C6" s="856"/>
      <c r="D6" s="388" t="s">
        <v>23</v>
      </c>
      <c r="E6" s="389" t="s">
        <v>24</v>
      </c>
      <c r="F6" s="390" t="s">
        <v>25</v>
      </c>
      <c r="G6" s="390" t="s">
        <v>26</v>
      </c>
      <c r="H6" s="391" t="s">
        <v>23</v>
      </c>
      <c r="I6" s="392" t="s">
        <v>24</v>
      </c>
      <c r="J6" s="393" t="s">
        <v>25</v>
      </c>
      <c r="K6" s="393" t="s">
        <v>26</v>
      </c>
      <c r="L6" s="401" t="s">
        <v>23</v>
      </c>
      <c r="M6" s="402" t="s">
        <v>24</v>
      </c>
      <c r="N6" s="403" t="s">
        <v>25</v>
      </c>
      <c r="O6" s="403" t="s">
        <v>26</v>
      </c>
      <c r="P6" s="397" t="s">
        <v>23</v>
      </c>
      <c r="Q6" s="398" t="s">
        <v>24</v>
      </c>
      <c r="R6" s="399" t="s">
        <v>25</v>
      </c>
      <c r="S6" s="399" t="s">
        <v>26</v>
      </c>
      <c r="T6" s="394" t="s">
        <v>23</v>
      </c>
      <c r="U6" s="395" t="s">
        <v>24</v>
      </c>
      <c r="V6" s="396" t="s">
        <v>25</v>
      </c>
      <c r="W6" s="396" t="s">
        <v>26</v>
      </c>
      <c r="X6" s="405" t="s">
        <v>23</v>
      </c>
      <c r="Y6" s="405" t="s">
        <v>24</v>
      </c>
      <c r="Z6" s="405" t="s">
        <v>25</v>
      </c>
      <c r="AA6" s="405" t="s">
        <v>26</v>
      </c>
      <c r="AB6" s="400" t="s">
        <v>23</v>
      </c>
      <c r="AC6" s="400" t="s">
        <v>24</v>
      </c>
      <c r="AD6" s="400" t="s">
        <v>25</v>
      </c>
      <c r="AE6" s="400" t="s">
        <v>26</v>
      </c>
      <c r="AF6" s="404" t="s">
        <v>23</v>
      </c>
      <c r="AG6" s="404" t="s">
        <v>24</v>
      </c>
      <c r="AH6" s="404" t="s">
        <v>25</v>
      </c>
      <c r="AI6" s="404" t="s">
        <v>26</v>
      </c>
      <c r="AJ6" s="406" t="s">
        <v>23</v>
      </c>
      <c r="AK6" s="406" t="s">
        <v>24</v>
      </c>
      <c r="AL6" s="406" t="s">
        <v>25</v>
      </c>
      <c r="AM6" s="406" t="s">
        <v>26</v>
      </c>
      <c r="AN6" s="407" t="s">
        <v>23</v>
      </c>
      <c r="AO6" s="407" t="s">
        <v>24</v>
      </c>
      <c r="AP6" s="407" t="s">
        <v>25</v>
      </c>
      <c r="AQ6" s="407" t="s">
        <v>26</v>
      </c>
      <c r="AR6" s="408" t="s">
        <v>24</v>
      </c>
      <c r="AS6" s="409" t="s">
        <v>25</v>
      </c>
      <c r="AT6" s="409" t="s">
        <v>26</v>
      </c>
      <c r="AV6" s="348"/>
    </row>
    <row r="7" spans="1:51">
      <c r="A7" s="318">
        <f>A8-1</f>
        <v>45838</v>
      </c>
      <c r="B7" s="319">
        <v>0</v>
      </c>
      <c r="C7" s="319">
        <v>0</v>
      </c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350"/>
      <c r="AS7" s="109"/>
      <c r="AT7" s="109"/>
    </row>
    <row r="8" spans="1:51" ht="15">
      <c r="A8" s="318">
        <f>+Report1!A9</f>
        <v>45839</v>
      </c>
      <c r="B8" s="326">
        <f>+Report1!P9</f>
        <v>68.905000000000001</v>
      </c>
      <c r="C8" s="326">
        <f>+Report1!R9</f>
        <v>68.671999999999997</v>
      </c>
      <c r="D8" s="327">
        <f>+D7+E8</f>
        <v>285.95999999903142</v>
      </c>
      <c r="E8" s="327">
        <f>+[13]DailyJul!D7</f>
        <v>285.95999999903142</v>
      </c>
      <c r="F8" s="327">
        <f t="shared" ref="F8:F38" si="0">E8/B8</f>
        <v>4.1500616791093741</v>
      </c>
      <c r="G8" s="327">
        <f t="shared" ref="G8:G38" si="1">E8/C8</f>
        <v>4.1641425908526246</v>
      </c>
      <c r="H8" s="327">
        <f>+H7+I8</f>
        <v>0</v>
      </c>
      <c r="I8" s="327">
        <f>+[13]DailyJul!E7</f>
        <v>0</v>
      </c>
      <c r="J8" s="327">
        <f t="shared" ref="J8:J38" si="2">I8/B8</f>
        <v>0</v>
      </c>
      <c r="K8" s="327">
        <f t="shared" ref="K8:K38" si="3">I8/C8</f>
        <v>0</v>
      </c>
      <c r="L8" s="327">
        <f>+L7+M8</f>
        <v>100</v>
      </c>
      <c r="M8" s="327">
        <f>+[13]DailyJul!F7</f>
        <v>100</v>
      </c>
      <c r="N8" s="327">
        <f t="shared" ref="N8:N38" si="4">M8/B8</f>
        <v>1.4512734924896598</v>
      </c>
      <c r="O8" s="327">
        <f t="shared" ref="O8:O38" si="5">M8/C8</f>
        <v>1.4561975768872322</v>
      </c>
      <c r="P8" s="327">
        <f>+P7+Q8</f>
        <v>18014.040000000605</v>
      </c>
      <c r="Q8" s="327">
        <f>+[13]DailyJul!G7</f>
        <v>18014.040000000605</v>
      </c>
      <c r="R8" s="327">
        <f t="shared" ref="R8:R38" si="6">Q8/B8</f>
        <v>261.43298744649309</v>
      </c>
      <c r="S8" s="327">
        <f t="shared" ref="S8:S38" si="7">Q8/C8</f>
        <v>262.32001397950557</v>
      </c>
      <c r="T8" s="327">
        <f>+T7+U8</f>
        <v>5800.0000000001819</v>
      </c>
      <c r="U8" s="327">
        <f>+[13]DailyJul!H7</f>
        <v>5800.0000000001819</v>
      </c>
      <c r="V8" s="327">
        <f t="shared" ref="V8:V38" si="8">U8/B8</f>
        <v>84.173862564402896</v>
      </c>
      <c r="W8" s="327">
        <f t="shared" ref="W8:W38" si="9">U8/C8</f>
        <v>84.45945945946211</v>
      </c>
      <c r="X8" s="327">
        <f>+X7+Y8</f>
        <v>13742.529999999273</v>
      </c>
      <c r="Y8" s="327">
        <f>+[13]DailyJul!I7</f>
        <v>13742.529999999273</v>
      </c>
      <c r="Z8" s="327">
        <f>Y8/B8</f>
        <v>199.44169508742868</v>
      </c>
      <c r="AA8" s="327">
        <f>Y8/C8</f>
        <v>200.11838886299034</v>
      </c>
      <c r="AB8" s="327">
        <f>+AB7+AC8</f>
        <v>6332.5299999998733</v>
      </c>
      <c r="AC8" s="327">
        <f>+[13]DailyJul!J7</f>
        <v>6332.5299999998733</v>
      </c>
      <c r="AD8" s="327">
        <f>AC8/B8</f>
        <v>91.902329293953599</v>
      </c>
      <c r="AE8" s="419">
        <f>AC8/C8</f>
        <v>92.214148415655202</v>
      </c>
      <c r="AF8" s="327">
        <f>+AF7+AG8</f>
        <v>14199.999999998909</v>
      </c>
      <c r="AG8" s="327">
        <f>+[13]DailyJul!K7</f>
        <v>14199.999999998909</v>
      </c>
      <c r="AH8" s="327">
        <f>AG8/B8</f>
        <v>206.08083593351583</v>
      </c>
      <c r="AI8" s="447">
        <f>AG8/C8</f>
        <v>206.78005591797105</v>
      </c>
      <c r="AJ8" s="327">
        <f>+AJ7+AK8</f>
        <v>540</v>
      </c>
      <c r="AK8" s="327">
        <f>+[13]DailyJul!L7</f>
        <v>540</v>
      </c>
      <c r="AL8" s="327">
        <f>AK8/B8</f>
        <v>7.8368768594441622</v>
      </c>
      <c r="AM8" s="447">
        <f>AK8/C8</f>
        <v>7.8634669151910535</v>
      </c>
      <c r="AN8" s="327">
        <f>+AN7+AO8</f>
        <v>750</v>
      </c>
      <c r="AO8" s="327">
        <f>+[13]DailyJul!M7</f>
        <v>750</v>
      </c>
      <c r="AP8" s="327">
        <f>AO8/B8</f>
        <v>10.884551193672447</v>
      </c>
      <c r="AQ8" s="447">
        <f>AO8/C8</f>
        <v>10.92148182665424</v>
      </c>
      <c r="AR8" s="327">
        <f>+E8+I8+M8+Q8+U8+Y8+AC8+AG8+AK8+AO8</f>
        <v>59765.059999997873</v>
      </c>
      <c r="AS8" s="7">
        <f t="shared" ref="AS8:AS38" si="10">AR8/B8</f>
        <v>867.35447355050974</v>
      </c>
      <c r="AT8" s="325">
        <f t="shared" ref="AT8:AT38" si="11">AR8/C8</f>
        <v>870.29735554516947</v>
      </c>
      <c r="AX8" s="411" t="s">
        <v>185</v>
      </c>
      <c r="AY8" s="411" t="s">
        <v>186</v>
      </c>
    </row>
    <row r="9" spans="1:51" ht="15">
      <c r="A9" s="318">
        <f t="shared" ref="A9:A38" si="12">A8+1</f>
        <v>45840</v>
      </c>
      <c r="B9" s="326">
        <f>+Report1!P10</f>
        <v>68.865999999999985</v>
      </c>
      <c r="C9" s="326">
        <f>+Report1!R10</f>
        <v>69.626999999999995</v>
      </c>
      <c r="D9" s="327">
        <f t="shared" ref="D9:D38" si="13">+D8+E9</f>
        <v>569.08999999985099</v>
      </c>
      <c r="E9" s="327">
        <f>+[13]DailyJul!D8</f>
        <v>283.13000000081956</v>
      </c>
      <c r="F9" s="327">
        <f t="shared" si="0"/>
        <v>4.1113176313539279</v>
      </c>
      <c r="G9" s="327">
        <f t="shared" si="1"/>
        <v>4.0663822942367123</v>
      </c>
      <c r="H9" s="327">
        <f t="shared" ref="H9:H38" si="14">+H8+I9</f>
        <v>0</v>
      </c>
      <c r="I9" s="327">
        <f>+[13]DailyJul!E8</f>
        <v>0</v>
      </c>
      <c r="J9" s="327">
        <f t="shared" si="2"/>
        <v>0</v>
      </c>
      <c r="K9" s="327">
        <f t="shared" si="3"/>
        <v>0</v>
      </c>
      <c r="L9" s="327">
        <f t="shared" ref="L9:L38" si="15">+L8+M9</f>
        <v>200</v>
      </c>
      <c r="M9" s="327">
        <f>+[13]DailyJul!F8</f>
        <v>100</v>
      </c>
      <c r="N9" s="327">
        <f t="shared" si="4"/>
        <v>1.45209537362414</v>
      </c>
      <c r="O9" s="327">
        <f t="shared" si="5"/>
        <v>1.4362244531575397</v>
      </c>
      <c r="P9" s="327">
        <f t="shared" ref="P9:P38" si="16">+P8+Q9</f>
        <v>35730.910000000149</v>
      </c>
      <c r="Q9" s="327">
        <f>+[13]DailyJul!G8</f>
        <v>17716.869999999544</v>
      </c>
      <c r="R9" s="327">
        <f t="shared" si="6"/>
        <v>257.26584962099656</v>
      </c>
      <c r="S9" s="327">
        <f t="shared" si="7"/>
        <v>254.45401927412564</v>
      </c>
      <c r="T9" s="327">
        <f t="shared" ref="T9:T38" si="17">+T8+U9</f>
        <v>11600.000000000364</v>
      </c>
      <c r="U9" s="327">
        <f>+[13]DailyJul!H8</f>
        <v>5800.0000000001819</v>
      </c>
      <c r="V9" s="327">
        <f t="shared" si="8"/>
        <v>84.221531670202765</v>
      </c>
      <c r="W9" s="327">
        <f t="shared" si="9"/>
        <v>83.301018283139911</v>
      </c>
      <c r="X9" s="327">
        <f t="shared" ref="X9:X38" si="18">+X8+Y9</f>
        <v>27352.729999999276</v>
      </c>
      <c r="Y9" s="327">
        <f>+[13]DailyJul!I8</f>
        <v>13610.2</v>
      </c>
      <c r="Z9" s="327">
        <f t="shared" ref="Z9:Z38" si="19">Y9/B9</f>
        <v>197.63308454099271</v>
      </c>
      <c r="AA9" s="327">
        <f t="shared" ref="AA9:AA38" si="20">Y9/C9</f>
        <v>195.47302052364745</v>
      </c>
      <c r="AB9" s="327">
        <f t="shared" ref="AB9:AB38" si="21">+AB8+AC9</f>
        <v>12812.729999999498</v>
      </c>
      <c r="AC9" s="327">
        <f>+[13]DailyJul!J8</f>
        <v>6480.1999999996233</v>
      </c>
      <c r="AD9" s="327">
        <f t="shared" ref="AD9:AD38" si="22">AC9/B9</f>
        <v>94.098684401586041</v>
      </c>
      <c r="AE9" s="419">
        <f t="shared" ref="AE9:AE38" si="23">AC9/C9</f>
        <v>93.070217013509463</v>
      </c>
      <c r="AF9" s="327">
        <f t="shared" ref="AF9:AF38" si="24">+AF8+AG9</f>
        <v>28500</v>
      </c>
      <c r="AG9" s="327">
        <f>+[13]DailyJul!K8</f>
        <v>14300.000000001091</v>
      </c>
      <c r="AH9" s="327">
        <f t="shared" ref="AH9:AH38" si="25">AG9/B9</f>
        <v>207.64963842826785</v>
      </c>
      <c r="AI9" s="447">
        <f t="shared" ref="AI9:AI38" si="26">AG9/C9</f>
        <v>205.38009680154383</v>
      </c>
      <c r="AJ9" s="327">
        <f t="shared" ref="AJ9:AJ38" si="27">+AJ8+AK9</f>
        <v>1070</v>
      </c>
      <c r="AK9" s="327">
        <f>+[13]DailyJul!L8</f>
        <v>530</v>
      </c>
      <c r="AL9" s="327">
        <f t="shared" ref="AL9:AL38" si="28">AK9/B9</f>
        <v>7.6961054802079421</v>
      </c>
      <c r="AM9" s="447">
        <f t="shared" ref="AM9:AM38" si="29">AK9/C9</f>
        <v>7.61198960173496</v>
      </c>
      <c r="AN9" s="327">
        <f t="shared" ref="AN9:AN38" si="30">+AN8+AO9</f>
        <v>1490</v>
      </c>
      <c r="AO9" s="327">
        <f>+[13]DailyJul!M8</f>
        <v>740</v>
      </c>
      <c r="AP9" s="327">
        <f t="shared" ref="AP9:AP38" si="31">AO9/B9</f>
        <v>10.745505764818635</v>
      </c>
      <c r="AQ9" s="447">
        <f t="shared" ref="AQ9:AQ38" si="32">AO9/C9</f>
        <v>10.628060953365793</v>
      </c>
      <c r="AR9" s="327">
        <f t="shared" ref="AR9:AR38" si="33">+E9+I9+M9+Q9+U9+Y9+AC9+AG9+AK9+AO9</f>
        <v>59560.400000001267</v>
      </c>
      <c r="AS9" s="324">
        <f>AR9/B9</f>
        <v>864.87381291205065</v>
      </c>
      <c r="AT9" s="325">
        <f t="shared" si="11"/>
        <v>855.42102919846138</v>
      </c>
      <c r="AX9" s="411" t="s">
        <v>187</v>
      </c>
      <c r="AY9" s="411" t="s">
        <v>187</v>
      </c>
    </row>
    <row r="10" spans="1:51">
      <c r="A10" s="318">
        <f t="shared" si="12"/>
        <v>45841</v>
      </c>
      <c r="B10" s="326">
        <f>+Report1!P11</f>
        <v>77.805000000000007</v>
      </c>
      <c r="C10" s="326">
        <f>+Report1!R11</f>
        <v>74.578999999999994</v>
      </c>
      <c r="D10" s="327">
        <f t="shared" si="13"/>
        <v>867.71999999880791</v>
      </c>
      <c r="E10" s="327">
        <f>+[13]DailyJul!D9</f>
        <v>298.62999999895692</v>
      </c>
      <c r="F10" s="327">
        <f t="shared" si="0"/>
        <v>3.8381852065928523</v>
      </c>
      <c r="G10" s="327">
        <f t="shared" si="1"/>
        <v>4.0042103004727458</v>
      </c>
      <c r="H10" s="327">
        <f t="shared" si="14"/>
        <v>0</v>
      </c>
      <c r="I10" s="327">
        <f>+[13]DailyJul!E9</f>
        <v>0</v>
      </c>
      <c r="J10" s="327">
        <f t="shared" si="2"/>
        <v>0</v>
      </c>
      <c r="K10" s="327">
        <f t="shared" si="3"/>
        <v>0</v>
      </c>
      <c r="L10" s="327">
        <f t="shared" si="15"/>
        <v>300</v>
      </c>
      <c r="M10" s="327">
        <f>+[13]DailyJul!F9</f>
        <v>100</v>
      </c>
      <c r="N10" s="327">
        <f t="shared" si="4"/>
        <v>1.28526444315918</v>
      </c>
      <c r="O10" s="327">
        <f t="shared" si="5"/>
        <v>1.3408600276217166</v>
      </c>
      <c r="P10" s="327">
        <f t="shared" si="16"/>
        <v>53632.280000000464</v>
      </c>
      <c r="Q10" s="327">
        <f>+[13]DailyJul!G9</f>
        <v>17901.370000000315</v>
      </c>
      <c r="R10" s="327">
        <f t="shared" si="6"/>
        <v>230.07994344836854</v>
      </c>
      <c r="S10" s="327">
        <f t="shared" si="7"/>
        <v>240.03231472666994</v>
      </c>
      <c r="T10" s="327">
        <f t="shared" si="17"/>
        <v>17100.000000000364</v>
      </c>
      <c r="U10" s="327">
        <f>+[13]DailyJul!H9</f>
        <v>5500</v>
      </c>
      <c r="V10" s="327">
        <f t="shared" si="8"/>
        <v>70.689544373754899</v>
      </c>
      <c r="W10" s="327">
        <f t="shared" si="9"/>
        <v>73.747301519194423</v>
      </c>
      <c r="X10" s="327">
        <f t="shared" si="18"/>
        <v>39888.869999998547</v>
      </c>
      <c r="Y10" s="327">
        <f>+[13]DailyJul!I9</f>
        <v>12536.139999999272</v>
      </c>
      <c r="Z10" s="327">
        <f t="shared" si="19"/>
        <v>161.12254996464586</v>
      </c>
      <c r="AA10" s="327">
        <f t="shared" si="20"/>
        <v>168.09209026668731</v>
      </c>
      <c r="AB10" s="327">
        <f t="shared" si="21"/>
        <v>19208.869999998504</v>
      </c>
      <c r="AC10" s="327">
        <f>+[13]DailyJul!J9</f>
        <v>6396.1399999990081</v>
      </c>
      <c r="AD10" s="327">
        <f t="shared" si="22"/>
        <v>82.207313154668824</v>
      </c>
      <c r="AE10" s="419">
        <f t="shared" si="23"/>
        <v>85.763284570710368</v>
      </c>
      <c r="AF10" s="327">
        <f t="shared" si="24"/>
        <v>42199.999999998909</v>
      </c>
      <c r="AG10" s="327">
        <f>+[13]DailyJul!K9</f>
        <v>13699.999999998909</v>
      </c>
      <c r="AH10" s="327">
        <f t="shared" si="25"/>
        <v>176.08122871279363</v>
      </c>
      <c r="AI10" s="447">
        <f t="shared" si="26"/>
        <v>183.69782378416056</v>
      </c>
      <c r="AJ10" s="327">
        <f t="shared" si="27"/>
        <v>1600</v>
      </c>
      <c r="AK10" s="327">
        <f>+[13]DailyJul!L9</f>
        <v>530</v>
      </c>
      <c r="AL10" s="327">
        <f t="shared" si="28"/>
        <v>6.8119015487436538</v>
      </c>
      <c r="AM10" s="447">
        <f t="shared" si="29"/>
        <v>7.1065581463950984</v>
      </c>
      <c r="AN10" s="327">
        <f t="shared" si="30"/>
        <v>2210</v>
      </c>
      <c r="AO10" s="327">
        <f>+[13]DailyJul!M9</f>
        <v>720</v>
      </c>
      <c r="AP10" s="327">
        <f t="shared" si="31"/>
        <v>9.253903990746096</v>
      </c>
      <c r="AQ10" s="447">
        <f t="shared" si="32"/>
        <v>9.6541921988763608</v>
      </c>
      <c r="AR10" s="327">
        <f t="shared" si="33"/>
        <v>57682.279999996463</v>
      </c>
      <c r="AS10" s="324">
        <f t="shared" si="10"/>
        <v>741.36983484347354</v>
      </c>
      <c r="AT10" s="325">
        <f t="shared" si="11"/>
        <v>773.43863554078848</v>
      </c>
      <c r="AV10" s="20" t="s">
        <v>28</v>
      </c>
      <c r="AW10" t="s">
        <v>174</v>
      </c>
      <c r="AX10" s="13">
        <f>+F39</f>
        <v>0</v>
      </c>
      <c r="AY10" s="13">
        <f>+G39</f>
        <v>0</v>
      </c>
    </row>
    <row r="11" spans="1:51">
      <c r="A11" s="318">
        <f t="shared" si="12"/>
        <v>45842</v>
      </c>
      <c r="B11" s="326">
        <f>+Report1!P12</f>
        <v>79.141999999999996</v>
      </c>
      <c r="C11" s="326">
        <f>+Report1!R12</f>
        <v>78.611000000000004</v>
      </c>
      <c r="D11" s="327">
        <f t="shared" si="13"/>
        <v>1178.3199999984354</v>
      </c>
      <c r="E11" s="327">
        <f>+[13]DailyJul!D10</f>
        <v>310.59999999962747</v>
      </c>
      <c r="F11" s="327">
        <f t="shared" si="0"/>
        <v>3.9245912410556656</v>
      </c>
      <c r="G11" s="327">
        <f t="shared" si="1"/>
        <v>3.9511009909507253</v>
      </c>
      <c r="H11" s="327">
        <f t="shared" si="14"/>
        <v>0</v>
      </c>
      <c r="I11" s="327">
        <f>+[13]DailyJul!E10</f>
        <v>0</v>
      </c>
      <c r="J11" s="327">
        <f t="shared" si="2"/>
        <v>0</v>
      </c>
      <c r="K11" s="327">
        <f t="shared" si="3"/>
        <v>0</v>
      </c>
      <c r="L11" s="327">
        <f t="shared" si="15"/>
        <v>400</v>
      </c>
      <c r="M11" s="327">
        <f>+[13]DailyJul!F10</f>
        <v>100</v>
      </c>
      <c r="N11" s="327">
        <f t="shared" si="4"/>
        <v>1.263551590811453</v>
      </c>
      <c r="O11" s="327">
        <f t="shared" si="5"/>
        <v>1.2720866036559768</v>
      </c>
      <c r="P11" s="327">
        <f t="shared" si="16"/>
        <v>71921.680000001565</v>
      </c>
      <c r="Q11" s="327">
        <f>+[13]DailyJul!G10</f>
        <v>18289.4000000011</v>
      </c>
      <c r="R11" s="327">
        <f t="shared" si="6"/>
        <v>231.09600464988375</v>
      </c>
      <c r="S11" s="327">
        <f t="shared" si="7"/>
        <v>232.65700728907021</v>
      </c>
      <c r="T11" s="327">
        <f t="shared" si="17"/>
        <v>22699.999999999818</v>
      </c>
      <c r="U11" s="327">
        <f>+[13]DailyJul!H10</f>
        <v>5599.9999999994543</v>
      </c>
      <c r="V11" s="327">
        <f t="shared" si="8"/>
        <v>70.758889085434461</v>
      </c>
      <c r="W11" s="327">
        <f t="shared" si="9"/>
        <v>71.236849804727754</v>
      </c>
      <c r="X11" s="327">
        <f t="shared" si="18"/>
        <v>52703.819999999643</v>
      </c>
      <c r="Y11" s="327">
        <f>+[13]DailyJul!I10</f>
        <v>12814.950000001092</v>
      </c>
      <c r="Z11" s="327">
        <f t="shared" si="19"/>
        <v>161.92350458670609</v>
      </c>
      <c r="AA11" s="327">
        <f t="shared" si="20"/>
        <v>163.01726221522549</v>
      </c>
      <c r="AB11" s="327">
        <f t="shared" si="21"/>
        <v>26093.819999998395</v>
      </c>
      <c r="AC11" s="327">
        <f>+[13]DailyJul!J10</f>
        <v>6884.9499999998916</v>
      </c>
      <c r="AD11" s="327">
        <f t="shared" si="22"/>
        <v>86.994895251571762</v>
      </c>
      <c r="AE11" s="419">
        <f t="shared" si="23"/>
        <v>87.582526618410796</v>
      </c>
      <c r="AF11" s="327">
        <f t="shared" si="24"/>
        <v>56100.000000000364</v>
      </c>
      <c r="AG11" s="327">
        <f>+[13]DailyJul!K10</f>
        <v>13900.000000001455</v>
      </c>
      <c r="AH11" s="327">
        <f t="shared" si="25"/>
        <v>175.63367112281034</v>
      </c>
      <c r="AI11" s="447">
        <f t="shared" si="26"/>
        <v>176.82003790819928</v>
      </c>
      <c r="AJ11" s="327">
        <f t="shared" si="27"/>
        <v>2100</v>
      </c>
      <c r="AK11" s="327">
        <f>+[13]DailyJul!L10</f>
        <v>500</v>
      </c>
      <c r="AL11" s="327">
        <f t="shared" si="28"/>
        <v>6.3177579540572646</v>
      </c>
      <c r="AM11" s="447">
        <f t="shared" si="29"/>
        <v>6.3604330182798838</v>
      </c>
      <c r="AN11" s="327">
        <f t="shared" si="30"/>
        <v>2960</v>
      </c>
      <c r="AO11" s="327">
        <f>+[13]DailyJul!M10</f>
        <v>750</v>
      </c>
      <c r="AP11" s="327">
        <f t="shared" si="31"/>
        <v>9.4766369310858973</v>
      </c>
      <c r="AQ11" s="447">
        <f t="shared" si="32"/>
        <v>9.5406495274198271</v>
      </c>
      <c r="AR11" s="327">
        <f t="shared" si="33"/>
        <v>59149.900000002628</v>
      </c>
      <c r="AS11" s="324">
        <f t="shared" si="10"/>
        <v>747.38950241341684</v>
      </c>
      <c r="AT11" s="325">
        <f t="shared" si="11"/>
        <v>752.4379539759401</v>
      </c>
      <c r="AV11" s="20"/>
      <c r="AW11" t="s">
        <v>175</v>
      </c>
      <c r="AX11" s="13">
        <f>+J39</f>
        <v>0</v>
      </c>
      <c r="AY11" s="13">
        <f>+K39</f>
        <v>0</v>
      </c>
    </row>
    <row r="12" spans="1:51">
      <c r="A12" s="318">
        <f t="shared" si="12"/>
        <v>45843</v>
      </c>
      <c r="B12" s="326">
        <f>+Report1!P13</f>
        <v>74.533000000000001</v>
      </c>
      <c r="C12" s="326">
        <f>+Report1!R13</f>
        <v>74.552000000000007</v>
      </c>
      <c r="D12" s="327">
        <f t="shared" si="13"/>
        <v>1421.4699999988079</v>
      </c>
      <c r="E12" s="327">
        <f>+[13]DailyJul!D11</f>
        <v>243.15000000037253</v>
      </c>
      <c r="F12" s="327">
        <f t="shared" si="0"/>
        <v>3.2623133377211775</v>
      </c>
      <c r="G12" s="327">
        <f t="shared" si="1"/>
        <v>3.2614819186657971</v>
      </c>
      <c r="H12" s="327">
        <f t="shared" si="14"/>
        <v>0</v>
      </c>
      <c r="I12" s="327">
        <f>+[13]DailyJul!E11</f>
        <v>0</v>
      </c>
      <c r="J12" s="327">
        <f t="shared" si="2"/>
        <v>0</v>
      </c>
      <c r="K12" s="327">
        <f t="shared" si="3"/>
        <v>0</v>
      </c>
      <c r="L12" s="327">
        <f t="shared" si="15"/>
        <v>600</v>
      </c>
      <c r="M12" s="327">
        <f>+[13]DailyJul!F11</f>
        <v>200</v>
      </c>
      <c r="N12" s="327">
        <f t="shared" si="4"/>
        <v>2.6833751492627425</v>
      </c>
      <c r="O12" s="327">
        <f t="shared" si="5"/>
        <v>2.6826912758879704</v>
      </c>
      <c r="P12" s="327">
        <f t="shared" si="16"/>
        <v>89678.530000000101</v>
      </c>
      <c r="Q12" s="327">
        <f>+[13]DailyJul!G11</f>
        <v>17756.849999998536</v>
      </c>
      <c r="R12" s="327">
        <f t="shared" si="6"/>
        <v>238.24145009591101</v>
      </c>
      <c r="S12" s="327">
        <f t="shared" si="7"/>
        <v>238.1807329112369</v>
      </c>
      <c r="T12" s="327">
        <f t="shared" si="17"/>
        <v>28199.999999999818</v>
      </c>
      <c r="U12" s="327">
        <f>+[13]DailyJul!H11</f>
        <v>5500</v>
      </c>
      <c r="V12" s="327">
        <f t="shared" si="8"/>
        <v>73.792816604725417</v>
      </c>
      <c r="W12" s="327">
        <f>U12/C12</f>
        <v>73.774010086919191</v>
      </c>
      <c r="X12" s="327">
        <f t="shared" si="18"/>
        <v>65570.229999998919</v>
      </c>
      <c r="Y12" s="327">
        <f>+[13]DailyJul!I11</f>
        <v>12866.409999999272</v>
      </c>
      <c r="Z12" s="327">
        <f t="shared" si="19"/>
        <v>172.62702427111847</v>
      </c>
      <c r="AA12" s="327">
        <f t="shared" si="20"/>
        <v>172.58302929497896</v>
      </c>
      <c r="AB12" s="327">
        <f t="shared" si="21"/>
        <v>33380.22999999881</v>
      </c>
      <c r="AC12" s="327">
        <f>+[13]DailyJul!J11</f>
        <v>7286.4100000004137</v>
      </c>
      <c r="AD12" s="327">
        <f t="shared" si="22"/>
        <v>97.760857606703254</v>
      </c>
      <c r="AE12" s="419">
        <f t="shared" si="23"/>
        <v>97.735942697719892</v>
      </c>
      <c r="AF12" s="327">
        <f t="shared" si="24"/>
        <v>69799.999999999272</v>
      </c>
      <c r="AG12" s="327">
        <f>+[13]DailyJul!K11</f>
        <v>13699.999999998909</v>
      </c>
      <c r="AH12" s="327">
        <f t="shared" si="25"/>
        <v>183.81119772448324</v>
      </c>
      <c r="AI12" s="447">
        <f t="shared" si="26"/>
        <v>183.76435239831133</v>
      </c>
      <c r="AJ12" s="327">
        <f t="shared" si="27"/>
        <v>2630</v>
      </c>
      <c r="AK12" s="327">
        <f>+[13]DailyJul!L11</f>
        <v>530</v>
      </c>
      <c r="AL12" s="327">
        <f t="shared" si="28"/>
        <v>7.1109441455462683</v>
      </c>
      <c r="AM12" s="447">
        <f t="shared" si="29"/>
        <v>7.1091318811031217</v>
      </c>
      <c r="AN12" s="327">
        <f t="shared" si="30"/>
        <v>3690</v>
      </c>
      <c r="AO12" s="327">
        <f>+[13]DailyJul!M11</f>
        <v>730</v>
      </c>
      <c r="AP12" s="327">
        <f t="shared" si="31"/>
        <v>9.7943192948090108</v>
      </c>
      <c r="AQ12" s="447">
        <f t="shared" si="32"/>
        <v>9.791823156991093</v>
      </c>
      <c r="AR12" s="327">
        <f>+E12+I12+M12+Q12+U12+Y12+AC12+AG12+AK12+AO12</f>
        <v>58812.819999997504</v>
      </c>
      <c r="AS12" s="324">
        <f t="shared" si="10"/>
        <v>789.08429823028064</v>
      </c>
      <c r="AT12" s="325">
        <f t="shared" si="11"/>
        <v>788.88319562181425</v>
      </c>
      <c r="AV12" s="20"/>
      <c r="AW12" t="s">
        <v>176</v>
      </c>
      <c r="AX12" s="13">
        <f>+N39</f>
        <v>0</v>
      </c>
      <c r="AY12" s="13">
        <f>+O39</f>
        <v>0</v>
      </c>
    </row>
    <row r="13" spans="1:51">
      <c r="A13" s="318">
        <f t="shared" si="12"/>
        <v>45844</v>
      </c>
      <c r="B13" s="326">
        <f>+Report1!P14</f>
        <v>68.905000000000001</v>
      </c>
      <c r="C13" s="326">
        <f>+Report1!R14</f>
        <v>70.131</v>
      </c>
      <c r="D13" s="327">
        <f t="shared" si="13"/>
        <v>1653.679999999702</v>
      </c>
      <c r="E13" s="327">
        <f>+[13]DailyJul!D12</f>
        <v>232.21000000089407</v>
      </c>
      <c r="F13" s="327">
        <f t="shared" si="0"/>
        <v>3.3700021769232142</v>
      </c>
      <c r="G13" s="327">
        <f t="shared" si="1"/>
        <v>3.3110892472785798</v>
      </c>
      <c r="H13" s="327">
        <f t="shared" si="14"/>
        <v>0</v>
      </c>
      <c r="I13" s="327">
        <f>+[13]DailyJul!E12</f>
        <v>0</v>
      </c>
      <c r="J13" s="327">
        <f t="shared" si="2"/>
        <v>0</v>
      </c>
      <c r="K13" s="327">
        <f t="shared" si="3"/>
        <v>0</v>
      </c>
      <c r="L13" s="327">
        <f t="shared" si="15"/>
        <v>700</v>
      </c>
      <c r="M13" s="327">
        <f>+[13]DailyJul!F12</f>
        <v>100</v>
      </c>
      <c r="N13" s="327">
        <f t="shared" si="4"/>
        <v>1.4512734924896598</v>
      </c>
      <c r="O13" s="327">
        <f t="shared" si="5"/>
        <v>1.4259029530450158</v>
      </c>
      <c r="P13" s="327">
        <f t="shared" si="16"/>
        <v>107146.3200000003</v>
      </c>
      <c r="Q13" s="327">
        <f>+[13]DailyJul!G12</f>
        <v>17467.790000000197</v>
      </c>
      <c r="R13" s="327">
        <f t="shared" si="6"/>
        <v>253.50540599376239</v>
      </c>
      <c r="S13" s="327">
        <f t="shared" si="7"/>
        <v>249.07373344170477</v>
      </c>
      <c r="T13" s="327">
        <f t="shared" si="17"/>
        <v>33500</v>
      </c>
      <c r="U13" s="327">
        <f>+[13]DailyJul!H12</f>
        <v>5300.0000000001819</v>
      </c>
      <c r="V13" s="327">
        <f t="shared" si="8"/>
        <v>76.9174951019546</v>
      </c>
      <c r="W13" s="327">
        <f t="shared" si="9"/>
        <v>75.572856511388423</v>
      </c>
      <c r="X13" s="327">
        <f t="shared" si="18"/>
        <v>77395.559999998921</v>
      </c>
      <c r="Y13" s="327">
        <f>+[13]DailyJul!I12</f>
        <v>11825.33</v>
      </c>
      <c r="Z13" s="327">
        <f t="shared" si="19"/>
        <v>171.61787968942747</v>
      </c>
      <c r="AA13" s="327">
        <f t="shared" si="20"/>
        <v>168.61772967731815</v>
      </c>
      <c r="AB13" s="327">
        <f t="shared" si="21"/>
        <v>39705.559999998921</v>
      </c>
      <c r="AC13" s="327">
        <f>+[13]DailyJul!J12</f>
        <v>6325.3300000001091</v>
      </c>
      <c r="AD13" s="327">
        <f t="shared" si="22"/>
        <v>91.797837602497765</v>
      </c>
      <c r="AE13" s="419">
        <f t="shared" si="23"/>
        <v>90.193067259843843</v>
      </c>
      <c r="AF13" s="327">
        <f t="shared" si="24"/>
        <v>82699.999999998909</v>
      </c>
      <c r="AG13" s="327">
        <f>+[13]DailyJul!K12</f>
        <v>12899.999999999636</v>
      </c>
      <c r="AH13" s="327">
        <f t="shared" si="25"/>
        <v>187.21428053116082</v>
      </c>
      <c r="AI13" s="447">
        <f t="shared" si="26"/>
        <v>183.94148094280183</v>
      </c>
      <c r="AJ13" s="327">
        <f t="shared" si="27"/>
        <v>3120</v>
      </c>
      <c r="AK13" s="327">
        <f>+[13]DailyJul!L12</f>
        <v>490</v>
      </c>
      <c r="AL13" s="327">
        <f t="shared" si="28"/>
        <v>7.1112401131993321</v>
      </c>
      <c r="AM13" s="447">
        <f t="shared" si="29"/>
        <v>6.9869244699205773</v>
      </c>
      <c r="AN13" s="327">
        <f t="shared" si="30"/>
        <v>4390</v>
      </c>
      <c r="AO13" s="327">
        <f>+[13]DailyJul!M12</f>
        <v>700</v>
      </c>
      <c r="AP13" s="327">
        <f t="shared" si="31"/>
        <v>10.158914447427618</v>
      </c>
      <c r="AQ13" s="447">
        <f t="shared" si="32"/>
        <v>9.9813206713151104</v>
      </c>
      <c r="AR13" s="327">
        <f t="shared" si="33"/>
        <v>55340.660000001022</v>
      </c>
      <c r="AS13" s="324">
        <f t="shared" si="10"/>
        <v>803.14432914884287</v>
      </c>
      <c r="AT13" s="325">
        <f t="shared" si="11"/>
        <v>789.10410517461639</v>
      </c>
      <c r="AV13" s="20"/>
      <c r="AW13" t="s">
        <v>177</v>
      </c>
      <c r="AX13" s="13">
        <f>+R39</f>
        <v>0</v>
      </c>
      <c r="AY13" s="13">
        <f>+S39</f>
        <v>0</v>
      </c>
    </row>
    <row r="14" spans="1:51">
      <c r="A14" s="318">
        <f t="shared" si="12"/>
        <v>45845</v>
      </c>
      <c r="B14" s="326">
        <f>+Report1!P15</f>
        <v>55.073</v>
      </c>
      <c r="C14" s="326">
        <f>+Report1!R15</f>
        <v>60.798000000000002</v>
      </c>
      <c r="D14" s="327">
        <f t="shared" si="13"/>
        <v>1955.359999999404</v>
      </c>
      <c r="E14" s="327">
        <f>+[13]DailyJul!D13</f>
        <v>301.67999999970198</v>
      </c>
      <c r="F14" s="327">
        <f t="shared" si="0"/>
        <v>5.47782034753331</v>
      </c>
      <c r="G14" s="327">
        <f t="shared" si="1"/>
        <v>4.9620053291177664</v>
      </c>
      <c r="H14" s="327">
        <f t="shared" si="14"/>
        <v>0</v>
      </c>
      <c r="I14" s="327">
        <f>+[13]DailyJul!E13</f>
        <v>0</v>
      </c>
      <c r="J14" s="327">
        <f t="shared" si="2"/>
        <v>0</v>
      </c>
      <c r="K14" s="327">
        <f t="shared" si="3"/>
        <v>0</v>
      </c>
      <c r="L14" s="327">
        <f t="shared" si="15"/>
        <v>800</v>
      </c>
      <c r="M14" s="327">
        <f>+[13]DailyJul!F13</f>
        <v>100</v>
      </c>
      <c r="N14" s="327">
        <f t="shared" si="4"/>
        <v>1.815771793800955</v>
      </c>
      <c r="O14" s="327">
        <f t="shared" si="5"/>
        <v>1.6447909470706272</v>
      </c>
      <c r="P14" s="327">
        <f t="shared" si="16"/>
        <v>123344.64000000096</v>
      </c>
      <c r="Q14" s="327">
        <f>+[13]DailyJul!G13</f>
        <v>16198.320000000662</v>
      </c>
      <c r="R14" s="327">
        <f t="shared" si="6"/>
        <v>294.12452562963091</v>
      </c>
      <c r="S14" s="327">
        <f t="shared" si="7"/>
        <v>266.42850093754174</v>
      </c>
      <c r="T14" s="327">
        <f t="shared" si="17"/>
        <v>37500</v>
      </c>
      <c r="U14" s="327">
        <f>+[13]DailyJul!H13</f>
        <v>4000</v>
      </c>
      <c r="V14" s="327">
        <f t="shared" si="8"/>
        <v>72.630871752038203</v>
      </c>
      <c r="W14" s="327">
        <f t="shared" si="9"/>
        <v>65.791637882825086</v>
      </c>
      <c r="X14" s="327">
        <f t="shared" si="18"/>
        <v>86415.869999999282</v>
      </c>
      <c r="Y14" s="327">
        <f>+[13]DailyJul!I13</f>
        <v>9020.3100000003633</v>
      </c>
      <c r="Z14" s="327">
        <f t="shared" si="19"/>
        <v>163.78824469341353</v>
      </c>
      <c r="AA14" s="327">
        <f t="shared" si="20"/>
        <v>148.36524227771247</v>
      </c>
      <c r="AB14" s="327">
        <f t="shared" si="21"/>
        <v>46245.869999999122</v>
      </c>
      <c r="AC14" s="327">
        <f>+[13]DailyJul!J13</f>
        <v>6540.3100000002041</v>
      </c>
      <c r="AD14" s="327">
        <f t="shared" si="22"/>
        <v>118.75710420714695</v>
      </c>
      <c r="AE14" s="419">
        <f t="shared" si="23"/>
        <v>107.5744267903583</v>
      </c>
      <c r="AF14" s="327">
        <f t="shared" si="24"/>
        <v>93199.999999998909</v>
      </c>
      <c r="AG14" s="327">
        <f>+[13]DailyJul!K13</f>
        <v>10500</v>
      </c>
      <c r="AH14" s="327">
        <f t="shared" si="25"/>
        <v>190.65603834910027</v>
      </c>
      <c r="AI14" s="447">
        <f t="shared" si="26"/>
        <v>172.70304944241587</v>
      </c>
      <c r="AJ14" s="327">
        <f t="shared" si="27"/>
        <v>3560</v>
      </c>
      <c r="AK14" s="327">
        <f>+[13]DailyJul!L13</f>
        <v>440</v>
      </c>
      <c r="AL14" s="327">
        <f t="shared" si="28"/>
        <v>7.9893958927242021</v>
      </c>
      <c r="AM14" s="447">
        <f t="shared" si="29"/>
        <v>7.2370801671107596</v>
      </c>
      <c r="AN14" s="327">
        <f t="shared" si="30"/>
        <v>5030</v>
      </c>
      <c r="AO14" s="327">
        <f>+[13]DailyJul!M13</f>
        <v>640</v>
      </c>
      <c r="AP14" s="327">
        <f t="shared" si="31"/>
        <v>11.620939480326113</v>
      </c>
      <c r="AQ14" s="447">
        <f t="shared" si="32"/>
        <v>10.526662061252015</v>
      </c>
      <c r="AR14" s="327">
        <f t="shared" si="33"/>
        <v>47740.620000000927</v>
      </c>
      <c r="AS14" s="324">
        <f t="shared" si="10"/>
        <v>866.86071214571439</v>
      </c>
      <c r="AT14" s="325">
        <f t="shared" si="11"/>
        <v>785.23339583540451</v>
      </c>
      <c r="AV14" s="20"/>
      <c r="AW14" t="s">
        <v>178</v>
      </c>
      <c r="AX14" s="13">
        <f>+V39</f>
        <v>0</v>
      </c>
      <c r="AY14" s="13">
        <f>+W39</f>
        <v>0</v>
      </c>
    </row>
    <row r="15" spans="1:51">
      <c r="A15" s="318">
        <f t="shared" si="12"/>
        <v>45846</v>
      </c>
      <c r="B15" s="326">
        <f>+Report1!P16</f>
        <v>40.311999999999998</v>
      </c>
      <c r="C15" s="326">
        <f>+Report1!R16</f>
        <v>12.112</v>
      </c>
      <c r="D15" s="327">
        <f t="shared" si="13"/>
        <v>2217.75</v>
      </c>
      <c r="E15" s="327">
        <f>+[13]DailyJul!D14</f>
        <v>262.39000000059605</v>
      </c>
      <c r="F15" s="327">
        <f t="shared" si="0"/>
        <v>6.5089799563553301</v>
      </c>
      <c r="G15" s="327">
        <f t="shared" si="1"/>
        <v>21.66363936596731</v>
      </c>
      <c r="H15" s="327">
        <f t="shared" si="14"/>
        <v>0</v>
      </c>
      <c r="I15" s="327">
        <f>+[13]DailyJul!E14</f>
        <v>0</v>
      </c>
      <c r="J15" s="327">
        <f t="shared" si="2"/>
        <v>0</v>
      </c>
      <c r="K15" s="327">
        <f t="shared" si="3"/>
        <v>0</v>
      </c>
      <c r="L15" s="327">
        <f t="shared" si="15"/>
        <v>800</v>
      </c>
      <c r="M15" s="327">
        <f>+[13]DailyJul!F14</f>
        <v>0</v>
      </c>
      <c r="N15" s="327">
        <f t="shared" si="4"/>
        <v>0</v>
      </c>
      <c r="O15" s="327">
        <f t="shared" si="5"/>
        <v>0</v>
      </c>
      <c r="P15" s="327">
        <f t="shared" si="16"/>
        <v>138582.25000000035</v>
      </c>
      <c r="Q15" s="327">
        <f>+[13]DailyJul!G14</f>
        <v>15237.609999999404</v>
      </c>
      <c r="R15" s="327">
        <f t="shared" si="6"/>
        <v>377.9919130779769</v>
      </c>
      <c r="S15" s="327">
        <f t="shared" si="7"/>
        <v>1258.0589498018003</v>
      </c>
      <c r="T15" s="327">
        <f t="shared" si="17"/>
        <v>41100.000000000364</v>
      </c>
      <c r="U15" s="327">
        <f>+[13]DailyJul!H14</f>
        <v>3600.0000000003638</v>
      </c>
      <c r="V15" s="327">
        <f t="shared" si="8"/>
        <v>89.303433220886191</v>
      </c>
      <c r="W15" s="327">
        <f t="shared" si="9"/>
        <v>297.22589167770508</v>
      </c>
      <c r="X15" s="327">
        <f t="shared" si="18"/>
        <v>93895.179999999644</v>
      </c>
      <c r="Y15" s="327">
        <f>+[13]DailyJul!I14</f>
        <v>7479.3100000003642</v>
      </c>
      <c r="Z15" s="327">
        <f t="shared" si="19"/>
        <v>185.53557253424202</v>
      </c>
      <c r="AA15" s="327">
        <f t="shared" si="20"/>
        <v>617.51238441218334</v>
      </c>
      <c r="AB15" s="327">
        <f t="shared" si="21"/>
        <v>51705.179999998894</v>
      </c>
      <c r="AC15" s="327">
        <f>+[13]DailyJul!J14</f>
        <v>5459.3099999997721</v>
      </c>
      <c r="AD15" s="327">
        <f t="shared" si="22"/>
        <v>135.42642389362405</v>
      </c>
      <c r="AE15" s="419">
        <f t="shared" si="23"/>
        <v>450.7356340818834</v>
      </c>
      <c r="AF15" s="327">
        <f t="shared" si="24"/>
        <v>102299.99999999927</v>
      </c>
      <c r="AG15" s="327">
        <f>+[13]DailyJul!K14</f>
        <v>9100.0000000003638</v>
      </c>
      <c r="AH15" s="327">
        <f t="shared" si="25"/>
        <v>225.73923397500408</v>
      </c>
      <c r="AI15" s="447">
        <f t="shared" si="26"/>
        <v>751.3210039630419</v>
      </c>
      <c r="AJ15" s="327">
        <f t="shared" si="27"/>
        <v>3910</v>
      </c>
      <c r="AK15" s="327">
        <f>+[13]DailyJul!L14</f>
        <v>350</v>
      </c>
      <c r="AL15" s="327">
        <f t="shared" si="28"/>
        <v>8.6822782298075012</v>
      </c>
      <c r="AM15" s="447">
        <f t="shared" si="29"/>
        <v>28.896961690885071</v>
      </c>
      <c r="AN15" s="327">
        <f t="shared" si="30"/>
        <v>5450</v>
      </c>
      <c r="AO15" s="327">
        <f>+[13]DailyJul!M14</f>
        <v>420</v>
      </c>
      <c r="AP15" s="327">
        <f t="shared" si="31"/>
        <v>10.418733875769002</v>
      </c>
      <c r="AQ15" s="447">
        <f t="shared" si="32"/>
        <v>34.67635402906209</v>
      </c>
      <c r="AR15" s="327">
        <f t="shared" si="33"/>
        <v>41908.620000000868</v>
      </c>
      <c r="AS15" s="324">
        <f t="shared" si="10"/>
        <v>1039.6065687636651</v>
      </c>
      <c r="AT15" s="325">
        <f t="shared" si="11"/>
        <v>3460.0908190225286</v>
      </c>
      <c r="AV15" s="20"/>
      <c r="AW15" t="s">
        <v>179</v>
      </c>
      <c r="AX15" s="13">
        <f>+Z39</f>
        <v>0</v>
      </c>
      <c r="AY15" s="13">
        <f>+AA39</f>
        <v>0</v>
      </c>
    </row>
    <row r="16" spans="1:51">
      <c r="A16" s="318">
        <f t="shared" si="12"/>
        <v>45847</v>
      </c>
      <c r="B16" s="326">
        <f>+Report1!P17</f>
        <v>65.516999999999996</v>
      </c>
      <c r="C16" s="326">
        <f>+Report1!R17</f>
        <v>65.429000000000002</v>
      </c>
      <c r="D16" s="327">
        <f t="shared" si="13"/>
        <v>2555.4499999992549</v>
      </c>
      <c r="E16" s="327">
        <f>+[13]DailyJul!D15</f>
        <v>337.69999999925494</v>
      </c>
      <c r="F16" s="327">
        <f t="shared" si="0"/>
        <v>5.1543874108896155</v>
      </c>
      <c r="G16" s="327">
        <f t="shared" si="1"/>
        <v>5.1613199040067084</v>
      </c>
      <c r="H16" s="327">
        <f t="shared" si="14"/>
        <v>0</v>
      </c>
      <c r="I16" s="327">
        <f>+[13]DailyJul!E15</f>
        <v>0</v>
      </c>
      <c r="J16" s="327">
        <f t="shared" si="2"/>
        <v>0</v>
      </c>
      <c r="K16" s="327">
        <f t="shared" si="3"/>
        <v>0</v>
      </c>
      <c r="L16" s="327">
        <f t="shared" si="15"/>
        <v>920</v>
      </c>
      <c r="M16" s="327">
        <f>+[13]DailyJul!F15</f>
        <v>120</v>
      </c>
      <c r="N16" s="327">
        <f t="shared" si="4"/>
        <v>1.8315856953157197</v>
      </c>
      <c r="O16" s="327">
        <f t="shared" si="5"/>
        <v>1.8340491219489827</v>
      </c>
      <c r="P16" s="327">
        <f t="shared" si="16"/>
        <v>156424.55000000037</v>
      </c>
      <c r="Q16" s="327">
        <f>+[13]DailyJul!G15</f>
        <v>17842.300000000017</v>
      </c>
      <c r="R16" s="327">
        <f t="shared" si="6"/>
        <v>272.33084542943084</v>
      </c>
      <c r="S16" s="327">
        <f t="shared" si="7"/>
        <v>272.69712207125309</v>
      </c>
      <c r="T16" s="327">
        <f t="shared" si="17"/>
        <v>46000</v>
      </c>
      <c r="U16" s="327">
        <f>+[13]DailyJul!H15</f>
        <v>4899.9999999996362</v>
      </c>
      <c r="V16" s="327">
        <f t="shared" si="8"/>
        <v>74.789749225386331</v>
      </c>
      <c r="W16" s="327">
        <f t="shared" si="9"/>
        <v>74.890339146244571</v>
      </c>
      <c r="X16" s="327">
        <f t="shared" si="18"/>
        <v>102916.90999999855</v>
      </c>
      <c r="Y16" s="327">
        <f>+[13]DailyJul!I15</f>
        <v>9021.7299999989082</v>
      </c>
      <c r="Z16" s="327">
        <f t="shared" si="19"/>
        <v>137.70059679165573</v>
      </c>
      <c r="AA16" s="327">
        <f t="shared" si="20"/>
        <v>137.88579987465661</v>
      </c>
      <c r="AB16" s="327">
        <f t="shared" si="21"/>
        <v>58856.909999999138</v>
      </c>
      <c r="AC16" s="327">
        <f>+[13]DailyJul!J15</f>
        <v>7151.7300000002451</v>
      </c>
      <c r="AD16" s="327">
        <f t="shared" si="22"/>
        <v>109.15838637300618</v>
      </c>
      <c r="AE16" s="419">
        <f t="shared" si="23"/>
        <v>109.30520105763874</v>
      </c>
      <c r="AF16" s="327">
        <f t="shared" si="24"/>
        <v>114500</v>
      </c>
      <c r="AG16" s="327">
        <f>+[13]DailyJul!K15</f>
        <v>12200.000000000728</v>
      </c>
      <c r="AH16" s="327">
        <f t="shared" si="25"/>
        <v>186.21121235710928</v>
      </c>
      <c r="AI16" s="447">
        <f t="shared" si="26"/>
        <v>186.46166073149104</v>
      </c>
      <c r="AJ16" s="327">
        <f t="shared" si="27"/>
        <v>4422.9199999999837</v>
      </c>
      <c r="AK16" s="327">
        <f>+[13]DailyJul!L15</f>
        <v>512.9199999999837</v>
      </c>
      <c r="AL16" s="327">
        <f t="shared" si="28"/>
        <v>7.8288077903442428</v>
      </c>
      <c r="AM16" s="447">
        <f t="shared" si="29"/>
        <v>7.8393372969170194</v>
      </c>
      <c r="AN16" s="327">
        <f t="shared" si="30"/>
        <v>6142.2799999999988</v>
      </c>
      <c r="AO16" s="327">
        <f>+[13]DailyJul!M15</f>
        <v>692.27999999999884</v>
      </c>
      <c r="AP16" s="327">
        <f t="shared" si="31"/>
        <v>10.566417876276368</v>
      </c>
      <c r="AQ16" s="447">
        <f t="shared" si="32"/>
        <v>10.580629384523665</v>
      </c>
      <c r="AR16" s="327">
        <f t="shared" si="33"/>
        <v>52778.659999998774</v>
      </c>
      <c r="AS16" s="324">
        <f t="shared" si="10"/>
        <v>805.57198894941428</v>
      </c>
      <c r="AT16" s="325">
        <f t="shared" si="11"/>
        <v>806.6554585886804</v>
      </c>
      <c r="AV16" s="20"/>
      <c r="AX16" s="18">
        <f>SUM(AX10:AX15)</f>
        <v>0</v>
      </c>
      <c r="AY16" s="18">
        <f>SUM(AY10:AY15)</f>
        <v>0</v>
      </c>
    </row>
    <row r="17" spans="1:51">
      <c r="A17" s="318">
        <f t="shared" si="12"/>
        <v>45848</v>
      </c>
      <c r="B17" s="326">
        <f>+Report1!P18</f>
        <v>58.376999999999995</v>
      </c>
      <c r="C17" s="326">
        <f>+Report1!R18</f>
        <v>58.366</v>
      </c>
      <c r="D17" s="327">
        <f t="shared" si="13"/>
        <v>2882.4899999983609</v>
      </c>
      <c r="E17" s="327">
        <f>+[13]DailyJul!D16</f>
        <v>327.03999999910593</v>
      </c>
      <c r="F17" s="327">
        <f t="shared" si="0"/>
        <v>5.6022063483753186</v>
      </c>
      <c r="G17" s="327">
        <f t="shared" si="1"/>
        <v>5.6032621731676988</v>
      </c>
      <c r="H17" s="327">
        <f t="shared" si="14"/>
        <v>0</v>
      </c>
      <c r="I17" s="327">
        <f>+[13]DailyJul!E16</f>
        <v>0</v>
      </c>
      <c r="J17" s="327">
        <f t="shared" si="2"/>
        <v>0</v>
      </c>
      <c r="K17" s="327">
        <f t="shared" si="3"/>
        <v>0</v>
      </c>
      <c r="L17" s="327">
        <f t="shared" si="15"/>
        <v>1000</v>
      </c>
      <c r="M17" s="327">
        <f>+[13]DailyJul!F16</f>
        <v>80</v>
      </c>
      <c r="N17" s="327">
        <f t="shared" si="4"/>
        <v>1.370402727101427</v>
      </c>
      <c r="O17" s="327">
        <f t="shared" si="5"/>
        <v>1.3706610012678615</v>
      </c>
      <c r="P17" s="327">
        <f t="shared" si="16"/>
        <v>174317.51000000053</v>
      </c>
      <c r="Q17" s="327">
        <f>+[13]DailyJul!G16</f>
        <v>17892.960000000166</v>
      </c>
      <c r="R17" s="327">
        <f t="shared" si="6"/>
        <v>306.50701474896221</v>
      </c>
      <c r="S17" s="327">
        <f t="shared" si="7"/>
        <v>306.5647808655753</v>
      </c>
      <c r="T17" s="327">
        <f t="shared" si="17"/>
        <v>52800.000000000182</v>
      </c>
      <c r="U17" s="327">
        <f>+[13]DailyJul!H16</f>
        <v>6800.0000000001819</v>
      </c>
      <c r="V17" s="327">
        <f t="shared" si="8"/>
        <v>116.48423180362441</v>
      </c>
      <c r="W17" s="327">
        <f t="shared" si="9"/>
        <v>116.50618510777134</v>
      </c>
      <c r="X17" s="327">
        <f t="shared" si="18"/>
        <v>115031.81999999892</v>
      </c>
      <c r="Y17" s="327">
        <f>+[13]DailyJul!I16</f>
        <v>12114.910000000364</v>
      </c>
      <c r="Z17" s="327">
        <f t="shared" si="19"/>
        <v>207.52882128236061</v>
      </c>
      <c r="AA17" s="327">
        <f t="shared" si="20"/>
        <v>207.56793338588156</v>
      </c>
      <c r="AB17" s="327">
        <f t="shared" si="21"/>
        <v>65241.819999998763</v>
      </c>
      <c r="AC17" s="327">
        <f>+[13]DailyJul!J16</f>
        <v>6384.9099999996224</v>
      </c>
      <c r="AD17" s="327">
        <f t="shared" si="22"/>
        <v>109.37372595370819</v>
      </c>
      <c r="AE17" s="419">
        <f t="shared" si="23"/>
        <v>109.3943391700583</v>
      </c>
      <c r="AF17" s="327">
        <f t="shared" si="24"/>
        <v>123000</v>
      </c>
      <c r="AG17" s="327">
        <f>+[13]DailyJul!K16</f>
        <v>8500</v>
      </c>
      <c r="AH17" s="327">
        <f t="shared" si="25"/>
        <v>145.60528975452661</v>
      </c>
      <c r="AI17" s="447">
        <f t="shared" si="26"/>
        <v>145.63273138471027</v>
      </c>
      <c r="AJ17" s="327">
        <f t="shared" si="27"/>
        <v>4840</v>
      </c>
      <c r="AK17" s="327">
        <f>+[13]DailyJul!L16</f>
        <v>417.0800000000163</v>
      </c>
      <c r="AL17" s="327">
        <f t="shared" si="28"/>
        <v>7.1445946177435689</v>
      </c>
      <c r="AM17" s="447">
        <f t="shared" si="29"/>
        <v>7.1459411301102751</v>
      </c>
      <c r="AN17" s="327">
        <f t="shared" si="30"/>
        <v>6690</v>
      </c>
      <c r="AO17" s="327">
        <f>+[13]DailyJul!M16</f>
        <v>547.72000000000116</v>
      </c>
      <c r="AP17" s="327">
        <f t="shared" si="31"/>
        <v>9.382462271099941</v>
      </c>
      <c r="AQ17" s="447">
        <f t="shared" si="32"/>
        <v>9.3842305451804329</v>
      </c>
      <c r="AR17" s="327">
        <f t="shared" si="33"/>
        <v>53064.619999999457</v>
      </c>
      <c r="AS17" s="324">
        <f t="shared" si="10"/>
        <v>908.99874950750234</v>
      </c>
      <c r="AT17" s="325">
        <f t="shared" si="11"/>
        <v>909.17006476372296</v>
      </c>
      <c r="AV17" s="20" t="s">
        <v>188</v>
      </c>
      <c r="AW17" t="s">
        <v>180</v>
      </c>
      <c r="AX17" s="13">
        <f>+AD39</f>
        <v>0</v>
      </c>
      <c r="AY17" s="13">
        <f>+AE39</f>
        <v>0</v>
      </c>
    </row>
    <row r="18" spans="1:51">
      <c r="A18" s="318">
        <f t="shared" si="12"/>
        <v>45849</v>
      </c>
      <c r="B18" s="326">
        <f>+Report1!P19</f>
        <v>54.006</v>
      </c>
      <c r="C18" s="326">
        <f>+Report1!R19</f>
        <v>52.795999999999999</v>
      </c>
      <c r="D18" s="327">
        <f t="shared" si="13"/>
        <v>3235.0999999996275</v>
      </c>
      <c r="E18" s="327">
        <f>+[13]DailyJul!D17</f>
        <v>352.6100000012666</v>
      </c>
      <c r="F18" s="321">
        <f t="shared" si="0"/>
        <v>6.5290893604648854</v>
      </c>
      <c r="G18" s="321">
        <f t="shared" si="1"/>
        <v>6.678725661058917</v>
      </c>
      <c r="H18" s="327">
        <f t="shared" si="14"/>
        <v>0</v>
      </c>
      <c r="I18" s="327">
        <f>+[13]DailyJul!E17</f>
        <v>0</v>
      </c>
      <c r="J18" s="321">
        <f t="shared" si="2"/>
        <v>0</v>
      </c>
      <c r="K18" s="321">
        <f t="shared" si="3"/>
        <v>0</v>
      </c>
      <c r="L18" s="327">
        <f t="shared" si="15"/>
        <v>1100</v>
      </c>
      <c r="M18" s="327">
        <f>+[13]DailyJul!F17</f>
        <v>100</v>
      </c>
      <c r="N18" s="321">
        <f t="shared" si="4"/>
        <v>1.8516461133948079</v>
      </c>
      <c r="O18" s="321">
        <f t="shared" si="5"/>
        <v>1.8940828850670506</v>
      </c>
      <c r="P18" s="327">
        <f t="shared" si="16"/>
        <v>192564.9</v>
      </c>
      <c r="Q18" s="327">
        <f>+[13]DailyJul!G17</f>
        <v>18247.389999999461</v>
      </c>
      <c r="R18" s="321">
        <f t="shared" si="6"/>
        <v>337.87708773098285</v>
      </c>
      <c r="S18" s="321">
        <f t="shared" si="7"/>
        <v>345.62069096142625</v>
      </c>
      <c r="T18" s="327">
        <f t="shared" si="17"/>
        <v>61000</v>
      </c>
      <c r="U18" s="327">
        <f>+[13]DailyJul!H17</f>
        <v>8199.9999999998181</v>
      </c>
      <c r="V18" s="321">
        <f t="shared" si="8"/>
        <v>151.83498129837088</v>
      </c>
      <c r="W18" s="321">
        <f t="shared" si="9"/>
        <v>155.31479657549471</v>
      </c>
      <c r="X18" s="327">
        <f t="shared" si="18"/>
        <v>129956.86999999928</v>
      </c>
      <c r="Y18" s="327">
        <f>+[13]DailyJul!I17</f>
        <v>14925.050000000363</v>
      </c>
      <c r="Z18" s="327">
        <f t="shared" si="19"/>
        <v>276.35910824723851</v>
      </c>
      <c r="AA18" s="327">
        <f t="shared" si="20"/>
        <v>282.6928176377067</v>
      </c>
      <c r="AB18" s="327">
        <f t="shared" si="21"/>
        <v>72676.86999999918</v>
      </c>
      <c r="AC18" s="327">
        <f>+[13]DailyJul!J17</f>
        <v>7435.0500000004222</v>
      </c>
      <c r="AD18" s="327">
        <f t="shared" si="22"/>
        <v>137.6708143539685</v>
      </c>
      <c r="AE18" s="419">
        <f t="shared" si="23"/>
        <v>140.82600954618573</v>
      </c>
      <c r="AF18" s="327">
        <f t="shared" si="24"/>
        <v>130799.99999999927</v>
      </c>
      <c r="AG18" s="327">
        <f>+[13]DailyJul!K17</f>
        <v>7799.9999999992724</v>
      </c>
      <c r="AH18" s="327">
        <f t="shared" si="25"/>
        <v>144.42839684478156</v>
      </c>
      <c r="AI18" s="447">
        <f t="shared" si="26"/>
        <v>147.73846503521617</v>
      </c>
      <c r="AJ18" s="327">
        <f t="shared" si="27"/>
        <v>5250</v>
      </c>
      <c r="AK18" s="327">
        <f>+[13]DailyJul!L17</f>
        <v>410</v>
      </c>
      <c r="AL18" s="327">
        <f t="shared" si="28"/>
        <v>7.5917490649187123</v>
      </c>
      <c r="AM18" s="447">
        <f t="shared" si="29"/>
        <v>7.7657398287749073</v>
      </c>
      <c r="AN18" s="327">
        <f t="shared" si="30"/>
        <v>7270</v>
      </c>
      <c r="AO18" s="327">
        <f>+[13]DailyJul!M17</f>
        <v>580</v>
      </c>
      <c r="AP18" s="327">
        <f t="shared" si="31"/>
        <v>10.739547457689886</v>
      </c>
      <c r="AQ18" s="447">
        <f t="shared" si="32"/>
        <v>10.985680733388893</v>
      </c>
      <c r="AR18" s="327">
        <f t="shared" si="33"/>
        <v>58050.100000000602</v>
      </c>
      <c r="AS18" s="324">
        <f t="shared" si="10"/>
        <v>1074.8824204718105</v>
      </c>
      <c r="AT18" s="325">
        <f t="shared" si="11"/>
        <v>1099.5170088643192</v>
      </c>
      <c r="AV18" s="20"/>
      <c r="AW18" t="s">
        <v>181</v>
      </c>
      <c r="AX18" s="13">
        <f>+AH39</f>
        <v>0</v>
      </c>
      <c r="AY18" s="13">
        <f>+AI39</f>
        <v>0</v>
      </c>
    </row>
    <row r="19" spans="1:51">
      <c r="A19" s="318">
        <f t="shared" si="12"/>
        <v>45850</v>
      </c>
      <c r="B19" s="326">
        <f>+Report1!P20</f>
        <v>55.114000000000004</v>
      </c>
      <c r="C19" s="326">
        <f>+Report1!R20</f>
        <v>46.07</v>
      </c>
      <c r="D19" s="327">
        <f t="shared" si="13"/>
        <v>3489.0099999997765</v>
      </c>
      <c r="E19" s="327">
        <f>+[13]DailyJul!D18</f>
        <v>253.91000000014901</v>
      </c>
      <c r="F19" s="321">
        <f t="shared" si="0"/>
        <v>4.6069964074490874</v>
      </c>
      <c r="G19" s="321">
        <f t="shared" si="1"/>
        <v>5.5113957021955509</v>
      </c>
      <c r="H19" s="327">
        <f t="shared" si="14"/>
        <v>0</v>
      </c>
      <c r="I19" s="327">
        <f>+[13]DailyJul!E18</f>
        <v>0</v>
      </c>
      <c r="J19" s="321">
        <f t="shared" si="2"/>
        <v>0</v>
      </c>
      <c r="K19" s="321">
        <f t="shared" si="3"/>
        <v>0</v>
      </c>
      <c r="L19" s="327">
        <f t="shared" si="15"/>
        <v>1100</v>
      </c>
      <c r="M19" s="327">
        <f>+[13]DailyJul!F18</f>
        <v>0</v>
      </c>
      <c r="N19" s="321">
        <f t="shared" si="4"/>
        <v>0</v>
      </c>
      <c r="O19" s="321">
        <f t="shared" si="5"/>
        <v>0</v>
      </c>
      <c r="P19" s="327">
        <f t="shared" si="16"/>
        <v>211210.98999999947</v>
      </c>
      <c r="Q19" s="327">
        <f>+[13]DailyJul!G18</f>
        <v>18646.089999999487</v>
      </c>
      <c r="R19" s="321">
        <f t="shared" si="6"/>
        <v>338.31857604237553</v>
      </c>
      <c r="S19" s="321">
        <f t="shared" si="7"/>
        <v>404.73388322117404</v>
      </c>
      <c r="T19" s="327">
        <f t="shared" si="17"/>
        <v>69399.999999999636</v>
      </c>
      <c r="U19" s="327">
        <f>+[13]DailyJul!H18</f>
        <v>8399.9999999996362</v>
      </c>
      <c r="V19" s="321">
        <f t="shared" si="8"/>
        <v>152.41136553325171</v>
      </c>
      <c r="W19" s="321">
        <f t="shared" si="9"/>
        <v>182.33123507704875</v>
      </c>
      <c r="X19" s="327">
        <f t="shared" si="18"/>
        <v>144873.08000000002</v>
      </c>
      <c r="Y19" s="327">
        <f>+[13]DailyJul!I18</f>
        <v>14916.210000000727</v>
      </c>
      <c r="Z19" s="327">
        <f t="shared" si="19"/>
        <v>270.64284936678024</v>
      </c>
      <c r="AA19" s="327">
        <f t="shared" si="20"/>
        <v>323.77273713915184</v>
      </c>
      <c r="AB19" s="327">
        <f t="shared" si="21"/>
        <v>79903.079999999478</v>
      </c>
      <c r="AC19" s="327">
        <f>+[13]DailyJul!J18</f>
        <v>7226.2100000002993</v>
      </c>
      <c r="AD19" s="327">
        <f t="shared" si="22"/>
        <v>131.11387306311099</v>
      </c>
      <c r="AE19" s="419">
        <f t="shared" si="23"/>
        <v>156.85283264598002</v>
      </c>
      <c r="AF19" s="327">
        <f t="shared" si="24"/>
        <v>139299.99999999927</v>
      </c>
      <c r="AG19" s="327">
        <f>+[13]DailyJul!K18</f>
        <v>8500</v>
      </c>
      <c r="AH19" s="327">
        <f t="shared" si="25"/>
        <v>154.22578655151139</v>
      </c>
      <c r="AI19" s="447">
        <f t="shared" si="26"/>
        <v>184.50184501845018</v>
      </c>
      <c r="AJ19" s="327">
        <f t="shared" si="27"/>
        <v>5530</v>
      </c>
      <c r="AK19" s="327">
        <f>+[13]DailyJul!L18</f>
        <v>280</v>
      </c>
      <c r="AL19" s="327">
        <f t="shared" si="28"/>
        <v>5.0803788511086108</v>
      </c>
      <c r="AM19" s="447">
        <f t="shared" si="29"/>
        <v>6.0777078359018883</v>
      </c>
      <c r="AN19" s="327">
        <f t="shared" si="30"/>
        <v>7720</v>
      </c>
      <c r="AO19" s="327">
        <f>+[13]DailyJul!M18</f>
        <v>450</v>
      </c>
      <c r="AP19" s="327">
        <f t="shared" si="31"/>
        <v>8.1648945821388388</v>
      </c>
      <c r="AQ19" s="447">
        <f t="shared" si="32"/>
        <v>9.7677447362708918</v>
      </c>
      <c r="AR19" s="327">
        <f t="shared" si="33"/>
        <v>58672.420000000297</v>
      </c>
      <c r="AS19" s="324">
        <f t="shared" si="10"/>
        <v>1064.5647203977264</v>
      </c>
      <c r="AT19" s="325">
        <f t="shared" si="11"/>
        <v>1273.5493813761732</v>
      </c>
      <c r="AV19" s="20"/>
      <c r="AX19" s="18">
        <f>SUM(AX17:AX18)</f>
        <v>0</v>
      </c>
      <c r="AY19" s="18">
        <f>SUM(AY17:AY18)</f>
        <v>0</v>
      </c>
    </row>
    <row r="20" spans="1:51">
      <c r="A20" s="318">
        <f t="shared" si="12"/>
        <v>45851</v>
      </c>
      <c r="B20" s="326">
        <f>+Report1!P21</f>
        <v>55.825000000000003</v>
      </c>
      <c r="C20" s="326">
        <f>+Report1!R21</f>
        <v>36.353999999999999</v>
      </c>
      <c r="D20" s="327">
        <f t="shared" si="13"/>
        <v>3712.9199999999255</v>
      </c>
      <c r="E20" s="327">
        <f>+[13]DailyJul!D19</f>
        <v>223.91000000014901</v>
      </c>
      <c r="F20" s="321">
        <f t="shared" si="0"/>
        <v>4.0109270040331211</v>
      </c>
      <c r="G20" s="321">
        <f t="shared" si="1"/>
        <v>6.1591571766559117</v>
      </c>
      <c r="H20" s="327">
        <f t="shared" si="14"/>
        <v>0</v>
      </c>
      <c r="I20" s="327">
        <f>+[13]DailyJul!E19</f>
        <v>0</v>
      </c>
      <c r="J20" s="321">
        <f t="shared" si="2"/>
        <v>0</v>
      </c>
      <c r="K20" s="321">
        <f t="shared" si="3"/>
        <v>0</v>
      </c>
      <c r="L20" s="327">
        <f t="shared" si="15"/>
        <v>1200</v>
      </c>
      <c r="M20" s="327">
        <f>+[13]DailyJul!F19</f>
        <v>100</v>
      </c>
      <c r="N20" s="321">
        <f t="shared" si="4"/>
        <v>1.7913121361397222</v>
      </c>
      <c r="O20" s="321">
        <f t="shared" si="5"/>
        <v>2.75072894316994</v>
      </c>
      <c r="P20" s="327">
        <f t="shared" si="16"/>
        <v>229287.07999999897</v>
      </c>
      <c r="Q20" s="327">
        <f>+[13]DailyJul!G19</f>
        <v>18076.089999999487</v>
      </c>
      <c r="R20" s="321">
        <f t="shared" si="6"/>
        <v>323.79919390952955</v>
      </c>
      <c r="S20" s="321">
        <f t="shared" si="7"/>
        <v>497.22423942343312</v>
      </c>
      <c r="T20" s="327">
        <f t="shared" si="17"/>
        <v>77500</v>
      </c>
      <c r="U20" s="327">
        <f>+[13]DailyJul!H19</f>
        <v>8100.0000000003638</v>
      </c>
      <c r="V20" s="321">
        <f t="shared" si="8"/>
        <v>145.09628302732401</v>
      </c>
      <c r="W20" s="321">
        <f t="shared" si="9"/>
        <v>222.80904439677516</v>
      </c>
      <c r="X20" s="327">
        <f t="shared" si="18"/>
        <v>158413.20999999857</v>
      </c>
      <c r="Y20" s="327">
        <f>+[13]DailyJul!I19</f>
        <v>13540.129999998544</v>
      </c>
      <c r="Z20" s="327">
        <f t="shared" si="19"/>
        <v>242.5459919390693</v>
      </c>
      <c r="AA20" s="327">
        <f t="shared" si="20"/>
        <v>372.45227485279594</v>
      </c>
      <c r="AB20" s="327">
        <f t="shared" si="21"/>
        <v>86983.209999998842</v>
      </c>
      <c r="AC20" s="327">
        <f>+[13]DailyJul!J19</f>
        <v>7080.129999999358</v>
      </c>
      <c r="AD20" s="327">
        <f t="shared" si="22"/>
        <v>126.82722794445782</v>
      </c>
      <c r="AE20" s="419">
        <f t="shared" si="23"/>
        <v>194.75518512404022</v>
      </c>
      <c r="AF20" s="327">
        <f t="shared" si="24"/>
        <v>147000</v>
      </c>
      <c r="AG20" s="327">
        <f>+[13]DailyJul!K19</f>
        <v>7700.0000000007276</v>
      </c>
      <c r="AH20" s="327">
        <f t="shared" si="25"/>
        <v>137.93103448277165</v>
      </c>
      <c r="AI20" s="447">
        <f t="shared" si="26"/>
        <v>211.80612862410541</v>
      </c>
      <c r="AJ20" s="327">
        <f t="shared" si="27"/>
        <v>5880</v>
      </c>
      <c r="AK20" s="327">
        <f>+[13]DailyJul!L19</f>
        <v>350</v>
      </c>
      <c r="AL20" s="327">
        <f t="shared" si="28"/>
        <v>6.2695924764890281</v>
      </c>
      <c r="AM20" s="447">
        <f t="shared" si="29"/>
        <v>9.6275513010947904</v>
      </c>
      <c r="AN20" s="327">
        <f t="shared" si="30"/>
        <v>8250</v>
      </c>
      <c r="AO20" s="327">
        <f>+[13]DailyJul!M19</f>
        <v>530</v>
      </c>
      <c r="AP20" s="327">
        <f t="shared" si="31"/>
        <v>9.493954321540528</v>
      </c>
      <c r="AQ20" s="447">
        <f t="shared" si="32"/>
        <v>14.578863398800683</v>
      </c>
      <c r="AR20" s="327">
        <f t="shared" si="33"/>
        <v>55700.259999998627</v>
      </c>
      <c r="AS20" s="324">
        <f t="shared" si="10"/>
        <v>997.7655172413547</v>
      </c>
      <c r="AT20" s="325">
        <f t="shared" si="11"/>
        <v>1532.1631732408712</v>
      </c>
      <c r="AV20" s="20" t="s">
        <v>189</v>
      </c>
      <c r="AW20" t="s">
        <v>182</v>
      </c>
      <c r="AX20" s="13">
        <f>+AL39</f>
        <v>0</v>
      </c>
      <c r="AY20" s="13">
        <f>+AM39</f>
        <v>0</v>
      </c>
    </row>
    <row r="21" spans="1:51">
      <c r="A21" s="318">
        <f t="shared" si="12"/>
        <v>45852</v>
      </c>
      <c r="B21" s="326">
        <f>+Report1!P22</f>
        <v>50.575000000000003</v>
      </c>
      <c r="C21" s="326">
        <f>+Report1!R22</f>
        <v>45.256999999999998</v>
      </c>
      <c r="D21" s="327">
        <f t="shared" si="13"/>
        <v>4036.019999999553</v>
      </c>
      <c r="E21" s="327">
        <f>+[13]DailyJul!D20</f>
        <v>323.09999999962747</v>
      </c>
      <c r="F21" s="321">
        <f t="shared" si="0"/>
        <v>6.3885318833342053</v>
      </c>
      <c r="G21" s="321">
        <f t="shared" si="1"/>
        <v>7.1392270808853322</v>
      </c>
      <c r="H21" s="327">
        <f t="shared" si="14"/>
        <v>0</v>
      </c>
      <c r="I21" s="327">
        <f>+[13]DailyJul!E20</f>
        <v>0</v>
      </c>
      <c r="J21" s="321">
        <f t="shared" si="2"/>
        <v>0</v>
      </c>
      <c r="K21" s="321">
        <f t="shared" si="3"/>
        <v>0</v>
      </c>
      <c r="L21" s="327">
        <f t="shared" si="15"/>
        <v>1300</v>
      </c>
      <c r="M21" s="327">
        <f>+[13]DailyJul!F20</f>
        <v>100</v>
      </c>
      <c r="N21" s="321">
        <f t="shared" si="4"/>
        <v>1.977261492832427</v>
      </c>
      <c r="O21" s="321">
        <f t="shared" si="5"/>
        <v>2.2096029343526968</v>
      </c>
      <c r="P21" s="327">
        <f t="shared" si="16"/>
        <v>246963.97999999969</v>
      </c>
      <c r="Q21" s="327">
        <f>+[13]DailyJul!G20</f>
        <v>17676.900000000736</v>
      </c>
      <c r="R21" s="321">
        <f t="shared" si="6"/>
        <v>349.51853682650983</v>
      </c>
      <c r="S21" s="321">
        <f t="shared" si="7"/>
        <v>390.58930110260815</v>
      </c>
      <c r="T21" s="327">
        <f t="shared" si="17"/>
        <v>85800.000000000175</v>
      </c>
      <c r="U21" s="327">
        <f>+[13]DailyJul!H20</f>
        <v>8300.0000000001819</v>
      </c>
      <c r="V21" s="321">
        <f t="shared" si="8"/>
        <v>164.11270390509503</v>
      </c>
      <c r="W21" s="321">
        <f t="shared" si="9"/>
        <v>183.39704355127787</v>
      </c>
      <c r="X21" s="327">
        <f t="shared" si="18"/>
        <v>172253.02999999857</v>
      </c>
      <c r="Y21" s="327">
        <f>+[13]DailyJul!I20</f>
        <v>13839.82</v>
      </c>
      <c r="Z21" s="327">
        <f t="shared" si="19"/>
        <v>273.64943153732077</v>
      </c>
      <c r="AA21" s="327">
        <f t="shared" si="20"/>
        <v>305.80506882913141</v>
      </c>
      <c r="AB21" s="327">
        <f t="shared" si="21"/>
        <v>93873.029999998354</v>
      </c>
      <c r="AC21" s="327">
        <f>+[13]DailyJul!J20</f>
        <v>6889.8199999995177</v>
      </c>
      <c r="AD21" s="327">
        <f t="shared" si="22"/>
        <v>136.22975778545759</v>
      </c>
      <c r="AE21" s="419">
        <f t="shared" si="23"/>
        <v>152.23766489160832</v>
      </c>
      <c r="AF21" s="327">
        <f t="shared" si="24"/>
        <v>155100.00000000035</v>
      </c>
      <c r="AG21" s="327">
        <f>+[13]DailyJul!K20</f>
        <v>8100.0000000003638</v>
      </c>
      <c r="AH21" s="327">
        <f t="shared" si="25"/>
        <v>160.15818091943379</v>
      </c>
      <c r="AI21" s="447">
        <f t="shared" si="26"/>
        <v>178.97783768257648</v>
      </c>
      <c r="AJ21" s="327">
        <f t="shared" si="27"/>
        <v>6250</v>
      </c>
      <c r="AK21" s="327">
        <f>+[13]DailyJul!L20</f>
        <v>370</v>
      </c>
      <c r="AL21" s="327">
        <f t="shared" si="28"/>
        <v>7.3158675234799802</v>
      </c>
      <c r="AM21" s="447">
        <f t="shared" si="29"/>
        <v>8.1755308571049792</v>
      </c>
      <c r="AN21" s="327">
        <f t="shared" si="30"/>
        <v>8920</v>
      </c>
      <c r="AO21" s="327">
        <f>+[13]DailyJul!M20</f>
        <v>670</v>
      </c>
      <c r="AP21" s="327">
        <f t="shared" si="31"/>
        <v>13.247652001977261</v>
      </c>
      <c r="AQ21" s="447">
        <f t="shared" si="32"/>
        <v>14.80433966016307</v>
      </c>
      <c r="AR21" s="327">
        <f t="shared" si="33"/>
        <v>56269.640000000429</v>
      </c>
      <c r="AS21" s="324">
        <f t="shared" si="10"/>
        <v>1112.597923875441</v>
      </c>
      <c r="AT21" s="325">
        <f t="shared" si="11"/>
        <v>1243.3356165897083</v>
      </c>
      <c r="AW21" t="s">
        <v>183</v>
      </c>
      <c r="AX21" s="13">
        <f>+AP39</f>
        <v>0</v>
      </c>
      <c r="AY21" s="13">
        <f>+AQ39</f>
        <v>0</v>
      </c>
    </row>
    <row r="22" spans="1:51">
      <c r="A22" s="318">
        <f t="shared" si="12"/>
        <v>45853</v>
      </c>
      <c r="B22" s="326">
        <f>+Report1!P23</f>
        <v>52.656999999999996</v>
      </c>
      <c r="C22" s="326">
        <f>+Report1!R23</f>
        <v>50.311</v>
      </c>
      <c r="D22" s="327">
        <f>+D21+E22</f>
        <v>4365.6299999989569</v>
      </c>
      <c r="E22" s="327">
        <f>+[13]DailyJul!D21</f>
        <v>329.60999999940395</v>
      </c>
      <c r="F22" s="321">
        <f>E22/B22</f>
        <v>6.25956662930672</v>
      </c>
      <c r="G22" s="321">
        <f>E22/C22</f>
        <v>6.5514499811056019</v>
      </c>
      <c r="H22" s="327">
        <f>+H21+I22</f>
        <v>0</v>
      </c>
      <c r="I22" s="327">
        <f>+[13]DailyJul!E21</f>
        <v>0</v>
      </c>
      <c r="J22" s="321">
        <f>I22/B22</f>
        <v>0</v>
      </c>
      <c r="K22" s="321">
        <f>I22/C22</f>
        <v>0</v>
      </c>
      <c r="L22" s="327">
        <f>+L21+M22</f>
        <v>1400</v>
      </c>
      <c r="M22" s="327">
        <f>+[13]DailyJul!F21</f>
        <v>100</v>
      </c>
      <c r="N22" s="321">
        <f>M22/B22</f>
        <v>1.8990827430351143</v>
      </c>
      <c r="O22" s="321">
        <f>M22/C22</f>
        <v>1.9876368984913837</v>
      </c>
      <c r="P22" s="327">
        <f>+P21+Q22</f>
        <v>264134.37000000064</v>
      </c>
      <c r="Q22" s="327">
        <f>+[13]DailyJul!G21</f>
        <v>17170.39000000096</v>
      </c>
      <c r="R22" s="321">
        <f>Q22/B22</f>
        <v>326.07991340184515</v>
      </c>
      <c r="S22" s="321">
        <f>Q22/C22</f>
        <v>341.28500725489374</v>
      </c>
      <c r="T22" s="327">
        <f>+T21+U22</f>
        <v>94100.000000000349</v>
      </c>
      <c r="U22" s="327">
        <f>+[13]DailyJul!H21</f>
        <v>8300.0000000001819</v>
      </c>
      <c r="V22" s="321">
        <f>U22/B22</f>
        <v>157.62386767191794</v>
      </c>
      <c r="W22" s="321">
        <f>U22/C22</f>
        <v>164.97386257478846</v>
      </c>
      <c r="X22" s="327">
        <f>+X21+Y22</f>
        <v>186388.75999999893</v>
      </c>
      <c r="Y22" s="327">
        <f>+[13]DailyJul!I21</f>
        <v>14135.730000000363</v>
      </c>
      <c r="Z22" s="327">
        <f>Y22/B22</f>
        <v>268.44920903204445</v>
      </c>
      <c r="AA22" s="327">
        <f>Y22/C22</f>
        <v>280.9669853511233</v>
      </c>
      <c r="AB22" s="327">
        <f>+AB21+AC22</f>
        <v>100628.75999999845</v>
      </c>
      <c r="AC22" s="327">
        <f>+[13]DailyJul!J21</f>
        <v>6755.7300000000996</v>
      </c>
      <c r="AD22" s="327">
        <f>AC22/B22</f>
        <v>128.296902596048</v>
      </c>
      <c r="AE22" s="419">
        <f>AC22/C22</f>
        <v>134.27938224245392</v>
      </c>
      <c r="AF22" s="327">
        <f>+AF21+AG22</f>
        <v>163299.99999999924</v>
      </c>
      <c r="AG22" s="327">
        <f>+[13]DailyJul!K21</f>
        <v>8199.9999999989086</v>
      </c>
      <c r="AH22" s="327">
        <f>AG22/B22</f>
        <v>155.72478492885864</v>
      </c>
      <c r="AI22" s="447">
        <f>AG22/C22</f>
        <v>162.98622567627177</v>
      </c>
      <c r="AJ22" s="327">
        <f>+AJ21+AK22</f>
        <v>6670</v>
      </c>
      <c r="AK22" s="327">
        <f>+[13]DailyJul!L21</f>
        <v>420</v>
      </c>
      <c r="AL22" s="327">
        <f>AK22/B22</f>
        <v>7.9761475207474799</v>
      </c>
      <c r="AM22" s="447">
        <f>AK22/C22</f>
        <v>8.3480749736638113</v>
      </c>
      <c r="AN22" s="327">
        <f>+AN21+AO22</f>
        <v>9590</v>
      </c>
      <c r="AO22" s="327">
        <f>+[13]DailyJul!M21</f>
        <v>670</v>
      </c>
      <c r="AP22" s="327">
        <f>AO22/B22</f>
        <v>12.723854378335265</v>
      </c>
      <c r="AQ22" s="447">
        <f>AO22/C22</f>
        <v>13.317167219892269</v>
      </c>
      <c r="AR22" s="327">
        <f>+E22+I22+M22+Q22+U22+Y22+AC22+AG22+AK22+AO22</f>
        <v>56081.459999999919</v>
      </c>
      <c r="AS22" s="324">
        <f>AR22/B22</f>
        <v>1065.0333289021387</v>
      </c>
      <c r="AT22" s="325">
        <f>AR22/C22</f>
        <v>1114.6957921726844</v>
      </c>
      <c r="AW22" t="s">
        <v>183</v>
      </c>
      <c r="AX22" s="13">
        <f>+AP40</f>
        <v>10.838072389244546</v>
      </c>
      <c r="AY22" s="13">
        <f>+AQ40</f>
        <v>11.443772730268476</v>
      </c>
    </row>
    <row r="23" spans="1:51">
      <c r="A23" s="318">
        <f t="shared" si="12"/>
        <v>45854</v>
      </c>
      <c r="B23" s="326">
        <f>+Report1!P24</f>
        <v>53.582999999999998</v>
      </c>
      <c r="C23" s="326">
        <f>+Report1!R24</f>
        <v>53.802999999999997</v>
      </c>
      <c r="D23" s="327">
        <f t="shared" si="13"/>
        <v>4693.9799999985844</v>
      </c>
      <c r="E23" s="327">
        <f>+[13]DailyJul!D22</f>
        <v>328.34999999962747</v>
      </c>
      <c r="F23" s="321">
        <f t="shared" si="0"/>
        <v>6.1278763786952481</v>
      </c>
      <c r="G23" s="321">
        <f t="shared" si="1"/>
        <v>6.1028195453715872</v>
      </c>
      <c r="H23" s="327">
        <f t="shared" si="14"/>
        <v>0</v>
      </c>
      <c r="I23" s="327">
        <f>+[13]DailyJul!E22</f>
        <v>0</v>
      </c>
      <c r="J23" s="321">
        <f t="shared" si="2"/>
        <v>0</v>
      </c>
      <c r="K23" s="321">
        <f t="shared" si="3"/>
        <v>0</v>
      </c>
      <c r="L23" s="327">
        <f t="shared" si="15"/>
        <v>1500</v>
      </c>
      <c r="M23" s="327">
        <f>+[13]DailyJul!F22</f>
        <v>100</v>
      </c>
      <c r="N23" s="321">
        <f t="shared" si="4"/>
        <v>1.8662635537390591</v>
      </c>
      <c r="O23" s="321">
        <f t="shared" si="5"/>
        <v>1.8586324182666396</v>
      </c>
      <c r="P23" s="327">
        <f t="shared" si="16"/>
        <v>281506.02000000025</v>
      </c>
      <c r="Q23" s="327">
        <f>+[13]DailyJul!G22</f>
        <v>17371.649999999645</v>
      </c>
      <c r="R23" s="321">
        <f t="shared" si="6"/>
        <v>324.20077263310463</v>
      </c>
      <c r="S23" s="321">
        <f t="shared" si="7"/>
        <v>322.87511848781008</v>
      </c>
      <c r="T23" s="327">
        <f t="shared" si="17"/>
        <v>102600.00000000035</v>
      </c>
      <c r="U23" s="327">
        <f>+[13]DailyJul!H22</f>
        <v>8500</v>
      </c>
      <c r="V23" s="321">
        <f t="shared" si="8"/>
        <v>158.63240206782001</v>
      </c>
      <c r="W23" s="321">
        <f t="shared" si="9"/>
        <v>157.98375555266435</v>
      </c>
      <c r="X23" s="327">
        <f t="shared" si="18"/>
        <v>201295.38999999966</v>
      </c>
      <c r="Y23" s="327">
        <f>+[13]DailyJul!I22</f>
        <v>14906.630000000727</v>
      </c>
      <c r="Z23" s="327">
        <f t="shared" si="19"/>
        <v>278.19700278074629</v>
      </c>
      <c r="AA23" s="327">
        <f t="shared" si="20"/>
        <v>277.0594576510739</v>
      </c>
      <c r="AB23" s="327">
        <f t="shared" si="21"/>
        <v>107455.3899999992</v>
      </c>
      <c r="AC23" s="327">
        <f>+[13]DailyJul!J22</f>
        <v>6826.6300000007541</v>
      </c>
      <c r="AD23" s="327">
        <f t="shared" si="22"/>
        <v>127.40290763863081</v>
      </c>
      <c r="AE23" s="419">
        <f t="shared" si="23"/>
        <v>126.8819582551299</v>
      </c>
      <c r="AF23" s="327">
        <f t="shared" si="24"/>
        <v>171799.99999999924</v>
      </c>
      <c r="AG23" s="327">
        <f>+[13]DailyJul!K22</f>
        <v>8500</v>
      </c>
      <c r="AH23" s="327">
        <f t="shared" si="25"/>
        <v>158.63240206782001</v>
      </c>
      <c r="AI23" s="447">
        <f t="shared" si="26"/>
        <v>157.98375555266435</v>
      </c>
      <c r="AJ23" s="327">
        <f t="shared" si="27"/>
        <v>7100</v>
      </c>
      <c r="AK23" s="327">
        <f>+[13]DailyJul!L22</f>
        <v>430</v>
      </c>
      <c r="AL23" s="327">
        <f t="shared" si="28"/>
        <v>8.0249332810779546</v>
      </c>
      <c r="AM23" s="447">
        <f t="shared" si="29"/>
        <v>7.9921193985465502</v>
      </c>
      <c r="AN23" s="327">
        <f t="shared" si="30"/>
        <v>10240</v>
      </c>
      <c r="AO23" s="327">
        <f>+[13]DailyJul!M22</f>
        <v>650</v>
      </c>
      <c r="AP23" s="327">
        <f t="shared" si="31"/>
        <v>12.130713099303884</v>
      </c>
      <c r="AQ23" s="447">
        <f t="shared" si="32"/>
        <v>12.081110718733157</v>
      </c>
      <c r="AR23" s="327">
        <f t="shared" si="33"/>
        <v>57613.260000000751</v>
      </c>
      <c r="AS23" s="324">
        <f t="shared" si="10"/>
        <v>1075.2152735009379</v>
      </c>
      <c r="AT23" s="325">
        <f t="shared" si="11"/>
        <v>1070.8187275802604</v>
      </c>
    </row>
    <row r="24" spans="1:51">
      <c r="A24" s="318">
        <f t="shared" si="12"/>
        <v>45855</v>
      </c>
      <c r="B24" s="326">
        <f>+Report1!P25</f>
        <v>54.313000000000002</v>
      </c>
      <c r="C24" s="326">
        <f>+Report1!R25</f>
        <v>54.225999999999999</v>
      </c>
      <c r="D24" s="327">
        <f t="shared" si="13"/>
        <v>5005.4799999985844</v>
      </c>
      <c r="E24" s="327">
        <f>+[13]DailyJul!D23</f>
        <v>311.5</v>
      </c>
      <c r="F24" s="321">
        <f t="shared" si="0"/>
        <v>5.7352751643252997</v>
      </c>
      <c r="G24" s="321">
        <f t="shared" si="1"/>
        <v>5.7444768192380042</v>
      </c>
      <c r="H24" s="327">
        <f t="shared" si="14"/>
        <v>0</v>
      </c>
      <c r="I24" s="327">
        <f>+[13]DailyJul!E23</f>
        <v>0</v>
      </c>
      <c r="J24" s="321">
        <f t="shared" si="2"/>
        <v>0</v>
      </c>
      <c r="K24" s="321">
        <f t="shared" si="3"/>
        <v>0</v>
      </c>
      <c r="L24" s="327">
        <f t="shared" si="15"/>
        <v>1600</v>
      </c>
      <c r="M24" s="327">
        <f>+[13]DailyJul!F23</f>
        <v>100</v>
      </c>
      <c r="N24" s="321">
        <f t="shared" si="4"/>
        <v>1.8411798280338041</v>
      </c>
      <c r="O24" s="321">
        <f t="shared" si="5"/>
        <v>1.844133810349279</v>
      </c>
      <c r="P24" s="327">
        <f t="shared" si="16"/>
        <v>298794.52000000095</v>
      </c>
      <c r="Q24" s="327">
        <f>+[13]DailyJul!G23</f>
        <v>17288.500000000728</v>
      </c>
      <c r="R24" s="321">
        <f t="shared" si="6"/>
        <v>318.3123745696376</v>
      </c>
      <c r="S24" s="321">
        <f t="shared" si="7"/>
        <v>318.82307380224853</v>
      </c>
      <c r="T24" s="327">
        <f t="shared" si="17"/>
        <v>111199.9999999998</v>
      </c>
      <c r="U24" s="327">
        <f>+[13]DailyJul!H23</f>
        <v>8599.9999999994543</v>
      </c>
      <c r="V24" s="321">
        <f t="shared" si="8"/>
        <v>158.3414652108971</v>
      </c>
      <c r="W24" s="321">
        <f t="shared" si="9"/>
        <v>158.59550769002792</v>
      </c>
      <c r="X24" s="327">
        <f t="shared" si="18"/>
        <v>217148.13999999856</v>
      </c>
      <c r="Y24" s="327">
        <f>+[13]DailyJul!I23</f>
        <v>15852.749999998909</v>
      </c>
      <c r="Z24" s="327">
        <f t="shared" si="19"/>
        <v>291.87763518860879</v>
      </c>
      <c r="AA24" s="327">
        <f t="shared" si="20"/>
        <v>292.34592262012518</v>
      </c>
      <c r="AB24" s="327">
        <f t="shared" si="21"/>
        <v>114318.13999999838</v>
      </c>
      <c r="AC24" s="327">
        <f>+[13]DailyJul!J23</f>
        <v>6862.749999999186</v>
      </c>
      <c r="AD24" s="327">
        <f t="shared" si="22"/>
        <v>126.3555686483749</v>
      </c>
      <c r="AE24" s="419">
        <f t="shared" si="23"/>
        <v>126.55829306973013</v>
      </c>
      <c r="AF24" s="327">
        <f t="shared" si="24"/>
        <v>179999.99999999997</v>
      </c>
      <c r="AG24" s="327">
        <f>+[13]DailyJul!K23</f>
        <v>8200.0000000007276</v>
      </c>
      <c r="AH24" s="327">
        <f t="shared" si="25"/>
        <v>150.97674589878531</v>
      </c>
      <c r="AI24" s="447">
        <f t="shared" si="26"/>
        <v>151.21897244865428</v>
      </c>
      <c r="AJ24" s="327">
        <f t="shared" si="27"/>
        <v>7490</v>
      </c>
      <c r="AK24" s="327">
        <f>+[13]DailyJul!L23</f>
        <v>390</v>
      </c>
      <c r="AL24" s="327">
        <f t="shared" si="28"/>
        <v>7.1806013293318358</v>
      </c>
      <c r="AM24" s="447">
        <f t="shared" si="29"/>
        <v>7.1921218603621879</v>
      </c>
      <c r="AN24" s="327">
        <f t="shared" si="30"/>
        <v>10880</v>
      </c>
      <c r="AO24" s="327">
        <f>+[13]DailyJul!M23</f>
        <v>640</v>
      </c>
      <c r="AP24" s="327">
        <f t="shared" si="31"/>
        <v>11.783550899416346</v>
      </c>
      <c r="AQ24" s="447">
        <f t="shared" si="32"/>
        <v>11.802456386235386</v>
      </c>
      <c r="AR24" s="327">
        <f t="shared" si="33"/>
        <v>58245.499999999003</v>
      </c>
      <c r="AS24" s="324">
        <f t="shared" si="10"/>
        <v>1072.4043967374109</v>
      </c>
      <c r="AT24" s="325">
        <f t="shared" si="11"/>
        <v>1074.1249585069709</v>
      </c>
      <c r="AW24" s="20" t="s">
        <v>2</v>
      </c>
      <c r="AX24" s="18">
        <f>+AX16+AX19+AX22</f>
        <v>10.838072389244546</v>
      </c>
      <c r="AY24" s="18">
        <f>+AY16+AY19+AY22</f>
        <v>11.443772730268476</v>
      </c>
    </row>
    <row r="25" spans="1:51">
      <c r="A25" s="318">
        <f t="shared" si="12"/>
        <v>45856</v>
      </c>
      <c r="B25" s="326">
        <f>+Report1!P26</f>
        <v>53.427999999999997</v>
      </c>
      <c r="C25" s="326">
        <f>+Report1!R26</f>
        <v>53.707000000000001</v>
      </c>
      <c r="D25" s="327">
        <f t="shared" si="13"/>
        <v>5264.019999999553</v>
      </c>
      <c r="E25" s="327">
        <f>+[13]DailyJul!D24</f>
        <v>258.54000000096858</v>
      </c>
      <c r="F25" s="321">
        <f t="shared" si="0"/>
        <v>4.839035711630018</v>
      </c>
      <c r="G25" s="321">
        <f t="shared" si="1"/>
        <v>4.8138976297497269</v>
      </c>
      <c r="H25" s="327">
        <f t="shared" si="14"/>
        <v>0</v>
      </c>
      <c r="I25" s="327">
        <f>+[13]DailyJul!E24</f>
        <v>0</v>
      </c>
      <c r="J25" s="321">
        <f t="shared" si="2"/>
        <v>0</v>
      </c>
      <c r="K25" s="321">
        <f t="shared" si="3"/>
        <v>0</v>
      </c>
      <c r="L25" s="327">
        <f t="shared" si="15"/>
        <v>1600</v>
      </c>
      <c r="M25" s="327">
        <f>+[13]DailyJul!F24</f>
        <v>0</v>
      </c>
      <c r="N25" s="321">
        <f t="shared" si="4"/>
        <v>0</v>
      </c>
      <c r="O25" s="321">
        <f t="shared" si="5"/>
        <v>0</v>
      </c>
      <c r="P25" s="327">
        <f t="shared" si="16"/>
        <v>317035.98</v>
      </c>
      <c r="Q25" s="327">
        <f>+[13]DailyJul!G24</f>
        <v>18241.459999999031</v>
      </c>
      <c r="R25" s="321">
        <f t="shared" si="6"/>
        <v>341.42135210000436</v>
      </c>
      <c r="S25" s="321">
        <f t="shared" si="7"/>
        <v>339.64771817452157</v>
      </c>
      <c r="T25" s="327">
        <f t="shared" si="17"/>
        <v>119699.9999999998</v>
      </c>
      <c r="U25" s="327">
        <f>+[13]DailyJul!H24</f>
        <v>8500</v>
      </c>
      <c r="V25" s="321">
        <f t="shared" si="8"/>
        <v>159.09261061615632</v>
      </c>
      <c r="W25" s="321">
        <f t="shared" si="9"/>
        <v>158.26614780196249</v>
      </c>
      <c r="X25" s="327">
        <f t="shared" si="18"/>
        <v>231880.50999999855</v>
      </c>
      <c r="Y25" s="327">
        <f>+[13]DailyJul!I24</f>
        <v>14732.37</v>
      </c>
      <c r="Z25" s="327">
        <f t="shared" si="19"/>
        <v>275.74249457213449</v>
      </c>
      <c r="AA25" s="327">
        <f t="shared" si="20"/>
        <v>274.31005269331746</v>
      </c>
      <c r="AB25" s="327">
        <f t="shared" si="21"/>
        <v>120700.50999999959</v>
      </c>
      <c r="AC25" s="327">
        <f>+[13]DailyJul!J24</f>
        <v>6382.3700000011968</v>
      </c>
      <c r="AD25" s="327">
        <f t="shared" si="22"/>
        <v>119.45740061393272</v>
      </c>
      <c r="AE25" s="419">
        <f t="shared" si="23"/>
        <v>118.83683691141187</v>
      </c>
      <c r="AF25" s="327">
        <f t="shared" si="24"/>
        <v>187499.99999999997</v>
      </c>
      <c r="AG25" s="327">
        <f>+[13]DailyJul!K24</f>
        <v>7500</v>
      </c>
      <c r="AH25" s="327">
        <f t="shared" si="25"/>
        <v>140.37583289660853</v>
      </c>
      <c r="AI25" s="447">
        <f t="shared" si="26"/>
        <v>139.64660100173163</v>
      </c>
      <c r="AJ25" s="327">
        <f t="shared" si="27"/>
        <v>7880</v>
      </c>
      <c r="AK25" s="327">
        <f>+[13]DailyJul!L24</f>
        <v>390</v>
      </c>
      <c r="AL25" s="327">
        <f t="shared" si="28"/>
        <v>7.2995433106236431</v>
      </c>
      <c r="AM25" s="447">
        <f t="shared" si="29"/>
        <v>7.2616232520900441</v>
      </c>
      <c r="AN25" s="327">
        <f t="shared" si="30"/>
        <v>11480</v>
      </c>
      <c r="AO25" s="327">
        <f>+[13]DailyJul!M24</f>
        <v>600</v>
      </c>
      <c r="AP25" s="327">
        <f t="shared" si="31"/>
        <v>11.230066631728683</v>
      </c>
      <c r="AQ25" s="447">
        <f t="shared" si="32"/>
        <v>11.171728080138529</v>
      </c>
      <c r="AR25" s="327">
        <f t="shared" si="33"/>
        <v>56604.740000001198</v>
      </c>
      <c r="AS25" s="324">
        <f t="shared" si="10"/>
        <v>1059.4583364528187</v>
      </c>
      <c r="AT25" s="325">
        <f t="shared" si="11"/>
        <v>1053.9546055449234</v>
      </c>
    </row>
    <row r="26" spans="1:51">
      <c r="A26" s="318">
        <f t="shared" si="12"/>
        <v>45857</v>
      </c>
      <c r="B26" s="326">
        <f>+Report1!P27</f>
        <v>49.811999999999998</v>
      </c>
      <c r="C26" s="326">
        <f>+Report1!R27</f>
        <v>50.598999999999997</v>
      </c>
      <c r="D26" s="327">
        <f t="shared" si="13"/>
        <v>5560.7799999993294</v>
      </c>
      <c r="E26" s="327">
        <f>+[13]DailyJul!D25</f>
        <v>296.75999999977648</v>
      </c>
      <c r="F26" s="321">
        <f t="shared" si="0"/>
        <v>5.9576005781694468</v>
      </c>
      <c r="G26" s="321">
        <f t="shared" si="1"/>
        <v>5.8649380422493822</v>
      </c>
      <c r="H26" s="327">
        <f t="shared" si="14"/>
        <v>0</v>
      </c>
      <c r="I26" s="327">
        <f>+[13]DailyJul!E25</f>
        <v>0</v>
      </c>
      <c r="J26" s="321">
        <f t="shared" si="2"/>
        <v>0</v>
      </c>
      <c r="K26" s="321">
        <f t="shared" si="3"/>
        <v>0</v>
      </c>
      <c r="L26" s="327">
        <f t="shared" si="15"/>
        <v>1700</v>
      </c>
      <c r="M26" s="327">
        <f>+[13]DailyJul!F25</f>
        <v>100</v>
      </c>
      <c r="N26" s="321">
        <f t="shared" si="4"/>
        <v>2.0075483819160045</v>
      </c>
      <c r="O26" s="321">
        <f t="shared" si="5"/>
        <v>1.9763236427597384</v>
      </c>
      <c r="P26" s="327">
        <f t="shared" si="16"/>
        <v>334639.2200000002</v>
      </c>
      <c r="Q26" s="327">
        <f>+[13]DailyJul!G25</f>
        <v>17603.240000000224</v>
      </c>
      <c r="R26" s="321">
        <f t="shared" si="6"/>
        <v>353.39355978479534</v>
      </c>
      <c r="S26" s="321">
        <f t="shared" si="7"/>
        <v>347.8969940117438</v>
      </c>
      <c r="T26" s="327">
        <f t="shared" si="17"/>
        <v>128399.99999999962</v>
      </c>
      <c r="U26" s="327">
        <f>+[13]DailyJul!H25</f>
        <v>8699.9999999998181</v>
      </c>
      <c r="V26" s="321">
        <f t="shared" si="8"/>
        <v>174.65670922668872</v>
      </c>
      <c r="W26" s="321">
        <f t="shared" si="9"/>
        <v>171.94015692009364</v>
      </c>
      <c r="X26" s="327">
        <f t="shared" si="18"/>
        <v>247943.07</v>
      </c>
      <c r="Y26" s="327">
        <f>+[13]DailyJul!I25</f>
        <v>16062.560000001455</v>
      </c>
      <c r="Z26" s="327">
        <f t="shared" si="19"/>
        <v>322.46366337431652</v>
      </c>
      <c r="AA26" s="327">
        <f t="shared" si="20"/>
        <v>317.4481709124974</v>
      </c>
      <c r="AB26" s="327">
        <f t="shared" si="21"/>
        <v>127603.06999999954</v>
      </c>
      <c r="AC26" s="327">
        <f>+[13]DailyJul!J25</f>
        <v>6902.5599999999586</v>
      </c>
      <c r="AD26" s="327">
        <f t="shared" si="22"/>
        <v>138.57223159078052</v>
      </c>
      <c r="AE26" s="419">
        <f t="shared" si="23"/>
        <v>136.41692523567579</v>
      </c>
      <c r="AF26" s="327">
        <f t="shared" si="24"/>
        <v>195299.99999999924</v>
      </c>
      <c r="AG26" s="327">
        <f>+[13]DailyJul!K25</f>
        <v>7799.9999999992724</v>
      </c>
      <c r="AH26" s="327">
        <f t="shared" si="25"/>
        <v>156.58877378943373</v>
      </c>
      <c r="AI26" s="447">
        <f t="shared" si="26"/>
        <v>154.15324413524522</v>
      </c>
      <c r="AJ26" s="327">
        <f t="shared" si="27"/>
        <v>8260</v>
      </c>
      <c r="AK26" s="327">
        <f>+[13]DailyJul!L25</f>
        <v>380</v>
      </c>
      <c r="AL26" s="327">
        <f t="shared" si="28"/>
        <v>7.6286838512808162</v>
      </c>
      <c r="AM26" s="447">
        <f t="shared" si="29"/>
        <v>7.5100298424870058</v>
      </c>
      <c r="AN26" s="327">
        <f t="shared" si="30"/>
        <v>12120</v>
      </c>
      <c r="AO26" s="327">
        <f>+[13]DailyJul!M25</f>
        <v>640</v>
      </c>
      <c r="AP26" s="327">
        <f t="shared" si="31"/>
        <v>12.848309644262427</v>
      </c>
      <c r="AQ26" s="447">
        <f t="shared" si="32"/>
        <v>12.648471313662327</v>
      </c>
      <c r="AR26" s="327">
        <f t="shared" si="33"/>
        <v>58485.120000000505</v>
      </c>
      <c r="AS26" s="324">
        <f t="shared" si="10"/>
        <v>1174.1170802216436</v>
      </c>
      <c r="AT26" s="325">
        <f t="shared" si="11"/>
        <v>1155.8552540564144</v>
      </c>
      <c r="AW26" s="20" t="s">
        <v>190</v>
      </c>
      <c r="AY26" s="412">
        <f>+AY24/AX24-1</f>
        <v>5.5886353151231249E-2</v>
      </c>
    </row>
    <row r="27" spans="1:51">
      <c r="A27" s="318">
        <f t="shared" si="12"/>
        <v>45858</v>
      </c>
      <c r="B27" s="326">
        <f>+Report1!P28</f>
        <v>47.595999999999997</v>
      </c>
      <c r="C27" s="326">
        <f>+Report1!R28</f>
        <v>45.067999999999998</v>
      </c>
      <c r="D27" s="327">
        <f t="shared" si="13"/>
        <v>5852.9099999982864</v>
      </c>
      <c r="E27" s="327">
        <f>+[13]DailyJul!D26</f>
        <v>292.12999999895692</v>
      </c>
      <c r="F27" s="321">
        <f t="shared" si="0"/>
        <v>6.1377006470912878</v>
      </c>
      <c r="G27" s="321">
        <f t="shared" si="1"/>
        <v>6.4819827815513653</v>
      </c>
      <c r="H27" s="327">
        <f t="shared" si="14"/>
        <v>0</v>
      </c>
      <c r="I27" s="327">
        <f>+[13]DailyJul!E26</f>
        <v>0</v>
      </c>
      <c r="J27" s="321">
        <f t="shared" si="2"/>
        <v>0</v>
      </c>
      <c r="K27" s="321">
        <f t="shared" si="3"/>
        <v>0</v>
      </c>
      <c r="L27" s="327">
        <f t="shared" si="15"/>
        <v>1800</v>
      </c>
      <c r="M27" s="327">
        <f>+[13]DailyJul!F26</f>
        <v>100</v>
      </c>
      <c r="N27" s="321">
        <f t="shared" si="4"/>
        <v>2.1010168921758132</v>
      </c>
      <c r="O27" s="321">
        <f t="shared" si="5"/>
        <v>2.2188692642229522</v>
      </c>
      <c r="P27" s="327">
        <f t="shared" si="16"/>
        <v>353247.09000000125</v>
      </c>
      <c r="Q27" s="327">
        <f>+[13]DailyJul!G26</f>
        <v>18607.870000001043</v>
      </c>
      <c r="R27" s="321">
        <f t="shared" si="6"/>
        <v>390.9544919741374</v>
      </c>
      <c r="S27" s="321">
        <f t="shared" si="7"/>
        <v>412.8843081565866</v>
      </c>
      <c r="T27" s="327">
        <f t="shared" si="17"/>
        <v>136800.00000000017</v>
      </c>
      <c r="U27" s="327">
        <f>+[13]DailyJul!H26</f>
        <v>8400.0000000005457</v>
      </c>
      <c r="V27" s="321">
        <f t="shared" si="8"/>
        <v>176.48541894277977</v>
      </c>
      <c r="W27" s="321">
        <f t="shared" si="9"/>
        <v>186.38501819474007</v>
      </c>
      <c r="X27" s="327">
        <f t="shared" si="18"/>
        <v>262888.68</v>
      </c>
      <c r="Y27" s="327">
        <f>+[13]DailyJul!I26</f>
        <v>14945.61</v>
      </c>
      <c r="Z27" s="327">
        <f t="shared" si="19"/>
        <v>314.00979073871758</v>
      </c>
      <c r="AA27" s="327">
        <f t="shared" si="20"/>
        <v>331.62354664063196</v>
      </c>
      <c r="AB27" s="327">
        <f t="shared" si="21"/>
        <v>133798.67999999845</v>
      </c>
      <c r="AC27" s="327">
        <f>+[13]DailyJul!J26</f>
        <v>6195.6099999989137</v>
      </c>
      <c r="AD27" s="327">
        <f t="shared" si="22"/>
        <v>130.17081267331108</v>
      </c>
      <c r="AE27" s="419">
        <f t="shared" si="23"/>
        <v>137.47248602109954</v>
      </c>
      <c r="AF27" s="327">
        <f t="shared" si="24"/>
        <v>202699.99999999889</v>
      </c>
      <c r="AG27" s="327">
        <f>+[13]DailyJul!K26</f>
        <v>7399.9999999996362</v>
      </c>
      <c r="AH27" s="327">
        <f t="shared" si="25"/>
        <v>155.47525002100252</v>
      </c>
      <c r="AI27" s="447">
        <f t="shared" si="26"/>
        <v>164.19632555249038</v>
      </c>
      <c r="AJ27" s="327">
        <f t="shared" si="27"/>
        <v>8610</v>
      </c>
      <c r="AK27" s="327">
        <f>+[13]DailyJul!L26</f>
        <v>350</v>
      </c>
      <c r="AL27" s="327">
        <f t="shared" si="28"/>
        <v>7.3535591226153461</v>
      </c>
      <c r="AM27" s="447">
        <f t="shared" si="29"/>
        <v>7.7660424247803324</v>
      </c>
      <c r="AN27" s="327">
        <f t="shared" si="30"/>
        <v>12680</v>
      </c>
      <c r="AO27" s="327">
        <f>+[13]DailyJul!M26</f>
        <v>560</v>
      </c>
      <c r="AP27" s="327">
        <f t="shared" si="31"/>
        <v>11.765694596184554</v>
      </c>
      <c r="AQ27" s="447">
        <f t="shared" si="32"/>
        <v>12.425667879648532</v>
      </c>
      <c r="AR27" s="327">
        <f t="shared" si="33"/>
        <v>56851.219999999099</v>
      </c>
      <c r="AS27" s="324">
        <f t="shared" si="10"/>
        <v>1194.4537356080154</v>
      </c>
      <c r="AT27" s="325">
        <f t="shared" si="11"/>
        <v>1261.4542469157518</v>
      </c>
    </row>
    <row r="28" spans="1:51">
      <c r="A28" s="318">
        <f t="shared" si="12"/>
        <v>45859</v>
      </c>
      <c r="B28" s="326">
        <f>+Report1!P29</f>
        <v>50.287999999999997</v>
      </c>
      <c r="C28" s="326">
        <f>+Report1!R29</f>
        <v>44.09</v>
      </c>
      <c r="D28" s="327">
        <f t="shared" si="13"/>
        <v>6130.9099999982864</v>
      </c>
      <c r="E28" s="327">
        <f>+[13]DailyJul!D27</f>
        <v>278</v>
      </c>
      <c r="F28" s="322">
        <f t="shared" si="0"/>
        <v>5.5281578110085912</v>
      </c>
      <c r="G28" s="321">
        <f t="shared" si="1"/>
        <v>6.3052846450442273</v>
      </c>
      <c r="H28" s="327">
        <f t="shared" si="14"/>
        <v>0</v>
      </c>
      <c r="I28" s="327">
        <f>+[13]DailyJul!E27</f>
        <v>0</v>
      </c>
      <c r="J28" s="321">
        <f t="shared" si="2"/>
        <v>0</v>
      </c>
      <c r="K28" s="321">
        <f t="shared" si="3"/>
        <v>0</v>
      </c>
      <c r="L28" s="327">
        <f t="shared" si="15"/>
        <v>1900</v>
      </c>
      <c r="M28" s="327">
        <f>+[13]DailyJul!F27</f>
        <v>100</v>
      </c>
      <c r="N28" s="321">
        <f t="shared" si="4"/>
        <v>1.9885459751829464</v>
      </c>
      <c r="O28" s="321">
        <f t="shared" si="5"/>
        <v>2.26808800181447</v>
      </c>
      <c r="P28" s="327">
        <f t="shared" si="16"/>
        <v>370869.09000000125</v>
      </c>
      <c r="Q28" s="327">
        <f>+[13]DailyJul!G27</f>
        <v>17622</v>
      </c>
      <c r="R28" s="321">
        <f t="shared" si="6"/>
        <v>350.42157174673883</v>
      </c>
      <c r="S28" s="321">
        <f t="shared" si="7"/>
        <v>399.68246767974597</v>
      </c>
      <c r="T28" s="327">
        <f t="shared" si="17"/>
        <v>145699.99999999983</v>
      </c>
      <c r="U28" s="327">
        <f>+[13]DailyJul!H27</f>
        <v>8899.9999999996362</v>
      </c>
      <c r="V28" s="321">
        <f t="shared" si="8"/>
        <v>176.980591791275</v>
      </c>
      <c r="W28" s="321">
        <f t="shared" si="9"/>
        <v>201.8598321614796</v>
      </c>
      <c r="X28" s="327">
        <f t="shared" si="18"/>
        <v>278663.91999999929</v>
      </c>
      <c r="Y28" s="327">
        <f>+[13]DailyJul!I27</f>
        <v>15775.239999999272</v>
      </c>
      <c r="Z28" s="327">
        <f t="shared" si="19"/>
        <v>313.69790009543573</v>
      </c>
      <c r="AA28" s="327">
        <f t="shared" si="20"/>
        <v>357.79632569742051</v>
      </c>
      <c r="AB28" s="327">
        <f t="shared" si="21"/>
        <v>139393.91999999946</v>
      </c>
      <c r="AC28" s="327">
        <f>+[13]DailyJul!J27</f>
        <v>5595.240000001023</v>
      </c>
      <c r="AD28" s="327">
        <f t="shared" si="22"/>
        <v>111.26391982184663</v>
      </c>
      <c r="AE28" s="419">
        <f t="shared" si="23"/>
        <v>126.90496711274717</v>
      </c>
      <c r="AF28" s="327">
        <f t="shared" si="24"/>
        <v>210299.99999999924</v>
      </c>
      <c r="AG28" s="327">
        <f>+[13]DailyJul!K27</f>
        <v>7600.0000000003638</v>
      </c>
      <c r="AH28" s="327">
        <f t="shared" si="25"/>
        <v>151.12949411391116</v>
      </c>
      <c r="AI28" s="447">
        <f t="shared" si="26"/>
        <v>172.37468813790798</v>
      </c>
      <c r="AJ28" s="327">
        <f t="shared" si="27"/>
        <v>8940</v>
      </c>
      <c r="AK28" s="327">
        <f>+[13]DailyJul!L27</f>
        <v>330</v>
      </c>
      <c r="AL28" s="327">
        <f t="shared" si="28"/>
        <v>6.5622017181037231</v>
      </c>
      <c r="AM28" s="447">
        <f t="shared" si="29"/>
        <v>7.4846904059877515</v>
      </c>
      <c r="AN28" s="327">
        <f t="shared" si="30"/>
        <v>13310</v>
      </c>
      <c r="AO28" s="327">
        <f>+[13]DailyJul!M27</f>
        <v>630</v>
      </c>
      <c r="AP28" s="327">
        <f t="shared" si="31"/>
        <v>12.527839643652563</v>
      </c>
      <c r="AQ28" s="447">
        <f t="shared" si="32"/>
        <v>14.288954411431163</v>
      </c>
      <c r="AR28" s="327">
        <f t="shared" si="33"/>
        <v>56830.480000000294</v>
      </c>
      <c r="AS28" s="324">
        <f t="shared" si="10"/>
        <v>1130.1002227171552</v>
      </c>
      <c r="AT28" s="325">
        <f t="shared" si="11"/>
        <v>1288.9652982535788</v>
      </c>
    </row>
    <row r="29" spans="1:51">
      <c r="A29" s="318">
        <f t="shared" si="12"/>
        <v>45860</v>
      </c>
      <c r="B29" s="326">
        <f>+Report1!P30</f>
        <v>53.364999999999995</v>
      </c>
      <c r="C29" s="326">
        <f>+Report1!R30</f>
        <v>47.679000000000002</v>
      </c>
      <c r="D29" s="327">
        <f t="shared" si="13"/>
        <v>6427.6899999994785</v>
      </c>
      <c r="E29" s="327">
        <f>+[13]DailyJul!D28</f>
        <v>296.78000000119209</v>
      </c>
      <c r="F29" s="321">
        <f t="shared" si="0"/>
        <v>5.5613229645121729</v>
      </c>
      <c r="G29" s="321">
        <f t="shared" si="1"/>
        <v>6.2245433000103203</v>
      </c>
      <c r="H29" s="327">
        <f t="shared" si="14"/>
        <v>0</v>
      </c>
      <c r="I29" s="327">
        <f>+[13]DailyJul!E28</f>
        <v>0</v>
      </c>
      <c r="J29" s="321">
        <f t="shared" si="2"/>
        <v>0</v>
      </c>
      <c r="K29" s="321">
        <f t="shared" si="3"/>
        <v>0</v>
      </c>
      <c r="L29" s="327">
        <f t="shared" si="15"/>
        <v>1900</v>
      </c>
      <c r="M29" s="327">
        <f>+[13]DailyJul!F28</f>
        <v>0</v>
      </c>
      <c r="N29" s="321">
        <f t="shared" si="4"/>
        <v>0</v>
      </c>
      <c r="O29" s="321">
        <f t="shared" si="5"/>
        <v>0</v>
      </c>
      <c r="P29" s="327">
        <f t="shared" si="16"/>
        <v>388572.31000000006</v>
      </c>
      <c r="Q29" s="327">
        <f>+[13]DailyJul!G28</f>
        <v>17703.219999998808</v>
      </c>
      <c r="R29" s="321">
        <f t="shared" si="6"/>
        <v>331.73840532181782</v>
      </c>
      <c r="S29" s="321">
        <f t="shared" si="7"/>
        <v>371.30015310721296</v>
      </c>
      <c r="T29" s="327">
        <f t="shared" si="17"/>
        <v>154300.00000000017</v>
      </c>
      <c r="U29" s="327">
        <f>+[13]DailyJul!H28</f>
        <v>8600.0000000003638</v>
      </c>
      <c r="V29" s="321">
        <f t="shared" si="8"/>
        <v>161.15431462569782</v>
      </c>
      <c r="W29" s="321">
        <f t="shared" si="9"/>
        <v>180.37291050568098</v>
      </c>
      <c r="X29" s="327">
        <f t="shared" si="18"/>
        <v>294596.41000000003</v>
      </c>
      <c r="Y29" s="327">
        <f>+[13]DailyJul!I28</f>
        <v>15932.490000000727</v>
      </c>
      <c r="Z29" s="327">
        <f t="shared" si="19"/>
        <v>298.55691932916199</v>
      </c>
      <c r="AA29" s="327">
        <f t="shared" si="20"/>
        <v>334.16158057007755</v>
      </c>
      <c r="AB29" s="327">
        <f t="shared" si="21"/>
        <v>145266.40999999849</v>
      </c>
      <c r="AC29" s="327">
        <f>+[13]DailyJul!J28</f>
        <v>5872.4899999990357</v>
      </c>
      <c r="AD29" s="327">
        <f t="shared" si="22"/>
        <v>110.04384896465916</v>
      </c>
      <c r="AE29" s="419">
        <f t="shared" si="23"/>
        <v>123.16722246689393</v>
      </c>
      <c r="AF29" s="327">
        <f t="shared" si="24"/>
        <v>218299.99999999924</v>
      </c>
      <c r="AG29" s="327">
        <f>+[13]DailyJul!K28</f>
        <v>8000</v>
      </c>
      <c r="AH29" s="327">
        <f t="shared" si="25"/>
        <v>149.91099034948002</v>
      </c>
      <c r="AI29" s="447">
        <f t="shared" si="26"/>
        <v>167.78875395876591</v>
      </c>
      <c r="AJ29" s="327">
        <f t="shared" si="27"/>
        <v>9290</v>
      </c>
      <c r="AK29" s="327">
        <f>+[13]DailyJul!L28</f>
        <v>350</v>
      </c>
      <c r="AL29" s="327">
        <f t="shared" si="28"/>
        <v>6.5586058277897505</v>
      </c>
      <c r="AM29" s="447">
        <f t="shared" si="29"/>
        <v>7.3407579856960083</v>
      </c>
      <c r="AN29" s="327">
        <f t="shared" si="30"/>
        <v>13940</v>
      </c>
      <c r="AO29" s="327">
        <f>+[13]DailyJul!M28</f>
        <v>630</v>
      </c>
      <c r="AP29" s="327">
        <f t="shared" si="31"/>
        <v>11.805490490021551</v>
      </c>
      <c r="AQ29" s="447">
        <f t="shared" si="32"/>
        <v>13.213364374252816</v>
      </c>
      <c r="AR29" s="327">
        <f t="shared" si="33"/>
        <v>57384.980000000127</v>
      </c>
      <c r="AS29" s="324">
        <f t="shared" si="10"/>
        <v>1075.3298978731402</v>
      </c>
      <c r="AT29" s="325">
        <f t="shared" si="11"/>
        <v>1203.5692862685905</v>
      </c>
    </row>
    <row r="30" spans="1:51">
      <c r="A30" s="318">
        <f t="shared" si="12"/>
        <v>45861</v>
      </c>
      <c r="B30" s="326">
        <f>+Report1!P31</f>
        <v>52.460999999999999</v>
      </c>
      <c r="C30" s="326">
        <f>+Report1!R31</f>
        <v>42.927999999999997</v>
      </c>
      <c r="D30" s="327">
        <f t="shared" si="13"/>
        <v>6741.0699999984354</v>
      </c>
      <c r="E30" s="327">
        <f>+[13]DailyJul!D29</f>
        <v>313.37999999895692</v>
      </c>
      <c r="F30" s="321">
        <f t="shared" si="0"/>
        <v>5.9735803739722257</v>
      </c>
      <c r="G30" s="321">
        <f t="shared" si="1"/>
        <v>7.3001304509634029</v>
      </c>
      <c r="H30" s="327">
        <f t="shared" si="14"/>
        <v>0</v>
      </c>
      <c r="I30" s="327">
        <f>+[13]DailyJul!E29</f>
        <v>0</v>
      </c>
      <c r="J30" s="321">
        <f t="shared" si="2"/>
        <v>0</v>
      </c>
      <c r="K30" s="321">
        <f t="shared" si="3"/>
        <v>0</v>
      </c>
      <c r="L30" s="327">
        <f t="shared" si="15"/>
        <v>2000</v>
      </c>
      <c r="M30" s="327">
        <f>+[13]DailyJul!F29</f>
        <v>100</v>
      </c>
      <c r="N30" s="321">
        <f t="shared" si="4"/>
        <v>1.9061779226472999</v>
      </c>
      <c r="O30" s="321">
        <f t="shared" si="5"/>
        <v>2.3294819232202761</v>
      </c>
      <c r="P30" s="327">
        <f t="shared" si="16"/>
        <v>407158.9300000011</v>
      </c>
      <c r="Q30" s="327">
        <f>+[13]DailyJul!G29</f>
        <v>18586.620000001043</v>
      </c>
      <c r="R30" s="321">
        <f t="shared" si="6"/>
        <v>354.29404700636746</v>
      </c>
      <c r="S30" s="321">
        <f t="shared" si="7"/>
        <v>432.97195303766875</v>
      </c>
      <c r="T30" s="327">
        <f t="shared" si="17"/>
        <v>163300.00000000017</v>
      </c>
      <c r="U30" s="327">
        <f>+[13]DailyJul!H29</f>
        <v>9000</v>
      </c>
      <c r="V30" s="321">
        <f t="shared" si="8"/>
        <v>171.55601303825699</v>
      </c>
      <c r="W30" s="321">
        <f t="shared" si="9"/>
        <v>209.65337308982484</v>
      </c>
      <c r="X30" s="327">
        <f t="shared" si="18"/>
        <v>310973.13999999966</v>
      </c>
      <c r="Y30" s="327">
        <f>+[13]DailyJul!I29</f>
        <v>16376.729999999636</v>
      </c>
      <c r="Z30" s="327">
        <f t="shared" si="19"/>
        <v>312.1696117115502</v>
      </c>
      <c r="AA30" s="327">
        <f t="shared" si="20"/>
        <v>381.49296496458339</v>
      </c>
      <c r="AB30" s="327">
        <f t="shared" si="21"/>
        <v>150683.13999999844</v>
      </c>
      <c r="AC30" s="327">
        <f>+[13]DailyJul!J29</f>
        <v>5416.7299999999404</v>
      </c>
      <c r="AD30" s="327">
        <f t="shared" si="22"/>
        <v>103.25251138941195</v>
      </c>
      <c r="AE30" s="419">
        <f t="shared" si="23"/>
        <v>126.18174617964827</v>
      </c>
      <c r="AF30" s="327">
        <f t="shared" si="24"/>
        <v>225999.99999999997</v>
      </c>
      <c r="AG30" s="327">
        <f>+[13]DailyJul!K29</f>
        <v>7700.0000000007276</v>
      </c>
      <c r="AH30" s="327">
        <f t="shared" si="25"/>
        <v>146.77570004385598</v>
      </c>
      <c r="AI30" s="447">
        <f t="shared" si="26"/>
        <v>179.3701080879782</v>
      </c>
      <c r="AJ30" s="327">
        <f t="shared" si="27"/>
        <v>9560</v>
      </c>
      <c r="AK30" s="327">
        <f>+[13]DailyJul!L29</f>
        <v>270</v>
      </c>
      <c r="AL30" s="327">
        <f t="shared" si="28"/>
        <v>5.1466803911477097</v>
      </c>
      <c r="AM30" s="447">
        <f t="shared" si="29"/>
        <v>6.2896011926947448</v>
      </c>
      <c r="AN30" s="327">
        <f t="shared" si="30"/>
        <v>14590</v>
      </c>
      <c r="AO30" s="327">
        <f>+[13]DailyJul!M29</f>
        <v>650</v>
      </c>
      <c r="AP30" s="327">
        <f t="shared" si="31"/>
        <v>12.39015649720745</v>
      </c>
      <c r="AQ30" s="447">
        <f t="shared" si="32"/>
        <v>15.141632500931793</v>
      </c>
      <c r="AR30" s="327">
        <f t="shared" si="33"/>
        <v>58413.460000000297</v>
      </c>
      <c r="AS30" s="324">
        <f t="shared" si="10"/>
        <v>1113.4644783744172</v>
      </c>
      <c r="AT30" s="325">
        <f t="shared" si="11"/>
        <v>1360.7309914275136</v>
      </c>
    </row>
    <row r="31" spans="1:51">
      <c r="A31" s="318">
        <f t="shared" si="12"/>
        <v>45862</v>
      </c>
      <c r="B31" s="326">
        <f>+Report1!P32</f>
        <v>53.373999999999995</v>
      </c>
      <c r="C31" s="326">
        <f>+Report1!R32</f>
        <v>55.439</v>
      </c>
      <c r="D31" s="327">
        <f t="shared" si="13"/>
        <v>7041.7299999985844</v>
      </c>
      <c r="E31" s="327">
        <f>+[13]DailyJul!D30</f>
        <v>300.66000000014901</v>
      </c>
      <c r="F31" s="321">
        <f t="shared" si="0"/>
        <v>5.6330797766730809</v>
      </c>
      <c r="G31" s="321">
        <f t="shared" si="1"/>
        <v>5.4232579952767725</v>
      </c>
      <c r="H31" s="327">
        <f t="shared" si="14"/>
        <v>0</v>
      </c>
      <c r="I31" s="327">
        <f>+[13]DailyJul!E30</f>
        <v>0</v>
      </c>
      <c r="J31" s="321">
        <f t="shared" si="2"/>
        <v>0</v>
      </c>
      <c r="K31" s="321">
        <f t="shared" si="3"/>
        <v>0</v>
      </c>
      <c r="L31" s="327">
        <f t="shared" si="15"/>
        <v>2100</v>
      </c>
      <c r="M31" s="327">
        <f>+[13]DailyJul!F30</f>
        <v>100</v>
      </c>
      <c r="N31" s="321">
        <f t="shared" si="4"/>
        <v>1.8735714018061229</v>
      </c>
      <c r="O31" s="321">
        <f t="shared" si="5"/>
        <v>1.803784339544364</v>
      </c>
      <c r="P31" s="327">
        <f t="shared" si="16"/>
        <v>425458.27000000165</v>
      </c>
      <c r="Q31" s="327">
        <f>+[13]DailyJul!G30</f>
        <v>18299.340000000579</v>
      </c>
      <c r="R31" s="321">
        <f t="shared" si="6"/>
        <v>342.85120095927942</v>
      </c>
      <c r="S31" s="321">
        <f t="shared" si="7"/>
        <v>330.08062915998806</v>
      </c>
      <c r="T31" s="327">
        <f t="shared" si="17"/>
        <v>172000</v>
      </c>
      <c r="U31" s="327">
        <f>+[13]DailyJul!H30</f>
        <v>8699.9999999998181</v>
      </c>
      <c r="V31" s="321">
        <f t="shared" si="8"/>
        <v>163.00071195712928</v>
      </c>
      <c r="W31" s="321">
        <f t="shared" si="9"/>
        <v>156.92923754035638</v>
      </c>
      <c r="X31" s="327">
        <f t="shared" si="18"/>
        <v>326890.99000000005</v>
      </c>
      <c r="Y31" s="327">
        <f>+[13]DailyJul!I30</f>
        <v>15917.850000000364</v>
      </c>
      <c r="Z31" s="327">
        <f t="shared" si="19"/>
        <v>298.23228538240278</v>
      </c>
      <c r="AA31" s="327">
        <f t="shared" si="20"/>
        <v>287.1236854921691</v>
      </c>
      <c r="AB31" s="327">
        <f t="shared" si="21"/>
        <v>156220.9899999999</v>
      </c>
      <c r="AC31" s="327">
        <f>+[13]DailyJul!J30</f>
        <v>5537.8500000014556</v>
      </c>
      <c r="AD31" s="327">
        <f t="shared" si="22"/>
        <v>103.75557387494766</v>
      </c>
      <c r="AE31" s="419">
        <f t="shared" si="23"/>
        <v>99.890871047483827</v>
      </c>
      <c r="AF31" s="327">
        <f t="shared" si="24"/>
        <v>233600.00000000035</v>
      </c>
      <c r="AG31" s="327">
        <f>+[13]DailyJul!K30</f>
        <v>7600.0000000003638</v>
      </c>
      <c r="AH31" s="327">
        <f t="shared" si="25"/>
        <v>142.39142653727217</v>
      </c>
      <c r="AI31" s="447">
        <f t="shared" si="26"/>
        <v>137.08760980537824</v>
      </c>
      <c r="AJ31" s="327">
        <f t="shared" si="27"/>
        <v>9960</v>
      </c>
      <c r="AK31" s="327">
        <f>+[13]DailyJul!L30</f>
        <v>400</v>
      </c>
      <c r="AL31" s="327">
        <f t="shared" si="28"/>
        <v>7.4942856072244917</v>
      </c>
      <c r="AM31" s="447">
        <f t="shared" si="29"/>
        <v>7.2151373581774561</v>
      </c>
      <c r="AN31" s="327">
        <f t="shared" si="30"/>
        <v>15200</v>
      </c>
      <c r="AO31" s="327">
        <f>+[13]DailyJul!M30</f>
        <v>610</v>
      </c>
      <c r="AP31" s="327">
        <f t="shared" si="31"/>
        <v>11.42878555101735</v>
      </c>
      <c r="AQ31" s="447">
        <f t="shared" si="32"/>
        <v>11.003084471220621</v>
      </c>
      <c r="AR31" s="327">
        <f t="shared" si="33"/>
        <v>57465.700000002726</v>
      </c>
      <c r="AS31" s="324">
        <f t="shared" si="10"/>
        <v>1076.6609210477523</v>
      </c>
      <c r="AT31" s="325">
        <f t="shared" si="11"/>
        <v>1036.5572972095947</v>
      </c>
    </row>
    <row r="32" spans="1:51">
      <c r="A32" s="318">
        <f t="shared" si="12"/>
        <v>45863</v>
      </c>
      <c r="B32" s="326">
        <f>+Report1!P33</f>
        <v>52.269999999999996</v>
      </c>
      <c r="C32" s="326">
        <f>+Report1!R33</f>
        <v>41.302999999999997</v>
      </c>
      <c r="D32" s="327">
        <f t="shared" si="13"/>
        <v>7337.7899999991059</v>
      </c>
      <c r="E32" s="327">
        <f>+[13]DailyJul!D31</f>
        <v>296.06000000052154</v>
      </c>
      <c r="F32" s="321">
        <f t="shared" si="0"/>
        <v>5.6640520375075871</v>
      </c>
      <c r="G32" s="321">
        <f t="shared" si="1"/>
        <v>7.1680023242989988</v>
      </c>
      <c r="H32" s="327">
        <f t="shared" si="14"/>
        <v>0</v>
      </c>
      <c r="I32" s="327">
        <f>+[13]DailyJul!E31</f>
        <v>0</v>
      </c>
      <c r="J32" s="321">
        <f t="shared" si="2"/>
        <v>0</v>
      </c>
      <c r="K32" s="321">
        <f t="shared" si="3"/>
        <v>0</v>
      </c>
      <c r="L32" s="327">
        <f t="shared" si="15"/>
        <v>2200</v>
      </c>
      <c r="M32" s="327">
        <f>+[13]DailyJul!F31</f>
        <v>100</v>
      </c>
      <c r="N32" s="321">
        <f t="shared" si="4"/>
        <v>1.9131432944327531</v>
      </c>
      <c r="O32" s="321">
        <f t="shared" si="5"/>
        <v>2.4211316369270999</v>
      </c>
      <c r="P32" s="327">
        <f t="shared" si="16"/>
        <v>443962.21000000078</v>
      </c>
      <c r="Q32" s="327">
        <f>+[13]DailyJul!G31</f>
        <v>18503.939999999115</v>
      </c>
      <c r="R32" s="321">
        <f t="shared" si="6"/>
        <v>354.00688731584307</v>
      </c>
      <c r="S32" s="321">
        <f t="shared" si="7"/>
        <v>448.00474541798695</v>
      </c>
      <c r="T32" s="327">
        <f t="shared" si="17"/>
        <v>180199.99999999983</v>
      </c>
      <c r="U32" s="327">
        <f>+[13]DailyJul!H31</f>
        <v>8199.9999999998181</v>
      </c>
      <c r="V32" s="321">
        <f t="shared" si="8"/>
        <v>156.87775014348227</v>
      </c>
      <c r="W32" s="321">
        <f t="shared" si="9"/>
        <v>198.53279422801779</v>
      </c>
      <c r="X32" s="327">
        <f t="shared" si="18"/>
        <v>341055.4</v>
      </c>
      <c r="Y32" s="327">
        <f>+[13]DailyJul!I31</f>
        <v>14164.41</v>
      </c>
      <c r="Z32" s="327">
        <f t="shared" si="19"/>
        <v>270.98546011096232</v>
      </c>
      <c r="AA32" s="327">
        <f t="shared" si="20"/>
        <v>342.93901169406581</v>
      </c>
      <c r="AB32" s="327">
        <f t="shared" si="21"/>
        <v>162145.39999999886</v>
      </c>
      <c r="AC32" s="327">
        <f>+[13]DailyJul!J31</f>
        <v>5924.4099999989448</v>
      </c>
      <c r="AD32" s="327">
        <f t="shared" si="22"/>
        <v>113.34245264968328</v>
      </c>
      <c r="AE32" s="419">
        <f t="shared" si="23"/>
        <v>143.43776481124726</v>
      </c>
      <c r="AF32" s="327">
        <f t="shared" si="24"/>
        <v>241100.00000000035</v>
      </c>
      <c r="AG32" s="327">
        <f>+[13]DailyJul!K31</f>
        <v>7500</v>
      </c>
      <c r="AH32" s="327">
        <f t="shared" si="25"/>
        <v>143.4857470824565</v>
      </c>
      <c r="AI32" s="447">
        <f t="shared" si="26"/>
        <v>181.5848727695325</v>
      </c>
      <c r="AJ32" s="327">
        <f t="shared" si="27"/>
        <v>10260</v>
      </c>
      <c r="AK32" s="327">
        <f>+[13]DailyJul!L31</f>
        <v>300</v>
      </c>
      <c r="AL32" s="327">
        <f t="shared" si="28"/>
        <v>5.7394298832982598</v>
      </c>
      <c r="AM32" s="447">
        <f t="shared" si="29"/>
        <v>7.2633949107813001</v>
      </c>
      <c r="AN32" s="327">
        <f t="shared" si="30"/>
        <v>15380</v>
      </c>
      <c r="AO32" s="327">
        <f>+[13]DailyJul!M31</f>
        <v>180</v>
      </c>
      <c r="AP32" s="327">
        <f t="shared" si="31"/>
        <v>3.4436579299789556</v>
      </c>
      <c r="AQ32" s="447">
        <f t="shared" si="32"/>
        <v>4.35803694646878</v>
      </c>
      <c r="AR32" s="327">
        <f t="shared" si="33"/>
        <v>55168.819999998392</v>
      </c>
      <c r="AS32" s="324">
        <f t="shared" si="10"/>
        <v>1055.4585804476449</v>
      </c>
      <c r="AT32" s="325">
        <f t="shared" si="11"/>
        <v>1335.7097547393264</v>
      </c>
    </row>
    <row r="33" spans="1:46">
      <c r="A33" s="318">
        <f t="shared" si="12"/>
        <v>45864</v>
      </c>
      <c r="B33" s="326">
        <f>+Report1!P34</f>
        <v>52.730000000000004</v>
      </c>
      <c r="C33" s="326">
        <f>+Report1!R34</f>
        <v>59.515000000000001</v>
      </c>
      <c r="D33" s="327">
        <f t="shared" si="13"/>
        <v>7644.4599999990314</v>
      </c>
      <c r="E33" s="327">
        <f>+[13]DailyJul!D32</f>
        <v>306.66999999992549</v>
      </c>
      <c r="F33" s="321">
        <f t="shared" si="0"/>
        <v>5.8158543523596711</v>
      </c>
      <c r="G33" s="321">
        <f t="shared" si="1"/>
        <v>5.1528186171540868</v>
      </c>
      <c r="H33" s="327">
        <f t="shared" si="14"/>
        <v>0</v>
      </c>
      <c r="I33" s="327">
        <f>+[13]DailyJul!E32</f>
        <v>0</v>
      </c>
      <c r="J33" s="321">
        <f t="shared" si="2"/>
        <v>0</v>
      </c>
      <c r="K33" s="321">
        <f t="shared" si="3"/>
        <v>0</v>
      </c>
      <c r="L33" s="327">
        <f t="shared" si="15"/>
        <v>2300</v>
      </c>
      <c r="M33" s="327">
        <f>+[13]DailyJul!F32</f>
        <v>100</v>
      </c>
      <c r="N33" s="321">
        <f t="shared" si="4"/>
        <v>1.8964536317087046</v>
      </c>
      <c r="O33" s="321">
        <f t="shared" si="5"/>
        <v>1.6802486768041669</v>
      </c>
      <c r="P33" s="327">
        <f t="shared" si="16"/>
        <v>462255.54000000155</v>
      </c>
      <c r="Q33" s="327">
        <f>+[13]DailyJul!G32</f>
        <v>18293.330000000802</v>
      </c>
      <c r="R33" s="321">
        <f t="shared" si="6"/>
        <v>346.92452114547319</v>
      </c>
      <c r="S33" s="321">
        <f t="shared" si="7"/>
        <v>307.37343526843318</v>
      </c>
      <c r="T33" s="327">
        <f t="shared" si="17"/>
        <v>188399.99999999965</v>
      </c>
      <c r="U33" s="327">
        <f>+[13]DailyJul!H32</f>
        <v>8199.9999999998181</v>
      </c>
      <c r="V33" s="321">
        <f t="shared" si="8"/>
        <v>155.50919780011031</v>
      </c>
      <c r="W33" s="321">
        <f t="shared" si="9"/>
        <v>137.78039149793864</v>
      </c>
      <c r="X33" s="327">
        <f t="shared" si="18"/>
        <v>355841.07</v>
      </c>
      <c r="Y33" s="327">
        <f>+[13]DailyJul!I32</f>
        <v>14785.67</v>
      </c>
      <c r="Z33" s="327">
        <f t="shared" si="19"/>
        <v>280.4033756874644</v>
      </c>
      <c r="AA33" s="327">
        <f t="shared" si="20"/>
        <v>248.43602453163069</v>
      </c>
      <c r="AB33" s="327">
        <f t="shared" si="21"/>
        <v>168931.06999999887</v>
      </c>
      <c r="AC33" s="327">
        <f>+[13]DailyJul!J32</f>
        <v>6785.67</v>
      </c>
      <c r="AD33" s="327">
        <f t="shared" si="22"/>
        <v>128.68708515076804</v>
      </c>
      <c r="AE33" s="419">
        <f t="shared" si="23"/>
        <v>114.01613038729732</v>
      </c>
      <c r="AF33" s="327">
        <f t="shared" si="24"/>
        <v>248300.00000000108</v>
      </c>
      <c r="AG33" s="327">
        <f>+[13]DailyJul!K32</f>
        <v>7200.0000000007276</v>
      </c>
      <c r="AH33" s="327">
        <f t="shared" si="25"/>
        <v>136.54466148304053</v>
      </c>
      <c r="AI33" s="447">
        <f t="shared" si="26"/>
        <v>120.97790472991225</v>
      </c>
      <c r="AJ33" s="327">
        <f t="shared" si="27"/>
        <v>10560</v>
      </c>
      <c r="AK33" s="327">
        <f>+[13]DailyJul!L32</f>
        <v>300</v>
      </c>
      <c r="AL33" s="327">
        <f t="shared" si="28"/>
        <v>5.6893608951261134</v>
      </c>
      <c r="AM33" s="447">
        <f t="shared" si="29"/>
        <v>5.0407460304125014</v>
      </c>
      <c r="AN33" s="327">
        <f t="shared" si="30"/>
        <v>15980</v>
      </c>
      <c r="AO33" s="327">
        <f>+[13]DailyJul!M32</f>
        <v>600</v>
      </c>
      <c r="AP33" s="327">
        <f t="shared" si="31"/>
        <v>11.378721790252227</v>
      </c>
      <c r="AQ33" s="447">
        <f t="shared" si="32"/>
        <v>10.081492060825003</v>
      </c>
      <c r="AR33" s="327">
        <f t="shared" si="33"/>
        <v>56571.34000000127</v>
      </c>
      <c r="AS33" s="324">
        <f t="shared" si="10"/>
        <v>1072.8492319363031</v>
      </c>
      <c r="AT33" s="325">
        <f t="shared" si="11"/>
        <v>950.53919180040782</v>
      </c>
    </row>
    <row r="34" spans="1:46">
      <c r="A34" s="318">
        <f t="shared" si="12"/>
        <v>45865</v>
      </c>
      <c r="B34" s="326">
        <f>+Report1!P35</f>
        <v>50.991000000000007</v>
      </c>
      <c r="C34" s="326">
        <f>+Report1!R35</f>
        <v>51.79</v>
      </c>
      <c r="D34" s="327">
        <f t="shared" si="13"/>
        <v>7919.75</v>
      </c>
      <c r="E34" s="327">
        <f>+[13]DailyJul!D33</f>
        <v>275.29000000096858</v>
      </c>
      <c r="F34" s="321">
        <f t="shared" si="0"/>
        <v>5.3987958659561208</v>
      </c>
      <c r="G34" s="321">
        <f t="shared" si="1"/>
        <v>5.3155049237491516</v>
      </c>
      <c r="H34" s="327">
        <f t="shared" si="14"/>
        <v>0</v>
      </c>
      <c r="I34" s="327">
        <f>+[13]DailyJul!E33</f>
        <v>0</v>
      </c>
      <c r="J34" s="321">
        <f t="shared" si="2"/>
        <v>0</v>
      </c>
      <c r="K34" s="321">
        <f t="shared" si="3"/>
        <v>0</v>
      </c>
      <c r="L34" s="327">
        <f t="shared" si="15"/>
        <v>2400</v>
      </c>
      <c r="M34" s="327">
        <f>+[13]DailyJul!F33</f>
        <v>100</v>
      </c>
      <c r="N34" s="321">
        <f t="shared" si="4"/>
        <v>1.9611303955600006</v>
      </c>
      <c r="O34" s="321">
        <f t="shared" si="5"/>
        <v>1.9308746862328636</v>
      </c>
      <c r="P34" s="327">
        <f t="shared" si="16"/>
        <v>480480.25000000093</v>
      </c>
      <c r="Q34" s="327">
        <f>+[13]DailyJul!G33</f>
        <v>18224.709999999395</v>
      </c>
      <c r="R34" s="321">
        <f t="shared" si="6"/>
        <v>357.41032731265113</v>
      </c>
      <c r="S34" s="321">
        <f t="shared" si="7"/>
        <v>351.89631202933765</v>
      </c>
      <c r="T34" s="327">
        <f t="shared" si="17"/>
        <v>196599.99999999948</v>
      </c>
      <c r="U34" s="327">
        <f>+[13]DailyJul!H33</f>
        <v>8199.9999999998181</v>
      </c>
      <c r="V34" s="321">
        <f t="shared" si="8"/>
        <v>160.81269243591649</v>
      </c>
      <c r="W34" s="321">
        <f t="shared" si="9"/>
        <v>158.3317242710913</v>
      </c>
      <c r="X34" s="327">
        <f t="shared" si="18"/>
        <v>370166.74</v>
      </c>
      <c r="Y34" s="327">
        <f>+[13]DailyJul!I33</f>
        <v>14325.67</v>
      </c>
      <c r="Z34" s="327">
        <f t="shared" si="19"/>
        <v>280.94506873762032</v>
      </c>
      <c r="AA34" s="327">
        <f t="shared" si="20"/>
        <v>276.61073566325547</v>
      </c>
      <c r="AB34" s="327">
        <f t="shared" si="21"/>
        <v>175256.73999999888</v>
      </c>
      <c r="AC34" s="327">
        <f>+[13]DailyJul!J33</f>
        <v>6325.67</v>
      </c>
      <c r="AD34" s="327">
        <f t="shared" si="22"/>
        <v>124.05463709282029</v>
      </c>
      <c r="AE34" s="419">
        <f t="shared" si="23"/>
        <v>122.14076076462638</v>
      </c>
      <c r="AF34" s="327">
        <f t="shared" si="24"/>
        <v>255500.0000000018</v>
      </c>
      <c r="AG34" s="327">
        <f>+[13]DailyJul!K33</f>
        <v>7200.0000000007276</v>
      </c>
      <c r="AH34" s="327">
        <f t="shared" si="25"/>
        <v>141.20138848033432</v>
      </c>
      <c r="AI34" s="447">
        <f t="shared" si="26"/>
        <v>139.02297740878024</v>
      </c>
      <c r="AJ34" s="327">
        <f t="shared" si="27"/>
        <v>10860</v>
      </c>
      <c r="AK34" s="327">
        <f>+[13]DailyJul!L33</f>
        <v>300</v>
      </c>
      <c r="AL34" s="327">
        <f t="shared" si="28"/>
        <v>5.8833911866800017</v>
      </c>
      <c r="AM34" s="447">
        <f t="shared" si="29"/>
        <v>5.7926240586985909</v>
      </c>
      <c r="AN34" s="327">
        <f t="shared" si="30"/>
        <v>16580</v>
      </c>
      <c r="AO34" s="327">
        <f>+[13]DailyJul!M33</f>
        <v>600</v>
      </c>
      <c r="AP34" s="327">
        <f t="shared" si="31"/>
        <v>11.766782373360003</v>
      </c>
      <c r="AQ34" s="447">
        <f t="shared" si="32"/>
        <v>11.585248117397182</v>
      </c>
      <c r="AR34" s="327">
        <f t="shared" si="33"/>
        <v>55551.340000000906</v>
      </c>
      <c r="AS34" s="324">
        <f t="shared" si="10"/>
        <v>1089.4342138808986</v>
      </c>
      <c r="AT34" s="325">
        <f t="shared" si="11"/>
        <v>1072.6267619231687</v>
      </c>
    </row>
    <row r="35" spans="1:46">
      <c r="A35" s="318">
        <f t="shared" si="12"/>
        <v>45866</v>
      </c>
      <c r="B35" s="326">
        <f>+Report1!P36</f>
        <v>52.192999999999998</v>
      </c>
      <c r="C35" s="326">
        <f>+Report1!R36</f>
        <v>48.252000000000002</v>
      </c>
      <c r="D35" s="327">
        <f t="shared" si="13"/>
        <v>8233.9199999999255</v>
      </c>
      <c r="E35" s="327">
        <f>+[13]DailyJul!D34</f>
        <v>314.16999999992549</v>
      </c>
      <c r="F35" s="321">
        <f t="shared" si="0"/>
        <v>6.0193895733130018</v>
      </c>
      <c r="G35" s="321">
        <f t="shared" si="1"/>
        <v>6.5110254497207469</v>
      </c>
      <c r="H35" s="327">
        <f t="shared" si="14"/>
        <v>0</v>
      </c>
      <c r="I35" s="327">
        <f>+[13]DailyJul!E34</f>
        <v>0</v>
      </c>
      <c r="J35" s="321">
        <f t="shared" si="2"/>
        <v>0</v>
      </c>
      <c r="K35" s="321">
        <f t="shared" si="3"/>
        <v>0</v>
      </c>
      <c r="L35" s="327">
        <f t="shared" si="15"/>
        <v>2500</v>
      </c>
      <c r="M35" s="327">
        <f>+[13]DailyJul!F34</f>
        <v>100</v>
      </c>
      <c r="N35" s="321">
        <f t="shared" si="4"/>
        <v>1.9159657425325236</v>
      </c>
      <c r="O35" s="321">
        <f t="shared" si="5"/>
        <v>2.0724529553179143</v>
      </c>
      <c r="P35" s="327">
        <f t="shared" si="16"/>
        <v>496966.07999999879</v>
      </c>
      <c r="Q35" s="327">
        <f>+[13]DailyJul!G34</f>
        <v>16485.829999997892</v>
      </c>
      <c r="R35" s="321">
        <f t="shared" si="6"/>
        <v>315.86285517210916</v>
      </c>
      <c r="S35" s="321">
        <f t="shared" si="7"/>
        <v>341.66107104364357</v>
      </c>
      <c r="T35" s="327">
        <f t="shared" si="17"/>
        <v>204100.00000000038</v>
      </c>
      <c r="U35" s="327">
        <f>+[13]DailyJul!H34</f>
        <v>7500.0000000009095</v>
      </c>
      <c r="V35" s="321">
        <f t="shared" si="8"/>
        <v>143.69743068995669</v>
      </c>
      <c r="W35" s="321">
        <f t="shared" si="9"/>
        <v>155.43397164886241</v>
      </c>
      <c r="X35" s="327">
        <f t="shared" si="18"/>
        <v>384005.98999999929</v>
      </c>
      <c r="Y35" s="327">
        <f>+[13]DailyJul!I34</f>
        <v>13839.249999999272</v>
      </c>
      <c r="Z35" s="327">
        <f t="shared" si="19"/>
        <v>265.15528902341833</v>
      </c>
      <c r="AA35" s="327">
        <f t="shared" si="20"/>
        <v>286.81194561881938</v>
      </c>
      <c r="AB35" s="327">
        <f t="shared" si="21"/>
        <v>175905.9899999995</v>
      </c>
      <c r="AC35" s="327">
        <f>+[13]DailyJul!J34</f>
        <v>649.25000000061391</v>
      </c>
      <c r="AD35" s="327">
        <f t="shared" si="22"/>
        <v>12.439407583404172</v>
      </c>
      <c r="AE35" s="419">
        <f t="shared" si="23"/>
        <v>13.455400812414281</v>
      </c>
      <c r="AF35" s="327">
        <f t="shared" si="24"/>
        <v>263600.00000000035</v>
      </c>
      <c r="AG35" s="327">
        <f>+[13]DailyJul!K34</f>
        <v>8099.9999999985448</v>
      </c>
      <c r="AH35" s="327">
        <f t="shared" si="25"/>
        <v>155.19322514510654</v>
      </c>
      <c r="AI35" s="447">
        <f t="shared" si="26"/>
        <v>167.86868938072089</v>
      </c>
      <c r="AJ35" s="327">
        <f t="shared" si="27"/>
        <v>11330</v>
      </c>
      <c r="AK35" s="327">
        <f>+[13]DailyJul!L34</f>
        <v>470</v>
      </c>
      <c r="AL35" s="327">
        <f t="shared" si="28"/>
        <v>9.0050389899028609</v>
      </c>
      <c r="AM35" s="447">
        <f t="shared" si="29"/>
        <v>9.7405288899941969</v>
      </c>
      <c r="AN35" s="327">
        <f t="shared" si="30"/>
        <v>17520</v>
      </c>
      <c r="AO35" s="327">
        <f>+[13]DailyJul!M34</f>
        <v>940</v>
      </c>
      <c r="AP35" s="327">
        <f t="shared" si="31"/>
        <v>18.010077979805722</v>
      </c>
      <c r="AQ35" s="447">
        <f t="shared" si="32"/>
        <v>19.481057779988394</v>
      </c>
      <c r="AR35" s="327">
        <f t="shared" si="33"/>
        <v>48398.499999997155</v>
      </c>
      <c r="AS35" s="324">
        <f t="shared" si="10"/>
        <v>927.29867989954892</v>
      </c>
      <c r="AT35" s="325">
        <f t="shared" si="11"/>
        <v>1003.0361435794817</v>
      </c>
    </row>
    <row r="36" spans="1:46">
      <c r="A36" s="318">
        <f t="shared" si="12"/>
        <v>45867</v>
      </c>
      <c r="B36" s="326">
        <f>+Report1!P37</f>
        <v>53.781999999999996</v>
      </c>
      <c r="C36" s="326">
        <f>+Report1!R37</f>
        <v>53.576000000000001</v>
      </c>
      <c r="D36" s="327">
        <f t="shared" si="13"/>
        <v>8554.5299999993294</v>
      </c>
      <c r="E36" s="327">
        <f>+[13]DailyJul!D35</f>
        <v>320.60999999940395</v>
      </c>
      <c r="F36" s="321">
        <f t="shared" si="0"/>
        <v>5.9612881633149373</v>
      </c>
      <c r="G36" s="321">
        <f t="shared" si="1"/>
        <v>5.9842093474578908</v>
      </c>
      <c r="H36" s="327">
        <f t="shared" si="14"/>
        <v>0</v>
      </c>
      <c r="I36" s="327">
        <f>+[13]DailyJul!E35</f>
        <v>0</v>
      </c>
      <c r="J36" s="321">
        <f t="shared" si="2"/>
        <v>0</v>
      </c>
      <c r="K36" s="321">
        <f t="shared" si="3"/>
        <v>0</v>
      </c>
      <c r="L36" s="327">
        <f t="shared" si="15"/>
        <v>2600</v>
      </c>
      <c r="M36" s="327">
        <f>+[13]DailyJul!F35</f>
        <v>100</v>
      </c>
      <c r="N36" s="321">
        <f t="shared" si="4"/>
        <v>1.8593581495667697</v>
      </c>
      <c r="O36" s="321">
        <f t="shared" si="5"/>
        <v>1.8665073913692698</v>
      </c>
      <c r="P36" s="327">
        <f t="shared" si="16"/>
        <v>514745.47000000009</v>
      </c>
      <c r="Q36" s="327">
        <f>+[13]DailyJul!G35</f>
        <v>17779.390000001324</v>
      </c>
      <c r="R36" s="321">
        <f t="shared" si="6"/>
        <v>330.58253690828388</v>
      </c>
      <c r="S36" s="321">
        <f t="shared" si="7"/>
        <v>331.85362849039353</v>
      </c>
      <c r="T36" s="327">
        <f t="shared" si="17"/>
        <v>212100.00000000038</v>
      </c>
      <c r="U36" s="327">
        <f>+[13]DailyJul!H35</f>
        <v>8000</v>
      </c>
      <c r="V36" s="321">
        <f t="shared" si="8"/>
        <v>148.74865196534157</v>
      </c>
      <c r="W36" s="321">
        <f t="shared" si="9"/>
        <v>149.32059130954158</v>
      </c>
      <c r="X36" s="327">
        <f t="shared" si="18"/>
        <v>399464.43999999855</v>
      </c>
      <c r="Y36" s="327">
        <f>+[13]DailyJul!I35</f>
        <v>15458.449999999273</v>
      </c>
      <c r="Z36" s="327">
        <f t="shared" si="19"/>
        <v>287.42794987169077</v>
      </c>
      <c r="AA36" s="327">
        <f t="shared" si="20"/>
        <v>288.5331118411093</v>
      </c>
      <c r="AB36" s="327">
        <f t="shared" si="21"/>
        <v>182264.43999999957</v>
      </c>
      <c r="AC36" s="327">
        <f>+[13]DailyJul!J35</f>
        <v>6358.4500000000689</v>
      </c>
      <c r="AD36" s="327">
        <f t="shared" si="22"/>
        <v>118.22635826112955</v>
      </c>
      <c r="AE36" s="419">
        <f t="shared" si="23"/>
        <v>118.68093922652062</v>
      </c>
      <c r="AF36" s="327">
        <f t="shared" si="24"/>
        <v>271399.99999999965</v>
      </c>
      <c r="AG36" s="327">
        <f>+[13]DailyJul!K35</f>
        <v>7799.9999999992724</v>
      </c>
      <c r="AH36" s="327">
        <f t="shared" si="25"/>
        <v>145.02993566619452</v>
      </c>
      <c r="AI36" s="447">
        <f t="shared" si="26"/>
        <v>145.58757652678946</v>
      </c>
      <c r="AJ36" s="327">
        <f t="shared" si="27"/>
        <v>11740</v>
      </c>
      <c r="AK36" s="327">
        <f>+[13]DailyJul!L35</f>
        <v>410</v>
      </c>
      <c r="AL36" s="327">
        <f t="shared" si="28"/>
        <v>7.6233684132237558</v>
      </c>
      <c r="AM36" s="447">
        <f t="shared" si="29"/>
        <v>7.6526803046140062</v>
      </c>
      <c r="AN36" s="327">
        <f t="shared" si="30"/>
        <v>18070</v>
      </c>
      <c r="AO36" s="327">
        <f>+[13]DailyJul!M35</f>
        <v>550</v>
      </c>
      <c r="AP36" s="327">
        <f t="shared" si="31"/>
        <v>10.226469822617233</v>
      </c>
      <c r="AQ36" s="447">
        <f t="shared" si="32"/>
        <v>10.265790652530985</v>
      </c>
      <c r="AR36" s="327">
        <f t="shared" si="33"/>
        <v>56776.899999999339</v>
      </c>
      <c r="AS36" s="324">
        <f t="shared" si="10"/>
        <v>1055.6859172213631</v>
      </c>
      <c r="AT36" s="325">
        <f t="shared" si="11"/>
        <v>1059.7450350903266</v>
      </c>
    </row>
    <row r="37" spans="1:46">
      <c r="A37" s="318">
        <f t="shared" si="12"/>
        <v>45868</v>
      </c>
      <c r="B37" s="326">
        <f>+Report1!P38</f>
        <v>53.278999999999996</v>
      </c>
      <c r="C37" s="326">
        <f>+Report1!R38</f>
        <v>52.741999999999997</v>
      </c>
      <c r="D37" s="327">
        <f t="shared" si="13"/>
        <v>8858.1499999985099</v>
      </c>
      <c r="E37" s="327">
        <f>+[13]DailyJul!D36</f>
        <v>303.61999999918044</v>
      </c>
      <c r="F37" s="321">
        <f t="shared" si="0"/>
        <v>5.698680530775361</v>
      </c>
      <c r="G37" s="321">
        <f t="shared" si="1"/>
        <v>5.75670243826894</v>
      </c>
      <c r="H37" s="327">
        <f t="shared" si="14"/>
        <v>0</v>
      </c>
      <c r="I37" s="327">
        <f>+[13]DailyJul!E36</f>
        <v>0</v>
      </c>
      <c r="J37" s="321">
        <f t="shared" si="2"/>
        <v>0</v>
      </c>
      <c r="K37" s="321">
        <f t="shared" si="3"/>
        <v>0</v>
      </c>
      <c r="L37" s="327">
        <f t="shared" si="15"/>
        <v>2600</v>
      </c>
      <c r="M37" s="327">
        <f>+[13]DailyJul!F36</f>
        <v>0</v>
      </c>
      <c r="N37" s="321">
        <f t="shared" si="4"/>
        <v>0</v>
      </c>
      <c r="O37" s="321">
        <f t="shared" si="5"/>
        <v>0</v>
      </c>
      <c r="P37" s="327">
        <f t="shared" si="16"/>
        <v>531941.85000000091</v>
      </c>
      <c r="Q37" s="327">
        <f>+[13]DailyJul!G36</f>
        <v>17196.38000000082</v>
      </c>
      <c r="R37" s="321">
        <f t="shared" si="6"/>
        <v>322.76093770530264</v>
      </c>
      <c r="S37" s="321">
        <f t="shared" si="7"/>
        <v>326.04717303099653</v>
      </c>
      <c r="T37" s="327">
        <f t="shared" si="17"/>
        <v>219600.00000000038</v>
      </c>
      <c r="U37" s="327">
        <f>+[13]DailyJul!H36</f>
        <v>7500</v>
      </c>
      <c r="V37" s="321">
        <f t="shared" si="8"/>
        <v>140.76840781546201</v>
      </c>
      <c r="W37" s="321">
        <f t="shared" si="9"/>
        <v>142.20166091539949</v>
      </c>
      <c r="X37" s="327">
        <f t="shared" si="18"/>
        <v>412915.7599999989</v>
      </c>
      <c r="Y37" s="327">
        <f>+[13]DailyJul!I36</f>
        <v>13451.320000000364</v>
      </c>
      <c r="Z37" s="327">
        <f t="shared" si="19"/>
        <v>252.46945325551087</v>
      </c>
      <c r="AA37" s="327">
        <f t="shared" si="20"/>
        <v>255.04000606727777</v>
      </c>
      <c r="AB37" s="327">
        <f t="shared" si="21"/>
        <v>187145.75999999835</v>
      </c>
      <c r="AC37" s="327">
        <f>+[13]DailyJul!J36</f>
        <v>4881.3199999987946</v>
      </c>
      <c r="AD37" s="327">
        <f t="shared" si="22"/>
        <v>91.618085925013517</v>
      </c>
      <c r="AE37" s="419">
        <f t="shared" si="23"/>
        <v>92.550908194584864</v>
      </c>
      <c r="AF37" s="327">
        <f t="shared" si="24"/>
        <v>278500</v>
      </c>
      <c r="AG37" s="327">
        <f>+[13]DailyJul!K36</f>
        <v>7100.0000000003638</v>
      </c>
      <c r="AH37" s="327">
        <f t="shared" si="25"/>
        <v>133.26075939864421</v>
      </c>
      <c r="AI37" s="447">
        <f t="shared" si="26"/>
        <v>134.61757233325176</v>
      </c>
      <c r="AJ37" s="327">
        <f t="shared" si="27"/>
        <v>12140</v>
      </c>
      <c r="AK37" s="327">
        <f>+[13]DailyJul!L36</f>
        <v>400</v>
      </c>
      <c r="AL37" s="327">
        <f t="shared" si="28"/>
        <v>7.5076484168246402</v>
      </c>
      <c r="AM37" s="447">
        <f t="shared" si="29"/>
        <v>7.5840885821546395</v>
      </c>
      <c r="AN37" s="327">
        <f t="shared" si="30"/>
        <v>18550</v>
      </c>
      <c r="AO37" s="327">
        <f>+[13]DailyJul!M36</f>
        <v>480</v>
      </c>
      <c r="AP37" s="327">
        <f t="shared" si="31"/>
        <v>9.009178100189569</v>
      </c>
      <c r="AQ37" s="447">
        <f t="shared" si="32"/>
        <v>9.1009062985855671</v>
      </c>
      <c r="AR37" s="327">
        <f t="shared" si="33"/>
        <v>51312.639999999519</v>
      </c>
      <c r="AS37" s="324">
        <f t="shared" si="10"/>
        <v>963.09315114772278</v>
      </c>
      <c r="AT37" s="325">
        <f t="shared" si="11"/>
        <v>972.89901786051951</v>
      </c>
    </row>
    <row r="38" spans="1:46">
      <c r="A38" s="318">
        <f t="shared" si="12"/>
        <v>45869</v>
      </c>
      <c r="B38" s="326">
        <f>+Report1!P39</f>
        <v>53.228999999999999</v>
      </c>
      <c r="C38" s="326">
        <f>+Report1!R39</f>
        <v>50.648000000000003</v>
      </c>
      <c r="D38" s="327">
        <f t="shared" si="13"/>
        <v>9224.0499999988824</v>
      </c>
      <c r="E38" s="327">
        <f>+[13]DailyJul!D37</f>
        <v>365.90000000037253</v>
      </c>
      <c r="F38" s="321">
        <f t="shared" si="0"/>
        <v>6.8740724041475989</v>
      </c>
      <c r="G38" s="321">
        <f t="shared" si="1"/>
        <v>7.2243721371104979</v>
      </c>
      <c r="H38" s="327">
        <f t="shared" si="14"/>
        <v>0</v>
      </c>
      <c r="I38" s="327">
        <f>+[13]DailyJul!E37</f>
        <v>0</v>
      </c>
      <c r="J38" s="321">
        <f t="shared" si="2"/>
        <v>0</v>
      </c>
      <c r="K38" s="321">
        <f t="shared" si="3"/>
        <v>0</v>
      </c>
      <c r="L38" s="327">
        <f t="shared" si="15"/>
        <v>2700</v>
      </c>
      <c r="M38" s="327">
        <f>+[13]DailyJul!F37</f>
        <v>100</v>
      </c>
      <c r="N38" s="321">
        <f t="shared" si="4"/>
        <v>1.8786751582783821</v>
      </c>
      <c r="O38" s="321">
        <f t="shared" si="5"/>
        <v>1.9744116253356498</v>
      </c>
      <c r="P38" s="327">
        <f t="shared" si="16"/>
        <v>549975.95000000054</v>
      </c>
      <c r="Q38" s="327">
        <f>+[13]DailyJul!G37</f>
        <v>18034.099999999627</v>
      </c>
      <c r="R38" s="322">
        <f t="shared" si="6"/>
        <v>338.80215671907473</v>
      </c>
      <c r="S38" s="322">
        <f t="shared" si="7"/>
        <v>356.06736692464909</v>
      </c>
      <c r="T38" s="327">
        <f t="shared" si="17"/>
        <v>227600.00000000038</v>
      </c>
      <c r="U38" s="327">
        <f>+[13]DailyJul!H37</f>
        <v>8000</v>
      </c>
      <c r="V38" s="321">
        <f t="shared" si="8"/>
        <v>150.29401266227057</v>
      </c>
      <c r="W38" s="321">
        <f t="shared" si="9"/>
        <v>157.95293002685199</v>
      </c>
      <c r="X38" s="327">
        <f t="shared" si="18"/>
        <v>425597.77</v>
      </c>
      <c r="Y38" s="327">
        <f>+[13]DailyJul!I37</f>
        <v>12682.010000001092</v>
      </c>
      <c r="Z38" s="327">
        <f t="shared" si="19"/>
        <v>238.25377144040075</v>
      </c>
      <c r="AA38" s="327">
        <f t="shared" si="20"/>
        <v>250.3950797662512</v>
      </c>
      <c r="AB38" s="327">
        <f t="shared" si="21"/>
        <v>191777.76999999981</v>
      </c>
      <c r="AC38" s="327">
        <f>+[13]DailyJul!J37</f>
        <v>4632.0100000014781</v>
      </c>
      <c r="AD38" s="327">
        <f t="shared" si="22"/>
        <v>87.020421198998264</v>
      </c>
      <c r="AE38" s="419">
        <f t="shared" si="23"/>
        <v>91.45494392673902</v>
      </c>
      <c r="AF38" s="327">
        <f t="shared" si="24"/>
        <v>286399.99999999965</v>
      </c>
      <c r="AG38" s="327">
        <f>+[13]DailyJul!K37</f>
        <v>7899.9999999996362</v>
      </c>
      <c r="AH38" s="327">
        <f t="shared" si="25"/>
        <v>148.41533750398534</v>
      </c>
      <c r="AI38" s="447">
        <f t="shared" si="26"/>
        <v>155.97851840150915</v>
      </c>
      <c r="AJ38" s="327">
        <f t="shared" si="27"/>
        <v>12510</v>
      </c>
      <c r="AK38" s="327">
        <f>+[13]DailyJul!L37</f>
        <v>370</v>
      </c>
      <c r="AL38" s="327">
        <f t="shared" si="28"/>
        <v>6.9510980856300142</v>
      </c>
      <c r="AM38" s="447">
        <f t="shared" si="29"/>
        <v>7.3053230137419041</v>
      </c>
      <c r="AN38" s="327">
        <f t="shared" si="30"/>
        <v>19100</v>
      </c>
      <c r="AO38" s="327">
        <f>+[13]DailyJul!M37</f>
        <v>550</v>
      </c>
      <c r="AP38" s="327">
        <f t="shared" si="31"/>
        <v>10.332713370531101</v>
      </c>
      <c r="AQ38" s="447">
        <f t="shared" si="32"/>
        <v>10.859263939346075</v>
      </c>
      <c r="AR38" s="327">
        <f t="shared" si="33"/>
        <v>52634.020000002209</v>
      </c>
      <c r="AS38" s="324">
        <f t="shared" si="10"/>
        <v>988.82225854331682</v>
      </c>
      <c r="AT38" s="325">
        <f t="shared" si="11"/>
        <v>1039.2122097615347</v>
      </c>
    </row>
    <row r="39" spans="1:46">
      <c r="A39" s="318"/>
      <c r="B39" s="326"/>
      <c r="C39" s="326"/>
      <c r="D39" s="309"/>
      <c r="E39" s="320"/>
      <c r="F39" s="321"/>
      <c r="G39" s="321"/>
      <c r="H39" s="313"/>
      <c r="I39" s="315"/>
      <c r="J39" s="321"/>
      <c r="K39" s="321"/>
      <c r="L39" s="315"/>
      <c r="M39" s="320"/>
      <c r="N39" s="321"/>
      <c r="O39" s="321"/>
      <c r="P39" s="316"/>
      <c r="Q39" s="320"/>
      <c r="R39" s="322"/>
      <c r="S39" s="322"/>
      <c r="T39" s="317"/>
      <c r="U39" s="320"/>
      <c r="V39" s="321"/>
      <c r="W39" s="321"/>
      <c r="X39" s="327"/>
      <c r="Y39" s="327"/>
      <c r="Z39" s="327"/>
      <c r="AA39" s="327"/>
      <c r="AB39" s="327"/>
      <c r="AC39" s="327"/>
      <c r="AD39" s="327"/>
      <c r="AE39" s="327"/>
      <c r="AF39" s="327"/>
      <c r="AG39" s="327"/>
      <c r="AH39" s="327"/>
      <c r="AI39" s="327"/>
      <c r="AJ39" s="327"/>
      <c r="AK39" s="327"/>
      <c r="AL39" s="327"/>
      <c r="AM39" s="327"/>
      <c r="AN39" s="327"/>
      <c r="AO39" s="327"/>
      <c r="AP39" s="327"/>
      <c r="AQ39" s="327"/>
      <c r="AR39" s="323"/>
      <c r="AS39" s="324"/>
      <c r="AT39" s="325"/>
    </row>
    <row r="40" spans="1:46">
      <c r="A40" s="328" t="s">
        <v>27</v>
      </c>
      <c r="B40" s="329">
        <f>SUM(B8:B38)</f>
        <v>1762.306</v>
      </c>
      <c r="C40" s="329">
        <f>SUM(C8:C38)</f>
        <v>1669.0300000000004</v>
      </c>
      <c r="D40" s="323"/>
      <c r="E40" s="329">
        <f>SUM(E8:E38)</f>
        <v>9224.0499999988824</v>
      </c>
      <c r="F40" s="330">
        <f>E40/B40</f>
        <v>5.2340796660732485</v>
      </c>
      <c r="G40" s="330">
        <f>E40/C40</f>
        <v>5.5265932907130972</v>
      </c>
      <c r="H40" s="331"/>
      <c r="I40" s="329">
        <f>SUM(I8:I38)</f>
        <v>0</v>
      </c>
      <c r="J40" s="330">
        <f>I40/B40</f>
        <v>0</v>
      </c>
      <c r="K40" s="330">
        <f>I40/C40</f>
        <v>0</v>
      </c>
      <c r="L40" s="332"/>
      <c r="M40" s="329">
        <f>SUM(M8:M38)</f>
        <v>2700</v>
      </c>
      <c r="N40" s="330">
        <f>M40/B40</f>
        <v>1.5320835314638888</v>
      </c>
      <c r="O40" s="330">
        <f>M40/C40</f>
        <v>1.6177060927604652</v>
      </c>
      <c r="P40" s="333"/>
      <c r="Q40" s="329">
        <f>SUM(Q8:Q38)</f>
        <v>549975.95000000054</v>
      </c>
      <c r="R40" s="330">
        <f>Q40/B40</f>
        <v>312.07744285044737</v>
      </c>
      <c r="S40" s="330">
        <f>Q40/C40</f>
        <v>329.51831303212072</v>
      </c>
      <c r="T40" s="334"/>
      <c r="U40" s="335">
        <f>SUM(U8:U38)</f>
        <v>227600.00000000038</v>
      </c>
      <c r="V40" s="330">
        <f>U40/B40</f>
        <v>129.14896731895618</v>
      </c>
      <c r="W40" s="330">
        <f>U40/C40</f>
        <v>136.3666321156602</v>
      </c>
      <c r="X40" s="336"/>
      <c r="Y40" s="335">
        <f>SUM(Y8:Y38)</f>
        <v>425597.77</v>
      </c>
      <c r="Z40" s="330">
        <f>Y40/B40</f>
        <v>241.5004942387985</v>
      </c>
      <c r="AA40" s="330">
        <f>Y40/C40</f>
        <v>254.99707614602488</v>
      </c>
      <c r="AB40" s="336"/>
      <c r="AC40" s="335">
        <f>SUM(AC8:AC38)</f>
        <v>191777.76999999981</v>
      </c>
      <c r="AD40" s="410">
        <f>AC40/B40</f>
        <v>108.8220604140256</v>
      </c>
      <c r="AE40" s="330">
        <f>AC40/C40</f>
        <v>114.90372851296847</v>
      </c>
      <c r="AF40" s="336"/>
      <c r="AG40" s="335">
        <f>SUM(AG8:AG38)</f>
        <v>286399.99999999965</v>
      </c>
      <c r="AH40" s="330">
        <f>AG40/B40</f>
        <v>162.51434200416932</v>
      </c>
      <c r="AI40" s="330">
        <f>AG40/C40</f>
        <v>171.59667591355432</v>
      </c>
      <c r="AJ40" s="336"/>
      <c r="AK40" s="335">
        <f>SUM(AK8:AK38)</f>
        <v>12510</v>
      </c>
      <c r="AL40" s="330">
        <f>AK40/B40</f>
        <v>7.0986536957826845</v>
      </c>
      <c r="AM40" s="330">
        <f>AK40/C40</f>
        <v>7.4953715631234887</v>
      </c>
      <c r="AN40" s="336"/>
      <c r="AO40" s="335">
        <f>SUM(AO8:AO38)</f>
        <v>19100</v>
      </c>
      <c r="AP40" s="330">
        <f>AO40/B40</f>
        <v>10.838072389244546</v>
      </c>
      <c r="AQ40" s="330">
        <f>AO40/C40</f>
        <v>11.443772730268476</v>
      </c>
      <c r="AR40" s="323">
        <f>E40+I40+M40+Q40+U40+Y40+AC40+AG40+AK40+AO40</f>
        <v>1724885.5399999991</v>
      </c>
      <c r="AS40" s="410">
        <f>AR40/B40</f>
        <v>978.76619610896125</v>
      </c>
      <c r="AT40" s="332">
        <f>AR40/C40</f>
        <v>1033.465869397194</v>
      </c>
    </row>
    <row r="41" spans="1:46">
      <c r="T41" s="337"/>
      <c r="AP41" s="385"/>
    </row>
    <row r="42" spans="1:46">
      <c r="AR42" s="5">
        <f>+AR40-[13]DailyJul!$N$38</f>
        <v>0</v>
      </c>
    </row>
    <row r="43" spans="1:46">
      <c r="G43" s="338"/>
      <c r="H43" s="339"/>
    </row>
    <row r="44" spans="1:46">
      <c r="G44" s="338"/>
      <c r="I44" s="338"/>
      <c r="L44" s="338"/>
    </row>
    <row r="45" spans="1:46">
      <c r="E45" t="s">
        <v>0</v>
      </c>
      <c r="G45" s="338"/>
    </row>
  </sheetData>
  <mergeCells count="16">
    <mergeCell ref="A2:AR2"/>
    <mergeCell ref="A4:A6"/>
    <mergeCell ref="B4:B6"/>
    <mergeCell ref="C4:C6"/>
    <mergeCell ref="D5:G5"/>
    <mergeCell ref="AB5:AE5"/>
    <mergeCell ref="AF5:AI5"/>
    <mergeCell ref="AN5:AQ5"/>
    <mergeCell ref="H5:K5"/>
    <mergeCell ref="AR4:AT5"/>
    <mergeCell ref="P5:S5"/>
    <mergeCell ref="L5:O5"/>
    <mergeCell ref="T5:W5"/>
    <mergeCell ref="X5:AA5"/>
    <mergeCell ref="AJ5:AM5"/>
    <mergeCell ref="D4:AQ4"/>
  </mergeCells>
  <phoneticPr fontId="31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08"/>
  <sheetViews>
    <sheetView topLeftCell="A91" zoomScale="90" zoomScaleNormal="90" workbookViewId="0">
      <selection activeCell="E107" sqref="E107"/>
    </sheetView>
  </sheetViews>
  <sheetFormatPr defaultRowHeight="12.75"/>
  <cols>
    <col min="1" max="1" width="10.140625" bestFit="1" customWidth="1"/>
    <col min="2" max="2" width="11.85546875" bestFit="1" customWidth="1"/>
    <col min="4" max="4" width="22.28515625" customWidth="1"/>
  </cols>
  <sheetData>
    <row r="1" spans="1:9">
      <c r="A1" s="103" t="s">
        <v>148</v>
      </c>
      <c r="B1" s="344">
        <f>+Report1!A9</f>
        <v>45839</v>
      </c>
      <c r="C1" s="104"/>
      <c r="G1" s="105"/>
      <c r="H1" s="106"/>
    </row>
    <row r="2" spans="1:9" ht="13.5" thickBot="1">
      <c r="A2" s="103"/>
      <c r="B2" s="104"/>
      <c r="C2" s="104"/>
      <c r="G2" s="105"/>
      <c r="H2" s="106"/>
    </row>
    <row r="3" spans="1:9" ht="26.25" thickBot="1">
      <c r="A3" s="559" t="s">
        <v>120</v>
      </c>
      <c r="B3" s="560" t="s">
        <v>8</v>
      </c>
      <c r="C3" s="560" t="s">
        <v>93</v>
      </c>
      <c r="D3" s="560" t="s">
        <v>121</v>
      </c>
      <c r="E3" s="560" t="s">
        <v>122</v>
      </c>
      <c r="F3" s="560" t="s">
        <v>123</v>
      </c>
      <c r="G3" s="561" t="s">
        <v>124</v>
      </c>
      <c r="H3" s="562" t="s">
        <v>125</v>
      </c>
      <c r="I3" s="596" t="s">
        <v>424</v>
      </c>
    </row>
    <row r="4" spans="1:9">
      <c r="A4" s="557">
        <f>+B1</f>
        <v>45839</v>
      </c>
      <c r="B4" s="615" t="s">
        <v>456</v>
      </c>
      <c r="C4" s="616">
        <v>1</v>
      </c>
      <c r="D4" s="556" t="s">
        <v>457</v>
      </c>
      <c r="E4" s="556">
        <f>42*2+61*3</f>
        <v>267</v>
      </c>
      <c r="F4">
        <f>14+11+13+14+1</f>
        <v>53</v>
      </c>
      <c r="G4" s="558">
        <f>+E4*F4</f>
        <v>14151</v>
      </c>
      <c r="H4" s="563">
        <f>+(E4*F4+E5*F5)/(SUM(F4:F5))</f>
        <v>268.34375</v>
      </c>
      <c r="I4" s="415">
        <f>+'1'!I38</f>
        <v>68.905000000000001</v>
      </c>
    </row>
    <row r="5" spans="1:9">
      <c r="A5" s="413"/>
      <c r="B5" s="615" t="s">
        <v>456</v>
      </c>
      <c r="C5" s="616">
        <v>1</v>
      </c>
      <c r="D5" s="556" t="s">
        <v>477</v>
      </c>
      <c r="E5" s="556">
        <f>42*4+51*2</f>
        <v>270</v>
      </c>
      <c r="F5">
        <f>3+24+16</f>
        <v>43</v>
      </c>
      <c r="G5" s="558">
        <f>+E5*F5</f>
        <v>11610</v>
      </c>
      <c r="H5" s="563"/>
      <c r="I5" s="415"/>
    </row>
    <row r="6" spans="1:9" ht="13.5" thickBot="1">
      <c r="A6" s="414"/>
      <c r="B6" s="414"/>
      <c r="C6" s="386"/>
      <c r="D6" s="387"/>
      <c r="E6" s="386"/>
      <c r="F6" s="386"/>
      <c r="G6" s="386"/>
      <c r="H6" s="416"/>
      <c r="I6" s="416"/>
    </row>
    <row r="7" spans="1:9">
      <c r="A7" s="557">
        <v>45840</v>
      </c>
      <c r="B7" s="615" t="s">
        <v>456</v>
      </c>
      <c r="C7" s="616">
        <v>1</v>
      </c>
      <c r="D7" s="556" t="s">
        <v>457</v>
      </c>
      <c r="E7" s="556">
        <f>42*2+61*3</f>
        <v>267</v>
      </c>
      <c r="F7">
        <f>15+14+1+14</f>
        <v>44</v>
      </c>
      <c r="G7" s="558">
        <f>+E7*F7</f>
        <v>11748</v>
      </c>
      <c r="H7" s="563">
        <f>+(E7*F7+E8*F8+E9*F9)/(SUM(F7:F9))</f>
        <v>268.64367816091954</v>
      </c>
      <c r="I7" s="415">
        <f>+'2'!I38</f>
        <v>68.865999999999985</v>
      </c>
    </row>
    <row r="8" spans="1:9">
      <c r="B8" s="615" t="s">
        <v>456</v>
      </c>
      <c r="C8" s="616">
        <v>1</v>
      </c>
      <c r="D8" s="556" t="s">
        <v>477</v>
      </c>
      <c r="E8" s="556">
        <f>42*4+51*2</f>
        <v>270</v>
      </c>
      <c r="F8">
        <f>14+15</f>
        <v>29</v>
      </c>
      <c r="G8" s="558">
        <f>+E8*F8</f>
        <v>7830</v>
      </c>
      <c r="H8" s="563"/>
      <c r="I8" s="415"/>
    </row>
    <row r="9" spans="1:9">
      <c r="B9" s="615" t="s">
        <v>456</v>
      </c>
      <c r="C9" s="616">
        <v>1</v>
      </c>
      <c r="D9" s="556" t="s">
        <v>476</v>
      </c>
      <c r="E9" s="556">
        <f>42*5+61</f>
        <v>271</v>
      </c>
      <c r="F9">
        <v>14</v>
      </c>
      <c r="G9" s="558">
        <f>+E9*F9</f>
        <v>3794</v>
      </c>
      <c r="H9" s="563"/>
      <c r="I9" s="415"/>
    </row>
    <row r="10" spans="1:9" ht="13.5" thickBot="1">
      <c r="A10" s="414"/>
      <c r="B10" s="414"/>
      <c r="C10" s="386"/>
      <c r="D10" s="387"/>
      <c r="E10" s="386"/>
      <c r="F10" s="386"/>
      <c r="G10" s="386"/>
      <c r="H10" s="416"/>
      <c r="I10" s="416"/>
    </row>
    <row r="11" spans="1:9">
      <c r="A11" s="557">
        <v>45841</v>
      </c>
      <c r="B11" s="621" t="s">
        <v>456</v>
      </c>
      <c r="C11" s="622">
        <v>1</v>
      </c>
      <c r="D11" s="623" t="s">
        <v>457</v>
      </c>
      <c r="E11" s="623">
        <f>42*2+61*3</f>
        <v>267</v>
      </c>
      <c r="F11" s="624">
        <f>15+3+3</f>
        <v>21</v>
      </c>
      <c r="G11" s="624">
        <f t="shared" ref="G11:G17" si="0">+E11*F11</f>
        <v>5607</v>
      </c>
      <c r="H11" s="625">
        <f>+(E11*F11+E12*F12)/(SUM(F11:F12))</f>
        <v>267.88888888888891</v>
      </c>
      <c r="I11" s="628">
        <f>+'3'!I38</f>
        <v>77.805000000000007</v>
      </c>
    </row>
    <row r="12" spans="1:9">
      <c r="A12" s="629"/>
      <c r="B12" s="615" t="s">
        <v>456</v>
      </c>
      <c r="C12" s="616">
        <v>1</v>
      </c>
      <c r="D12" s="556" t="s">
        <v>476</v>
      </c>
      <c r="E12" s="556">
        <f>42*5+61</f>
        <v>271</v>
      </c>
      <c r="F12" s="558">
        <v>6</v>
      </c>
      <c r="G12" s="558">
        <f t="shared" si="0"/>
        <v>1626</v>
      </c>
      <c r="H12" s="563"/>
      <c r="I12" s="563"/>
    </row>
    <row r="13" spans="1:9">
      <c r="A13" s="629"/>
      <c r="B13" s="615" t="s">
        <v>495</v>
      </c>
      <c r="C13" s="616">
        <v>1</v>
      </c>
      <c r="D13" s="556" t="s">
        <v>496</v>
      </c>
      <c r="E13" s="556">
        <f>120+152</f>
        <v>272</v>
      </c>
      <c r="F13" s="558">
        <f>6+8</f>
        <v>14</v>
      </c>
      <c r="G13" s="558">
        <f t="shared" si="0"/>
        <v>3808</v>
      </c>
      <c r="H13" s="563">
        <f>+(E13*F13+E14*F14+E15*F15+E16*F16+E17*F17)/(SUM(F13:F17))</f>
        <v>269.61971830985914</v>
      </c>
      <c r="I13" s="563"/>
    </row>
    <row r="14" spans="1:9">
      <c r="A14" s="629"/>
      <c r="B14" s="615" t="s">
        <v>497</v>
      </c>
      <c r="C14" s="616">
        <v>1</v>
      </c>
      <c r="D14" s="556" t="s">
        <v>457</v>
      </c>
      <c r="E14" s="556">
        <f>42*2+61*3</f>
        <v>267</v>
      </c>
      <c r="F14" s="558">
        <f>10+17</f>
        <v>27</v>
      </c>
      <c r="G14" s="558">
        <f t="shared" si="0"/>
        <v>7209</v>
      </c>
      <c r="H14" s="563"/>
      <c r="I14" s="563"/>
    </row>
    <row r="15" spans="1:9">
      <c r="A15" s="629"/>
      <c r="B15" s="615" t="s">
        <v>495</v>
      </c>
      <c r="C15" s="616">
        <v>1</v>
      </c>
      <c r="D15" s="556" t="s">
        <v>498</v>
      </c>
      <c r="E15" s="556">
        <f>153+119</f>
        <v>272</v>
      </c>
      <c r="F15" s="558">
        <f>13+4</f>
        <v>17</v>
      </c>
      <c r="G15" s="558">
        <f t="shared" si="0"/>
        <v>4624</v>
      </c>
      <c r="H15" s="563"/>
      <c r="I15" s="563"/>
    </row>
    <row r="16" spans="1:9">
      <c r="A16" s="629"/>
      <c r="B16" s="615" t="s">
        <v>495</v>
      </c>
      <c r="C16" s="616">
        <v>1</v>
      </c>
      <c r="D16" s="556" t="s">
        <v>499</v>
      </c>
      <c r="E16" s="556">
        <f>137+133</f>
        <v>270</v>
      </c>
      <c r="F16" s="558">
        <v>9</v>
      </c>
      <c r="G16" s="558">
        <f t="shared" si="0"/>
        <v>2430</v>
      </c>
      <c r="H16" s="563"/>
      <c r="I16" s="563"/>
    </row>
    <row r="17" spans="1:9">
      <c r="A17" s="629"/>
      <c r="B17" s="615" t="s">
        <v>495</v>
      </c>
      <c r="C17" s="616">
        <v>1</v>
      </c>
      <c r="D17" s="556" t="s">
        <v>500</v>
      </c>
      <c r="E17" s="556">
        <f>88+101+79</f>
        <v>268</v>
      </c>
      <c r="F17" s="558">
        <v>4</v>
      </c>
      <c r="G17" s="558">
        <f t="shared" si="0"/>
        <v>1072</v>
      </c>
      <c r="H17" s="563"/>
      <c r="I17" s="563"/>
    </row>
    <row r="18" spans="1:9" ht="13.5" thickBot="1">
      <c r="A18" s="626"/>
      <c r="B18" s="626"/>
      <c r="C18" s="386"/>
      <c r="D18" s="386"/>
      <c r="E18" s="386"/>
      <c r="F18" s="386"/>
      <c r="G18" s="386"/>
      <c r="H18" s="627"/>
      <c r="I18" s="627"/>
    </row>
    <row r="19" spans="1:9">
      <c r="A19" s="557">
        <v>45842</v>
      </c>
      <c r="B19" s="615" t="s">
        <v>497</v>
      </c>
      <c r="C19" s="616">
        <v>1</v>
      </c>
      <c r="D19" s="556" t="s">
        <v>457</v>
      </c>
      <c r="E19" s="556">
        <f>42*2+61*3</f>
        <v>267</v>
      </c>
      <c r="F19" s="558">
        <f>15+14+1+12</f>
        <v>42</v>
      </c>
      <c r="G19" s="558">
        <f>+E19*F19</f>
        <v>11214</v>
      </c>
      <c r="H19" s="563">
        <f>+(E19*F19+E20*F20+E21*F21+E22*F22)/(SUM(F19:F22))</f>
        <v>269.22500000000002</v>
      </c>
      <c r="I19" s="563">
        <f>+'4'!I38</f>
        <v>79.141999999999996</v>
      </c>
    </row>
    <row r="20" spans="1:9">
      <c r="B20" s="615" t="s">
        <v>495</v>
      </c>
      <c r="C20" s="616">
        <v>1</v>
      </c>
      <c r="D20" s="556" t="s">
        <v>500</v>
      </c>
      <c r="E20" s="556">
        <f>88+101+79</f>
        <v>268</v>
      </c>
      <c r="F20" s="558">
        <v>3</v>
      </c>
      <c r="G20" s="558">
        <f>+E20*F20</f>
        <v>804</v>
      </c>
      <c r="H20" s="563"/>
      <c r="I20" s="563"/>
    </row>
    <row r="21" spans="1:9">
      <c r="B21" s="615" t="s">
        <v>495</v>
      </c>
      <c r="C21" s="616">
        <v>1</v>
      </c>
      <c r="D21" s="556" t="s">
        <v>506</v>
      </c>
      <c r="E21" s="556">
        <f>81+93+79+19</f>
        <v>272</v>
      </c>
      <c r="F21" s="558">
        <f>9+13</f>
        <v>22</v>
      </c>
      <c r="G21" s="558">
        <f>+E21*F21</f>
        <v>5984</v>
      </c>
      <c r="H21" s="563"/>
      <c r="I21" s="563"/>
    </row>
    <row r="22" spans="1:9">
      <c r="B22" s="615" t="s">
        <v>495</v>
      </c>
      <c r="C22" s="616">
        <v>1</v>
      </c>
      <c r="D22" s="556" t="s">
        <v>507</v>
      </c>
      <c r="E22" s="556">
        <f>88+93+71+20</f>
        <v>272</v>
      </c>
      <c r="F22">
        <v>13</v>
      </c>
      <c r="G22" s="558">
        <f>+E22*F22</f>
        <v>3536</v>
      </c>
      <c r="H22" s="563"/>
      <c r="I22" s="563"/>
    </row>
    <row r="23" spans="1:9" ht="13.5" thickBot="1">
      <c r="A23" s="626"/>
      <c r="B23" s="626"/>
      <c r="C23" s="386"/>
      <c r="D23" s="386"/>
      <c r="E23" s="386"/>
      <c r="F23" s="386"/>
      <c r="G23" s="386"/>
      <c r="H23" s="627"/>
      <c r="I23" s="627"/>
    </row>
    <row r="24" spans="1:9">
      <c r="A24" s="557">
        <v>45843</v>
      </c>
      <c r="B24" s="615" t="s">
        <v>497</v>
      </c>
      <c r="C24" s="616">
        <v>1</v>
      </c>
      <c r="D24" s="556" t="s">
        <v>457</v>
      </c>
      <c r="E24" s="556">
        <f>42*2+61*3</f>
        <v>267</v>
      </c>
      <c r="F24" s="558">
        <f>13+8+17+2+14+14+16</f>
        <v>84</v>
      </c>
      <c r="G24" s="558">
        <f>+E24*F24</f>
        <v>22428</v>
      </c>
      <c r="H24" s="625">
        <f>+(E24*F24+E25*F25)/(SUM(F24:F25))</f>
        <v>267.28089887640448</v>
      </c>
      <c r="I24" s="628">
        <f>+'5'!I38</f>
        <v>74.533000000000001</v>
      </c>
    </row>
    <row r="25" spans="1:9">
      <c r="B25" s="615" t="s">
        <v>495</v>
      </c>
      <c r="C25" s="616">
        <v>1</v>
      </c>
      <c r="D25" s="556" t="s">
        <v>507</v>
      </c>
      <c r="E25" s="556">
        <f>88+93+71+20</f>
        <v>272</v>
      </c>
      <c r="F25">
        <v>5</v>
      </c>
      <c r="G25" s="558">
        <f>+E25*F25</f>
        <v>1360</v>
      </c>
      <c r="H25" s="563"/>
      <c r="I25" s="563"/>
    </row>
    <row r="26" spans="1:9" ht="13.5" thickBot="1">
      <c r="A26" s="626"/>
      <c r="B26" s="626"/>
      <c r="C26" s="386"/>
      <c r="D26" s="386"/>
      <c r="E26" s="386"/>
      <c r="F26" s="386"/>
      <c r="G26" s="386"/>
      <c r="H26" s="627"/>
      <c r="I26" s="627"/>
    </row>
    <row r="27" spans="1:9">
      <c r="A27" s="557">
        <v>45844</v>
      </c>
      <c r="B27" s="615" t="s">
        <v>497</v>
      </c>
      <c r="C27" s="616">
        <v>1</v>
      </c>
      <c r="D27" s="556" t="s">
        <v>457</v>
      </c>
      <c r="E27" s="556">
        <f>42*2+61*3</f>
        <v>267</v>
      </c>
      <c r="F27" s="558">
        <f>14+17+12+14+15+10+5</f>
        <v>87</v>
      </c>
      <c r="G27" s="558">
        <f>+E27*F27</f>
        <v>23229</v>
      </c>
      <c r="H27" s="625">
        <f>+G27/F27</f>
        <v>267</v>
      </c>
      <c r="I27" s="628">
        <f>+'6'!I38</f>
        <v>68.905000000000001</v>
      </c>
    </row>
    <row r="28" spans="1:9" ht="13.5" thickBot="1">
      <c r="A28" s="626"/>
      <c r="B28" s="626"/>
      <c r="C28" s="386"/>
      <c r="D28" s="386"/>
      <c r="E28" s="386"/>
      <c r="F28" s="386"/>
      <c r="G28" s="386"/>
      <c r="H28" s="627"/>
      <c r="I28" s="627"/>
    </row>
    <row r="29" spans="1:9">
      <c r="A29" s="557">
        <v>45845</v>
      </c>
      <c r="B29" s="615" t="s">
        <v>497</v>
      </c>
      <c r="C29" s="616">
        <v>1</v>
      </c>
      <c r="D29" s="556" t="s">
        <v>457</v>
      </c>
      <c r="E29" s="556">
        <f>42*2+61*3</f>
        <v>267</v>
      </c>
      <c r="F29" s="558">
        <f>3+9+14+5+3</f>
        <v>34</v>
      </c>
      <c r="G29" s="558">
        <f>+E29*F29</f>
        <v>9078</v>
      </c>
      <c r="H29" s="625">
        <f>+(E29*F29+E30*F30)/(SUM(F29:F30))</f>
        <v>266.75555555555553</v>
      </c>
      <c r="I29" s="628">
        <f>+'7'!N37</f>
        <v>22.073999999999998</v>
      </c>
    </row>
    <row r="30" spans="1:9">
      <c r="A30" s="630"/>
      <c r="B30" s="615" t="s">
        <v>497</v>
      </c>
      <c r="C30" s="616">
        <v>1</v>
      </c>
      <c r="D30" s="556" t="s">
        <v>550</v>
      </c>
      <c r="E30" s="556">
        <f>61*2+42+51*2</f>
        <v>266</v>
      </c>
      <c r="F30" s="558">
        <f>3+3+5</f>
        <v>11</v>
      </c>
      <c r="G30" s="558">
        <f>+E30*F30</f>
        <v>2926</v>
      </c>
      <c r="H30" s="563"/>
      <c r="I30" s="415"/>
    </row>
    <row r="31" spans="1:9">
      <c r="A31" s="630"/>
      <c r="B31" s="615" t="s">
        <v>549</v>
      </c>
      <c r="C31" s="616">
        <v>1</v>
      </c>
      <c r="D31" s="556" t="s">
        <v>548</v>
      </c>
      <c r="E31" s="556">
        <f>28+60*2+62*2</f>
        <v>272</v>
      </c>
      <c r="F31" s="558">
        <f>6+4+1</f>
        <v>11</v>
      </c>
      <c r="G31" s="558">
        <f>+E31*F31</f>
        <v>2992</v>
      </c>
      <c r="H31" s="563">
        <f>+G31/F31</f>
        <v>272</v>
      </c>
      <c r="I31" s="415">
        <f>+'7'!N38</f>
        <v>12.788</v>
      </c>
    </row>
    <row r="32" spans="1:9">
      <c r="A32" s="630"/>
      <c r="B32" s="615" t="s">
        <v>551</v>
      </c>
      <c r="C32" s="616">
        <v>1</v>
      </c>
      <c r="D32" s="556" t="s">
        <v>552</v>
      </c>
      <c r="E32" s="556">
        <f>24+62*4</f>
        <v>272</v>
      </c>
      <c r="F32" s="558">
        <v>5</v>
      </c>
      <c r="G32" s="558">
        <f>+E32*F32</f>
        <v>1360</v>
      </c>
      <c r="H32" s="563">
        <f>+G32/F32</f>
        <v>272</v>
      </c>
      <c r="I32" s="415">
        <f>+'7'!N39</f>
        <v>11.007999999999999</v>
      </c>
    </row>
    <row r="33" spans="1:9">
      <c r="A33" s="630"/>
      <c r="B33" s="615" t="s">
        <v>553</v>
      </c>
      <c r="C33" s="616">
        <v>1</v>
      </c>
      <c r="D33" s="556" t="s">
        <v>554</v>
      </c>
      <c r="E33" s="556">
        <f>32+60*4</f>
        <v>272</v>
      </c>
      <c r="F33" s="558">
        <f>4+3</f>
        <v>7</v>
      </c>
      <c r="G33" s="558">
        <f>+E33*F33</f>
        <v>1904</v>
      </c>
      <c r="H33" s="563">
        <f>+G33/F33</f>
        <v>272</v>
      </c>
      <c r="I33" s="415">
        <f>+'7'!N40</f>
        <v>9.2029999999999994</v>
      </c>
    </row>
    <row r="34" spans="1:9" ht="13.5" thickBot="1">
      <c r="A34" s="626"/>
      <c r="B34" s="626"/>
      <c r="C34" s="386"/>
      <c r="D34" s="386"/>
      <c r="E34" s="386"/>
      <c r="F34" s="386"/>
      <c r="G34" s="386"/>
      <c r="H34" s="627"/>
      <c r="I34" s="627"/>
    </row>
    <row r="35" spans="1:9">
      <c r="A35" s="630">
        <v>45846</v>
      </c>
      <c r="B35" s="615" t="s">
        <v>495</v>
      </c>
      <c r="C35" s="616">
        <v>1</v>
      </c>
      <c r="D35" s="556" t="s">
        <v>583</v>
      </c>
      <c r="E35" s="556">
        <f>22+60*4</f>
        <v>262</v>
      </c>
      <c r="F35" s="558">
        <v>2</v>
      </c>
      <c r="G35" s="558">
        <f>+E35*F35</f>
        <v>524</v>
      </c>
      <c r="H35" s="625">
        <f>+(E35*F35+E36*F36)/(SUM(F35:F36))</f>
        <v>265.57894736842104</v>
      </c>
      <c r="I35" s="628">
        <f>+'8'!I38</f>
        <v>40.311999999999998</v>
      </c>
    </row>
    <row r="36" spans="1:9">
      <c r="A36" s="630"/>
      <c r="B36" s="615" t="s">
        <v>497</v>
      </c>
      <c r="C36" s="616">
        <v>1</v>
      </c>
      <c r="D36" s="556" t="s">
        <v>550</v>
      </c>
      <c r="E36" s="556">
        <f>61*2+42+51*2</f>
        <v>266</v>
      </c>
      <c r="F36" s="558">
        <f>1+1+2+3+6+4</f>
        <v>17</v>
      </c>
      <c r="G36" s="558">
        <f>+E36*F36</f>
        <v>4522</v>
      </c>
      <c r="H36" s="563"/>
      <c r="I36" s="415"/>
    </row>
    <row r="37" spans="1:9" ht="13.5" thickBot="1">
      <c r="A37" s="626"/>
      <c r="B37" s="626"/>
      <c r="C37" s="386"/>
      <c r="D37" s="386"/>
      <c r="E37" s="386"/>
      <c r="F37" s="386"/>
      <c r="G37" s="386"/>
      <c r="H37" s="627"/>
      <c r="I37" s="627"/>
    </row>
    <row r="38" spans="1:9">
      <c r="A38" s="630">
        <v>45847</v>
      </c>
      <c r="B38" s="615" t="s">
        <v>497</v>
      </c>
      <c r="C38" s="616">
        <v>1</v>
      </c>
      <c r="D38" s="556" t="s">
        <v>550</v>
      </c>
      <c r="E38" s="556">
        <f>61*2+42+51*2</f>
        <v>266</v>
      </c>
      <c r="F38" s="558">
        <f>11+1+14+17+1+14+15+16</f>
        <v>89</v>
      </c>
      <c r="G38" s="558">
        <f>+E38*F38</f>
        <v>23674</v>
      </c>
      <c r="H38" s="563">
        <f>+G38/F38</f>
        <v>266</v>
      </c>
      <c r="I38" s="415">
        <f>+'9'!I38</f>
        <v>65.516999999999996</v>
      </c>
    </row>
    <row r="39" spans="1:9" ht="13.5" thickBot="1">
      <c r="A39" s="626"/>
      <c r="B39" s="626"/>
      <c r="C39" s="386"/>
      <c r="D39" s="386"/>
      <c r="E39" s="386"/>
      <c r="F39" s="386"/>
      <c r="G39" s="386"/>
      <c r="H39" s="627"/>
      <c r="I39" s="627"/>
    </row>
    <row r="40" spans="1:9">
      <c r="A40" s="630">
        <v>45848</v>
      </c>
      <c r="B40" s="615" t="s">
        <v>497</v>
      </c>
      <c r="C40" s="616">
        <v>1</v>
      </c>
      <c r="D40" s="556" t="s">
        <v>550</v>
      </c>
      <c r="E40" s="556">
        <f>61*2+42+51*2</f>
        <v>266</v>
      </c>
      <c r="F40" s="558">
        <f>9+12</f>
        <v>21</v>
      </c>
      <c r="G40" s="558">
        <f>+E40*F40</f>
        <v>5586</v>
      </c>
      <c r="H40" s="625">
        <f>+(E40*F40+E41*F41)/(SUM(F40:F41))</f>
        <v>265.11111111111109</v>
      </c>
      <c r="I40" s="415">
        <f>+'10'!N37</f>
        <v>17.944000000000003</v>
      </c>
    </row>
    <row r="41" spans="1:9">
      <c r="B41" s="615" t="s">
        <v>495</v>
      </c>
      <c r="C41" s="616">
        <v>1</v>
      </c>
      <c r="D41" s="556" t="s">
        <v>583</v>
      </c>
      <c r="E41" s="556">
        <f>22+60*4</f>
        <v>262</v>
      </c>
      <c r="F41">
        <f>3+3</f>
        <v>6</v>
      </c>
      <c r="G41" s="558">
        <f>+E41*F41</f>
        <v>1572</v>
      </c>
      <c r="H41" s="563"/>
      <c r="I41" s="415"/>
    </row>
    <row r="42" spans="1:9">
      <c r="B42" s="615" t="s">
        <v>613</v>
      </c>
      <c r="C42" s="616">
        <v>1</v>
      </c>
      <c r="D42" s="556" t="s">
        <v>614</v>
      </c>
      <c r="E42" s="556">
        <f>133*2</f>
        <v>266</v>
      </c>
      <c r="F42">
        <f>7+18+2+15+8+6</f>
        <v>56</v>
      </c>
      <c r="G42" s="558">
        <f>+E42*F42</f>
        <v>14896</v>
      </c>
      <c r="H42" s="563">
        <f>+G42/F42</f>
        <v>266</v>
      </c>
      <c r="I42" s="415">
        <f>+'10'!N38</f>
        <v>40.432999999999993</v>
      </c>
    </row>
    <row r="43" spans="1:9" ht="13.5" thickBot="1">
      <c r="A43" s="626"/>
      <c r="B43" s="626"/>
      <c r="C43" s="386"/>
      <c r="D43" s="386"/>
      <c r="E43" s="386"/>
      <c r="F43" s="386"/>
      <c r="G43" s="386"/>
      <c r="H43" s="627"/>
      <c r="I43" s="627"/>
    </row>
    <row r="44" spans="1:9">
      <c r="A44" s="630">
        <v>45849</v>
      </c>
      <c r="B44" s="615" t="s">
        <v>630</v>
      </c>
      <c r="C44" s="616">
        <v>1</v>
      </c>
      <c r="D44" s="556" t="s">
        <v>614</v>
      </c>
      <c r="E44" s="556">
        <f>133*2</f>
        <v>266</v>
      </c>
      <c r="F44">
        <v>71</v>
      </c>
      <c r="G44" s="558">
        <f>+E44*F44</f>
        <v>18886</v>
      </c>
      <c r="H44" s="563">
        <f>+G44/F44</f>
        <v>266</v>
      </c>
      <c r="I44" s="415">
        <f>+'11'!I38</f>
        <v>54.006</v>
      </c>
    </row>
    <row r="45" spans="1:9" ht="13.5" thickBot="1">
      <c r="A45" s="626"/>
      <c r="B45" s="626"/>
      <c r="C45" s="386"/>
      <c r="D45" s="386"/>
      <c r="E45" s="386"/>
      <c r="F45" s="386"/>
      <c r="G45" s="386"/>
      <c r="H45" s="627"/>
      <c r="I45" s="627"/>
    </row>
    <row r="46" spans="1:9">
      <c r="A46" s="630">
        <v>45850</v>
      </c>
      <c r="B46" s="615" t="s">
        <v>630</v>
      </c>
      <c r="C46" s="616">
        <v>1</v>
      </c>
      <c r="D46" s="556" t="s">
        <v>614</v>
      </c>
      <c r="E46" s="556">
        <f>133*2</f>
        <v>266</v>
      </c>
      <c r="F46">
        <v>11</v>
      </c>
      <c r="G46" s="558">
        <f>+E46*F46</f>
        <v>2926</v>
      </c>
      <c r="H46" s="563">
        <f>+G46/F46</f>
        <v>266</v>
      </c>
      <c r="I46" s="415">
        <f>+'12'!L37</f>
        <v>4.2639999999999993</v>
      </c>
    </row>
    <row r="47" spans="1:9">
      <c r="B47" s="615" t="s">
        <v>647</v>
      </c>
      <c r="C47" s="616">
        <v>1</v>
      </c>
      <c r="D47" s="556" t="s">
        <v>663</v>
      </c>
      <c r="E47" s="556">
        <f>36*7+18</f>
        <v>270</v>
      </c>
      <c r="F47">
        <f>4+2+4+8</f>
        <v>18</v>
      </c>
      <c r="G47" s="558">
        <f>+E47*F47</f>
        <v>4860</v>
      </c>
      <c r="H47" s="563">
        <f>+G47/F47</f>
        <v>270</v>
      </c>
      <c r="I47" s="415">
        <f>+'12'!L38</f>
        <v>21.831000000000007</v>
      </c>
    </row>
    <row r="48" spans="1:9">
      <c r="B48" s="615" t="s">
        <v>648</v>
      </c>
      <c r="C48" s="616">
        <v>1</v>
      </c>
      <c r="D48" s="556" t="s">
        <v>662</v>
      </c>
      <c r="E48" s="556">
        <f>277*1</f>
        <v>277</v>
      </c>
      <c r="F48">
        <f>5+7</f>
        <v>12</v>
      </c>
      <c r="G48" s="558">
        <f>+E48*F48</f>
        <v>3324</v>
      </c>
      <c r="H48" s="563">
        <f>+G48/F48</f>
        <v>277</v>
      </c>
      <c r="I48" s="415">
        <f>+'12'!L39</f>
        <v>29.019000000000002</v>
      </c>
    </row>
    <row r="49" spans="1:9" ht="13.5" thickBot="1">
      <c r="A49" s="626"/>
      <c r="B49" s="626"/>
      <c r="C49" s="386"/>
      <c r="D49" s="386"/>
      <c r="E49" s="386"/>
      <c r="F49" s="386"/>
      <c r="G49" s="386"/>
      <c r="H49" s="627"/>
      <c r="I49" s="627"/>
    </row>
    <row r="50" spans="1:9">
      <c r="A50" s="630">
        <v>45851</v>
      </c>
      <c r="B50" s="615" t="s">
        <v>613</v>
      </c>
      <c r="C50" s="616">
        <v>1</v>
      </c>
      <c r="D50" s="556" t="s">
        <v>614</v>
      </c>
      <c r="E50" s="556">
        <f>133*2</f>
        <v>266</v>
      </c>
      <c r="F50">
        <f>5+5+2+9</f>
        <v>21</v>
      </c>
      <c r="G50" s="558">
        <f>+E50*F50</f>
        <v>5586</v>
      </c>
      <c r="H50" s="563">
        <f>+G50/F50</f>
        <v>266</v>
      </c>
      <c r="I50" s="415">
        <f>+'13'!N37</f>
        <v>40.462999999999994</v>
      </c>
    </row>
    <row r="51" spans="1:9">
      <c r="B51" s="615" t="s">
        <v>647</v>
      </c>
      <c r="C51" s="616">
        <v>1</v>
      </c>
      <c r="D51" s="556" t="s">
        <v>663</v>
      </c>
      <c r="E51" s="556">
        <f>36*7+18</f>
        <v>270</v>
      </c>
      <c r="F51">
        <f>2+6+5+7+7</f>
        <v>27</v>
      </c>
      <c r="G51" s="558">
        <f>+E51*F51</f>
        <v>7290</v>
      </c>
      <c r="H51" s="563">
        <f>+G51/F51</f>
        <v>270</v>
      </c>
      <c r="I51" s="415">
        <f>+'13'!N38</f>
        <v>15.362</v>
      </c>
    </row>
    <row r="52" spans="1:9" ht="13.5" thickBot="1">
      <c r="A52" s="626"/>
      <c r="B52" s="626"/>
      <c r="C52" s="386"/>
      <c r="D52" s="386"/>
      <c r="E52" s="386"/>
      <c r="F52" s="386"/>
      <c r="G52" s="386"/>
      <c r="H52" s="627"/>
      <c r="I52" s="627"/>
    </row>
    <row r="53" spans="1:9">
      <c r="A53" s="630">
        <v>45852</v>
      </c>
      <c r="B53" s="615" t="s">
        <v>647</v>
      </c>
      <c r="C53" s="616">
        <v>1</v>
      </c>
      <c r="D53" s="556" t="s">
        <v>663</v>
      </c>
      <c r="E53" s="556">
        <f>36*7+18</f>
        <v>270</v>
      </c>
      <c r="F53">
        <f>11+13+9</f>
        <v>33</v>
      </c>
      <c r="G53" s="558">
        <f>+E53*F53</f>
        <v>8910</v>
      </c>
      <c r="H53" s="625">
        <f>+(E53*F53+E54*F54)/(SUM(F53:F54))</f>
        <v>268.69387755102042</v>
      </c>
      <c r="I53" s="415">
        <f>+'14'!I38</f>
        <v>50.575000000000003</v>
      </c>
    </row>
    <row r="54" spans="1:9">
      <c r="B54" s="615" t="s">
        <v>681</v>
      </c>
      <c r="C54" s="616">
        <v>1</v>
      </c>
      <c r="D54" s="556" t="s">
        <v>682</v>
      </c>
      <c r="E54" s="556">
        <f>266*1</f>
        <v>266</v>
      </c>
      <c r="F54">
        <f>9+7</f>
        <v>16</v>
      </c>
      <c r="G54" s="558">
        <f>+E54*F54</f>
        <v>4256</v>
      </c>
      <c r="H54" s="563"/>
      <c r="I54" s="415"/>
    </row>
    <row r="55" spans="1:9" ht="13.5" thickBot="1">
      <c r="A55" s="626"/>
      <c r="B55" s="626"/>
      <c r="C55" s="386"/>
      <c r="D55" s="386"/>
      <c r="E55" s="386"/>
      <c r="F55" s="386"/>
      <c r="G55" s="386"/>
      <c r="H55" s="627"/>
      <c r="I55" s="627"/>
    </row>
    <row r="56" spans="1:9">
      <c r="A56" s="630">
        <v>45853</v>
      </c>
      <c r="B56" s="615" t="s">
        <v>647</v>
      </c>
      <c r="C56" s="616">
        <v>1</v>
      </c>
      <c r="D56" s="556" t="s">
        <v>663</v>
      </c>
      <c r="E56" s="556">
        <f>36*7+18</f>
        <v>270</v>
      </c>
      <c r="F56">
        <f>9+6+10</f>
        <v>25</v>
      </c>
      <c r="G56" s="558">
        <f>+E56*F56</f>
        <v>6750</v>
      </c>
      <c r="H56" s="625">
        <f>+(E56*F56+E57*F57)/(SUM(F56:F57))</f>
        <v>267.88679245283021</v>
      </c>
      <c r="I56" s="415">
        <f>+'15'!I38</f>
        <v>52.656999999999996</v>
      </c>
    </row>
    <row r="57" spans="1:9">
      <c r="B57" s="615" t="s">
        <v>681</v>
      </c>
      <c r="C57" s="616">
        <v>1</v>
      </c>
      <c r="D57" s="556" t="s">
        <v>682</v>
      </c>
      <c r="E57" s="556">
        <f>266*1</f>
        <v>266</v>
      </c>
      <c r="F57">
        <f>9+10+9</f>
        <v>28</v>
      </c>
      <c r="G57" s="558">
        <f>+E57*F57</f>
        <v>7448</v>
      </c>
      <c r="H57" s="563"/>
      <c r="I57" s="415"/>
    </row>
    <row r="58" spans="1:9" ht="13.5" thickBot="1">
      <c r="A58" s="626"/>
      <c r="B58" s="626"/>
      <c r="C58" s="386"/>
      <c r="D58" s="386"/>
      <c r="E58" s="386"/>
      <c r="F58" s="386"/>
      <c r="G58" s="386"/>
      <c r="H58" s="627"/>
      <c r="I58" s="627"/>
    </row>
    <row r="59" spans="1:9">
      <c r="A59" s="630">
        <v>45854</v>
      </c>
      <c r="B59" s="615" t="s">
        <v>647</v>
      </c>
      <c r="C59" s="616">
        <v>1</v>
      </c>
      <c r="D59" s="556" t="s">
        <v>663</v>
      </c>
      <c r="E59" s="556">
        <f>36*7+18</f>
        <v>270</v>
      </c>
      <c r="F59">
        <f>6+9+3</f>
        <v>18</v>
      </c>
      <c r="G59" s="558">
        <f>+E59*F59</f>
        <v>4860</v>
      </c>
      <c r="H59" s="625">
        <f>+(E59*F59+E60*F60)/(SUM(F59:F60))</f>
        <v>267.30909090909091</v>
      </c>
      <c r="I59" s="415">
        <f>+'16'!I38</f>
        <v>53.582999999999998</v>
      </c>
    </row>
    <row r="60" spans="1:9">
      <c r="B60" s="615" t="s">
        <v>681</v>
      </c>
      <c r="C60" s="616">
        <v>1</v>
      </c>
      <c r="D60" s="556" t="s">
        <v>682</v>
      </c>
      <c r="E60" s="556">
        <f>266*1</f>
        <v>266</v>
      </c>
      <c r="F60">
        <f>19+8+10</f>
        <v>37</v>
      </c>
      <c r="G60" s="558">
        <f>+E60*F60</f>
        <v>9842</v>
      </c>
      <c r="H60" s="563"/>
      <c r="I60" s="415"/>
    </row>
    <row r="61" spans="1:9" ht="13.5" thickBot="1">
      <c r="A61" s="626"/>
      <c r="B61" s="626"/>
      <c r="C61" s="386"/>
      <c r="D61" s="386"/>
      <c r="E61" s="386"/>
      <c r="F61" s="386"/>
      <c r="G61" s="386"/>
      <c r="H61" s="627"/>
      <c r="I61" s="627"/>
    </row>
    <row r="62" spans="1:9">
      <c r="A62" s="630">
        <v>45855</v>
      </c>
      <c r="B62" s="615" t="s">
        <v>648</v>
      </c>
      <c r="C62" s="616">
        <v>1</v>
      </c>
      <c r="D62" s="556" t="s">
        <v>614</v>
      </c>
      <c r="E62" s="556">
        <f>133*2</f>
        <v>266</v>
      </c>
      <c r="F62">
        <f>28/2</f>
        <v>14</v>
      </c>
      <c r="G62" s="558">
        <f>+E62*F62</f>
        <v>3724</v>
      </c>
      <c r="H62" s="625">
        <f>+(E62*F62+E63*F63)/(SUM(F62:F63))</f>
        <v>266</v>
      </c>
      <c r="I62" s="415">
        <f>+'17'!L37</f>
        <v>50.547000000000004</v>
      </c>
    </row>
    <row r="63" spans="1:9">
      <c r="B63" s="615" t="s">
        <v>648</v>
      </c>
      <c r="C63" s="616">
        <v>1</v>
      </c>
      <c r="D63" s="556" t="s">
        <v>682</v>
      </c>
      <c r="E63" s="556">
        <f>266*1</f>
        <v>266</v>
      </c>
      <c r="F63">
        <f>14+13+18</f>
        <v>45</v>
      </c>
      <c r="G63" s="558">
        <f>+E63*F63</f>
        <v>11970</v>
      </c>
      <c r="H63" s="563"/>
      <c r="I63" s="415"/>
    </row>
    <row r="64" spans="1:9">
      <c r="B64" s="615" t="s">
        <v>630</v>
      </c>
      <c r="C64" s="616">
        <v>1</v>
      </c>
      <c r="D64" s="556" t="s">
        <v>614</v>
      </c>
      <c r="E64" s="556">
        <f>133*2</f>
        <v>266</v>
      </c>
      <c r="F64">
        <v>0</v>
      </c>
      <c r="G64" s="558">
        <f>+E64*F64</f>
        <v>0</v>
      </c>
      <c r="H64" s="563">
        <f>+E64</f>
        <v>266</v>
      </c>
      <c r="I64" s="415">
        <f>+'17'!L38</f>
        <v>3.766</v>
      </c>
    </row>
    <row r="65" spans="1:9" ht="13.5" thickBot="1">
      <c r="A65" s="626"/>
      <c r="B65" s="626"/>
      <c r="C65" s="386"/>
      <c r="D65" s="386"/>
      <c r="E65" s="386"/>
      <c r="F65" s="386"/>
      <c r="G65" s="386"/>
      <c r="H65" s="627"/>
      <c r="I65" s="627"/>
    </row>
    <row r="66" spans="1:9">
      <c r="A66" s="630">
        <v>45856</v>
      </c>
      <c r="B66" s="615" t="s">
        <v>630</v>
      </c>
      <c r="C66" s="616">
        <v>1</v>
      </c>
      <c r="D66" s="556" t="s">
        <v>614</v>
      </c>
      <c r="E66" s="556">
        <f>133*2</f>
        <v>266</v>
      </c>
      <c r="F66">
        <f>136/2</f>
        <v>68</v>
      </c>
      <c r="G66" s="558">
        <f>+E66*F66</f>
        <v>18088</v>
      </c>
      <c r="H66" s="625">
        <f>+(E66*F66+E67*F67)/(SUM(F66:F67))</f>
        <v>266</v>
      </c>
      <c r="I66" s="415">
        <f>+'18'!I38</f>
        <v>53.427999999999997</v>
      </c>
    </row>
    <row r="67" spans="1:9">
      <c r="B67" s="615" t="s">
        <v>630</v>
      </c>
      <c r="C67" s="616">
        <v>1</v>
      </c>
      <c r="D67" s="556" t="s">
        <v>682</v>
      </c>
      <c r="E67">
        <v>266</v>
      </c>
      <c r="F67">
        <v>3</v>
      </c>
      <c r="G67" s="558">
        <f>+E67*F67</f>
        <v>798</v>
      </c>
      <c r="H67" s="563"/>
      <c r="I67" s="415"/>
    </row>
    <row r="68" spans="1:9" ht="13.5" thickBot="1">
      <c r="A68" s="626"/>
      <c r="B68" s="626"/>
      <c r="C68" s="386"/>
      <c r="D68" s="386"/>
      <c r="E68" s="386"/>
      <c r="F68" s="386"/>
      <c r="G68" s="386"/>
      <c r="H68" s="627"/>
      <c r="I68" s="627"/>
    </row>
    <row r="69" spans="1:9">
      <c r="A69" s="630">
        <v>45857</v>
      </c>
      <c r="B69" s="615" t="s">
        <v>630</v>
      </c>
      <c r="C69" s="616">
        <v>1</v>
      </c>
      <c r="D69" s="556" t="s">
        <v>614</v>
      </c>
      <c r="E69" s="556">
        <f>133*2</f>
        <v>266</v>
      </c>
      <c r="F69">
        <f>11+1+1</f>
        <v>13</v>
      </c>
      <c r="G69" s="558">
        <f>+E69*F69</f>
        <v>3458</v>
      </c>
      <c r="H69" s="625">
        <f>+(E69*F69+E70*F70+E71*F71)/(SUM(F69:F71))</f>
        <v>262.19642857142856</v>
      </c>
      <c r="I69" s="415">
        <f>+'19'!L37</f>
        <v>15.326999999999998</v>
      </c>
    </row>
    <row r="70" spans="1:9">
      <c r="B70" s="615" t="s">
        <v>630</v>
      </c>
      <c r="C70" s="616">
        <v>1</v>
      </c>
      <c r="D70" s="556" t="s">
        <v>731</v>
      </c>
      <c r="E70" s="556">
        <f>130*2</f>
        <v>260</v>
      </c>
      <c r="F70">
        <f>15+1+12</f>
        <v>28</v>
      </c>
      <c r="G70" s="558">
        <f>+E70*F70</f>
        <v>7280</v>
      </c>
      <c r="H70" s="563"/>
      <c r="I70" s="415"/>
    </row>
    <row r="71" spans="1:9">
      <c r="B71" s="615" t="s">
        <v>630</v>
      </c>
      <c r="C71" s="616">
        <v>1</v>
      </c>
      <c r="D71" s="556" t="s">
        <v>734</v>
      </c>
      <c r="E71" s="556">
        <f>130+133</f>
        <v>263</v>
      </c>
      <c r="F71">
        <f>12+3</f>
        <v>15</v>
      </c>
      <c r="G71" s="558">
        <f>+E71*F71</f>
        <v>3945</v>
      </c>
      <c r="H71" s="563"/>
      <c r="I71" s="415"/>
    </row>
    <row r="72" spans="1:9">
      <c r="B72" s="615" t="s">
        <v>648</v>
      </c>
      <c r="C72" s="616">
        <v>1</v>
      </c>
      <c r="D72" s="556" t="s">
        <v>732</v>
      </c>
      <c r="E72" s="556">
        <f>126+144</f>
        <v>270</v>
      </c>
      <c r="F72">
        <f>9+1+14+14</f>
        <v>38</v>
      </c>
      <c r="G72" s="558">
        <f>+E72*F72</f>
        <v>10260</v>
      </c>
      <c r="H72" s="563">
        <f>+(E72*F72+E73*F73)/(SUM(F72:F73))</f>
        <v>270.89999999999998</v>
      </c>
      <c r="I72" s="415">
        <f>+'19'!L38</f>
        <v>34.484999999999999</v>
      </c>
    </row>
    <row r="73" spans="1:9">
      <c r="B73" s="615" t="s">
        <v>648</v>
      </c>
      <c r="C73" s="616">
        <v>1</v>
      </c>
      <c r="D73" s="556" t="s">
        <v>733</v>
      </c>
      <c r="E73" s="556">
        <f>144*2</f>
        <v>288</v>
      </c>
      <c r="F73">
        <v>2</v>
      </c>
      <c r="G73" s="558">
        <f>+E73*F73</f>
        <v>576</v>
      </c>
      <c r="H73" s="563"/>
      <c r="I73" s="415"/>
    </row>
    <row r="74" spans="1:9" ht="13.5" thickBot="1">
      <c r="A74" s="626"/>
      <c r="B74" s="626"/>
      <c r="C74" s="386"/>
      <c r="D74" s="386"/>
      <c r="E74" s="386"/>
      <c r="F74" s="386"/>
      <c r="G74" s="386"/>
      <c r="H74" s="627"/>
      <c r="I74" s="627"/>
    </row>
    <row r="75" spans="1:9">
      <c r="A75" s="630">
        <v>45858</v>
      </c>
      <c r="B75" s="615" t="s">
        <v>630</v>
      </c>
      <c r="C75" s="616">
        <v>1</v>
      </c>
      <c r="D75" s="556" t="s">
        <v>734</v>
      </c>
      <c r="E75" s="556">
        <f>130+133</f>
        <v>263</v>
      </c>
      <c r="F75">
        <f>10+14+10+13+2</f>
        <v>49</v>
      </c>
      <c r="G75" s="558">
        <f>+E75*F75</f>
        <v>12887</v>
      </c>
      <c r="H75" s="625">
        <f>+(E75*F75+E76*F76)/(SUM(F75:F76))</f>
        <v>262.84507042253523</v>
      </c>
      <c r="I75" s="415">
        <f>+'20'!I38</f>
        <v>47.595999999999997</v>
      </c>
    </row>
    <row r="76" spans="1:9">
      <c r="B76" s="615" t="s">
        <v>630</v>
      </c>
      <c r="C76" s="616">
        <v>1</v>
      </c>
      <c r="D76" s="556" t="s">
        <v>735</v>
      </c>
      <c r="E76" s="556">
        <f>122.5+140</f>
        <v>262.5</v>
      </c>
      <c r="F76">
        <f>11+11</f>
        <v>22</v>
      </c>
      <c r="G76" s="558">
        <f>+E76*F76</f>
        <v>5775</v>
      </c>
      <c r="H76" s="563"/>
      <c r="I76" s="415"/>
    </row>
    <row r="77" spans="1:9" ht="13.5" thickBot="1">
      <c r="A77" s="626"/>
      <c r="B77" s="626"/>
      <c r="C77" s="386"/>
      <c r="D77" s="386"/>
      <c r="E77" s="386"/>
      <c r="F77" s="386"/>
      <c r="G77" s="386"/>
      <c r="H77" s="627"/>
      <c r="I77" s="627"/>
    </row>
    <row r="78" spans="1:9">
      <c r="A78" s="630">
        <v>45859</v>
      </c>
      <c r="B78" s="615" t="s">
        <v>630</v>
      </c>
      <c r="C78" s="616">
        <v>1</v>
      </c>
      <c r="D78" s="556" t="s">
        <v>735</v>
      </c>
      <c r="E78" s="556">
        <f>122.5+140</f>
        <v>262.5</v>
      </c>
      <c r="F78">
        <v>67</v>
      </c>
      <c r="G78" s="558">
        <f>+E78*F78</f>
        <v>17587.5</v>
      </c>
      <c r="H78" s="563">
        <f>+G78/F78</f>
        <v>262.5</v>
      </c>
      <c r="I78" s="415">
        <f>+'21'!I38</f>
        <v>50.287999999999997</v>
      </c>
    </row>
    <row r="79" spans="1:9" ht="13.5" thickBot="1">
      <c r="A79" s="626"/>
      <c r="B79" s="626"/>
      <c r="C79" s="386"/>
      <c r="D79" s="386"/>
      <c r="E79" s="386"/>
      <c r="F79" s="386"/>
      <c r="G79" s="386"/>
      <c r="H79" s="627"/>
      <c r="I79" s="627"/>
    </row>
    <row r="80" spans="1:9">
      <c r="A80" s="630">
        <v>45860</v>
      </c>
      <c r="B80" s="615" t="s">
        <v>630</v>
      </c>
      <c r="C80" s="616">
        <v>1</v>
      </c>
      <c r="D80" s="556" t="s">
        <v>735</v>
      </c>
      <c r="E80" s="556">
        <f>122.5+140</f>
        <v>262.5</v>
      </c>
      <c r="F80">
        <f>3+2</f>
        <v>5</v>
      </c>
      <c r="G80" s="558">
        <f>+E80*F80</f>
        <v>1312.5</v>
      </c>
      <c r="H80" s="563">
        <f>+G80/F80</f>
        <v>262.5</v>
      </c>
      <c r="I80" s="415">
        <f>+'22'!L37</f>
        <v>17.652999999999999</v>
      </c>
    </row>
    <row r="81" spans="1:9">
      <c r="A81" s="630"/>
      <c r="B81" s="615" t="s">
        <v>613</v>
      </c>
      <c r="C81" s="616">
        <v>1</v>
      </c>
      <c r="D81" s="556" t="s">
        <v>735</v>
      </c>
      <c r="E81" s="556">
        <f>122.5+140</f>
        <v>262.5</v>
      </c>
      <c r="F81">
        <f>11+14+9+17+15+20</f>
        <v>86</v>
      </c>
      <c r="G81" s="558">
        <f>+E81*F81</f>
        <v>22575</v>
      </c>
      <c r="H81" s="563">
        <f>+G81/F81</f>
        <v>262.5</v>
      </c>
      <c r="I81" s="415">
        <f>+'22'!L38</f>
        <v>35.711999999999996</v>
      </c>
    </row>
    <row r="82" spans="1:9" ht="13.5" thickBot="1">
      <c r="A82" s="626"/>
      <c r="B82" s="626"/>
      <c r="C82" s="386"/>
      <c r="D82" s="386"/>
      <c r="E82" s="386"/>
      <c r="F82" s="386"/>
      <c r="G82" s="386"/>
      <c r="H82" s="627"/>
      <c r="I82" s="627"/>
    </row>
    <row r="83" spans="1:9">
      <c r="A83" s="630">
        <v>45861</v>
      </c>
      <c r="B83" s="615" t="s">
        <v>613</v>
      </c>
      <c r="C83" s="616">
        <v>1</v>
      </c>
      <c r="D83" s="556" t="s">
        <v>735</v>
      </c>
      <c r="E83" s="556">
        <f>122.5+140</f>
        <v>262.5</v>
      </c>
      <c r="F83">
        <f>6+20+2+22+16+4+13</f>
        <v>83</v>
      </c>
      <c r="G83" s="558">
        <f>+E83*F83</f>
        <v>21787.5</v>
      </c>
      <c r="H83" s="563">
        <f>+G83/F83</f>
        <v>262.5</v>
      </c>
      <c r="I83" s="415">
        <f>+'23'!I38</f>
        <v>52.460999999999999</v>
      </c>
    </row>
    <row r="84" spans="1:9" ht="13.5" thickBot="1">
      <c r="A84" s="626"/>
      <c r="B84" s="626"/>
      <c r="C84" s="386"/>
      <c r="D84" s="386"/>
      <c r="E84" s="386"/>
      <c r="F84" s="386"/>
      <c r="G84" s="386"/>
      <c r="H84" s="627"/>
      <c r="I84" s="627"/>
    </row>
    <row r="85" spans="1:9">
      <c r="A85" s="630">
        <v>45862</v>
      </c>
      <c r="B85" s="615" t="s">
        <v>613</v>
      </c>
      <c r="C85" s="616">
        <v>1</v>
      </c>
      <c r="D85" s="556" t="s">
        <v>735</v>
      </c>
      <c r="E85" s="556">
        <f>122.5+140</f>
        <v>262.5</v>
      </c>
      <c r="F85">
        <f>18+14+15+21+11</f>
        <v>79</v>
      </c>
      <c r="G85" s="558">
        <f>+E85*F85</f>
        <v>20737.5</v>
      </c>
      <c r="H85" s="625">
        <f>+(E85*F85+E86*F86)/(SUM(F85:F86))</f>
        <v>262.6686746987952</v>
      </c>
      <c r="I85" s="415">
        <f>+'24'!L37</f>
        <v>42.969999999999992</v>
      </c>
    </row>
    <row r="86" spans="1:9">
      <c r="A86" s="630"/>
      <c r="B86" s="615" t="s">
        <v>630</v>
      </c>
      <c r="C86" s="616">
        <v>1</v>
      </c>
      <c r="D86" s="556" t="s">
        <v>614</v>
      </c>
      <c r="E86" s="556">
        <f>133*2</f>
        <v>266</v>
      </c>
      <c r="F86">
        <v>4</v>
      </c>
      <c r="G86" s="558">
        <f>+E86*F86</f>
        <v>1064</v>
      </c>
      <c r="H86" s="563"/>
      <c r="I86" s="415"/>
    </row>
    <row r="87" spans="1:9">
      <c r="A87" s="630"/>
      <c r="B87" s="615" t="s">
        <v>799</v>
      </c>
      <c r="C87" s="616">
        <v>1</v>
      </c>
      <c r="D87" s="556" t="s">
        <v>735</v>
      </c>
      <c r="E87" s="556">
        <f>122.5+140</f>
        <v>262.5</v>
      </c>
      <c r="F87">
        <f>4+13+7</f>
        <v>24</v>
      </c>
      <c r="G87" s="558">
        <f>+E87*F87</f>
        <v>6300</v>
      </c>
      <c r="H87" s="563">
        <f>+G87/F87</f>
        <v>262.5</v>
      </c>
      <c r="I87" s="415">
        <f>+'24'!L38</f>
        <v>10.404000000000003</v>
      </c>
    </row>
    <row r="88" spans="1:9" ht="13.5" thickBot="1">
      <c r="A88" s="626"/>
      <c r="B88" s="626"/>
      <c r="C88" s="386"/>
      <c r="D88" s="386"/>
      <c r="E88" s="386"/>
      <c r="F88" s="386"/>
      <c r="G88" s="386"/>
      <c r="H88" s="627"/>
      <c r="I88" s="627"/>
    </row>
    <row r="89" spans="1:9">
      <c r="A89" s="630">
        <v>45863</v>
      </c>
      <c r="B89" s="615" t="s">
        <v>799</v>
      </c>
      <c r="C89" s="616">
        <v>1</v>
      </c>
      <c r="D89" s="556" t="s">
        <v>787</v>
      </c>
      <c r="E89" s="556">
        <f>120+140</f>
        <v>260</v>
      </c>
      <c r="F89">
        <f>14+13+3+23+28</f>
        <v>81</v>
      </c>
      <c r="G89" s="558">
        <f>+E89*F89</f>
        <v>21060</v>
      </c>
      <c r="H89" s="563">
        <f>+G89/F89</f>
        <v>260</v>
      </c>
      <c r="I89" s="415">
        <f>+'25'!I38</f>
        <v>52.269999999999996</v>
      </c>
    </row>
    <row r="90" spans="1:9" ht="13.5" thickBot="1">
      <c r="A90" s="626"/>
      <c r="B90" s="626"/>
      <c r="C90" s="386"/>
      <c r="D90" s="386"/>
      <c r="E90" s="386"/>
      <c r="F90" s="386"/>
      <c r="G90" s="386"/>
      <c r="H90" s="627"/>
      <c r="I90" s="627"/>
    </row>
    <row r="91" spans="1:9">
      <c r="A91" s="630">
        <v>45864</v>
      </c>
      <c r="B91" s="615" t="s">
        <v>799</v>
      </c>
      <c r="C91" s="616">
        <v>1</v>
      </c>
      <c r="D91" s="556" t="s">
        <v>787</v>
      </c>
      <c r="E91" s="556">
        <f>120+140</f>
        <v>260</v>
      </c>
      <c r="F91">
        <v>29</v>
      </c>
      <c r="G91" s="558">
        <f>+E91*F91</f>
        <v>7540</v>
      </c>
      <c r="H91" s="563">
        <f>+G91/F91</f>
        <v>260</v>
      </c>
      <c r="I91" s="415">
        <f>+'26'!L37</f>
        <v>4.4849999999999994</v>
      </c>
    </row>
    <row r="92" spans="1:9">
      <c r="B92" s="615" t="s">
        <v>613</v>
      </c>
      <c r="C92" s="616">
        <v>1</v>
      </c>
      <c r="D92" s="556" t="s">
        <v>787</v>
      </c>
      <c r="E92" s="556">
        <f>120+140</f>
        <v>260</v>
      </c>
      <c r="F92">
        <f>12+35+39</f>
        <v>86</v>
      </c>
      <c r="G92" s="558">
        <f>+E92*F92</f>
        <v>22360</v>
      </c>
      <c r="H92" s="563">
        <f>+G92/F92</f>
        <v>260</v>
      </c>
      <c r="I92" s="415">
        <f>+'26'!L38</f>
        <v>48.245000000000005</v>
      </c>
    </row>
    <row r="93" spans="1:9" ht="13.5" thickBot="1">
      <c r="A93" s="626"/>
      <c r="B93" s="626"/>
      <c r="C93" s="386"/>
      <c r="D93" s="386"/>
      <c r="E93" s="386"/>
      <c r="F93" s="386"/>
      <c r="G93" s="386"/>
      <c r="H93" s="627"/>
      <c r="I93" s="627"/>
    </row>
    <row r="94" spans="1:9">
      <c r="A94" s="630">
        <v>45865</v>
      </c>
      <c r="B94" s="615" t="s">
        <v>613</v>
      </c>
      <c r="C94" s="616">
        <v>1</v>
      </c>
      <c r="D94" s="556" t="s">
        <v>787</v>
      </c>
      <c r="E94" s="556">
        <f>120+140</f>
        <v>260</v>
      </c>
      <c r="F94">
        <v>101</v>
      </c>
      <c r="G94" s="558">
        <f>+E94*F94</f>
        <v>26260</v>
      </c>
      <c r="H94" s="563">
        <f>+G94/F94</f>
        <v>260</v>
      </c>
      <c r="I94" s="415">
        <f>+'27'!I38</f>
        <v>50.991000000000007</v>
      </c>
    </row>
    <row r="95" spans="1:9" ht="13.5" thickBot="1">
      <c r="A95" s="626"/>
      <c r="B95" s="626"/>
      <c r="C95" s="386"/>
      <c r="D95" s="386"/>
      <c r="E95" s="386"/>
      <c r="F95" s="386"/>
      <c r="G95" s="386"/>
      <c r="H95" s="627"/>
      <c r="I95" s="627"/>
    </row>
    <row r="96" spans="1:9">
      <c r="A96" s="630">
        <v>45866</v>
      </c>
      <c r="B96" s="615" t="s">
        <v>613</v>
      </c>
      <c r="C96" s="616">
        <v>1</v>
      </c>
      <c r="D96" s="556" t="s">
        <v>787</v>
      </c>
      <c r="E96" s="556">
        <f>120+140</f>
        <v>260</v>
      </c>
      <c r="F96">
        <f>11+1+4</f>
        <v>16</v>
      </c>
      <c r="G96" s="558">
        <f>+E96*F96</f>
        <v>4160</v>
      </c>
      <c r="H96" s="563">
        <f>+G96/F96</f>
        <v>260</v>
      </c>
      <c r="I96" s="415">
        <f>+'28'!L37</f>
        <v>10.619</v>
      </c>
    </row>
    <row r="97" spans="1:9">
      <c r="B97" s="615" t="s">
        <v>647</v>
      </c>
      <c r="C97" s="616">
        <v>1</v>
      </c>
      <c r="D97" s="556" t="s">
        <v>614</v>
      </c>
      <c r="E97">
        <f>133*2</f>
        <v>266</v>
      </c>
      <c r="F97">
        <f>1+9+16+1</f>
        <v>27</v>
      </c>
      <c r="G97" s="558">
        <f>+E97*F97</f>
        <v>7182</v>
      </c>
      <c r="H97" s="563">
        <f>+G97/F97</f>
        <v>266</v>
      </c>
      <c r="I97" s="415">
        <f>+'28'!L38</f>
        <v>18.812000000000001</v>
      </c>
    </row>
    <row r="98" spans="1:9">
      <c r="B98" s="615" t="s">
        <v>648</v>
      </c>
      <c r="C98" s="616">
        <v>1</v>
      </c>
      <c r="D98" s="556" t="s">
        <v>682</v>
      </c>
      <c r="E98">
        <f>266*1</f>
        <v>266</v>
      </c>
      <c r="F98">
        <f>8+11</f>
        <v>19</v>
      </c>
      <c r="G98" s="558">
        <f>+E98*F98</f>
        <v>5054</v>
      </c>
      <c r="H98" s="563">
        <f>+G98/F98</f>
        <v>266</v>
      </c>
      <c r="I98" s="415">
        <f>+'28'!L39</f>
        <v>22.762</v>
      </c>
    </row>
    <row r="99" spans="1:9" ht="13.5" thickBot="1">
      <c r="A99" s="626"/>
      <c r="B99" s="626"/>
      <c r="C99" s="386"/>
      <c r="D99" s="386"/>
      <c r="E99" s="386"/>
      <c r="F99" s="386"/>
      <c r="G99" s="386"/>
      <c r="H99" s="627"/>
      <c r="I99" s="627"/>
    </row>
    <row r="100" spans="1:9">
      <c r="A100" s="630">
        <v>45867</v>
      </c>
      <c r="B100" s="615" t="s">
        <v>648</v>
      </c>
      <c r="C100" s="616">
        <v>1</v>
      </c>
      <c r="D100" s="556" t="s">
        <v>682</v>
      </c>
      <c r="E100">
        <f>266*1</f>
        <v>266</v>
      </c>
      <c r="F100">
        <f>16+18</f>
        <v>34</v>
      </c>
      <c r="G100" s="558">
        <f>+E100*F100</f>
        <v>9044</v>
      </c>
      <c r="H100" s="563">
        <f>+G100/F100</f>
        <v>266</v>
      </c>
      <c r="I100" s="415">
        <f>+'29'!L37</f>
        <v>28.092999999999996</v>
      </c>
    </row>
    <row r="101" spans="1:9">
      <c r="B101" s="615" t="s">
        <v>821</v>
      </c>
      <c r="C101" s="616">
        <v>1</v>
      </c>
      <c r="D101" s="556" t="s">
        <v>614</v>
      </c>
      <c r="E101" s="556">
        <f>133*2</f>
        <v>266</v>
      </c>
      <c r="F101">
        <f>36/2</f>
        <v>18</v>
      </c>
      <c r="G101" s="558">
        <f>+E101*F101</f>
        <v>4788</v>
      </c>
      <c r="H101" s="563">
        <f>+G101/F101</f>
        <v>266</v>
      </c>
      <c r="I101" s="415">
        <f>+'29'!L38</f>
        <v>10.569999999999999</v>
      </c>
    </row>
    <row r="102" spans="1:9">
      <c r="B102" s="615" t="s">
        <v>613</v>
      </c>
      <c r="C102" s="616">
        <v>1</v>
      </c>
      <c r="D102" s="556" t="s">
        <v>735</v>
      </c>
      <c r="E102" s="556">
        <f>122.5+140</f>
        <v>262.5</v>
      </c>
      <c r="F102">
        <v>23</v>
      </c>
      <c r="G102" s="558">
        <f>+E102*F102</f>
        <v>6037.5</v>
      </c>
      <c r="H102" s="563">
        <f>+G102/F102</f>
        <v>262.5</v>
      </c>
      <c r="I102" s="415">
        <f>+'29'!L39</f>
        <v>15.119000000000002</v>
      </c>
    </row>
    <row r="103" spans="1:9" ht="13.5" thickBot="1">
      <c r="A103" s="626"/>
      <c r="B103" s="626"/>
      <c r="C103" s="386"/>
      <c r="D103" s="386"/>
      <c r="E103" s="386"/>
      <c r="F103" s="386"/>
      <c r="G103" s="386"/>
      <c r="H103" s="627"/>
      <c r="I103" s="627"/>
    </row>
    <row r="104" spans="1:9">
      <c r="A104" s="630">
        <v>45868</v>
      </c>
      <c r="B104" s="615" t="s">
        <v>613</v>
      </c>
      <c r="C104" s="616">
        <v>1</v>
      </c>
      <c r="D104" s="556" t="s">
        <v>735</v>
      </c>
      <c r="E104" s="556">
        <f>122.5+140</f>
        <v>262.5</v>
      </c>
      <c r="F104">
        <f>34+34+32</f>
        <v>100</v>
      </c>
      <c r="G104" s="558">
        <f>+E104*F104</f>
        <v>26250</v>
      </c>
      <c r="H104" s="563">
        <f>+G104/F104</f>
        <v>262.5</v>
      </c>
      <c r="I104" s="415">
        <f>+'30'!I38</f>
        <v>53.278999999999996</v>
      </c>
    </row>
    <row r="105" spans="1:9" ht="13.5" thickBot="1">
      <c r="A105" s="626"/>
      <c r="B105" s="626"/>
      <c r="C105" s="386"/>
      <c r="D105" s="386"/>
      <c r="E105" s="386"/>
      <c r="F105" s="386"/>
      <c r="G105" s="386"/>
      <c r="H105" s="627"/>
      <c r="I105" s="627"/>
    </row>
    <row r="106" spans="1:9">
      <c r="A106" s="630">
        <v>45869</v>
      </c>
      <c r="B106" s="615" t="s">
        <v>613</v>
      </c>
      <c r="C106" s="616">
        <v>1</v>
      </c>
      <c r="D106" s="556" t="s">
        <v>735</v>
      </c>
      <c r="E106" s="556">
        <f>122.5+140</f>
        <v>262.5</v>
      </c>
      <c r="F106">
        <f>27+25+13</f>
        <v>65</v>
      </c>
      <c r="G106" s="558">
        <f>+E106*F106</f>
        <v>17062.5</v>
      </c>
      <c r="H106" s="563">
        <f>+G106/F106</f>
        <v>262.5</v>
      </c>
      <c r="I106" s="415">
        <f>+'31'!L37</f>
        <v>41.33</v>
      </c>
    </row>
    <row r="107" spans="1:9">
      <c r="B107" s="615" t="s">
        <v>839</v>
      </c>
      <c r="C107" s="616">
        <v>1</v>
      </c>
      <c r="D107" s="556" t="s">
        <v>614</v>
      </c>
      <c r="E107" s="556">
        <f>133*2</f>
        <v>266</v>
      </c>
      <c r="F107">
        <v>12</v>
      </c>
      <c r="G107" s="558">
        <f>+E107*F107</f>
        <v>3192</v>
      </c>
      <c r="H107" s="563">
        <f>+G107/F107</f>
        <v>266</v>
      </c>
      <c r="I107" s="415">
        <f>+'31'!L38</f>
        <v>11.899000000000001</v>
      </c>
    </row>
    <row r="108" spans="1:9" ht="13.5" thickBot="1">
      <c r="A108" s="626"/>
      <c r="B108" s="626"/>
      <c r="C108" s="386"/>
      <c r="D108" s="386"/>
      <c r="E108" s="386"/>
      <c r="F108" s="386"/>
      <c r="G108" s="386"/>
      <c r="H108" s="627"/>
      <c r="I108" s="627"/>
    </row>
  </sheetData>
  <phoneticPr fontId="31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187"/>
  <sheetViews>
    <sheetView tabSelected="1" zoomScale="90" zoomScaleNormal="90" workbookViewId="0">
      <pane xSplit="6" ySplit="6" topLeftCell="G147" activePane="bottomRight" state="frozen"/>
      <selection pane="topRight" activeCell="F1" sqref="F1"/>
      <selection pane="bottomLeft" activeCell="A7" sqref="A7"/>
      <selection pane="bottomRight" activeCell="K154" sqref="K154"/>
    </sheetView>
  </sheetViews>
  <sheetFormatPr defaultColWidth="10.28515625" defaultRowHeight="12"/>
  <cols>
    <col min="1" max="1" width="12.28515625" style="33" customWidth="1"/>
    <col min="2" max="3" width="14.140625" style="33" customWidth="1"/>
    <col min="4" max="4" width="10.28515625" style="33" customWidth="1"/>
    <col min="5" max="5" width="7.5703125" style="33" bestFit="1" customWidth="1"/>
    <col min="6" max="6" width="7" style="62" customWidth="1"/>
    <col min="7" max="9" width="10.28515625" style="33" customWidth="1"/>
    <col min="10" max="11" width="10.28515625" style="91" customWidth="1"/>
    <col min="12" max="13" width="12.7109375" style="63" customWidth="1"/>
    <col min="14" max="15" width="10.28515625" style="33" customWidth="1"/>
    <col min="16" max="16" width="16.85546875" style="33" bestFit="1" customWidth="1"/>
    <col min="17" max="17" width="12.7109375" style="352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6" width="10.28515625" style="634" customWidth="1"/>
    <col min="27" max="28" width="10.28515625" style="33" customWidth="1"/>
    <col min="29" max="29" width="12" style="33" customWidth="1"/>
    <col min="30" max="30" width="11.42578125" style="33" bestFit="1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bestFit="1" customWidth="1"/>
    <col min="45" max="16384" width="10.28515625" style="33"/>
  </cols>
  <sheetData>
    <row r="1" spans="1:58" s="24" customFormat="1" ht="15.75">
      <c r="A1" s="23" t="s">
        <v>149</v>
      </c>
      <c r="G1" s="25"/>
      <c r="H1" s="25"/>
      <c r="I1" s="25"/>
      <c r="J1" s="88"/>
      <c r="K1" s="88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2"/>
      <c r="G2" s="25"/>
      <c r="H2" s="25"/>
      <c r="I2" s="25"/>
      <c r="J2" s="88"/>
      <c r="K2" s="88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903" t="s">
        <v>7</v>
      </c>
      <c r="B3" s="903" t="s">
        <v>8</v>
      </c>
      <c r="C3" s="903" t="s">
        <v>201</v>
      </c>
      <c r="D3" s="903" t="s">
        <v>91</v>
      </c>
      <c r="E3" s="903" t="s">
        <v>92</v>
      </c>
      <c r="F3" s="903" t="s">
        <v>93</v>
      </c>
      <c r="G3" s="928" t="s">
        <v>94</v>
      </c>
      <c r="H3" s="929"/>
      <c r="I3" s="929"/>
      <c r="J3" s="929"/>
      <c r="K3" s="930"/>
      <c r="L3" s="909" t="s">
        <v>95</v>
      </c>
      <c r="M3" s="910"/>
      <c r="N3" s="911"/>
      <c r="O3" s="915" t="s">
        <v>96</v>
      </c>
      <c r="P3" s="939" t="s">
        <v>108</v>
      </c>
      <c r="Q3" s="915" t="s">
        <v>97</v>
      </c>
      <c r="R3" s="917" t="s">
        <v>98</v>
      </c>
      <c r="S3" s="917" t="s">
        <v>99</v>
      </c>
      <c r="T3" s="903" t="s">
        <v>158</v>
      </c>
      <c r="U3" s="903" t="s">
        <v>157</v>
      </c>
      <c r="V3" s="903" t="s">
        <v>159</v>
      </c>
      <c r="W3" s="917" t="s">
        <v>143</v>
      </c>
      <c r="X3" s="905" t="s">
        <v>101</v>
      </c>
      <c r="Y3" s="905" t="s">
        <v>328</v>
      </c>
      <c r="Z3" s="917" t="s">
        <v>102</v>
      </c>
      <c r="AA3" s="903" t="s">
        <v>160</v>
      </c>
      <c r="AB3" s="903" t="s">
        <v>171</v>
      </c>
      <c r="AC3" s="903" t="s">
        <v>169</v>
      </c>
      <c r="AD3" s="903" t="s">
        <v>126</v>
      </c>
      <c r="AE3" s="936" t="s">
        <v>127</v>
      </c>
      <c r="AF3" s="938" t="s">
        <v>128</v>
      </c>
      <c r="AG3" s="938"/>
      <c r="AH3" s="938"/>
      <c r="AI3" s="938"/>
      <c r="AJ3" s="938"/>
      <c r="AK3" s="938"/>
      <c r="AL3" s="938"/>
      <c r="AM3" s="919" t="s">
        <v>129</v>
      </c>
      <c r="AN3" s="941" t="s">
        <v>103</v>
      </c>
      <c r="AO3" s="941"/>
      <c r="AP3" s="941"/>
      <c r="AQ3" s="941"/>
      <c r="AR3" s="941"/>
      <c r="AS3" s="942" t="s">
        <v>104</v>
      </c>
      <c r="AT3" s="944" t="s">
        <v>248</v>
      </c>
      <c r="AU3" s="945"/>
      <c r="AV3" s="948" t="s">
        <v>130</v>
      </c>
      <c r="AW3" s="949"/>
      <c r="AX3" s="950" t="s">
        <v>130</v>
      </c>
      <c r="AY3" s="951"/>
      <c r="AZ3" s="952" t="s">
        <v>334</v>
      </c>
      <c r="BA3" s="922" t="s">
        <v>105</v>
      </c>
      <c r="BB3" s="901" t="s">
        <v>106</v>
      </c>
      <c r="BC3" s="901" t="s">
        <v>107</v>
      </c>
      <c r="BD3" s="895" t="s">
        <v>410</v>
      </c>
      <c r="BE3" s="898" t="s">
        <v>411</v>
      </c>
      <c r="BF3" s="901" t="s">
        <v>412</v>
      </c>
    </row>
    <row r="4" spans="1:58" ht="12" customHeight="1">
      <c r="A4" s="904"/>
      <c r="B4" s="904"/>
      <c r="C4" s="904"/>
      <c r="D4" s="904"/>
      <c r="E4" s="904"/>
      <c r="F4" s="904"/>
      <c r="G4" s="931"/>
      <c r="H4" s="932"/>
      <c r="I4" s="932"/>
      <c r="J4" s="932"/>
      <c r="K4" s="933"/>
      <c r="L4" s="912"/>
      <c r="M4" s="913"/>
      <c r="N4" s="914"/>
      <c r="O4" s="916"/>
      <c r="P4" s="926"/>
      <c r="Q4" s="916"/>
      <c r="R4" s="918"/>
      <c r="S4" s="918"/>
      <c r="T4" s="904"/>
      <c r="U4" s="904"/>
      <c r="V4" s="904"/>
      <c r="W4" s="918"/>
      <c r="X4" s="906"/>
      <c r="Y4" s="906"/>
      <c r="Z4" s="918"/>
      <c r="AA4" s="904"/>
      <c r="AB4" s="904"/>
      <c r="AC4" s="904"/>
      <c r="AD4" s="904"/>
      <c r="AE4" s="937"/>
      <c r="AF4" s="923" t="s">
        <v>131</v>
      </c>
      <c r="AG4" s="924"/>
      <c r="AH4" s="925"/>
      <c r="AI4" s="926" t="s">
        <v>202</v>
      </c>
      <c r="AJ4" s="926" t="s">
        <v>14</v>
      </c>
      <c r="AK4" s="926" t="s">
        <v>132</v>
      </c>
      <c r="AL4" s="926" t="s">
        <v>17</v>
      </c>
      <c r="AM4" s="920"/>
      <c r="AN4" s="940" t="s">
        <v>109</v>
      </c>
      <c r="AO4" s="940" t="s">
        <v>14</v>
      </c>
      <c r="AP4" s="940" t="s">
        <v>110</v>
      </c>
      <c r="AQ4" s="940" t="s">
        <v>17</v>
      </c>
      <c r="AR4" s="922" t="s">
        <v>111</v>
      </c>
      <c r="AS4" s="942"/>
      <c r="AT4" s="946"/>
      <c r="AU4" s="947"/>
      <c r="AV4" s="527" t="s">
        <v>6</v>
      </c>
      <c r="AW4" s="527" t="s">
        <v>133</v>
      </c>
      <c r="AX4" s="528" t="s">
        <v>6</v>
      </c>
      <c r="AY4" s="529" t="s">
        <v>133</v>
      </c>
      <c r="AZ4" s="953"/>
      <c r="BA4" s="922"/>
      <c r="BB4" s="901"/>
      <c r="BC4" s="901"/>
      <c r="BD4" s="896"/>
      <c r="BE4" s="899"/>
      <c r="BF4" s="901"/>
    </row>
    <row r="5" spans="1:58" s="36" customFormat="1" ht="48">
      <c r="A5" s="904"/>
      <c r="B5" s="904"/>
      <c r="C5" s="908"/>
      <c r="D5" s="904"/>
      <c r="E5" s="904"/>
      <c r="F5" s="904"/>
      <c r="G5" s="31" t="s">
        <v>112</v>
      </c>
      <c r="H5" s="30" t="s">
        <v>113</v>
      </c>
      <c r="I5" s="34" t="s">
        <v>114</v>
      </c>
      <c r="J5" s="89" t="s">
        <v>115</v>
      </c>
      <c r="K5" s="89" t="s">
        <v>100</v>
      </c>
      <c r="L5" s="35" t="s">
        <v>116</v>
      </c>
      <c r="M5" s="35" t="s">
        <v>117</v>
      </c>
      <c r="N5" s="30" t="s">
        <v>118</v>
      </c>
      <c r="O5" s="916"/>
      <c r="P5" s="927"/>
      <c r="Q5" s="916"/>
      <c r="R5" s="918"/>
      <c r="S5" s="918"/>
      <c r="T5" s="904"/>
      <c r="U5" s="904"/>
      <c r="V5" s="904"/>
      <c r="W5" s="918"/>
      <c r="X5" s="906"/>
      <c r="Y5" s="907"/>
      <c r="Z5" s="918"/>
      <c r="AA5" s="904"/>
      <c r="AB5" s="908"/>
      <c r="AC5" s="904"/>
      <c r="AD5" s="908"/>
      <c r="AE5" s="937"/>
      <c r="AF5" s="458" t="s">
        <v>203</v>
      </c>
      <c r="AG5" s="457" t="s">
        <v>204</v>
      </c>
      <c r="AH5" s="457" t="s">
        <v>205</v>
      </c>
      <c r="AI5" s="927"/>
      <c r="AJ5" s="927"/>
      <c r="AK5" s="927"/>
      <c r="AL5" s="927"/>
      <c r="AM5" s="921"/>
      <c r="AN5" s="939"/>
      <c r="AO5" s="939"/>
      <c r="AP5" s="939"/>
      <c r="AQ5" s="939"/>
      <c r="AR5" s="917"/>
      <c r="AS5" s="943"/>
      <c r="AT5" s="518" t="s">
        <v>326</v>
      </c>
      <c r="AU5" s="518" t="s">
        <v>327</v>
      </c>
      <c r="AV5" s="530" t="s">
        <v>325</v>
      </c>
      <c r="AW5" s="530" t="s">
        <v>325</v>
      </c>
      <c r="AX5" s="528" t="s">
        <v>16</v>
      </c>
      <c r="AY5" s="528" t="s">
        <v>16</v>
      </c>
      <c r="AZ5" s="954"/>
      <c r="BA5" s="917"/>
      <c r="BB5" s="903"/>
      <c r="BC5" s="903"/>
      <c r="BD5" s="897"/>
      <c r="BE5" s="900"/>
      <c r="BF5" s="902"/>
    </row>
    <row r="6" spans="1:58" ht="12.95" customHeight="1">
      <c r="A6" s="346">
        <f>+Report1!A9</f>
        <v>45839</v>
      </c>
      <c r="B6" s="45" t="s">
        <v>231</v>
      </c>
      <c r="C6" s="450">
        <f>(M6*E6*O6*Q6)/100000000</f>
        <v>69.029175600000002</v>
      </c>
      <c r="D6" s="45" t="s">
        <v>458</v>
      </c>
      <c r="E6" s="46">
        <v>14</v>
      </c>
      <c r="F6" s="46">
        <v>1</v>
      </c>
      <c r="G6" s="463">
        <v>1270</v>
      </c>
      <c r="H6" s="48">
        <v>0</v>
      </c>
      <c r="I6" s="49">
        <v>0.88</v>
      </c>
      <c r="J6" s="90">
        <f>E6*G6*(1-H6)*1440/1000000*2.77</f>
        <v>70.920864000000009</v>
      </c>
      <c r="K6" s="90">
        <f>(IF(G6&lt;L6,L6,G6)*(1-IF(H6&lt;N6,H6,N6))*E6*O6*Q6)/100000000</f>
        <v>69.299666099999996</v>
      </c>
      <c r="L6" s="39">
        <v>1281</v>
      </c>
      <c r="M6" s="39">
        <v>1276</v>
      </c>
      <c r="N6" s="50">
        <f>1-(M6/L6)</f>
        <v>3.9032006245121043E-3</v>
      </c>
      <c r="O6" s="51">
        <f>+'Trim Rwd'!H4</f>
        <v>268.34375</v>
      </c>
      <c r="P6" s="52">
        <f>O6*(Q6-R6-S6)</f>
        <v>327916.0625</v>
      </c>
      <c r="Q6" s="51">
        <v>1440</v>
      </c>
      <c r="R6" s="420">
        <v>105</v>
      </c>
      <c r="S6" s="420">
        <f>68+45</f>
        <v>113</v>
      </c>
      <c r="T6" s="41">
        <f>E6*M6*O6*Q6/100000000</f>
        <v>69.029175600000002</v>
      </c>
      <c r="U6" s="41">
        <f>E6*M6*O6*(Q6-R6-S6)/100000000</f>
        <v>58.578925405</v>
      </c>
      <c r="V6" s="41">
        <f>E6*G6*(1-N6)*O6/100*(R6+S6)/1000000</f>
        <v>10.360513464207649</v>
      </c>
      <c r="W6" s="41">
        <f>+'1'!K34/1000</f>
        <v>68.671999999999997</v>
      </c>
      <c r="X6" s="417">
        <f>SUM(W6:W9)/SUM(K6:K9)</f>
        <v>0.9909427254801737</v>
      </c>
      <c r="Y6" s="222">
        <v>0</v>
      </c>
      <c r="Z6" s="41">
        <f>+'1'!D34/1000</f>
        <v>0.36099999999999999</v>
      </c>
      <c r="AA6" s="53">
        <f>SUM(U6:U9)-SUM(W6:W9)-SUM(Z6:Z9)-SUM(Y6:Y9)</f>
        <v>-10.454074594999998</v>
      </c>
      <c r="AB6" s="53">
        <f>(SUM(K6:K9)-SUM(W6:W9)-SUM(Y6:Y9)-SUM(Z6:Z9)-SUM(AC6:AC9)-SUM(V6:V9))-AA6</f>
        <v>8.9736730792353114E-2</v>
      </c>
      <c r="AC6" s="41">
        <f>K6-T6</f>
        <v>0.27049049999999397</v>
      </c>
      <c r="AD6" s="41">
        <f>+AM6+BA6</f>
        <v>30</v>
      </c>
      <c r="AE6" s="241" t="s">
        <v>459</v>
      </c>
      <c r="AF6" s="41">
        <v>30</v>
      </c>
      <c r="AG6" s="41"/>
      <c r="AH6" s="41"/>
      <c r="AI6" s="459"/>
      <c r="AJ6" s="41"/>
      <c r="AK6" s="41"/>
      <c r="AL6" s="41"/>
      <c r="AM6" s="41">
        <f>SUM(AF6:AL6)+AT6+AV6+AX6</f>
        <v>30</v>
      </c>
      <c r="AN6" s="41"/>
      <c r="AO6" s="41"/>
      <c r="AP6" s="41"/>
      <c r="AQ6" s="41"/>
      <c r="AR6" s="41">
        <f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>+AR6+AS6+AU6+AW6+AY6+AZ6</f>
        <v>0</v>
      </c>
      <c r="BB6" s="37">
        <v>6</v>
      </c>
      <c r="BC6" s="55"/>
      <c r="BD6" s="55"/>
      <c r="BE6" s="37"/>
      <c r="BF6" s="55"/>
    </row>
    <row r="7" spans="1:58" ht="12.95" customHeight="1">
      <c r="A7" s="346"/>
      <c r="B7" s="45"/>
      <c r="C7" s="450"/>
      <c r="D7" s="45"/>
      <c r="E7" s="46"/>
      <c r="F7" s="46"/>
      <c r="G7" s="463"/>
      <c r="H7" s="48"/>
      <c r="I7" s="49"/>
      <c r="J7" s="90"/>
      <c r="K7" s="90"/>
      <c r="L7" s="39"/>
      <c r="M7" s="39"/>
      <c r="N7" s="50"/>
      <c r="O7" s="51"/>
      <c r="P7" s="52"/>
      <c r="Q7" s="51"/>
      <c r="R7" s="420"/>
      <c r="S7" s="420"/>
      <c r="T7" s="41"/>
      <c r="U7" s="41"/>
      <c r="V7" s="41"/>
      <c r="W7" s="41"/>
      <c r="X7" s="42"/>
      <c r="Y7" s="222"/>
      <c r="Z7" s="41"/>
      <c r="AA7" s="41"/>
      <c r="AB7" s="41"/>
      <c r="AC7" s="41"/>
      <c r="AD7" s="41">
        <f>+AM7+BA7</f>
        <v>2</v>
      </c>
      <c r="AE7" s="241" t="s">
        <v>454</v>
      </c>
      <c r="AF7" s="41"/>
      <c r="AG7" s="41">
        <v>2</v>
      </c>
      <c r="AH7" s="41"/>
      <c r="AI7" s="459"/>
      <c r="AJ7" s="41"/>
      <c r="AK7" s="41"/>
      <c r="AL7" s="41"/>
      <c r="AM7" s="41">
        <f>SUM(AF7:AL7)+AT7+AV7+AX7</f>
        <v>2</v>
      </c>
      <c r="AN7" s="91"/>
      <c r="AO7" s="41"/>
      <c r="AP7" s="41"/>
      <c r="AQ7" s="41"/>
      <c r="AR7" s="41">
        <f>SUM(AN7:AQ7)</f>
        <v>0</v>
      </c>
      <c r="AS7" s="41"/>
      <c r="AT7" s="41"/>
      <c r="AU7" s="41"/>
      <c r="AV7" s="41"/>
      <c r="AW7" s="41"/>
      <c r="AX7" s="41"/>
      <c r="AY7" s="41"/>
      <c r="AZ7" s="41"/>
      <c r="BA7" s="41">
        <f>+AR7+AS7+AU7+AW7+AY7+AZ7</f>
        <v>0</v>
      </c>
      <c r="BB7" s="54"/>
      <c r="BC7" s="55">
        <v>3</v>
      </c>
      <c r="BD7" s="55"/>
      <c r="BE7" s="54"/>
      <c r="BF7" s="55"/>
    </row>
    <row r="8" spans="1:58" ht="12.95" customHeight="1">
      <c r="A8" s="44"/>
      <c r="B8" s="45"/>
      <c r="C8" s="450"/>
      <c r="D8" s="45"/>
      <c r="E8" s="46"/>
      <c r="F8" s="46"/>
      <c r="G8" s="47"/>
      <c r="H8" s="48"/>
      <c r="I8" s="49"/>
      <c r="J8" s="90"/>
      <c r="K8" s="90"/>
      <c r="L8" s="39"/>
      <c r="M8" s="39"/>
      <c r="N8" s="50"/>
      <c r="O8" s="51"/>
      <c r="P8" s="52"/>
      <c r="Q8" s="51"/>
      <c r="R8" s="420"/>
      <c r="S8" s="420"/>
      <c r="T8" s="41"/>
      <c r="U8" s="41"/>
      <c r="V8" s="41"/>
      <c r="W8" s="41"/>
      <c r="X8" s="42"/>
      <c r="Y8" s="222"/>
      <c r="Z8" s="41"/>
      <c r="AA8" s="41"/>
      <c r="AB8" s="41"/>
      <c r="AC8" s="41"/>
      <c r="AD8" s="41">
        <f>+AM8+BA8</f>
        <v>13</v>
      </c>
      <c r="AE8" s="241" t="s">
        <v>460</v>
      </c>
      <c r="AF8" s="37"/>
      <c r="AG8" s="37"/>
      <c r="AH8" s="37">
        <v>13</v>
      </c>
      <c r="AJ8" s="41"/>
      <c r="AK8" s="41"/>
      <c r="AL8" s="41"/>
      <c r="AM8" s="41">
        <f>SUM(AF8:AL8)+AT8+AV8+AX8</f>
        <v>13</v>
      </c>
      <c r="AN8" s="41"/>
      <c r="AO8" s="41"/>
      <c r="AP8" s="41"/>
      <c r="AQ8" s="41"/>
      <c r="AR8" s="41">
        <f>SUM(AN8:AQ8)</f>
        <v>0</v>
      </c>
      <c r="AS8" s="41"/>
      <c r="AT8" s="41"/>
      <c r="AU8" s="41"/>
      <c r="AV8" s="41"/>
      <c r="AW8" s="41"/>
      <c r="AX8" s="41"/>
      <c r="AY8" s="41"/>
      <c r="AZ8" s="41"/>
      <c r="BA8" s="41">
        <f>+AR8+AS8+AU8+AW8+AY8+AZ8</f>
        <v>0</v>
      </c>
      <c r="BB8" s="37"/>
      <c r="BC8" s="57"/>
      <c r="BD8" s="57"/>
      <c r="BE8" s="37"/>
      <c r="BF8" s="57"/>
    </row>
    <row r="9" spans="1:58" ht="12.95" customHeight="1">
      <c r="A9" s="44"/>
      <c r="B9" s="45"/>
      <c r="C9" s="450"/>
      <c r="D9" s="45"/>
      <c r="E9" s="46"/>
      <c r="F9" s="46"/>
      <c r="G9" s="47"/>
      <c r="H9" s="48"/>
      <c r="I9" s="49"/>
      <c r="J9" s="90"/>
      <c r="K9" s="90"/>
      <c r="L9" s="39"/>
      <c r="M9" s="39"/>
      <c r="N9" s="50"/>
      <c r="O9" s="51"/>
      <c r="P9" s="52"/>
      <c r="Q9" s="38"/>
      <c r="R9" s="420"/>
      <c r="S9" s="420"/>
      <c r="T9" s="41"/>
      <c r="U9" s="41"/>
      <c r="V9" s="41"/>
      <c r="W9" s="41"/>
      <c r="X9" s="42"/>
      <c r="Y9" s="222"/>
      <c r="Z9" s="41"/>
      <c r="AA9" s="41"/>
      <c r="AB9" s="41"/>
      <c r="AC9" s="41"/>
      <c r="AD9" s="41">
        <f>+AM9+BA9</f>
        <v>68</v>
      </c>
      <c r="AE9" s="244" t="s">
        <v>461</v>
      </c>
      <c r="AF9" s="41"/>
      <c r="AG9" s="41"/>
      <c r="AH9" s="41"/>
      <c r="AI9" s="459"/>
      <c r="AJ9" s="41"/>
      <c r="AK9" s="41"/>
      <c r="AL9" s="41"/>
      <c r="AM9" s="41">
        <f>SUM(AF9:AL9)+AT9+AV9+AX9</f>
        <v>68</v>
      </c>
      <c r="AN9" s="41"/>
      <c r="AO9" s="41"/>
      <c r="AP9" s="41"/>
      <c r="AQ9" s="41"/>
      <c r="AR9" s="41">
        <f>SUM(AN9:AQ9)</f>
        <v>0</v>
      </c>
      <c r="AS9" s="41"/>
      <c r="AT9" s="41"/>
      <c r="AU9" s="41"/>
      <c r="AV9" s="41">
        <v>68</v>
      </c>
      <c r="AW9" s="41"/>
      <c r="AX9" s="41"/>
      <c r="AY9" s="41"/>
      <c r="AZ9" s="41"/>
      <c r="BA9" s="41">
        <f>+AR9+AS9+AU9+AW9+AY9+AZ9</f>
        <v>0</v>
      </c>
      <c r="BB9" s="37"/>
      <c r="BC9" s="57"/>
      <c r="BD9" s="57">
        <v>4</v>
      </c>
      <c r="BE9" s="37"/>
      <c r="BF9" s="57"/>
    </row>
    <row r="10" spans="1:58" ht="12.95" customHeight="1">
      <c r="A10" s="346"/>
      <c r="B10" s="45"/>
      <c r="C10" s="450"/>
      <c r="D10" s="45"/>
      <c r="E10" s="46"/>
      <c r="F10" s="46"/>
      <c r="G10" s="463"/>
      <c r="H10" s="48"/>
      <c r="I10" s="49"/>
      <c r="J10" s="90"/>
      <c r="K10" s="90"/>
      <c r="L10" s="39"/>
      <c r="M10" s="39"/>
      <c r="N10" s="50"/>
      <c r="O10" s="51"/>
      <c r="P10" s="52"/>
      <c r="Q10" s="51"/>
      <c r="R10" s="420"/>
      <c r="S10" s="420"/>
      <c r="T10" s="41"/>
      <c r="U10" s="41"/>
      <c r="V10" s="41"/>
      <c r="W10" s="41"/>
      <c r="X10" s="417"/>
      <c r="Y10" s="222"/>
      <c r="Z10" s="41"/>
      <c r="AA10" s="53"/>
      <c r="AB10" s="53"/>
      <c r="AC10" s="41"/>
      <c r="AD10" s="41">
        <f>+AM10+BA10</f>
        <v>105</v>
      </c>
      <c r="AE10" s="244" t="s">
        <v>462</v>
      </c>
      <c r="AF10" s="41"/>
      <c r="AG10" s="41"/>
      <c r="AH10" s="41"/>
      <c r="AI10" s="459"/>
      <c r="AJ10" s="41"/>
      <c r="AK10" s="41"/>
      <c r="AL10" s="41"/>
      <c r="AM10" s="41">
        <f>SUM(AF10:AL10)+AT10+AV10+AX10</f>
        <v>0</v>
      </c>
      <c r="AN10" s="41"/>
      <c r="AO10" s="41"/>
      <c r="AP10" s="41"/>
      <c r="AQ10" s="41"/>
      <c r="AR10" s="41">
        <f>SUM(AN10:AQ10)</f>
        <v>0</v>
      </c>
      <c r="AS10" s="41"/>
      <c r="AT10" s="41"/>
      <c r="AU10" s="41"/>
      <c r="AV10" s="41"/>
      <c r="AW10" s="41">
        <v>105</v>
      </c>
      <c r="AX10" s="41"/>
      <c r="AY10" s="41"/>
      <c r="AZ10" s="41"/>
      <c r="BA10" s="41">
        <f>+AR10+AS10+AU10+AW10+AY10+AZ10</f>
        <v>105</v>
      </c>
      <c r="BB10" s="37"/>
      <c r="BC10" s="57"/>
      <c r="BD10" s="57"/>
      <c r="BE10" s="37"/>
      <c r="BF10" s="57"/>
    </row>
    <row r="11" spans="1:58" ht="12.95" customHeight="1">
      <c r="A11" s="346"/>
      <c r="B11" s="45"/>
      <c r="C11" s="450"/>
      <c r="D11" s="45"/>
      <c r="E11" s="46"/>
      <c r="F11" s="46"/>
      <c r="G11" s="463"/>
      <c r="H11" s="48"/>
      <c r="I11" s="49"/>
      <c r="J11" s="90"/>
      <c r="K11" s="90"/>
      <c r="L11" s="39"/>
      <c r="M11" s="39"/>
      <c r="N11" s="50"/>
      <c r="O11" s="51"/>
      <c r="P11" s="52"/>
      <c r="Q11" s="51"/>
      <c r="R11" s="420"/>
      <c r="S11" s="420"/>
      <c r="T11" s="41"/>
      <c r="U11" s="41"/>
      <c r="V11" s="41"/>
      <c r="W11" s="41"/>
      <c r="X11" s="417"/>
      <c r="Y11" s="222"/>
      <c r="Z11" s="41"/>
      <c r="AA11" s="53"/>
      <c r="AB11" s="53"/>
      <c r="AC11" s="41"/>
      <c r="AD11" s="41"/>
      <c r="AE11" s="241"/>
      <c r="AF11" s="41"/>
      <c r="AG11" s="41"/>
      <c r="AH11" s="41"/>
      <c r="AI11" s="459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37"/>
      <c r="BC11" s="55"/>
      <c r="BD11" s="55"/>
      <c r="BE11" s="37"/>
      <c r="BF11" s="55"/>
    </row>
    <row r="12" spans="1:58" ht="12.95" customHeight="1">
      <c r="A12" s="346">
        <v>45840</v>
      </c>
      <c r="B12" s="45" t="s">
        <v>231</v>
      </c>
      <c r="C12" s="450">
        <f>(M12*E12*O12*Q12)/100000000</f>
        <v>70.027025213793095</v>
      </c>
      <c r="D12" s="45" t="s">
        <v>458</v>
      </c>
      <c r="E12" s="46">
        <v>14</v>
      </c>
      <c r="F12" s="46">
        <v>1</v>
      </c>
      <c r="G12" s="463">
        <v>1270</v>
      </c>
      <c r="H12" s="48">
        <v>0</v>
      </c>
      <c r="I12" s="49">
        <v>0.88</v>
      </c>
      <c r="J12" s="90">
        <f>E12*G12*(1-H12)*1440/1000000*2.77</f>
        <v>70.920864000000009</v>
      </c>
      <c r="K12" s="90">
        <f>(IF(G12&lt;L12,L12,G12)*(1-IF(H12&lt;N12,H12,N12))*E12*O12*Q12)/100000000</f>
        <v>70.243659475862074</v>
      </c>
      <c r="L12" s="39">
        <v>1297</v>
      </c>
      <c r="M12" s="39">
        <v>1293</v>
      </c>
      <c r="N12" s="50">
        <f>1-(M12/L12)</f>
        <v>3.0840400925211675E-3</v>
      </c>
      <c r="O12" s="51">
        <f>+'Trim Rwd'!H7</f>
        <v>268.64367816091954</v>
      </c>
      <c r="P12" s="52">
        <f>O12*(Q12-R12-S12)</f>
        <v>360519.81609195401</v>
      </c>
      <c r="Q12" s="51">
        <v>1440</v>
      </c>
      <c r="R12" s="420">
        <v>0</v>
      </c>
      <c r="S12" s="420">
        <v>98</v>
      </c>
      <c r="T12" s="41">
        <f>E12*M12*O12*Q12/100000000</f>
        <v>70.027025213793095</v>
      </c>
      <c r="U12" s="41">
        <f>E12*M12*O12*(Q12-R12-S12)/100000000</f>
        <v>65.261297108965508</v>
      </c>
      <c r="V12" s="41">
        <f>E12*G12*(1-N12)*O12/100*(R12+S12)/1000000</f>
        <v>4.6665186531465181</v>
      </c>
      <c r="W12" s="41">
        <f>+'2'!K34/1000</f>
        <v>69.626999999999995</v>
      </c>
      <c r="X12" s="417">
        <f>SUM(W12:W15)/SUM(K12:K15)</f>
        <v>0.99122113681913193</v>
      </c>
      <c r="Y12" s="222">
        <v>0</v>
      </c>
      <c r="Z12" s="41">
        <f>+'2'!D34/1000</f>
        <v>0.128</v>
      </c>
      <c r="AA12" s="53">
        <f>SUM(U12:U15)-SUM(W12:W15)-SUM(Z12:Z15)-SUM(Y12:Y15)</f>
        <v>-4.4937028910344878</v>
      </c>
      <c r="AB12" s="53">
        <f>(SUM(K12:K15)-SUM(W12:W15)-SUM(Y12:Y15)-SUM(Z12:Z15)-SUM(AC12:AC15)-SUM(V12:V15))-AA12</f>
        <v>9.9209451681069538E-2</v>
      </c>
      <c r="AC12" s="41">
        <f>K12-T12</f>
        <v>0.21663426206897896</v>
      </c>
      <c r="AD12" s="41">
        <f>+AM12+BA12</f>
        <v>10</v>
      </c>
      <c r="AE12" s="241" t="s">
        <v>418</v>
      </c>
      <c r="AF12" s="41">
        <v>10</v>
      </c>
      <c r="AG12" s="41"/>
      <c r="AH12" s="41"/>
      <c r="AI12" s="459"/>
      <c r="AJ12" s="41"/>
      <c r="AK12" s="41"/>
      <c r="AL12" s="41"/>
      <c r="AM12" s="41">
        <f>SUM(AF12:AL12)+AT12+AV12+AX12</f>
        <v>10</v>
      </c>
      <c r="AN12" s="41"/>
      <c r="AO12" s="41"/>
      <c r="AP12" s="41"/>
      <c r="AQ12" s="41"/>
      <c r="AR12" s="41">
        <f>SUM(AN12:AQ12)</f>
        <v>0</v>
      </c>
      <c r="AS12" s="41"/>
      <c r="AT12" s="41"/>
      <c r="AU12" s="41"/>
      <c r="AV12" s="41"/>
      <c r="AW12" s="41"/>
      <c r="AX12" s="41"/>
      <c r="AY12" s="41"/>
      <c r="AZ12" s="41"/>
      <c r="BA12" s="41">
        <f>+AR12+AS12+AU12+AW12+AY12+AZ12</f>
        <v>0</v>
      </c>
      <c r="BB12" s="37">
        <v>6</v>
      </c>
      <c r="BC12" s="55"/>
      <c r="BD12" s="55"/>
      <c r="BE12" s="37"/>
      <c r="BF12" s="55"/>
    </row>
    <row r="13" spans="1:58" ht="12.95" customHeight="1">
      <c r="A13" s="346"/>
      <c r="B13" s="45"/>
      <c r="C13" s="450"/>
      <c r="D13" s="45"/>
      <c r="E13" s="46"/>
      <c r="F13" s="46"/>
      <c r="G13" s="463"/>
      <c r="H13" s="48"/>
      <c r="I13" s="49"/>
      <c r="J13" s="90"/>
      <c r="K13" s="90"/>
      <c r="L13" s="39"/>
      <c r="M13" s="39"/>
      <c r="N13" s="50"/>
      <c r="O13" s="51"/>
      <c r="P13" s="52"/>
      <c r="Q13" s="51"/>
      <c r="R13" s="420"/>
      <c r="S13" s="420"/>
      <c r="T13" s="41"/>
      <c r="U13" s="41"/>
      <c r="V13" s="41"/>
      <c r="W13" s="41"/>
      <c r="X13" s="42"/>
      <c r="Y13" s="222"/>
      <c r="Z13" s="41"/>
      <c r="AA13" s="41"/>
      <c r="AB13" s="41"/>
      <c r="AC13" s="41"/>
      <c r="AD13" s="41">
        <f>+AM13+BA13</f>
        <v>0</v>
      </c>
      <c r="AE13" s="241" t="s">
        <v>452</v>
      </c>
      <c r="AF13" s="41"/>
      <c r="AG13" s="41">
        <v>0</v>
      </c>
      <c r="AH13" s="41"/>
      <c r="AI13" s="459"/>
      <c r="AJ13" s="41"/>
      <c r="AK13" s="41"/>
      <c r="AL13" s="41"/>
      <c r="AM13" s="41">
        <f>SUM(AF13:AL13)+AT13+AV13+AX13</f>
        <v>0</v>
      </c>
      <c r="AN13" s="9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/>
      <c r="AZ13" s="41"/>
      <c r="BA13" s="41">
        <f>+AR13+AS13+AU13+AW13+AY13+AZ13</f>
        <v>0</v>
      </c>
      <c r="BB13" s="54"/>
      <c r="BC13" s="55">
        <v>3</v>
      </c>
      <c r="BD13" s="55"/>
      <c r="BE13" s="54"/>
      <c r="BF13" s="55"/>
    </row>
    <row r="14" spans="1:58" ht="12.95" customHeight="1">
      <c r="A14" s="44"/>
      <c r="B14" s="45"/>
      <c r="C14" s="450"/>
      <c r="D14" s="45"/>
      <c r="E14" s="46"/>
      <c r="F14" s="46"/>
      <c r="G14" s="47"/>
      <c r="H14" s="48"/>
      <c r="I14" s="49"/>
      <c r="J14" s="90"/>
      <c r="K14" s="90"/>
      <c r="L14" s="39"/>
      <c r="M14" s="39"/>
      <c r="N14" s="50"/>
      <c r="O14" s="51"/>
      <c r="P14" s="52"/>
      <c r="Q14" s="51"/>
      <c r="R14" s="420"/>
      <c r="S14" s="420"/>
      <c r="T14" s="41"/>
      <c r="U14" s="41"/>
      <c r="V14" s="41"/>
      <c r="W14" s="41"/>
      <c r="X14" s="42"/>
      <c r="Y14" s="222"/>
      <c r="Z14" s="41"/>
      <c r="AA14" s="41"/>
      <c r="AB14" s="41"/>
      <c r="AC14" s="41"/>
      <c r="AD14" s="41">
        <f>+AM14+BA14</f>
        <v>28</v>
      </c>
      <c r="AE14" s="241" t="s">
        <v>460</v>
      </c>
      <c r="AF14" s="37"/>
      <c r="AG14" s="37"/>
      <c r="AH14" s="37">
        <v>28</v>
      </c>
      <c r="AJ14" s="41"/>
      <c r="AK14" s="41"/>
      <c r="AL14" s="41"/>
      <c r="AM14" s="41">
        <f>SUM(AF14:AL14)+AT14+AV14+AX14</f>
        <v>28</v>
      </c>
      <c r="AN14" s="41"/>
      <c r="AO14" s="41"/>
      <c r="AP14" s="41"/>
      <c r="AQ14" s="41"/>
      <c r="AR14" s="41">
        <f>SUM(AN14:AQ14)</f>
        <v>0</v>
      </c>
      <c r="AS14" s="41"/>
      <c r="AT14" s="41"/>
      <c r="AU14" s="41"/>
      <c r="AV14" s="41"/>
      <c r="AW14" s="41"/>
      <c r="AX14" s="41"/>
      <c r="AY14" s="41"/>
      <c r="AZ14" s="41"/>
      <c r="BA14" s="41">
        <f>+AR14+AS14+AU14+AW14+AY14+AZ14</f>
        <v>0</v>
      </c>
      <c r="BB14" s="37"/>
      <c r="BC14" s="57"/>
      <c r="BD14" s="57"/>
      <c r="BE14" s="37"/>
      <c r="BF14" s="57"/>
    </row>
    <row r="15" spans="1:58" ht="12.95" customHeight="1">
      <c r="A15" s="44"/>
      <c r="B15" s="45"/>
      <c r="C15" s="450"/>
      <c r="D15" s="45"/>
      <c r="E15" s="46"/>
      <c r="F15" s="46"/>
      <c r="G15" s="47"/>
      <c r="H15" s="48"/>
      <c r="I15" s="49"/>
      <c r="J15" s="90"/>
      <c r="K15" s="90"/>
      <c r="L15" s="39"/>
      <c r="M15" s="39"/>
      <c r="N15" s="50"/>
      <c r="O15" s="51"/>
      <c r="P15" s="52"/>
      <c r="Q15" s="38"/>
      <c r="R15" s="420"/>
      <c r="S15" s="420"/>
      <c r="T15" s="41"/>
      <c r="U15" s="41"/>
      <c r="V15" s="41"/>
      <c r="W15" s="41"/>
      <c r="X15" s="42"/>
      <c r="Y15" s="222"/>
      <c r="Z15" s="41"/>
      <c r="AA15" s="41"/>
      <c r="AB15" s="41"/>
      <c r="AC15" s="41"/>
      <c r="AD15" s="41">
        <f>+AM15+BA15</f>
        <v>60</v>
      </c>
      <c r="AE15" s="597" t="s">
        <v>466</v>
      </c>
      <c r="AF15" s="41"/>
      <c r="AG15" s="41"/>
      <c r="AH15" s="41"/>
      <c r="AI15" s="459"/>
      <c r="AJ15" s="41"/>
      <c r="AK15" s="41"/>
      <c r="AL15" s="41"/>
      <c r="AM15" s="41">
        <f>SUM(AF15:AL15)+AT15+AV15+AX15</f>
        <v>60</v>
      </c>
      <c r="AN15" s="41"/>
      <c r="AO15" s="41"/>
      <c r="AP15" s="41"/>
      <c r="AQ15" s="41"/>
      <c r="AR15" s="41">
        <f>SUM(AN15:AQ15)</f>
        <v>0</v>
      </c>
      <c r="AS15" s="41"/>
      <c r="AT15" s="41"/>
      <c r="AU15" s="41"/>
      <c r="AV15" s="41">
        <v>60</v>
      </c>
      <c r="AW15" s="41"/>
      <c r="AX15" s="41"/>
      <c r="AY15" s="41"/>
      <c r="AZ15" s="41"/>
      <c r="BA15" s="41">
        <f>+AR15+AS15+AU15+AW15+AY15+AZ15</f>
        <v>0</v>
      </c>
      <c r="BB15" s="37"/>
      <c r="BC15" s="57"/>
      <c r="BD15" s="57">
        <v>1</v>
      </c>
      <c r="BE15" s="37"/>
      <c r="BF15" s="57"/>
    </row>
    <row r="16" spans="1:58" ht="12.95" customHeight="1">
      <c r="A16" s="346"/>
      <c r="B16" s="45"/>
      <c r="C16" s="450"/>
      <c r="D16" s="45"/>
      <c r="E16" s="46"/>
      <c r="F16" s="46"/>
      <c r="G16" s="463"/>
      <c r="H16" s="48"/>
      <c r="I16" s="49"/>
      <c r="J16" s="90"/>
      <c r="K16" s="90"/>
      <c r="L16" s="39"/>
      <c r="M16" s="39"/>
      <c r="N16" s="50"/>
      <c r="O16" s="51"/>
      <c r="P16" s="52"/>
      <c r="Q16" s="51"/>
      <c r="R16" s="420"/>
      <c r="S16" s="420"/>
      <c r="T16" s="41"/>
      <c r="U16" s="41"/>
      <c r="V16" s="41"/>
      <c r="W16" s="41"/>
      <c r="X16" s="417"/>
      <c r="Y16" s="222"/>
      <c r="Z16" s="41"/>
      <c r="AA16" s="53"/>
      <c r="AB16" s="53"/>
      <c r="AC16" s="41"/>
      <c r="AD16" s="41"/>
      <c r="AE16" s="244"/>
      <c r="AF16" s="41"/>
      <c r="AG16" s="41"/>
      <c r="AH16" s="41"/>
      <c r="AI16" s="459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37"/>
      <c r="BC16" s="57"/>
      <c r="BD16" s="57"/>
      <c r="BE16" s="37"/>
      <c r="BF16" s="57"/>
    </row>
    <row r="17" spans="1:58" ht="12.95" customHeight="1">
      <c r="A17" s="346">
        <v>45841</v>
      </c>
      <c r="B17" s="45" t="s">
        <v>231</v>
      </c>
      <c r="C17" s="450">
        <f>(M17*E17*O17*Q17)/100000000</f>
        <v>10.514371000000001</v>
      </c>
      <c r="D17" s="45" t="s">
        <v>458</v>
      </c>
      <c r="E17" s="46">
        <v>14</v>
      </c>
      <c r="F17" s="46">
        <v>1</v>
      </c>
      <c r="G17" s="463">
        <v>1270</v>
      </c>
      <c r="H17" s="48">
        <v>0</v>
      </c>
      <c r="I17" s="49">
        <v>0.88</v>
      </c>
      <c r="J17" s="90">
        <f>E17*G17*(1-H17)*1440/1000000*2.77</f>
        <v>70.920864000000009</v>
      </c>
      <c r="K17" s="90">
        <f>(IF(G17&lt;L17,L17,G17)*(1-IF(H17&lt;N17,H17,N17))*E17*O17*Q17)/100000000</f>
        <v>10.553750666666668</v>
      </c>
      <c r="L17" s="39">
        <v>1340</v>
      </c>
      <c r="M17" s="39">
        <v>1335</v>
      </c>
      <c r="N17" s="50">
        <f>1-(M17/L17)</f>
        <v>3.7313432835820448E-3</v>
      </c>
      <c r="O17" s="51">
        <f>+'Trim Rwd'!H11</f>
        <v>267.88888888888891</v>
      </c>
      <c r="P17" s="52">
        <f>O17*(Q17-R17-S17)</f>
        <v>53577.777777777781</v>
      </c>
      <c r="Q17" s="51">
        <v>210</v>
      </c>
      <c r="R17" s="420">
        <v>0</v>
      </c>
      <c r="S17" s="420">
        <v>10</v>
      </c>
      <c r="T17" s="41">
        <f>E17*M17*O17*Q17/100000000</f>
        <v>10.514371000000001</v>
      </c>
      <c r="U17" s="41">
        <f>E17*M17*O17*(Q17-R17-S17)/100000000</f>
        <v>10.013686666666667</v>
      </c>
      <c r="V17" s="41">
        <f>E17*G17*(1-N17)*O17/100*(R17+S17)/1000000</f>
        <v>0.47452918159203983</v>
      </c>
      <c r="W17" s="41">
        <f>+'3'!K7/1000</f>
        <v>22.141999999999999</v>
      </c>
      <c r="X17" s="417">
        <f>SUM(W17:W20)/SUM(K17:K20)</f>
        <v>0.91407730485331939</v>
      </c>
      <c r="Y17" s="222">
        <v>0</v>
      </c>
      <c r="Z17" s="41">
        <v>0</v>
      </c>
      <c r="AA17" s="53">
        <f>SUM(U17:U20)-SUM(W17:W20)-SUM(Z17:Z20)-SUM(Y17:Y20)</f>
        <v>2.6095960420187909</v>
      </c>
      <c r="AB17" s="53">
        <f>(SUM(K17:K20)-SUM(W17:W20)-SUM(Y17:Y20)-SUM(Z17:Z20)-SUM(AC17:AC20)-SUM(V17:V20))-AA17</f>
        <v>0.15626752925637621</v>
      </c>
      <c r="AC17" s="41">
        <f>K17-T17</f>
        <v>3.9379666666667035E-2</v>
      </c>
      <c r="AD17" s="41">
        <f>+AM17+BA17</f>
        <v>0</v>
      </c>
      <c r="AE17" s="241" t="s">
        <v>473</v>
      </c>
      <c r="AF17" s="41">
        <v>0</v>
      </c>
      <c r="AG17" s="41"/>
      <c r="AH17" s="41"/>
      <c r="AI17" s="459"/>
      <c r="AJ17" s="41"/>
      <c r="AK17" s="41"/>
      <c r="AL17" s="41"/>
      <c r="AM17" s="41">
        <f>SUM(AF17:AL17)+AT17+AV17+AX17</f>
        <v>0</v>
      </c>
      <c r="AN17" s="41"/>
      <c r="AO17" s="41"/>
      <c r="AP17" s="41"/>
      <c r="AQ17" s="41"/>
      <c r="AR17" s="41">
        <f>SUM(AN17:AQ17)</f>
        <v>0</v>
      </c>
      <c r="AS17" s="41"/>
      <c r="AT17" s="41"/>
      <c r="AU17" s="41"/>
      <c r="AV17" s="41"/>
      <c r="AW17" s="41"/>
      <c r="AX17" s="41"/>
      <c r="AY17" s="41"/>
      <c r="AZ17" s="41"/>
      <c r="BA17" s="41">
        <f>+AR17+AS17+AU17+AW17+AY17+AZ17</f>
        <v>0</v>
      </c>
      <c r="BB17" s="37">
        <v>0</v>
      </c>
      <c r="BC17" s="55"/>
      <c r="BD17" s="55"/>
      <c r="BE17" s="37"/>
      <c r="BF17" s="55"/>
    </row>
    <row r="18" spans="1:58" ht="12.95" customHeight="1">
      <c r="A18" s="346"/>
      <c r="B18" s="45" t="s">
        <v>231</v>
      </c>
      <c r="C18" s="450">
        <f>(M18*E18*O18*Q18)/100000000</f>
        <v>70.753741288732385</v>
      </c>
      <c r="D18" s="45" t="s">
        <v>458</v>
      </c>
      <c r="E18" s="46">
        <v>17</v>
      </c>
      <c r="F18" s="46">
        <v>1</v>
      </c>
      <c r="G18" s="463">
        <v>1210</v>
      </c>
      <c r="H18" s="48">
        <v>0</v>
      </c>
      <c r="I18" s="49">
        <v>0.88</v>
      </c>
      <c r="J18" s="90">
        <f>E18*G18*(1-H18)*1440/1000000*2.77</f>
        <v>82.049616</v>
      </c>
      <c r="K18" s="90">
        <f>(IF(G18&lt;L18,L18,G18)*(1-IF(H18&lt;N18,H18,N18))*E18*O18*Q18)/100000000</f>
        <v>71.035628704225346</v>
      </c>
      <c r="L18" s="39">
        <v>1260</v>
      </c>
      <c r="M18" s="39">
        <v>1255</v>
      </c>
      <c r="N18" s="50">
        <f>1-(M18/L18)</f>
        <v>3.9682539682539542E-3</v>
      </c>
      <c r="O18" s="51">
        <f>+'Trim Rwd'!H13</f>
        <v>269.61971830985914</v>
      </c>
      <c r="P18" s="52">
        <f>O18*(Q18-R18-S18)</f>
        <v>316263.92957746476</v>
      </c>
      <c r="Q18" s="51">
        <f>1192+38</f>
        <v>1230</v>
      </c>
      <c r="R18" s="420">
        <v>38</v>
      </c>
      <c r="S18" s="420">
        <v>19</v>
      </c>
      <c r="T18" s="41">
        <f>E18*M18*O18*Q18/100000000</f>
        <v>70.753741288732385</v>
      </c>
      <c r="U18" s="41">
        <f>E18*M18*O18*(Q18-R18-S18)/100000000</f>
        <v>67.474909375352112</v>
      </c>
      <c r="V18" s="41">
        <f>E18*G18*(1-N18)*O18/100*(R18+S18)/1000000</f>
        <v>3.1487195358651912</v>
      </c>
      <c r="W18" s="41">
        <f>+'3'!K8/1000</f>
        <v>52.436999999999998</v>
      </c>
      <c r="X18" s="42"/>
      <c r="Y18" s="222"/>
      <c r="Z18" s="41">
        <f>+'3'!D8/1000</f>
        <v>0.3</v>
      </c>
      <c r="AA18" s="41"/>
      <c r="AB18" s="41"/>
      <c r="AC18" s="41">
        <f>K18-T18</f>
        <v>0.28188741549296026</v>
      </c>
      <c r="AD18" s="41">
        <f>+AM18+BA18</f>
        <v>0</v>
      </c>
      <c r="AE18" s="241" t="s">
        <v>452</v>
      </c>
      <c r="AF18" s="41"/>
      <c r="AG18" s="41">
        <v>0</v>
      </c>
      <c r="AH18" s="41"/>
      <c r="AI18" s="459"/>
      <c r="AJ18" s="41"/>
      <c r="AK18" s="41"/>
      <c r="AL18" s="41"/>
      <c r="AM18" s="41">
        <f>SUM(AF18:AL18)+AT18+AV18+AX18</f>
        <v>0</v>
      </c>
      <c r="AN18" s="91"/>
      <c r="AO18" s="41"/>
      <c r="AP18" s="41"/>
      <c r="AQ18" s="41"/>
      <c r="AR18" s="41">
        <f>SUM(AN18:AQ18)</f>
        <v>0</v>
      </c>
      <c r="AS18" s="41"/>
      <c r="AT18" s="41"/>
      <c r="AU18" s="41"/>
      <c r="AV18" s="41"/>
      <c r="AW18" s="41"/>
      <c r="AX18" s="41"/>
      <c r="AY18" s="41"/>
      <c r="AZ18" s="41"/>
      <c r="BA18" s="41">
        <f>+AR18+AS18+AU18+AW18+AY18+AZ18</f>
        <v>0</v>
      </c>
      <c r="BB18" s="54"/>
      <c r="BC18" s="55">
        <v>0</v>
      </c>
      <c r="BD18" s="55"/>
      <c r="BE18" s="54"/>
      <c r="BF18" s="55"/>
    </row>
    <row r="19" spans="1:58" ht="12.95" customHeight="1">
      <c r="A19" s="44"/>
      <c r="B19" s="45"/>
      <c r="C19" s="450"/>
      <c r="D19" s="45"/>
      <c r="E19" s="46"/>
      <c r="F19" s="46"/>
      <c r="G19" s="47"/>
      <c r="H19" s="48"/>
      <c r="I19" s="49"/>
      <c r="J19" s="90"/>
      <c r="K19" s="90"/>
      <c r="L19" s="39"/>
      <c r="M19" s="39"/>
      <c r="N19" s="50"/>
      <c r="O19" s="51"/>
      <c r="P19" s="52"/>
      <c r="Q19" s="51"/>
      <c r="R19" s="420"/>
      <c r="S19" s="420"/>
      <c r="T19" s="41"/>
      <c r="U19" s="41"/>
      <c r="V19" s="41"/>
      <c r="W19" s="41"/>
      <c r="X19" s="42"/>
      <c r="Y19" s="222"/>
      <c r="Z19" s="41"/>
      <c r="AA19" s="41"/>
      <c r="AB19" s="41"/>
      <c r="AC19" s="41"/>
      <c r="AD19" s="41">
        <f>+AM19+BA19</f>
        <v>29</v>
      </c>
      <c r="AE19" s="241" t="s">
        <v>490</v>
      </c>
      <c r="AF19" s="37"/>
      <c r="AG19" s="37"/>
      <c r="AH19" s="37">
        <v>29</v>
      </c>
      <c r="AJ19" s="41"/>
      <c r="AK19" s="41"/>
      <c r="AL19" s="41"/>
      <c r="AM19" s="41">
        <f>SUM(AF19:AL19)+AT19+AV19+AX19</f>
        <v>29</v>
      </c>
      <c r="AN19" s="41"/>
      <c r="AO19" s="41"/>
      <c r="AP19" s="41"/>
      <c r="AQ19" s="41"/>
      <c r="AR19" s="41">
        <f>SUM(AN19:AQ19)</f>
        <v>0</v>
      </c>
      <c r="AS19" s="41"/>
      <c r="AT19" s="41"/>
      <c r="AU19" s="41"/>
      <c r="AV19" s="41"/>
      <c r="AW19" s="41"/>
      <c r="AX19" s="41"/>
      <c r="AY19" s="41"/>
      <c r="AZ19" s="41"/>
      <c r="BA19" s="41">
        <f>+AR19+AS19+AU19+AW19+AY19+AZ19</f>
        <v>0</v>
      </c>
      <c r="BB19" s="37"/>
      <c r="BC19" s="57"/>
      <c r="BD19" s="57"/>
      <c r="BE19" s="37"/>
      <c r="BF19" s="57"/>
    </row>
    <row r="20" spans="1:58" ht="12.95" customHeight="1">
      <c r="A20" s="44"/>
      <c r="B20" s="45"/>
      <c r="C20" s="450"/>
      <c r="D20" s="45"/>
      <c r="E20" s="46"/>
      <c r="F20" s="46"/>
      <c r="G20" s="47"/>
      <c r="H20" s="48"/>
      <c r="I20" s="49"/>
      <c r="J20" s="90"/>
      <c r="K20" s="90"/>
      <c r="L20" s="39"/>
      <c r="M20" s="39"/>
      <c r="N20" s="50"/>
      <c r="O20" s="51"/>
      <c r="P20" s="52"/>
      <c r="Q20" s="38"/>
      <c r="R20" s="420"/>
      <c r="S20" s="420"/>
      <c r="T20" s="41"/>
      <c r="U20" s="41"/>
      <c r="V20" s="41"/>
      <c r="W20" s="41"/>
      <c r="X20" s="42"/>
      <c r="Y20" s="222"/>
      <c r="Z20" s="41"/>
      <c r="AA20" s="41"/>
      <c r="AB20" s="41"/>
      <c r="AC20" s="41"/>
      <c r="AD20" s="41">
        <f>+AM20+BA20</f>
        <v>38</v>
      </c>
      <c r="AE20" s="597" t="s">
        <v>491</v>
      </c>
      <c r="AF20" s="41"/>
      <c r="AG20" s="41"/>
      <c r="AH20" s="41"/>
      <c r="AI20" s="459"/>
      <c r="AJ20" s="41"/>
      <c r="AK20" s="41"/>
      <c r="AL20" s="41"/>
      <c r="AM20" s="41">
        <f>SUM(AF20:AL20)+AT20+AV20+AX20</f>
        <v>0</v>
      </c>
      <c r="AN20" s="41"/>
      <c r="AO20" s="41"/>
      <c r="AP20" s="41"/>
      <c r="AQ20" s="41"/>
      <c r="AR20" s="41">
        <f>SUM(AN20:AQ20)</f>
        <v>0</v>
      </c>
      <c r="AS20" s="41"/>
      <c r="AT20" s="41"/>
      <c r="AU20" s="41"/>
      <c r="AV20" s="41"/>
      <c r="AW20" s="41"/>
      <c r="AX20" s="41"/>
      <c r="AY20" s="41">
        <v>38</v>
      </c>
      <c r="AZ20" s="41"/>
      <c r="BA20" s="41">
        <f>+AR20+AS20+AU20+AW20+AY20+AZ20</f>
        <v>38</v>
      </c>
      <c r="BB20" s="37"/>
      <c r="BC20" s="57"/>
      <c r="BD20" s="57"/>
      <c r="BE20" s="37">
        <v>1</v>
      </c>
      <c r="BF20" s="57"/>
    </row>
    <row r="21" spans="1:58" ht="12.95" customHeight="1">
      <c r="A21" s="346"/>
      <c r="B21" s="45"/>
      <c r="C21" s="450"/>
      <c r="D21" s="45"/>
      <c r="E21" s="46"/>
      <c r="F21" s="46"/>
      <c r="G21" s="463"/>
      <c r="H21" s="48"/>
      <c r="I21" s="49"/>
      <c r="J21" s="90"/>
      <c r="K21" s="90"/>
      <c r="L21" s="39"/>
      <c r="M21" s="39"/>
      <c r="N21" s="50"/>
      <c r="O21" s="51"/>
      <c r="P21" s="52"/>
      <c r="Q21" s="51"/>
      <c r="R21" s="420"/>
      <c r="S21" s="420"/>
      <c r="T21" s="41"/>
      <c r="U21" s="41"/>
      <c r="V21" s="41"/>
      <c r="W21" s="41"/>
      <c r="X21" s="417"/>
      <c r="Y21" s="222"/>
      <c r="Z21" s="41"/>
      <c r="AA21" s="53"/>
      <c r="AB21" s="53"/>
      <c r="AC21" s="41"/>
      <c r="AD21" s="41"/>
      <c r="AE21" s="241"/>
      <c r="AF21" s="41"/>
      <c r="AG21" s="41"/>
      <c r="AH21" s="41"/>
      <c r="AI21" s="459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37"/>
      <c r="BC21" s="55"/>
      <c r="BD21" s="55"/>
      <c r="BE21" s="37"/>
      <c r="BF21" s="55"/>
    </row>
    <row r="22" spans="1:58" ht="12.95" customHeight="1">
      <c r="A22" s="346">
        <v>45842</v>
      </c>
      <c r="B22" s="45" t="s">
        <v>231</v>
      </c>
      <c r="C22" s="450">
        <f>(M22*E22*O22*Q22)/100000000</f>
        <v>82.712381400000012</v>
      </c>
      <c r="D22" s="45" t="s">
        <v>458</v>
      </c>
      <c r="E22" s="46">
        <v>17</v>
      </c>
      <c r="F22" s="46">
        <v>1</v>
      </c>
      <c r="G22" s="463">
        <v>1210</v>
      </c>
      <c r="H22" s="48">
        <v>0</v>
      </c>
      <c r="I22" s="49">
        <v>0.88</v>
      </c>
      <c r="J22" s="90">
        <f>E22*G22*(1-H22)*1440/1000000*2.77</f>
        <v>82.049616</v>
      </c>
      <c r="K22" s="90">
        <f>(IF(G22&lt;L22,L22,G22)*(1-IF(H22&lt;N22,H22,N22))*E22*O22*Q22)/100000000</f>
        <v>83.041912800000006</v>
      </c>
      <c r="L22" s="39">
        <v>1260</v>
      </c>
      <c r="M22" s="39">
        <v>1255</v>
      </c>
      <c r="N22" s="50">
        <f>1-(M22/L22)</f>
        <v>3.9682539682539542E-3</v>
      </c>
      <c r="O22" s="51">
        <f>+'Trim Rwd'!H19</f>
        <v>269.22500000000002</v>
      </c>
      <c r="P22" s="52">
        <f>O22*(Q22-R22-S22)</f>
        <v>370722.82500000001</v>
      </c>
      <c r="Q22" s="51">
        <v>1440</v>
      </c>
      <c r="R22" s="420">
        <v>0</v>
      </c>
      <c r="S22" s="420">
        <v>63</v>
      </c>
      <c r="T22" s="41">
        <f>E22*M22*O22*Q22/100000000</f>
        <v>82.712381400000012</v>
      </c>
      <c r="U22" s="41">
        <f>E22*M22*O22*(Q22-R22-S22)/100000000</f>
        <v>79.093714713750003</v>
      </c>
      <c r="V22" s="41">
        <f>E22*G22*(1-N22)*O22/100*(R22+S22)/1000000</f>
        <v>3.4750688018750004</v>
      </c>
      <c r="W22" s="41">
        <f>+'4'!K34/1000</f>
        <v>78.611000000000004</v>
      </c>
      <c r="X22" s="417">
        <f>SUM(W22:W25)/SUM(K22:K25)</f>
        <v>0.94664245258088509</v>
      </c>
      <c r="Y22" s="222">
        <v>0</v>
      </c>
      <c r="Z22" s="41">
        <f>+'4'!D34/1000</f>
        <v>0.311</v>
      </c>
      <c r="AA22" s="53">
        <f>SUM(U22:U25)-SUM(W22:W25)-SUM(Z22:Z25)-SUM(Y22:Y25)</f>
        <v>0.17171471374999919</v>
      </c>
      <c r="AB22" s="53">
        <f>(SUM(K22:K25)-SUM(W22:W25)-SUM(Y22:Y25)-SUM(Z22:Z25)-SUM(AC22:AC25)-SUM(V22:V25))-AA22</f>
        <v>0.14359788437500859</v>
      </c>
      <c r="AC22" s="41">
        <f>K22-T22</f>
        <v>0.32953139999999337</v>
      </c>
      <c r="AD22" s="41">
        <f>+AM22+BA22</f>
        <v>30</v>
      </c>
      <c r="AE22" s="241" t="s">
        <v>459</v>
      </c>
      <c r="AF22" s="41">
        <v>30</v>
      </c>
      <c r="AG22" s="41"/>
      <c r="AH22" s="41"/>
      <c r="AI22" s="459"/>
      <c r="AJ22" s="41"/>
      <c r="AK22" s="41"/>
      <c r="AL22" s="41"/>
      <c r="AM22" s="41">
        <f>SUM(AF22:AL22)+AT22+AV22+AX22</f>
        <v>30</v>
      </c>
      <c r="AN22" s="41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37">
        <v>6</v>
      </c>
      <c r="BC22" s="55"/>
      <c r="BD22" s="55"/>
      <c r="BE22" s="37"/>
      <c r="BF22" s="55"/>
    </row>
    <row r="23" spans="1:58" ht="12.95" customHeight="1">
      <c r="A23" s="346"/>
      <c r="B23" s="45"/>
      <c r="C23" s="450"/>
      <c r="D23" s="45"/>
      <c r="E23" s="46"/>
      <c r="F23" s="46"/>
      <c r="G23" s="463"/>
      <c r="H23" s="48"/>
      <c r="I23" s="49"/>
      <c r="J23" s="90"/>
      <c r="K23" s="90"/>
      <c r="L23" s="39"/>
      <c r="M23" s="39"/>
      <c r="N23" s="50"/>
      <c r="O23" s="51"/>
      <c r="P23" s="52"/>
      <c r="Q23" s="51"/>
      <c r="R23" s="420"/>
      <c r="S23" s="420"/>
      <c r="T23" s="41"/>
      <c r="U23" s="41"/>
      <c r="V23" s="41"/>
      <c r="W23" s="41"/>
      <c r="X23" s="42"/>
      <c r="Y23" s="222"/>
      <c r="Z23" s="41"/>
      <c r="AA23" s="41"/>
      <c r="AB23" s="41"/>
      <c r="AC23" s="41"/>
      <c r="AD23" s="41">
        <f>+AM23+BA23</f>
        <v>0</v>
      </c>
      <c r="AE23" s="241" t="s">
        <v>452</v>
      </c>
      <c r="AF23" s="41"/>
      <c r="AG23" s="41">
        <v>0</v>
      </c>
      <c r="AH23" s="41"/>
      <c r="AI23" s="459"/>
      <c r="AJ23" s="41"/>
      <c r="AK23" s="41"/>
      <c r="AL23" s="41"/>
      <c r="AM23" s="41">
        <f>SUM(AF23:AL23)+AT23+AV23+AX23</f>
        <v>0</v>
      </c>
      <c r="AN23" s="91"/>
      <c r="AO23" s="41"/>
      <c r="AP23" s="41"/>
      <c r="AQ23" s="41"/>
      <c r="AR23" s="41">
        <f>SUM(AN23:AQ23)</f>
        <v>0</v>
      </c>
      <c r="AS23" s="41"/>
      <c r="AT23" s="41"/>
      <c r="AU23" s="41"/>
      <c r="AV23" s="41"/>
      <c r="AW23" s="41"/>
      <c r="AX23" s="41"/>
      <c r="AY23" s="41"/>
      <c r="AZ23" s="41"/>
      <c r="BA23" s="41">
        <f>+AR23+AS23+AU23+AW23+AY23+AZ23</f>
        <v>0</v>
      </c>
      <c r="BB23" s="54"/>
      <c r="BC23" s="55">
        <v>0</v>
      </c>
      <c r="BD23" s="55"/>
      <c r="BE23" s="54"/>
      <c r="BF23" s="55"/>
    </row>
    <row r="24" spans="1:58" ht="12.95" customHeight="1">
      <c r="A24" s="44"/>
      <c r="B24" s="45"/>
      <c r="C24" s="450"/>
      <c r="D24" s="45"/>
      <c r="E24" s="46"/>
      <c r="F24" s="46"/>
      <c r="G24" s="47"/>
      <c r="H24" s="48"/>
      <c r="I24" s="49"/>
      <c r="J24" s="90"/>
      <c r="K24" s="90"/>
      <c r="L24" s="39"/>
      <c r="M24" s="39"/>
      <c r="N24" s="50"/>
      <c r="O24" s="51"/>
      <c r="P24" s="52"/>
      <c r="Q24" s="51"/>
      <c r="R24" s="420"/>
      <c r="S24" s="420"/>
      <c r="T24" s="41"/>
      <c r="U24" s="41"/>
      <c r="V24" s="41"/>
      <c r="W24" s="41"/>
      <c r="X24" s="42"/>
      <c r="Y24" s="222"/>
      <c r="Z24" s="41"/>
      <c r="AA24" s="41"/>
      <c r="AB24" s="41"/>
      <c r="AC24" s="41"/>
      <c r="AD24" s="41">
        <f>+AM24+BA24</f>
        <v>33</v>
      </c>
      <c r="AE24" s="241" t="s">
        <v>490</v>
      </c>
      <c r="AF24" s="37"/>
      <c r="AG24" s="37"/>
      <c r="AH24" s="37">
        <v>33</v>
      </c>
      <c r="AJ24" s="41"/>
      <c r="AK24" s="41"/>
      <c r="AL24" s="41"/>
      <c r="AM24" s="41">
        <f>SUM(AF24:AL24)+AT24+AV24+AX24</f>
        <v>33</v>
      </c>
      <c r="AN24" s="41"/>
      <c r="AO24" s="41"/>
      <c r="AP24" s="41"/>
      <c r="AQ24" s="41"/>
      <c r="AR24" s="41">
        <f>SUM(AN24:AQ24)</f>
        <v>0</v>
      </c>
      <c r="AS24" s="41"/>
      <c r="AT24" s="41"/>
      <c r="AU24" s="41"/>
      <c r="AV24" s="41"/>
      <c r="AW24" s="41"/>
      <c r="AX24" s="41"/>
      <c r="AY24" s="41"/>
      <c r="AZ24" s="41"/>
      <c r="BA24" s="41">
        <f>+AR24+AS24+AU24+AW24+AY24+AZ24</f>
        <v>0</v>
      </c>
      <c r="BB24" s="37"/>
      <c r="BC24" s="57"/>
      <c r="BD24" s="57"/>
      <c r="BE24" s="37"/>
      <c r="BF24" s="57"/>
    </row>
    <row r="25" spans="1:58" ht="12.95" customHeight="1">
      <c r="A25" s="346"/>
      <c r="B25" s="45"/>
      <c r="C25" s="450"/>
      <c r="D25" s="45"/>
      <c r="E25" s="46"/>
      <c r="F25" s="46"/>
      <c r="G25" s="463"/>
      <c r="H25" s="48"/>
      <c r="I25" s="49"/>
      <c r="J25" s="90"/>
      <c r="K25" s="90"/>
      <c r="L25" s="39"/>
      <c r="M25" s="39"/>
      <c r="N25" s="50"/>
      <c r="O25" s="51"/>
      <c r="P25" s="52"/>
      <c r="Q25" s="51"/>
      <c r="R25" s="420"/>
      <c r="S25" s="420"/>
      <c r="T25" s="41"/>
      <c r="U25" s="41"/>
      <c r="V25" s="41"/>
      <c r="W25" s="41"/>
      <c r="X25" s="417"/>
      <c r="Y25" s="222"/>
      <c r="Z25" s="41"/>
      <c r="AA25" s="53"/>
      <c r="AB25" s="53"/>
      <c r="AC25" s="41"/>
      <c r="AD25" s="41"/>
      <c r="AE25" s="241"/>
      <c r="AF25" s="41"/>
      <c r="AG25" s="41"/>
      <c r="AH25" s="41"/>
      <c r="AI25" s="459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37"/>
      <c r="BC25" s="55"/>
      <c r="BD25" s="55"/>
      <c r="BE25" s="37"/>
      <c r="BF25" s="55"/>
    </row>
    <row r="26" spans="1:58" ht="12.95" customHeight="1">
      <c r="A26" s="346">
        <v>45843</v>
      </c>
      <c r="B26" s="45" t="s">
        <v>231</v>
      </c>
      <c r="C26" s="450">
        <f>(M26*E26*O26*Q26)/100000000</f>
        <v>77.284806471910116</v>
      </c>
      <c r="D26" s="45" t="s">
        <v>458</v>
      </c>
      <c r="E26" s="46">
        <v>16</v>
      </c>
      <c r="F26" s="46">
        <v>1</v>
      </c>
      <c r="G26" s="463">
        <v>1270</v>
      </c>
      <c r="H26" s="48">
        <v>0</v>
      </c>
      <c r="I26" s="49">
        <v>0.88</v>
      </c>
      <c r="J26" s="90">
        <f>E26*G26*(1-H26)*1440/1000000*2.77</f>
        <v>81.052415999999994</v>
      </c>
      <c r="K26" s="90">
        <f>(IF(G26&lt;L26,L26,G26)*(1-IF(H26&lt;N26,H26,N26))*E26*O26*Q26)/100000000</f>
        <v>78.208529258426964</v>
      </c>
      <c r="L26" s="39">
        <v>1260</v>
      </c>
      <c r="M26" s="39">
        <v>1255</v>
      </c>
      <c r="N26" s="50">
        <f>1-(M26/L26)</f>
        <v>3.9682539682539542E-3</v>
      </c>
      <c r="O26" s="51">
        <f>+'Trim Rwd'!H24</f>
        <v>267.28089887640448</v>
      </c>
      <c r="P26" s="52">
        <f>O26*(Q26-R26-S26)</f>
        <v>372055.01123595505</v>
      </c>
      <c r="Q26" s="51">
        <v>1440</v>
      </c>
      <c r="R26" s="420">
        <v>0</v>
      </c>
      <c r="S26" s="420">
        <v>48</v>
      </c>
      <c r="T26" s="41">
        <f>E26*M26*O26*Q26/100000000</f>
        <v>77.284806471910116</v>
      </c>
      <c r="U26" s="41">
        <f>E26*M26*O26*(Q26-R26-S26)/100000000</f>
        <v>74.708646256179776</v>
      </c>
      <c r="V26" s="41">
        <f>E26*G26*(1-N26)*O26/100*(R26+S26)/1000000</f>
        <v>2.5966059317281971</v>
      </c>
      <c r="W26" s="41">
        <f>+'5'!K34/1000</f>
        <v>74.552000000000007</v>
      </c>
      <c r="X26" s="417">
        <f>SUM(W26:W29)/SUM(K26:K29)</f>
        <v>0.95324641323525505</v>
      </c>
      <c r="Y26" s="222">
        <v>0</v>
      </c>
      <c r="Z26" s="41">
        <f>+'5'!D34/1000</f>
        <v>0.13</v>
      </c>
      <c r="AA26" s="53">
        <f>SUM(U26:U29)-SUM(W26:W29)-SUM(Z26:Z29)-SUM(Y26:Y29)</f>
        <v>2.6646256179769234E-2</v>
      </c>
      <c r="AB26" s="53">
        <f>(SUM(K26:K29)-SUM(W26:W29)-SUM(Y26:Y29)-SUM(Z26:Z29)-SUM(AC26:AC29)-SUM(V26:V29))-AA26</f>
        <v>-2.0445715997856939E-2</v>
      </c>
      <c r="AC26" s="41">
        <f>K26-T26</f>
        <v>0.9237227865168478</v>
      </c>
      <c r="AD26" s="41">
        <f>+AM26+BA26</f>
        <v>20</v>
      </c>
      <c r="AE26" s="241" t="s">
        <v>504</v>
      </c>
      <c r="AF26" s="41">
        <v>20</v>
      </c>
      <c r="AG26" s="41"/>
      <c r="AH26" s="41"/>
      <c r="AI26" s="459"/>
      <c r="AJ26" s="41"/>
      <c r="AK26" s="41"/>
      <c r="AL26" s="41"/>
      <c r="AM26" s="41">
        <f>SUM(AF26:AL26)+AT26+AV26+AX26</f>
        <v>20</v>
      </c>
      <c r="AN26" s="41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37">
        <v>4</v>
      </c>
      <c r="BC26" s="55"/>
      <c r="BD26" s="55"/>
      <c r="BE26" s="37"/>
      <c r="BF26" s="55"/>
    </row>
    <row r="27" spans="1:58" ht="12.95" customHeight="1">
      <c r="A27" s="346"/>
      <c r="B27" s="45"/>
      <c r="C27" s="450"/>
      <c r="D27" s="45"/>
      <c r="E27" s="46"/>
      <c r="F27" s="46"/>
      <c r="G27" s="463"/>
      <c r="H27" s="48"/>
      <c r="I27" s="49"/>
      <c r="J27" s="90"/>
      <c r="K27" s="90"/>
      <c r="L27" s="39"/>
      <c r="M27" s="39"/>
      <c r="N27" s="50"/>
      <c r="O27" s="51"/>
      <c r="P27" s="52"/>
      <c r="Q27" s="51"/>
      <c r="R27" s="420"/>
      <c r="S27" s="420"/>
      <c r="T27" s="41"/>
      <c r="U27" s="41"/>
      <c r="V27" s="41"/>
      <c r="W27" s="41"/>
      <c r="X27" s="42"/>
      <c r="Y27" s="222"/>
      <c r="Z27" s="41"/>
      <c r="AA27" s="41"/>
      <c r="AB27" s="41"/>
      <c r="AC27" s="41"/>
      <c r="AD27" s="41">
        <f>+AM27+BA27</f>
        <v>0</v>
      </c>
      <c r="AE27" s="241" t="s">
        <v>452</v>
      </c>
      <c r="AF27" s="41"/>
      <c r="AG27" s="41">
        <v>0</v>
      </c>
      <c r="AH27" s="41"/>
      <c r="AI27" s="459"/>
      <c r="AJ27" s="41"/>
      <c r="AK27" s="41"/>
      <c r="AL27" s="41"/>
      <c r="AM27" s="41">
        <f>SUM(AF27:AL27)+AT27+AV27+AX27</f>
        <v>0</v>
      </c>
      <c r="AN27" s="91"/>
      <c r="AO27" s="41"/>
      <c r="AP27" s="41"/>
      <c r="AQ27" s="41"/>
      <c r="AR27" s="41">
        <f>SUM(AN27:AQ27)</f>
        <v>0</v>
      </c>
      <c r="AS27" s="41"/>
      <c r="AT27" s="41"/>
      <c r="AU27" s="41"/>
      <c r="AV27" s="41"/>
      <c r="AW27" s="41"/>
      <c r="AX27" s="41"/>
      <c r="AY27" s="41"/>
      <c r="AZ27" s="41"/>
      <c r="BA27" s="41">
        <f>+AR27+AS27+AU27+AW27+AY27+AZ27</f>
        <v>0</v>
      </c>
      <c r="BB27" s="54"/>
      <c r="BC27" s="55">
        <v>0</v>
      </c>
      <c r="BD27" s="55"/>
      <c r="BE27" s="54"/>
      <c r="BF27" s="55"/>
    </row>
    <row r="28" spans="1:58" ht="12.95" customHeight="1">
      <c r="A28" s="44"/>
      <c r="B28" s="45"/>
      <c r="C28" s="450"/>
      <c r="D28" s="45"/>
      <c r="E28" s="46"/>
      <c r="F28" s="46"/>
      <c r="G28" s="47"/>
      <c r="H28" s="48"/>
      <c r="I28" s="49"/>
      <c r="J28" s="90"/>
      <c r="K28" s="90"/>
      <c r="L28" s="39"/>
      <c r="M28" s="39"/>
      <c r="N28" s="50"/>
      <c r="O28" s="51"/>
      <c r="P28" s="52"/>
      <c r="Q28" s="51"/>
      <c r="R28" s="420"/>
      <c r="S28" s="420"/>
      <c r="T28" s="41"/>
      <c r="U28" s="41"/>
      <c r="V28" s="41"/>
      <c r="W28" s="41"/>
      <c r="X28" s="42"/>
      <c r="Y28" s="222"/>
      <c r="Z28" s="41"/>
      <c r="AA28" s="41"/>
      <c r="AB28" s="41"/>
      <c r="AC28" s="41"/>
      <c r="AD28" s="41">
        <f>+AM28+BA28</f>
        <v>28</v>
      </c>
      <c r="AE28" s="241" t="s">
        <v>516</v>
      </c>
      <c r="AF28" s="37"/>
      <c r="AG28" s="37"/>
      <c r="AH28" s="37">
        <v>28</v>
      </c>
      <c r="AJ28" s="41"/>
      <c r="AK28" s="41"/>
      <c r="AL28" s="41"/>
      <c r="AM28" s="41">
        <f>SUM(AF28:AL28)+AT28+AV28+AX28</f>
        <v>28</v>
      </c>
      <c r="AN28" s="41"/>
      <c r="AO28" s="41"/>
      <c r="AP28" s="41"/>
      <c r="AQ28" s="41"/>
      <c r="AR28" s="41">
        <f>SUM(AN28:AQ28)</f>
        <v>0</v>
      </c>
      <c r="AS28" s="41"/>
      <c r="AT28" s="41"/>
      <c r="AU28" s="41"/>
      <c r="AV28" s="41"/>
      <c r="AW28" s="41"/>
      <c r="AX28" s="41"/>
      <c r="AY28" s="41"/>
      <c r="AZ28" s="41"/>
      <c r="BA28" s="41">
        <f>+AR28+AS28+AU28+AW28+AY28+AZ28</f>
        <v>0</v>
      </c>
      <c r="BB28" s="37"/>
      <c r="BC28" s="57"/>
      <c r="BD28" s="57"/>
      <c r="BE28" s="37"/>
      <c r="BF28" s="57"/>
    </row>
    <row r="29" spans="1:58" ht="12.95" customHeight="1">
      <c r="A29" s="346"/>
      <c r="B29" s="45"/>
      <c r="C29" s="450"/>
      <c r="D29" s="45"/>
      <c r="E29" s="46"/>
      <c r="F29" s="46"/>
      <c r="G29" s="463"/>
      <c r="H29" s="48"/>
      <c r="I29" s="49"/>
      <c r="J29" s="90"/>
      <c r="K29" s="90"/>
      <c r="L29" s="39"/>
      <c r="M29" s="39"/>
      <c r="N29" s="50"/>
      <c r="O29" s="51"/>
      <c r="P29" s="52"/>
      <c r="Q29" s="51"/>
      <c r="R29" s="420"/>
      <c r="S29" s="420"/>
      <c r="T29" s="41"/>
      <c r="U29" s="41"/>
      <c r="V29" s="41"/>
      <c r="W29" s="41"/>
      <c r="X29" s="417"/>
      <c r="Y29" s="222"/>
      <c r="Z29" s="41"/>
      <c r="AA29" s="53"/>
      <c r="AB29" s="53"/>
      <c r="AC29" s="41"/>
      <c r="AD29" s="41"/>
      <c r="AE29" s="241"/>
      <c r="AF29" s="41"/>
      <c r="AG29" s="41"/>
      <c r="AH29" s="41"/>
      <c r="AI29" s="459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37"/>
      <c r="BC29" s="55"/>
      <c r="BD29" s="55"/>
      <c r="BE29" s="37"/>
      <c r="BF29" s="55"/>
    </row>
    <row r="30" spans="1:58" ht="12.95" customHeight="1">
      <c r="A30" s="346">
        <v>45844</v>
      </c>
      <c r="B30" s="45" t="s">
        <v>231</v>
      </c>
      <c r="C30" s="450">
        <f>(M30*E30*O30*Q30)/100000000</f>
        <v>76.617077114612499</v>
      </c>
      <c r="D30" s="45" t="s">
        <v>458</v>
      </c>
      <c r="E30" s="46">
        <v>16</v>
      </c>
      <c r="F30" s="46">
        <v>1</v>
      </c>
      <c r="G30" s="463">
        <v>1270</v>
      </c>
      <c r="H30" s="48">
        <v>0</v>
      </c>
      <c r="I30" s="49">
        <v>0.88</v>
      </c>
      <c r="J30" s="90">
        <f>E30*G30*(1-H30)*1440/1000000*2.77</f>
        <v>81.052415999999994</v>
      </c>
      <c r="K30" s="90">
        <f>(IF(G30&lt;L30,L30,G30)*(1-IF(H30&lt;N30,H30,N30))*E30*O30*Q30)/100000000</f>
        <v>78.126335999999995</v>
      </c>
      <c r="L30" s="39">
        <v>1249.8403483309144</v>
      </c>
      <c r="M30" s="39">
        <v>1245.4659071117562</v>
      </c>
      <c r="N30" s="50">
        <f>1-(M30/L30)</f>
        <v>3.4999999999999476E-3</v>
      </c>
      <c r="O30" s="51">
        <f>+'Trim Rwd'!H27</f>
        <v>267</v>
      </c>
      <c r="P30" s="52">
        <f>O30*(Q30-R30-S30)</f>
        <v>353775</v>
      </c>
      <c r="Q30" s="51">
        <v>1440</v>
      </c>
      <c r="R30" s="420">
        <v>62</v>
      </c>
      <c r="S30" s="420">
        <v>53</v>
      </c>
      <c r="T30" s="41">
        <f>E30*M30*O30*Q30/100000000</f>
        <v>76.617077114612499</v>
      </c>
      <c r="U30" s="41">
        <f>E30*M30*O30*(Q30-R30-S30)/100000000</f>
        <v>70.498352206153854</v>
      </c>
      <c r="V30" s="41">
        <f>E30*G30*(1-N30)*O30/100*(R30+S30)/1000000</f>
        <v>6.2174186039999997</v>
      </c>
      <c r="W30" s="41">
        <f>+'6'!K34/1000</f>
        <v>70.131</v>
      </c>
      <c r="X30" s="417">
        <f>SUM(W30:W33)/SUM(K30:K33)</f>
        <v>0.89766144927108837</v>
      </c>
      <c r="Y30" s="222">
        <v>0</v>
      </c>
      <c r="Z30" s="41">
        <f>+'6'!D34/1000</f>
        <v>0</v>
      </c>
      <c r="AA30" s="53">
        <f>SUM(U30:U33)-SUM(W30:W33)-SUM(Z30:Z33)-SUM(Y30:Y33)</f>
        <v>0.36735220615385344</v>
      </c>
      <c r="AB30" s="53">
        <f>(SUM(K30:K33)-SUM(W30:W33)-SUM(Y30:Y33)-SUM(Z30:Z33)-SUM(AC30:AC33)-SUM(V30:V33))-AA30</f>
        <v>-9.8693695541354209E-2</v>
      </c>
      <c r="AC30" s="41">
        <f>K30-T30</f>
        <v>1.5092588853874958</v>
      </c>
      <c r="AD30" s="41">
        <f>+AM30+BA30</f>
        <v>30</v>
      </c>
      <c r="AE30" s="241" t="s">
        <v>459</v>
      </c>
      <c r="AF30" s="41">
        <v>30</v>
      </c>
      <c r="AG30" s="41"/>
      <c r="AH30" s="41"/>
      <c r="AI30" s="459"/>
      <c r="AJ30" s="41"/>
      <c r="AK30" s="41"/>
      <c r="AL30" s="41"/>
      <c r="AM30" s="41">
        <f>SUM(AF30:AL30)+AT30+AV30+AX30</f>
        <v>30</v>
      </c>
      <c r="AN30" s="41"/>
      <c r="AO30" s="41"/>
      <c r="AP30" s="41"/>
      <c r="AQ30" s="41"/>
      <c r="AR30" s="41">
        <f>SUM(AN30:AQ30)</f>
        <v>0</v>
      </c>
      <c r="AS30" s="41"/>
      <c r="AT30" s="41"/>
      <c r="AU30" s="41"/>
      <c r="AV30" s="41"/>
      <c r="AW30" s="41"/>
      <c r="AX30" s="41"/>
      <c r="AY30" s="41"/>
      <c r="AZ30" s="41"/>
      <c r="BA30" s="41">
        <f>+AR30+AS30+AU30+AW30+AY30+AZ30</f>
        <v>0</v>
      </c>
      <c r="BB30" s="37">
        <v>6</v>
      </c>
      <c r="BC30" s="55"/>
      <c r="BD30" s="55"/>
      <c r="BE30" s="37"/>
      <c r="BF30" s="55"/>
    </row>
    <row r="31" spans="1:58" ht="12.95" customHeight="1">
      <c r="A31" s="346"/>
      <c r="B31" s="45"/>
      <c r="C31" s="450"/>
      <c r="D31" s="45"/>
      <c r="E31" s="46"/>
      <c r="F31" s="46"/>
      <c r="G31" s="463"/>
      <c r="H31" s="48"/>
      <c r="I31" s="49"/>
      <c r="J31" s="90"/>
      <c r="K31" s="90"/>
      <c r="L31" s="39"/>
      <c r="M31" s="39"/>
      <c r="N31" s="50"/>
      <c r="O31" s="51"/>
      <c r="P31" s="52"/>
      <c r="Q31" s="51"/>
      <c r="R31" s="420"/>
      <c r="S31" s="420"/>
      <c r="T31" s="41"/>
      <c r="U31" s="41"/>
      <c r="V31" s="41"/>
      <c r="W31" s="41"/>
      <c r="X31" s="42"/>
      <c r="Y31" s="222"/>
      <c r="Z31" s="41"/>
      <c r="AA31" s="41"/>
      <c r="AB31" s="41"/>
      <c r="AC31" s="41"/>
      <c r="AD31" s="41">
        <f>+AM31+BA31</f>
        <v>0</v>
      </c>
      <c r="AE31" s="241" t="s">
        <v>452</v>
      </c>
      <c r="AF31" s="41"/>
      <c r="AG31" s="41">
        <v>0</v>
      </c>
      <c r="AH31" s="41"/>
      <c r="AI31" s="459"/>
      <c r="AJ31" s="41"/>
      <c r="AK31" s="41"/>
      <c r="AL31" s="41"/>
      <c r="AM31" s="41">
        <f>SUM(AF31:AL31)+AT31+AV31+AX31</f>
        <v>0</v>
      </c>
      <c r="AN31" s="91"/>
      <c r="AO31" s="41"/>
      <c r="AP31" s="41"/>
      <c r="AQ31" s="41"/>
      <c r="AR31" s="41">
        <f>SUM(AN31:AQ31)</f>
        <v>0</v>
      </c>
      <c r="AS31" s="41"/>
      <c r="AT31" s="41"/>
      <c r="AU31" s="41"/>
      <c r="AV31" s="41"/>
      <c r="AW31" s="41"/>
      <c r="AX31" s="41"/>
      <c r="AY31" s="41"/>
      <c r="AZ31" s="41"/>
      <c r="BA31" s="41">
        <f>+AR31+AS31+AU31+AW31+AY31+AZ31</f>
        <v>0</v>
      </c>
      <c r="BB31" s="54"/>
      <c r="BC31" s="55">
        <v>0</v>
      </c>
      <c r="BD31" s="55"/>
      <c r="BE31" s="54"/>
      <c r="BF31" s="55"/>
    </row>
    <row r="32" spans="1:58" ht="12.95" customHeight="1">
      <c r="A32" s="44"/>
      <c r="B32" s="45"/>
      <c r="C32" s="450"/>
      <c r="D32" s="45"/>
      <c r="E32" s="46"/>
      <c r="F32" s="46"/>
      <c r="G32" s="47"/>
      <c r="H32" s="48"/>
      <c r="I32" s="49"/>
      <c r="J32" s="90"/>
      <c r="K32" s="90"/>
      <c r="L32" s="39"/>
      <c r="M32" s="39"/>
      <c r="N32" s="50"/>
      <c r="O32" s="51"/>
      <c r="P32" s="52"/>
      <c r="Q32" s="51"/>
      <c r="R32" s="420"/>
      <c r="S32" s="420"/>
      <c r="T32" s="41"/>
      <c r="U32" s="41"/>
      <c r="V32" s="41"/>
      <c r="W32" s="41"/>
      <c r="X32" s="42"/>
      <c r="Y32" s="222"/>
      <c r="Z32" s="41"/>
      <c r="AA32" s="41"/>
      <c r="AB32" s="41"/>
      <c r="AC32" s="41"/>
      <c r="AD32" s="41">
        <f>+AM32+BA32</f>
        <v>23</v>
      </c>
      <c r="AE32" s="241" t="s">
        <v>516</v>
      </c>
      <c r="AF32" s="37"/>
      <c r="AG32" s="37"/>
      <c r="AH32" s="37">
        <v>23</v>
      </c>
      <c r="AJ32" s="41"/>
      <c r="AK32" s="41"/>
      <c r="AL32" s="41"/>
      <c r="AM32" s="41">
        <f>SUM(AF32:AL32)+AT32+AV32+AX32</f>
        <v>23</v>
      </c>
      <c r="AN32" s="41"/>
      <c r="AO32" s="41"/>
      <c r="AP32" s="41"/>
      <c r="AQ32" s="41"/>
      <c r="AR32" s="41">
        <f>SUM(AN32:AQ32)</f>
        <v>0</v>
      </c>
      <c r="AS32" s="41"/>
      <c r="AT32" s="41"/>
      <c r="AU32" s="41"/>
      <c r="AV32" s="41"/>
      <c r="AW32" s="41"/>
      <c r="AX32" s="41"/>
      <c r="AY32" s="41"/>
      <c r="AZ32" s="41"/>
      <c r="BA32" s="41">
        <f>+AR32+AS32+AU32+AW32+AY32+AZ32</f>
        <v>0</v>
      </c>
      <c r="BB32" s="37"/>
      <c r="BC32" s="57"/>
      <c r="BD32" s="57"/>
      <c r="BE32" s="37"/>
      <c r="BF32" s="57"/>
    </row>
    <row r="33" spans="1:58" ht="12.95" customHeight="1">
      <c r="A33" s="346"/>
      <c r="B33" s="45"/>
      <c r="C33" s="450"/>
      <c r="D33" s="45"/>
      <c r="E33" s="46"/>
      <c r="F33" s="46"/>
      <c r="G33" s="463"/>
      <c r="H33" s="48"/>
      <c r="I33" s="49"/>
      <c r="J33" s="90"/>
      <c r="K33" s="90"/>
      <c r="L33" s="39"/>
      <c r="M33" s="39"/>
      <c r="N33" s="50"/>
      <c r="O33" s="51"/>
      <c r="P33" s="52"/>
      <c r="Q33" s="51"/>
      <c r="R33" s="420"/>
      <c r="S33" s="420"/>
      <c r="T33" s="41"/>
      <c r="U33" s="41"/>
      <c r="V33" s="41"/>
      <c r="W33" s="41"/>
      <c r="X33" s="417"/>
      <c r="Y33" s="222"/>
      <c r="Z33" s="41"/>
      <c r="AA33" s="53"/>
      <c r="AB33" s="53"/>
      <c r="AC33" s="41"/>
      <c r="AD33" s="41">
        <f>+AM33+BA33</f>
        <v>62</v>
      </c>
      <c r="AE33" s="244" t="s">
        <v>509</v>
      </c>
      <c r="AF33" s="41"/>
      <c r="AG33" s="41"/>
      <c r="AH33" s="41"/>
      <c r="AI33" s="459"/>
      <c r="AJ33" s="41"/>
      <c r="AK33" s="41"/>
      <c r="AL33" s="41"/>
      <c r="AM33" s="41">
        <f>SUM(AF33:AL33)+AT33+AV33+AX33</f>
        <v>0</v>
      </c>
      <c r="AN33" s="41"/>
      <c r="AO33" s="41"/>
      <c r="AP33" s="41">
        <v>62</v>
      </c>
      <c r="AQ33" s="41"/>
      <c r="AR33" s="41">
        <f>SUM(AN33:AQ33)</f>
        <v>62</v>
      </c>
      <c r="AS33" s="41"/>
      <c r="AT33" s="41"/>
      <c r="AU33" s="41"/>
      <c r="AV33" s="41"/>
      <c r="AW33" s="41"/>
      <c r="AX33" s="41"/>
      <c r="AY33" s="41"/>
      <c r="AZ33" s="41"/>
      <c r="BA33" s="41">
        <f>+AR33+AS33+AU33+AW33+AY33+AZ33</f>
        <v>62</v>
      </c>
      <c r="BB33" s="37"/>
      <c r="BC33" s="57"/>
      <c r="BD33" s="57"/>
      <c r="BE33" s="37"/>
      <c r="BF33" s="57"/>
    </row>
    <row r="34" spans="1:58" ht="12.95" customHeight="1">
      <c r="A34" s="346"/>
      <c r="B34" s="45"/>
      <c r="C34" s="450"/>
      <c r="D34" s="45"/>
      <c r="E34" s="46"/>
      <c r="F34" s="46"/>
      <c r="G34" s="463"/>
      <c r="H34" s="48"/>
      <c r="I34" s="49"/>
      <c r="J34" s="90"/>
      <c r="K34" s="90"/>
      <c r="L34" s="39"/>
      <c r="M34" s="39"/>
      <c r="N34" s="50"/>
      <c r="O34" s="51"/>
      <c r="P34" s="52"/>
      <c r="Q34" s="51"/>
      <c r="R34" s="420"/>
      <c r="S34" s="420"/>
      <c r="T34" s="41"/>
      <c r="U34" s="41"/>
      <c r="V34" s="41"/>
      <c r="W34" s="41"/>
      <c r="X34" s="42"/>
      <c r="Y34" s="222"/>
      <c r="Z34" s="41"/>
      <c r="AA34" s="41"/>
      <c r="AB34" s="41"/>
      <c r="AC34" s="41"/>
      <c r="AD34" s="41"/>
      <c r="AE34" s="241"/>
      <c r="AF34" s="41"/>
      <c r="AG34" s="41"/>
      <c r="AH34" s="41"/>
      <c r="AI34" s="459"/>
      <c r="AJ34" s="41"/>
      <c r="AK34" s="41"/>
      <c r="AL34" s="41"/>
      <c r="AM34" s="41"/>
      <c r="AN34" s="9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54"/>
      <c r="BC34" s="55"/>
      <c r="BD34" s="55"/>
      <c r="BE34" s="54"/>
      <c r="BF34" s="55"/>
    </row>
    <row r="35" spans="1:58" ht="12.95" customHeight="1">
      <c r="A35" s="346">
        <v>45845</v>
      </c>
      <c r="B35" s="45" t="s">
        <v>231</v>
      </c>
      <c r="C35" s="450">
        <f>(M35*E35*O35*Q35)/100000000</f>
        <v>35.136273521777774</v>
      </c>
      <c r="D35" s="45" t="s">
        <v>458</v>
      </c>
      <c r="E35" s="46">
        <v>16</v>
      </c>
      <c r="F35" s="46">
        <v>1</v>
      </c>
      <c r="G35" s="463">
        <v>1270</v>
      </c>
      <c r="H35" s="48">
        <v>0</v>
      </c>
      <c r="I35" s="49">
        <v>0.88</v>
      </c>
      <c r="J35" s="90">
        <f>E35*G35*(1-H35)*1440/1000000*2.77</f>
        <v>81.052415999999994</v>
      </c>
      <c r="K35" s="90">
        <f>(IF(G35&lt;L35,L35,G35)*(1-IF(H35&lt;N35,H35,N35))*E35*O35*Q35)/100000000</f>
        <v>36.696601457777774</v>
      </c>
      <c r="L35" s="39">
        <v>1220</v>
      </c>
      <c r="M35" s="39">
        <v>1216</v>
      </c>
      <c r="N35" s="50">
        <f>1-(M35/L35)</f>
        <v>3.2786885245901232E-3</v>
      </c>
      <c r="O35" s="51">
        <f>+'Trim Rwd'!H29</f>
        <v>266.75555555555553</v>
      </c>
      <c r="P35" s="52">
        <f>O35*(Q35-R35-S35)</f>
        <v>171257.06666666665</v>
      </c>
      <c r="Q35" s="51">
        <v>677</v>
      </c>
      <c r="R35" s="420">
        <v>0</v>
      </c>
      <c r="S35" s="420">
        <v>35</v>
      </c>
      <c r="T35" s="41">
        <f>E35*M35*O35*Q35/100000000</f>
        <v>35.136273521777774</v>
      </c>
      <c r="U35" s="41">
        <f>E35*M35*O35*(Q35-R35-S35)/100000000</f>
        <v>33.319774890666665</v>
      </c>
      <c r="V35" s="41">
        <f>E35*G35*(1-N35)*O35/100*(R35+S35)/1000000</f>
        <v>1.8909452963205831</v>
      </c>
      <c r="W35" s="41">
        <f>+'7'!K9/1000</f>
        <v>35.378</v>
      </c>
      <c r="X35" s="417">
        <f>SUM(W35:W38)/SUM(K35:K38)</f>
        <v>0.76519490080738828</v>
      </c>
      <c r="Y35" s="222">
        <v>0</v>
      </c>
      <c r="Z35" s="41">
        <v>0</v>
      </c>
      <c r="AA35" s="53">
        <f>SUM(U35:U38)-SUM(W35:W38)-SUM(Z35:Z38)-SUM(Y35:Y38)</f>
        <v>6.2162862506666556</v>
      </c>
      <c r="AB35" s="53">
        <f>(SUM(K35:K38)-SUM(W35:W38)-SUM(Y35:Y38)-SUM(Z35:Z38)-SUM(AC35:AC38)-SUM(V35:V38))-AA35</f>
        <v>1.1739225243557474</v>
      </c>
      <c r="AC35" s="41">
        <f>K35-T35</f>
        <v>1.5603279360000002</v>
      </c>
      <c r="AD35" s="41">
        <f t="shared" ref="AD35:AD40" si="0">+AM35+BA35</f>
        <v>35</v>
      </c>
      <c r="AE35" s="241" t="s">
        <v>538</v>
      </c>
      <c r="AF35" s="41">
        <v>35</v>
      </c>
      <c r="AG35" s="41"/>
      <c r="AH35" s="41"/>
      <c r="AI35" s="459"/>
      <c r="AJ35" s="41"/>
      <c r="AK35" s="41"/>
      <c r="AL35" s="41"/>
      <c r="AM35" s="41">
        <f t="shared" ref="AM35:AM40" si="1">SUM(AF35:AL35)+AT35+AV35+AX35</f>
        <v>35</v>
      </c>
      <c r="AN35" s="41"/>
      <c r="AO35" s="41"/>
      <c r="AP35" s="41"/>
      <c r="AQ35" s="41"/>
      <c r="AR35" s="41">
        <f t="shared" ref="AR35:AR40" si="2">SUM(AN35:AQ35)</f>
        <v>0</v>
      </c>
      <c r="AS35" s="41"/>
      <c r="AT35" s="41"/>
      <c r="AU35" s="41"/>
      <c r="AV35" s="41"/>
      <c r="AW35" s="41"/>
      <c r="AX35" s="41"/>
      <c r="AY35" s="41"/>
      <c r="AZ35" s="41"/>
      <c r="BA35" s="41">
        <f t="shared" ref="BA35:BA40" si="3">+AR35+AS35+AU35+AW35+AY35+AZ35</f>
        <v>0</v>
      </c>
      <c r="BB35" s="37">
        <v>7</v>
      </c>
      <c r="BC35" s="55"/>
      <c r="BD35" s="55"/>
      <c r="BE35" s="37"/>
      <c r="BF35" s="55"/>
    </row>
    <row r="36" spans="1:58" ht="12.95" customHeight="1">
      <c r="A36" s="346"/>
      <c r="B36" s="45" t="s">
        <v>231</v>
      </c>
      <c r="C36" s="450">
        <f>(M36*E36*O36*Q36)/100000000</f>
        <v>17.37586048</v>
      </c>
      <c r="D36" s="45" t="s">
        <v>458</v>
      </c>
      <c r="E36" s="46">
        <v>22</v>
      </c>
      <c r="F36" s="46">
        <v>1</v>
      </c>
      <c r="G36" s="463">
        <v>935</v>
      </c>
      <c r="H36" s="48">
        <v>0</v>
      </c>
      <c r="I36" s="49">
        <v>0.88</v>
      </c>
      <c r="J36" s="90">
        <f>E36*G36*(1-H36)*1440/1000000*2.77</f>
        <v>82.049616</v>
      </c>
      <c r="K36" s="90">
        <f>(IF(G36&lt;L36,L36,G36)*(1-IF(H36&lt;N36,H36,N36))*E36*O36*Q36)/100000000</f>
        <v>17.736276799999999</v>
      </c>
      <c r="L36" s="39">
        <v>920</v>
      </c>
      <c r="M36" s="39">
        <v>916</v>
      </c>
      <c r="N36" s="50">
        <f>1-(M36/L36)</f>
        <v>4.3478260869564966E-3</v>
      </c>
      <c r="O36" s="51">
        <f>+'Trim Rwd'!H31</f>
        <v>272</v>
      </c>
      <c r="P36" s="52">
        <f>O36*(Q36-R36-S36)</f>
        <v>68544</v>
      </c>
      <c r="Q36" s="51">
        <f>282+35</f>
        <v>317</v>
      </c>
      <c r="R36" s="420">
        <v>35</v>
      </c>
      <c r="S36" s="420">
        <v>30</v>
      </c>
      <c r="T36" s="41">
        <f>E36*M36*O36*Q36/100000000</f>
        <v>17.37586048</v>
      </c>
      <c r="U36" s="41">
        <f>E36*M36*O36*(Q36-R36-S36)/100000000</f>
        <v>13.81298688</v>
      </c>
      <c r="V36" s="41">
        <f>E36*G36*(1-N36)*O36/100*(R36+S36)/1000000</f>
        <v>3.6209639304347823</v>
      </c>
      <c r="W36" s="41">
        <f>+'7'!K10/1000</f>
        <v>12.128</v>
      </c>
      <c r="X36" s="42"/>
      <c r="Y36" s="222"/>
      <c r="Z36" s="41"/>
      <c r="AA36" s="41"/>
      <c r="AB36" s="41"/>
      <c r="AC36" s="41"/>
      <c r="AD36" s="41">
        <f t="shared" si="0"/>
        <v>5</v>
      </c>
      <c r="AE36" s="241" t="s">
        <v>535</v>
      </c>
      <c r="AF36" s="41"/>
      <c r="AG36" s="41">
        <v>5</v>
      </c>
      <c r="AH36" s="41"/>
      <c r="AI36" s="459"/>
      <c r="AJ36" s="41"/>
      <c r="AK36" s="41"/>
      <c r="AL36" s="41"/>
      <c r="AM36" s="41">
        <f t="shared" si="1"/>
        <v>5</v>
      </c>
      <c r="AN36" s="91"/>
      <c r="AO36" s="41"/>
      <c r="AP36" s="41"/>
      <c r="AQ36" s="41"/>
      <c r="AR36" s="41">
        <f t="shared" si="2"/>
        <v>0</v>
      </c>
      <c r="AS36" s="41"/>
      <c r="AT36" s="41"/>
      <c r="AU36" s="41"/>
      <c r="AV36" s="41"/>
      <c r="AW36" s="41"/>
      <c r="AX36" s="41"/>
      <c r="AY36" s="41"/>
      <c r="AZ36" s="41"/>
      <c r="BA36" s="41">
        <f t="shared" si="3"/>
        <v>0</v>
      </c>
      <c r="BB36" s="54"/>
      <c r="BC36" s="55">
        <v>1</v>
      </c>
      <c r="BD36" s="55"/>
      <c r="BE36" s="54"/>
      <c r="BF36" s="55"/>
    </row>
    <row r="37" spans="1:58" ht="12.95" customHeight="1">
      <c r="A37" s="44"/>
      <c r="B37" s="45" t="s">
        <v>231</v>
      </c>
      <c r="C37" s="450">
        <f>(M37*E37*O37*Q37)/100000000</f>
        <v>15.62685696</v>
      </c>
      <c r="D37" s="45" t="s">
        <v>458</v>
      </c>
      <c r="E37" s="46">
        <v>24</v>
      </c>
      <c r="F37" s="46">
        <v>1</v>
      </c>
      <c r="G37" s="463">
        <v>860</v>
      </c>
      <c r="H37" s="48">
        <v>0</v>
      </c>
      <c r="I37" s="49">
        <v>0.88</v>
      </c>
      <c r="J37" s="90">
        <f>E37*G37*(1-H37)*1440/1000000*2.77</f>
        <v>82.328831999999991</v>
      </c>
      <c r="K37" s="90">
        <f>(IF(G37&lt;L37,L37,G37)*(1-IF(H37&lt;N37,H37,N37))*E37*O37*Q37)/100000000</f>
        <v>16.056268800000002</v>
      </c>
      <c r="L37" s="39">
        <v>840</v>
      </c>
      <c r="M37" s="39">
        <v>837</v>
      </c>
      <c r="N37" s="50">
        <f>1-(M37/L37)</f>
        <v>3.5714285714285587E-3</v>
      </c>
      <c r="O37" s="51">
        <f>+'Trim Rwd'!H32</f>
        <v>272</v>
      </c>
      <c r="P37" s="52">
        <f>O37*(Q37-R37-S37)</f>
        <v>60656</v>
      </c>
      <c r="Q37" s="51">
        <f>253+33</f>
        <v>286</v>
      </c>
      <c r="R37" s="420">
        <v>33</v>
      </c>
      <c r="S37" s="420">
        <v>30</v>
      </c>
      <c r="T37" s="41">
        <f>E37*M37*O37*Q37/100000000</f>
        <v>15.62685696</v>
      </c>
      <c r="U37" s="41">
        <f>E37*M37*O37*(Q37-R37-S37)/100000000</f>
        <v>12.184577279999999</v>
      </c>
      <c r="V37" s="41">
        <f>E37*G37*(1-N37)*O37/100*(R37+S37)/1000000</f>
        <v>3.52423872</v>
      </c>
      <c r="W37" s="41">
        <f>+'7'!K11/1000</f>
        <v>5.5659999999999998</v>
      </c>
      <c r="X37" s="42"/>
      <c r="Y37" s="222"/>
      <c r="Z37" s="41"/>
      <c r="AA37" s="41"/>
      <c r="AB37" s="41"/>
      <c r="AC37" s="41"/>
      <c r="AD37" s="41">
        <f t="shared" si="0"/>
        <v>27</v>
      </c>
      <c r="AE37" s="241" t="s">
        <v>539</v>
      </c>
      <c r="AF37" s="37"/>
      <c r="AG37" s="37"/>
      <c r="AH37" s="37">
        <v>27</v>
      </c>
      <c r="AJ37" s="41"/>
      <c r="AK37" s="41"/>
      <c r="AL37" s="41"/>
      <c r="AM37" s="41">
        <f t="shared" si="1"/>
        <v>27</v>
      </c>
      <c r="AN37" s="41"/>
      <c r="AO37" s="41"/>
      <c r="AP37" s="41"/>
      <c r="AQ37" s="41"/>
      <c r="AR37" s="41">
        <f t="shared" si="2"/>
        <v>0</v>
      </c>
      <c r="AS37" s="41"/>
      <c r="AT37" s="41"/>
      <c r="AU37" s="41"/>
      <c r="AV37" s="41"/>
      <c r="AW37" s="41"/>
      <c r="AX37" s="41"/>
      <c r="AY37" s="41"/>
      <c r="AZ37" s="41"/>
      <c r="BA37" s="41">
        <f t="shared" si="3"/>
        <v>0</v>
      </c>
      <c r="BB37" s="37"/>
      <c r="BC37" s="57"/>
      <c r="BD37" s="57"/>
      <c r="BE37" s="37"/>
      <c r="BF37" s="57"/>
    </row>
    <row r="38" spans="1:58" ht="12.95" customHeight="1">
      <c r="A38" s="346"/>
      <c r="B38" s="45" t="s">
        <v>231</v>
      </c>
      <c r="C38" s="450">
        <f>(M38*E38*O38*Q38)/100000000</f>
        <v>8.3210239999999995</v>
      </c>
      <c r="D38" s="45" t="s">
        <v>458</v>
      </c>
      <c r="E38" s="46">
        <v>20</v>
      </c>
      <c r="F38" s="46">
        <v>1</v>
      </c>
      <c r="G38" s="463">
        <v>1030</v>
      </c>
      <c r="H38" s="48">
        <v>0</v>
      </c>
      <c r="I38" s="49">
        <v>0.88</v>
      </c>
      <c r="J38" s="90">
        <f>E38*G38*(1-H38)*1440/1000000*2.77</f>
        <v>82.169280000000001</v>
      </c>
      <c r="K38" s="90">
        <f>(IF(G38&lt;L38,L38,G38)*(1-IF(H38&lt;N38,H38,N38))*E38*O38*Q38)/100000000</f>
        <v>8.9651200000000006</v>
      </c>
      <c r="L38" s="39">
        <v>960</v>
      </c>
      <c r="M38" s="39">
        <v>956</v>
      </c>
      <c r="N38" s="50">
        <f>1-(M38/L38)</f>
        <v>4.1666666666666519E-3</v>
      </c>
      <c r="O38" s="51">
        <f>+'Trim Rwd'!H33</f>
        <v>272</v>
      </c>
      <c r="P38" s="52">
        <f>O38*(Q38-R38-S38)</f>
        <v>40256</v>
      </c>
      <c r="Q38" s="51">
        <v>160</v>
      </c>
      <c r="R38" s="420">
        <v>0</v>
      </c>
      <c r="S38" s="420">
        <v>12</v>
      </c>
      <c r="T38" s="41">
        <f>E38*M38*O38*Q38/100000000</f>
        <v>8.3210239999999995</v>
      </c>
      <c r="U38" s="41">
        <f>E38*M38*O38*(Q38-R38-S38)/100000000</f>
        <v>7.6969472000000003</v>
      </c>
      <c r="V38" s="41">
        <f>E38*G38*(1-N38)*O38/100*(R38+S38)/1000000</f>
        <v>0.66958240000000013</v>
      </c>
      <c r="W38" s="41">
        <f>+'7'!K12/1000</f>
        <v>7.726</v>
      </c>
      <c r="X38" s="417"/>
      <c r="Y38" s="222"/>
      <c r="Z38" s="41"/>
      <c r="AA38" s="53"/>
      <c r="AB38" s="53"/>
      <c r="AC38" s="41"/>
      <c r="AD38" s="41">
        <f t="shared" si="0"/>
        <v>40</v>
      </c>
      <c r="AE38" s="244" t="s">
        <v>540</v>
      </c>
      <c r="AF38" s="41"/>
      <c r="AG38" s="41"/>
      <c r="AH38" s="41"/>
      <c r="AI38" s="459">
        <v>40</v>
      </c>
      <c r="AJ38" s="41"/>
      <c r="AK38" s="41"/>
      <c r="AL38" s="41"/>
      <c r="AM38" s="41">
        <f t="shared" si="1"/>
        <v>40</v>
      </c>
      <c r="AN38" s="41"/>
      <c r="AO38" s="41"/>
      <c r="AP38" s="41"/>
      <c r="AQ38" s="41"/>
      <c r="AR38" s="41">
        <f t="shared" si="2"/>
        <v>0</v>
      </c>
      <c r="AS38" s="41"/>
      <c r="AT38" s="41"/>
      <c r="AU38" s="41"/>
      <c r="AV38" s="41"/>
      <c r="AW38" s="41"/>
      <c r="AX38" s="41"/>
      <c r="AY38" s="41"/>
      <c r="AZ38" s="41"/>
      <c r="BA38" s="41">
        <f t="shared" si="3"/>
        <v>0</v>
      </c>
      <c r="BB38" s="37"/>
      <c r="BC38" s="57"/>
      <c r="BD38" s="57"/>
      <c r="BE38" s="37"/>
      <c r="BF38" s="57"/>
    </row>
    <row r="39" spans="1:58" ht="12.95" customHeight="1">
      <c r="A39" s="346"/>
      <c r="B39" s="45"/>
      <c r="C39" s="450"/>
      <c r="D39" s="45"/>
      <c r="E39" s="46"/>
      <c r="F39" s="46"/>
      <c r="G39" s="463"/>
      <c r="H39" s="48"/>
      <c r="I39" s="49"/>
      <c r="J39" s="90"/>
      <c r="K39" s="90"/>
      <c r="L39" s="39"/>
      <c r="M39" s="39"/>
      <c r="N39" s="50"/>
      <c r="O39" s="51"/>
      <c r="P39" s="52"/>
      <c r="Q39" s="51"/>
      <c r="R39" s="420"/>
      <c r="S39" s="420"/>
      <c r="T39" s="41"/>
      <c r="U39" s="41"/>
      <c r="V39" s="41"/>
      <c r="W39" s="41"/>
      <c r="X39" s="417"/>
      <c r="Y39" s="222"/>
      <c r="Z39" s="41"/>
      <c r="AA39" s="53"/>
      <c r="AB39" s="53"/>
      <c r="AC39" s="41"/>
      <c r="AD39" s="41">
        <f t="shared" si="0"/>
        <v>35</v>
      </c>
      <c r="AE39" s="244" t="s">
        <v>541</v>
      </c>
      <c r="AF39" s="41"/>
      <c r="AG39" s="41"/>
      <c r="AH39" s="41"/>
      <c r="AI39" s="459"/>
      <c r="AJ39" s="41"/>
      <c r="AK39" s="41"/>
      <c r="AL39" s="41"/>
      <c r="AM39" s="41">
        <f t="shared" si="1"/>
        <v>0</v>
      </c>
      <c r="AN39" s="41">
        <v>35</v>
      </c>
      <c r="AO39" s="41"/>
      <c r="AP39" s="41"/>
      <c r="AQ39" s="41"/>
      <c r="AR39" s="41">
        <f t="shared" si="2"/>
        <v>35</v>
      </c>
      <c r="AS39" s="41"/>
      <c r="AT39" s="41"/>
      <c r="AU39" s="41"/>
      <c r="AV39" s="41"/>
      <c r="AW39" s="41"/>
      <c r="AX39" s="41"/>
      <c r="AY39" s="41"/>
      <c r="AZ39" s="41"/>
      <c r="BA39" s="41">
        <f t="shared" si="3"/>
        <v>35</v>
      </c>
      <c r="BB39" s="37"/>
      <c r="BC39" s="57"/>
      <c r="BD39" s="57"/>
      <c r="BE39" s="37"/>
      <c r="BF39" s="57"/>
    </row>
    <row r="40" spans="1:58" ht="12.95" customHeight="1">
      <c r="A40" s="346"/>
      <c r="B40" s="45"/>
      <c r="C40" s="450"/>
      <c r="D40" s="45"/>
      <c r="E40" s="46"/>
      <c r="F40" s="46"/>
      <c r="G40" s="463"/>
      <c r="H40" s="48"/>
      <c r="I40" s="49"/>
      <c r="J40" s="90"/>
      <c r="K40" s="90"/>
      <c r="L40" s="39"/>
      <c r="M40" s="39"/>
      <c r="N40" s="50"/>
      <c r="O40" s="51"/>
      <c r="P40" s="52"/>
      <c r="Q40" s="51"/>
      <c r="R40" s="420"/>
      <c r="S40" s="420"/>
      <c r="T40" s="41"/>
      <c r="U40" s="41"/>
      <c r="V40" s="41"/>
      <c r="W40" s="41"/>
      <c r="X40" s="417"/>
      <c r="Y40" s="222"/>
      <c r="Z40" s="41"/>
      <c r="AA40" s="53"/>
      <c r="AB40" s="53"/>
      <c r="AC40" s="41"/>
      <c r="AD40" s="41">
        <f t="shared" si="0"/>
        <v>33</v>
      </c>
      <c r="AE40" s="244" t="s">
        <v>542</v>
      </c>
      <c r="AF40" s="41"/>
      <c r="AG40" s="41"/>
      <c r="AH40" s="41"/>
      <c r="AI40" s="459"/>
      <c r="AJ40" s="41"/>
      <c r="AK40" s="41"/>
      <c r="AL40" s="41"/>
      <c r="AM40" s="41">
        <f t="shared" si="1"/>
        <v>0</v>
      </c>
      <c r="AN40" s="41"/>
      <c r="AO40" s="41"/>
      <c r="AP40" s="41">
        <v>33</v>
      </c>
      <c r="AQ40" s="41"/>
      <c r="AR40" s="41">
        <f t="shared" si="2"/>
        <v>33</v>
      </c>
      <c r="AS40" s="41"/>
      <c r="AT40" s="41"/>
      <c r="AU40" s="41"/>
      <c r="AV40" s="41"/>
      <c r="AW40" s="41"/>
      <c r="AX40" s="41"/>
      <c r="AY40" s="41"/>
      <c r="AZ40" s="41"/>
      <c r="BA40" s="41">
        <f t="shared" si="3"/>
        <v>33</v>
      </c>
      <c r="BB40" s="37"/>
      <c r="BC40" s="57"/>
      <c r="BD40" s="57"/>
      <c r="BE40" s="37"/>
      <c r="BF40" s="57"/>
    </row>
    <row r="41" spans="1:58" ht="12.95" customHeight="1">
      <c r="A41" s="44"/>
      <c r="B41" s="45"/>
      <c r="C41" s="450"/>
      <c r="D41" s="45"/>
      <c r="E41" s="46"/>
      <c r="F41" s="46"/>
      <c r="G41" s="47"/>
      <c r="H41" s="48"/>
      <c r="I41" s="49"/>
      <c r="J41" s="90"/>
      <c r="K41" s="90"/>
      <c r="L41" s="39"/>
      <c r="M41" s="39"/>
      <c r="N41" s="50"/>
      <c r="O41" s="51"/>
      <c r="P41" s="52"/>
      <c r="Q41" s="51"/>
      <c r="R41" s="420"/>
      <c r="S41" s="420"/>
      <c r="T41" s="41"/>
      <c r="U41" s="41"/>
      <c r="V41" s="41"/>
      <c r="W41" s="41"/>
      <c r="X41" s="42"/>
      <c r="Y41" s="222"/>
      <c r="Z41" s="41"/>
      <c r="AA41" s="41"/>
      <c r="AB41" s="41"/>
      <c r="AC41" s="41"/>
      <c r="AD41" s="41"/>
      <c r="AE41" s="241"/>
      <c r="AF41" s="37"/>
      <c r="AG41" s="37"/>
      <c r="AH41" s="37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37"/>
      <c r="BC41" s="57"/>
      <c r="BD41" s="55"/>
      <c r="BE41" s="55"/>
      <c r="BF41" s="55"/>
    </row>
    <row r="42" spans="1:58" ht="12.95" customHeight="1">
      <c r="A42" s="346">
        <v>45846</v>
      </c>
      <c r="B42" s="45" t="s">
        <v>231</v>
      </c>
      <c r="C42" s="450">
        <f>(M42*E42*O42*Q42)/100000000</f>
        <v>67.369517810526318</v>
      </c>
      <c r="D42" s="45" t="s">
        <v>458</v>
      </c>
      <c r="E42" s="46">
        <v>16</v>
      </c>
      <c r="F42" s="46">
        <v>1</v>
      </c>
      <c r="G42" s="463">
        <v>1270</v>
      </c>
      <c r="H42" s="48">
        <v>0</v>
      </c>
      <c r="I42" s="49">
        <v>0.88</v>
      </c>
      <c r="J42" s="90">
        <f>E42*G42*(1-H42)*1440/1000000*2.77</f>
        <v>81.052415999999994</v>
      </c>
      <c r="K42" s="90">
        <f>(IF(G42&lt;L42,L42,G42)*(1-IF(H42&lt;N42,H42,N42))*E42*O42*Q42)/100000000</f>
        <v>77.710524631578934</v>
      </c>
      <c r="L42" s="39">
        <v>1105</v>
      </c>
      <c r="M42" s="39">
        <v>1101</v>
      </c>
      <c r="N42" s="50">
        <f>1-(M42/L42)</f>
        <v>3.6199095022624306E-3</v>
      </c>
      <c r="O42" s="51">
        <f>+'Trim Rwd'!H35</f>
        <v>265.57894736842104</v>
      </c>
      <c r="P42" s="52">
        <f>O42*(Q42-R42-S42)</f>
        <v>232381.5789473684</v>
      </c>
      <c r="Q42" s="51">
        <v>1440</v>
      </c>
      <c r="R42" s="420">
        <f>119+393</f>
        <v>512</v>
      </c>
      <c r="S42" s="420">
        <v>53</v>
      </c>
      <c r="T42" s="41">
        <f>E42*M42*O42*Q42/100000000</f>
        <v>67.369517810526318</v>
      </c>
      <c r="U42" s="41">
        <f>E42*M42*O42*(Q42-R42-S42)/100000000</f>
        <v>40.936338947368419</v>
      </c>
      <c r="V42" s="41">
        <f>E42*G42*(1-N42)*O42/100*(R42+S42)/1000000</f>
        <v>30.380214621004999</v>
      </c>
      <c r="W42" s="41">
        <f>+'8'!K34/1000</f>
        <v>12.112</v>
      </c>
      <c r="X42" s="417">
        <f>SUM(W42:W45)/SUM(K42:K45)</f>
        <v>0.15586048424485982</v>
      </c>
      <c r="Y42" s="222">
        <v>0</v>
      </c>
      <c r="Z42" s="41">
        <f>+'8'!D34/1000</f>
        <v>3.4359999999999999</v>
      </c>
      <c r="AA42" s="53">
        <f>SUM(U42:U45)-SUM(W42:W45)-SUM(Z42:Z45)-SUM(Y42:Y45)</f>
        <v>25.388338947368418</v>
      </c>
      <c r="AB42" s="53">
        <f>(SUM(K42:K45)-SUM(W42:W45)-SUM(Y42:Y45)-SUM(Z42:Z45)-SUM(AC42:AC45)-SUM(V42:V45))-AA42</f>
        <v>-3.9470357578470932</v>
      </c>
      <c r="AC42" s="41">
        <f>K42-T42</f>
        <v>10.341006821052616</v>
      </c>
      <c r="AD42" s="41">
        <f>+AM42+BA42</f>
        <v>35</v>
      </c>
      <c r="AE42" s="241" t="s">
        <v>538</v>
      </c>
      <c r="AF42" s="41">
        <v>35</v>
      </c>
      <c r="AG42" s="41"/>
      <c r="AH42" s="41"/>
      <c r="AI42" s="459"/>
      <c r="AJ42" s="41"/>
      <c r="AK42" s="41"/>
      <c r="AL42" s="41"/>
      <c r="AM42" s="41">
        <f>SUM(AF42:AL42)+AT42+AV42+AX42</f>
        <v>35</v>
      </c>
      <c r="AN42" s="41"/>
      <c r="AO42" s="41"/>
      <c r="AP42" s="41"/>
      <c r="AQ42" s="41"/>
      <c r="AR42" s="41">
        <f>SUM(AN42:AQ42)</f>
        <v>0</v>
      </c>
      <c r="AS42" s="41"/>
      <c r="AT42" s="41"/>
      <c r="AU42" s="41"/>
      <c r="AV42" s="41"/>
      <c r="AW42" s="41"/>
      <c r="AX42" s="41"/>
      <c r="AY42" s="41"/>
      <c r="AZ42" s="41"/>
      <c r="BA42" s="41">
        <f>+AR42+AS42+AU42+AW42+AY42+AZ42</f>
        <v>0</v>
      </c>
      <c r="BB42" s="37">
        <v>7</v>
      </c>
      <c r="BC42" s="55"/>
      <c r="BD42" s="55"/>
      <c r="BE42" s="37"/>
      <c r="BF42" s="55"/>
    </row>
    <row r="43" spans="1:58" ht="12.95" customHeight="1">
      <c r="A43" s="346"/>
      <c r="B43" s="45"/>
      <c r="C43" s="450"/>
      <c r="D43" s="45"/>
      <c r="E43" s="46"/>
      <c r="F43" s="46"/>
      <c r="G43" s="463"/>
      <c r="H43" s="48"/>
      <c r="I43" s="49"/>
      <c r="J43" s="90"/>
      <c r="K43" s="90"/>
      <c r="L43" s="39"/>
      <c r="M43" s="39"/>
      <c r="N43" s="50"/>
      <c r="O43" s="51"/>
      <c r="P43" s="52"/>
      <c r="Q43" s="51"/>
      <c r="R43" s="420"/>
      <c r="S43" s="420"/>
      <c r="T43" s="41"/>
      <c r="U43" s="41"/>
      <c r="V43" s="41"/>
      <c r="W43" s="41"/>
      <c r="X43" s="42"/>
      <c r="Y43" s="222"/>
      <c r="Z43" s="41"/>
      <c r="AA43" s="41"/>
      <c r="AB43" s="41"/>
      <c r="AC43" s="41"/>
      <c r="AD43" s="41">
        <f>+AM43+BA43</f>
        <v>0</v>
      </c>
      <c r="AE43" s="241" t="s">
        <v>452</v>
      </c>
      <c r="AF43" s="41"/>
      <c r="AG43" s="41">
        <v>0</v>
      </c>
      <c r="AH43" s="41"/>
      <c r="AI43" s="459"/>
      <c r="AJ43" s="41"/>
      <c r="AK43" s="41"/>
      <c r="AL43" s="41"/>
      <c r="AM43" s="41">
        <f>SUM(AF43:AL43)+AT43+AV43+AX43</f>
        <v>0</v>
      </c>
      <c r="AN43" s="91"/>
      <c r="AO43" s="41"/>
      <c r="AP43" s="41"/>
      <c r="AQ43" s="41"/>
      <c r="AR43" s="41">
        <f>SUM(AN43:AQ43)</f>
        <v>0</v>
      </c>
      <c r="AS43" s="41"/>
      <c r="AT43" s="41"/>
      <c r="AU43" s="41"/>
      <c r="AV43" s="41"/>
      <c r="AW43" s="41"/>
      <c r="AX43" s="41"/>
      <c r="AY43" s="41"/>
      <c r="AZ43" s="41"/>
      <c r="BA43" s="41">
        <f>+AR43+AS43+AU43+AW43+AY43+AZ43</f>
        <v>0</v>
      </c>
      <c r="BB43" s="54"/>
      <c r="BC43" s="55">
        <v>0</v>
      </c>
      <c r="BD43" s="55"/>
      <c r="BE43" s="54"/>
      <c r="BF43" s="55"/>
    </row>
    <row r="44" spans="1:58" ht="12.95" customHeight="1">
      <c r="A44" s="44"/>
      <c r="B44" s="45"/>
      <c r="C44" s="450"/>
      <c r="D44" s="45"/>
      <c r="E44" s="46"/>
      <c r="F44" s="46"/>
      <c r="G44" s="463"/>
      <c r="H44" s="48"/>
      <c r="I44" s="49"/>
      <c r="J44" s="90"/>
      <c r="K44" s="90"/>
      <c r="L44" s="39"/>
      <c r="M44" s="39"/>
      <c r="N44" s="50"/>
      <c r="O44" s="51"/>
      <c r="P44" s="52"/>
      <c r="Q44" s="51"/>
      <c r="R44" s="420"/>
      <c r="S44" s="420"/>
      <c r="T44" s="41"/>
      <c r="U44" s="41"/>
      <c r="V44" s="41"/>
      <c r="W44" s="41"/>
      <c r="X44" s="42"/>
      <c r="Y44" s="222"/>
      <c r="Z44" s="41"/>
      <c r="AA44" s="41"/>
      <c r="AB44" s="41"/>
      <c r="AC44" s="41"/>
      <c r="AD44" s="41">
        <f>+AM44+BA44</f>
        <v>18</v>
      </c>
      <c r="AE44" s="241" t="s">
        <v>579</v>
      </c>
      <c r="AF44" s="37"/>
      <c r="AG44" s="37"/>
      <c r="AH44" s="37">
        <v>18</v>
      </c>
      <c r="AJ44" s="41"/>
      <c r="AK44" s="41"/>
      <c r="AL44" s="41"/>
      <c r="AM44" s="41">
        <f>SUM(AF44:AL44)+AT44+AV44+AX44</f>
        <v>18</v>
      </c>
      <c r="AN44" s="41"/>
      <c r="AO44" s="41"/>
      <c r="AP44" s="41"/>
      <c r="AQ44" s="41"/>
      <c r="AR44" s="41">
        <f>SUM(AN44:AQ44)</f>
        <v>0</v>
      </c>
      <c r="AS44" s="41"/>
      <c r="AT44" s="41"/>
      <c r="AU44" s="41"/>
      <c r="AV44" s="41"/>
      <c r="AW44" s="41"/>
      <c r="AX44" s="41"/>
      <c r="AY44" s="41"/>
      <c r="AZ44" s="41"/>
      <c r="BA44" s="41">
        <f>+AR44+AS44+AU44+AW44+AY44+AZ44</f>
        <v>0</v>
      </c>
      <c r="BB44" s="37"/>
      <c r="BC44" s="57"/>
      <c r="BD44" s="57"/>
      <c r="BE44" s="37"/>
      <c r="BF44" s="57"/>
    </row>
    <row r="45" spans="1:58" ht="12.95" customHeight="1">
      <c r="A45" s="346"/>
      <c r="B45" s="45"/>
      <c r="C45" s="450"/>
      <c r="D45" s="45"/>
      <c r="E45" s="46"/>
      <c r="F45" s="46"/>
      <c r="G45" s="463"/>
      <c r="H45" s="48"/>
      <c r="I45" s="49"/>
      <c r="J45" s="90"/>
      <c r="K45" s="90"/>
      <c r="L45" s="39"/>
      <c r="M45" s="39"/>
      <c r="N45" s="50"/>
      <c r="O45" s="51"/>
      <c r="P45" s="52"/>
      <c r="Q45" s="51"/>
      <c r="R45" s="420"/>
      <c r="S45" s="420"/>
      <c r="T45" s="41"/>
      <c r="U45" s="41"/>
      <c r="V45" s="41"/>
      <c r="W45" s="41"/>
      <c r="X45" s="417"/>
      <c r="Y45" s="222"/>
      <c r="Z45" s="41"/>
      <c r="AA45" s="53"/>
      <c r="AB45" s="53"/>
      <c r="AC45" s="41"/>
      <c r="AD45" s="41">
        <f>+AM45+BA45</f>
        <v>393</v>
      </c>
      <c r="AE45" s="244" t="s">
        <v>559</v>
      </c>
      <c r="AF45" s="41"/>
      <c r="AG45" s="41"/>
      <c r="AH45" s="41"/>
      <c r="AI45" s="459"/>
      <c r="AJ45" s="41"/>
      <c r="AK45" s="41"/>
      <c r="AL45" s="41"/>
      <c r="AM45" s="41">
        <f>SUM(AF45:AL45)+AT45+AV45+AX45</f>
        <v>0</v>
      </c>
      <c r="AN45" s="41">
        <v>393</v>
      </c>
      <c r="AO45" s="41"/>
      <c r="AP45" s="41"/>
      <c r="AQ45" s="41"/>
      <c r="AR45" s="41">
        <f>SUM(AN45:AQ45)</f>
        <v>393</v>
      </c>
      <c r="AS45" s="41"/>
      <c r="AT45" s="41"/>
      <c r="AU45" s="41"/>
      <c r="AV45" s="41"/>
      <c r="AW45" s="41"/>
      <c r="AX45" s="41"/>
      <c r="AY45" s="41"/>
      <c r="AZ45" s="41"/>
      <c r="BA45" s="41">
        <f>+AR45+AS45+AU45+AW45+AY45+AZ45</f>
        <v>393</v>
      </c>
      <c r="BB45" s="37"/>
      <c r="BC45" s="57"/>
      <c r="BD45" s="57"/>
      <c r="BE45" s="37"/>
      <c r="BF45" s="57"/>
    </row>
    <row r="46" spans="1:58" ht="12.95" customHeight="1">
      <c r="A46" s="346"/>
      <c r="B46" s="45"/>
      <c r="C46" s="450"/>
      <c r="D46" s="45"/>
      <c r="E46" s="46"/>
      <c r="F46" s="46"/>
      <c r="G46" s="463"/>
      <c r="H46" s="48"/>
      <c r="I46" s="49"/>
      <c r="J46" s="90"/>
      <c r="K46" s="90"/>
      <c r="L46" s="39"/>
      <c r="M46" s="39"/>
      <c r="N46" s="50"/>
      <c r="O46" s="51"/>
      <c r="P46" s="52"/>
      <c r="Q46" s="51"/>
      <c r="R46" s="420"/>
      <c r="S46" s="420"/>
      <c r="T46" s="41"/>
      <c r="U46" s="41"/>
      <c r="V46" s="41"/>
      <c r="W46" s="41"/>
      <c r="X46" s="417"/>
      <c r="Y46" s="222"/>
      <c r="Z46" s="41"/>
      <c r="AA46" s="53"/>
      <c r="AB46" s="53"/>
      <c r="AC46" s="41"/>
      <c r="AD46" s="41">
        <f>+AM46+BA46</f>
        <v>119</v>
      </c>
      <c r="AE46" s="244" t="s">
        <v>565</v>
      </c>
      <c r="AF46" s="41"/>
      <c r="AG46" s="41"/>
      <c r="AH46" s="41"/>
      <c r="AI46" s="459"/>
      <c r="AJ46" s="41"/>
      <c r="AK46" s="41"/>
      <c r="AL46" s="41"/>
      <c r="AM46" s="41">
        <f>SUM(AF46:AL46)+AT46+AV46+AX46</f>
        <v>0</v>
      </c>
      <c r="AN46" s="41"/>
      <c r="AO46" s="41"/>
      <c r="AP46" s="41">
        <v>119</v>
      </c>
      <c r="AQ46" s="41"/>
      <c r="AR46" s="41">
        <f>SUM(AN46:AQ46)</f>
        <v>119</v>
      </c>
      <c r="AS46" s="41"/>
      <c r="AT46" s="41"/>
      <c r="AU46" s="41"/>
      <c r="AV46" s="41"/>
      <c r="AW46" s="41"/>
      <c r="AX46" s="41"/>
      <c r="AY46" s="41"/>
      <c r="AZ46" s="41"/>
      <c r="BA46" s="41">
        <f>+AR46+AS46+AU46+AW46+AY46+AZ46</f>
        <v>119</v>
      </c>
      <c r="BB46" s="37"/>
      <c r="BC46" s="57"/>
      <c r="BD46" s="57"/>
      <c r="BE46" s="37"/>
      <c r="BF46" s="57">
        <v>3</v>
      </c>
    </row>
    <row r="47" spans="1:58" ht="12.95" customHeight="1">
      <c r="A47" s="346"/>
      <c r="B47" s="45"/>
      <c r="C47" s="450"/>
      <c r="D47" s="45"/>
      <c r="E47" s="46"/>
      <c r="F47" s="46"/>
      <c r="G47" s="463"/>
      <c r="H47" s="48"/>
      <c r="I47" s="49"/>
      <c r="J47" s="90"/>
      <c r="K47" s="90"/>
      <c r="L47" s="39"/>
      <c r="M47" s="39"/>
      <c r="N47" s="50"/>
      <c r="O47" s="51"/>
      <c r="P47" s="52"/>
      <c r="Q47" s="51"/>
      <c r="R47" s="420"/>
      <c r="S47" s="420"/>
      <c r="T47" s="41"/>
      <c r="U47" s="41"/>
      <c r="V47" s="41"/>
      <c r="W47" s="41"/>
      <c r="X47" s="417"/>
      <c r="Y47" s="222"/>
      <c r="Z47" s="41"/>
      <c r="AA47" s="53"/>
      <c r="AB47" s="53"/>
      <c r="AC47" s="41"/>
      <c r="AD47" s="41"/>
      <c r="AE47" s="2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37"/>
      <c r="BC47" s="55"/>
      <c r="BD47" s="55"/>
      <c r="BE47" s="55"/>
      <c r="BF47" s="55"/>
    </row>
    <row r="48" spans="1:58" ht="12.95" customHeight="1">
      <c r="A48" s="346">
        <v>45847</v>
      </c>
      <c r="B48" s="45" t="s">
        <v>231</v>
      </c>
      <c r="C48" s="450">
        <f>(M48*E48*O48*Q48)/100000000</f>
        <v>67.598899200000005</v>
      </c>
      <c r="D48" s="45" t="s">
        <v>458</v>
      </c>
      <c r="E48" s="46">
        <v>16</v>
      </c>
      <c r="F48" s="46">
        <v>1</v>
      </c>
      <c r="G48" s="463">
        <v>1270</v>
      </c>
      <c r="H48" s="48">
        <v>0</v>
      </c>
      <c r="I48" s="49">
        <v>0.88</v>
      </c>
      <c r="J48" s="90">
        <f>E48*G48*(1-H48)*1440/1000000*2.77</f>
        <v>81.052415999999994</v>
      </c>
      <c r="K48" s="90">
        <f>(IF(G48&lt;L48,L48,G48)*(1-IF(H48&lt;N48,H48,N48))*E48*O48*Q48)/100000000</f>
        <v>77.833727999999994</v>
      </c>
      <c r="L48" s="39">
        <v>1107</v>
      </c>
      <c r="M48" s="39">
        <v>1103</v>
      </c>
      <c r="N48" s="50">
        <f>1-(M48/L48)</f>
        <v>3.6133694670279493E-3</v>
      </c>
      <c r="O48" s="51">
        <f>+'Trim Rwd'!H38</f>
        <v>266</v>
      </c>
      <c r="P48" s="52">
        <f>O48*(Q48-R48-S48)</f>
        <v>377986</v>
      </c>
      <c r="Q48" s="51">
        <v>1440</v>
      </c>
      <c r="R48" s="420">
        <v>0</v>
      </c>
      <c r="S48" s="420">
        <v>19</v>
      </c>
      <c r="T48" s="41">
        <f>E48*M48*O48*Q48/100000000</f>
        <v>67.598899200000005</v>
      </c>
      <c r="U48" s="41">
        <f>E48*M48*O48*(Q48-R48-S48)/100000000</f>
        <v>66.706969279999996</v>
      </c>
      <c r="V48" s="41">
        <f>E48*G48*(1-N48)*O48/100*(R48+S48)/1000000</f>
        <v>1.0232619678410118</v>
      </c>
      <c r="W48" s="41">
        <f>+'9'!K34/1000</f>
        <v>65.429000000000002</v>
      </c>
      <c r="X48" s="417">
        <f>SUM(W48:W51)/SUM(K48:K51)</f>
        <v>0.8406252877929733</v>
      </c>
      <c r="Y48" s="222">
        <v>0</v>
      </c>
      <c r="Z48" s="41">
        <f>+'9'!D34/1000</f>
        <v>4.04</v>
      </c>
      <c r="AA48" s="53">
        <f>SUM(U48:U51)-SUM(W48:W51)-SUM(Z48:Z51)-SUM(Y48:Y51)</f>
        <v>-2.7620307200000065</v>
      </c>
      <c r="AB48" s="53">
        <f>(SUM(K48:K51)-SUM(W48:W51)-SUM(Y48:Y51)-SUM(Z48:Z51)-SUM(AC48:AC51)-SUM(V48:V51))-AA48</f>
        <v>-0.13133204784100094</v>
      </c>
      <c r="AC48" s="41">
        <f>K48-T48</f>
        <v>10.234828799999988</v>
      </c>
      <c r="AD48" s="41">
        <f>+AM48+BA48</f>
        <v>0</v>
      </c>
      <c r="AE48" s="241" t="s">
        <v>473</v>
      </c>
      <c r="AF48" s="41">
        <v>0</v>
      </c>
      <c r="AG48" s="41"/>
      <c r="AH48" s="41"/>
      <c r="AI48" s="459"/>
      <c r="AJ48" s="41"/>
      <c r="AK48" s="41"/>
      <c r="AL48" s="41"/>
      <c r="AM48" s="41">
        <f>SUM(AF48:AL48)+AT48+AV48+AX48</f>
        <v>0</v>
      </c>
      <c r="AN48" s="41"/>
      <c r="AO48" s="41"/>
      <c r="AP48" s="41"/>
      <c r="AQ48" s="41"/>
      <c r="AR48" s="41">
        <f>SUM(AN48:AQ48)</f>
        <v>0</v>
      </c>
      <c r="AS48" s="41"/>
      <c r="AT48" s="41"/>
      <c r="AU48" s="41"/>
      <c r="AV48" s="41"/>
      <c r="AW48" s="41"/>
      <c r="AX48" s="41"/>
      <c r="AY48" s="41"/>
      <c r="AZ48" s="41"/>
      <c r="BA48" s="41">
        <f>+AR48+AS48+AU48+AW48+AY48+AZ48</f>
        <v>0</v>
      </c>
      <c r="BB48" s="37">
        <v>0</v>
      </c>
      <c r="BC48" s="55"/>
      <c r="BD48" s="55"/>
      <c r="BE48" s="37"/>
      <c r="BF48" s="55"/>
    </row>
    <row r="49" spans="1:58" ht="12.95" customHeight="1">
      <c r="A49" s="346"/>
      <c r="B49" s="45"/>
      <c r="C49" s="450"/>
      <c r="D49" s="45"/>
      <c r="E49" s="46"/>
      <c r="F49" s="46"/>
      <c r="G49" s="463"/>
      <c r="H49" s="48"/>
      <c r="I49" s="49"/>
      <c r="J49" s="90"/>
      <c r="K49" s="90"/>
      <c r="L49" s="39"/>
      <c r="M49" s="39"/>
      <c r="N49" s="50"/>
      <c r="O49" s="51"/>
      <c r="P49" s="52"/>
      <c r="Q49" s="51"/>
      <c r="R49" s="420"/>
      <c r="S49" s="420"/>
      <c r="T49" s="41"/>
      <c r="U49" s="41"/>
      <c r="V49" s="41"/>
      <c r="W49" s="41"/>
      <c r="X49" s="42"/>
      <c r="Y49" s="222"/>
      <c r="Z49" s="41"/>
      <c r="AA49" s="41"/>
      <c r="AB49" s="41"/>
      <c r="AC49" s="41"/>
      <c r="AD49" s="41">
        <f>+AM49+BA49</f>
        <v>0</v>
      </c>
      <c r="AE49" s="241" t="s">
        <v>452</v>
      </c>
      <c r="AF49" s="41"/>
      <c r="AG49" s="41">
        <v>0</v>
      </c>
      <c r="AH49" s="41"/>
      <c r="AI49" s="459"/>
      <c r="AJ49" s="41"/>
      <c r="AK49" s="41"/>
      <c r="AL49" s="41"/>
      <c r="AM49" s="41">
        <f>SUM(AF49:AL49)+AT49+AV49+AX49</f>
        <v>0</v>
      </c>
      <c r="AN49" s="91"/>
      <c r="AO49" s="41"/>
      <c r="AP49" s="41"/>
      <c r="AQ49" s="41"/>
      <c r="AR49" s="41">
        <f>SUM(AN49:AQ49)</f>
        <v>0</v>
      </c>
      <c r="AS49" s="41"/>
      <c r="AT49" s="41"/>
      <c r="AU49" s="41"/>
      <c r="AV49" s="41"/>
      <c r="AW49" s="41"/>
      <c r="AX49" s="41"/>
      <c r="AY49" s="41"/>
      <c r="AZ49" s="41"/>
      <c r="BA49" s="41">
        <f>+AR49+AS49+AU49+AW49+AY49+AZ49</f>
        <v>0</v>
      </c>
      <c r="BB49" s="54"/>
      <c r="BC49" s="55">
        <v>0</v>
      </c>
      <c r="BD49" s="55"/>
      <c r="BE49" s="54"/>
      <c r="BF49" s="55"/>
    </row>
    <row r="50" spans="1:58" ht="12.95" customHeight="1">
      <c r="A50" s="44"/>
      <c r="B50" s="45"/>
      <c r="C50" s="450"/>
      <c r="D50" s="45"/>
      <c r="E50" s="46"/>
      <c r="F50" s="46"/>
      <c r="G50" s="463"/>
      <c r="H50" s="48"/>
      <c r="I50" s="49"/>
      <c r="J50" s="90"/>
      <c r="K50" s="90"/>
      <c r="L50" s="39"/>
      <c r="M50" s="39"/>
      <c r="N50" s="50"/>
      <c r="O50" s="51"/>
      <c r="P50" s="52"/>
      <c r="Q50" s="51"/>
      <c r="R50" s="420"/>
      <c r="S50" s="420"/>
      <c r="T50" s="41"/>
      <c r="U50" s="41"/>
      <c r="V50" s="41"/>
      <c r="W50" s="41"/>
      <c r="X50" s="42"/>
      <c r="Y50" s="222"/>
      <c r="Z50" s="41"/>
      <c r="AA50" s="41"/>
      <c r="AB50" s="41"/>
      <c r="AC50" s="41"/>
      <c r="AD50" s="41">
        <f>+AM50+BA50</f>
        <v>19</v>
      </c>
      <c r="AE50" s="241" t="s">
        <v>539</v>
      </c>
      <c r="AF50" s="37"/>
      <c r="AG50" s="37"/>
      <c r="AH50" s="37">
        <v>19</v>
      </c>
      <c r="AJ50" s="41"/>
      <c r="AK50" s="41"/>
      <c r="AL50" s="41"/>
      <c r="AM50" s="41">
        <f>SUM(AF50:AL50)+AT50+AV50+AX50</f>
        <v>19</v>
      </c>
      <c r="AN50" s="41"/>
      <c r="AO50" s="41"/>
      <c r="AP50" s="41"/>
      <c r="AQ50" s="41"/>
      <c r="AR50" s="41">
        <f>SUM(AN50:AQ50)</f>
        <v>0</v>
      </c>
      <c r="AS50" s="41"/>
      <c r="AT50" s="41"/>
      <c r="AU50" s="41"/>
      <c r="AV50" s="41"/>
      <c r="AW50" s="41"/>
      <c r="AX50" s="41"/>
      <c r="AY50" s="41"/>
      <c r="AZ50" s="41"/>
      <c r="BA50" s="41">
        <f>+AR50+AS50+AU50+AW50+AY50+AZ50</f>
        <v>0</v>
      </c>
      <c r="BB50" s="37"/>
      <c r="BC50" s="57"/>
      <c r="BD50" s="57"/>
      <c r="BE50" s="37"/>
      <c r="BF50" s="57"/>
    </row>
    <row r="51" spans="1:58" ht="12.95" customHeight="1">
      <c r="A51" s="44"/>
      <c r="B51" s="45"/>
      <c r="C51" s="450"/>
      <c r="D51" s="45"/>
      <c r="E51" s="46"/>
      <c r="F51" s="46"/>
      <c r="G51" s="47"/>
      <c r="H51" s="48"/>
      <c r="I51" s="49"/>
      <c r="J51" s="90"/>
      <c r="K51" s="90"/>
      <c r="L51" s="39"/>
      <c r="M51" s="39"/>
      <c r="N51" s="50"/>
      <c r="O51" s="51"/>
      <c r="P51" s="52"/>
      <c r="Q51" s="51"/>
      <c r="R51" s="420"/>
      <c r="S51" s="420"/>
      <c r="T51" s="41"/>
      <c r="U51" s="41"/>
      <c r="V51" s="41"/>
      <c r="W51" s="41"/>
      <c r="X51" s="42"/>
      <c r="Y51" s="222"/>
      <c r="Z51" s="41"/>
      <c r="AA51" s="41"/>
      <c r="AB51" s="41"/>
      <c r="AC51" s="41"/>
      <c r="AD51" s="41"/>
      <c r="AE51" s="2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37"/>
      <c r="BC51" s="55"/>
      <c r="BD51" s="55"/>
      <c r="BE51" s="55"/>
      <c r="BF51" s="55"/>
    </row>
    <row r="52" spans="1:58" ht="12.95" customHeight="1">
      <c r="A52" s="346">
        <v>45848</v>
      </c>
      <c r="B52" s="45" t="s">
        <v>231</v>
      </c>
      <c r="C52" s="450">
        <f>(M52*E52*O52*Q52)/100000000</f>
        <v>16.904332799999999</v>
      </c>
      <c r="D52" s="45" t="s">
        <v>606</v>
      </c>
      <c r="E52" s="46">
        <v>16</v>
      </c>
      <c r="F52" s="46">
        <v>1</v>
      </c>
      <c r="G52" s="463">
        <v>1270</v>
      </c>
      <c r="H52" s="48">
        <v>0</v>
      </c>
      <c r="I52" s="49">
        <v>0.88</v>
      </c>
      <c r="J52" s="90">
        <f>E52*G52*(1-H52)*1440/1000000*2.77</f>
        <v>81.052415999999994</v>
      </c>
      <c r="K52" s="90">
        <f>(IF(G52&lt;L52,L52,G52)*(1-IF(H52&lt;N52,H52,N52))*E52*O52*Q52)/100000000</f>
        <v>19.393407999999997</v>
      </c>
      <c r="L52" s="39">
        <v>1111</v>
      </c>
      <c r="M52" s="39">
        <v>1107</v>
      </c>
      <c r="N52" s="50">
        <f>1-(M52/L52)</f>
        <v>3.6003600360036137E-3</v>
      </c>
      <c r="O52" s="51">
        <f>+'Trim Rwd'!H40</f>
        <v>265.11111111111109</v>
      </c>
      <c r="P52" s="52">
        <f>O52*(Q52-R52-S52)</f>
        <v>92788.888888888876</v>
      </c>
      <c r="Q52" s="51">
        <v>360</v>
      </c>
      <c r="R52" s="420">
        <v>0</v>
      </c>
      <c r="S52" s="420">
        <v>10</v>
      </c>
      <c r="T52" s="41">
        <f>E52*M52*O52*Q52/100000000</f>
        <v>16.904332799999999</v>
      </c>
      <c r="U52" s="41">
        <f>E52*M52*O52*(Q52-R52-S52)/100000000</f>
        <v>16.434767999999998</v>
      </c>
      <c r="V52" s="41">
        <f>E52*G52*(1-N52)*O52/100*(R52+S52)/1000000</f>
        <v>0.53676624302430243</v>
      </c>
      <c r="W52" s="41">
        <f>+'10'!K9/1000</f>
        <v>21.044</v>
      </c>
      <c r="X52" s="417">
        <f>SUM(W52:W55)/SUM(K52:K55)</f>
        <v>0.88034016925384084</v>
      </c>
      <c r="Y52" s="222">
        <v>0</v>
      </c>
      <c r="Z52" s="41">
        <f>+'10'!D7/1000</f>
        <v>0.60699999999999998</v>
      </c>
      <c r="AA52" s="53">
        <f>SUM(U52:U55)-SUM(W52:W55)-SUM(Z52:Z55)-SUM(Y52:Y55)</f>
        <v>-0.38908495999999881</v>
      </c>
      <c r="AB52" s="53">
        <f>(SUM(K52:K55)-SUM(W52:W55)-SUM(Y52:Y55)-SUM(Z52:Z55)-SUM(AC52:AC55)-SUM(V52:V55))-AA52</f>
        <v>-0.19412346212877751</v>
      </c>
      <c r="AC52" s="41">
        <f>K52-T52</f>
        <v>2.4890751999999985</v>
      </c>
      <c r="AD52" s="41">
        <f>+AM52+BA52</f>
        <v>10</v>
      </c>
      <c r="AE52" s="241" t="s">
        <v>418</v>
      </c>
      <c r="AF52" s="41">
        <v>10</v>
      </c>
      <c r="AG52" s="41"/>
      <c r="AH52" s="41"/>
      <c r="AI52" s="459"/>
      <c r="AJ52" s="41"/>
      <c r="AK52" s="41"/>
      <c r="AL52" s="41"/>
      <c r="AM52" s="41">
        <f>SUM(AF52:AL52)+AT52+AV52+AX52</f>
        <v>10</v>
      </c>
      <c r="AN52" s="41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37">
        <v>2</v>
      </c>
      <c r="BC52" s="55"/>
      <c r="BD52" s="55"/>
      <c r="BE52" s="37"/>
      <c r="BF52" s="55"/>
    </row>
    <row r="53" spans="1:58" ht="12.95" customHeight="1">
      <c r="A53" s="346"/>
      <c r="B53" s="45" t="s">
        <v>607</v>
      </c>
      <c r="C53" s="450">
        <f>(M53*E53*O53*Q53)/100000000</f>
        <v>44.367523200000001</v>
      </c>
      <c r="D53" s="45" t="s">
        <v>608</v>
      </c>
      <c r="E53" s="46">
        <v>12</v>
      </c>
      <c r="F53" s="46">
        <v>1</v>
      </c>
      <c r="G53" s="463">
        <v>1700</v>
      </c>
      <c r="H53" s="48">
        <v>0.2</v>
      </c>
      <c r="I53" s="49">
        <v>0.88</v>
      </c>
      <c r="J53" s="90">
        <f>E53*G53*(1-H53)*1440/1000000*2.77</f>
        <v>65.097216000000003</v>
      </c>
      <c r="K53" s="90">
        <f>(IF(G53&lt;L53,L53,G53)*(1-IF(H53&lt;N53,H53,N53))*E53*O53*Q53)/100000000</f>
        <v>46.905963582089548</v>
      </c>
      <c r="L53" s="39">
        <v>1608</v>
      </c>
      <c r="M53" s="39">
        <v>1287</v>
      </c>
      <c r="N53" s="50">
        <f>1-(M53/L53)</f>
        <v>0.19962686567164178</v>
      </c>
      <c r="O53" s="51">
        <f>+'Trim Rwd'!H42</f>
        <v>266</v>
      </c>
      <c r="P53" s="52">
        <f>O53*(Q53-R53-S53)</f>
        <v>272916</v>
      </c>
      <c r="Q53" s="51">
        <v>1080</v>
      </c>
      <c r="R53" s="420">
        <v>0</v>
      </c>
      <c r="S53" s="420">
        <v>54</v>
      </c>
      <c r="T53" s="41">
        <f>E53*M53*O53*Q53/100000000</f>
        <v>44.367523200000001</v>
      </c>
      <c r="U53" s="41">
        <f>E53*M53*O53*(Q53-R53-S53)/100000000</f>
        <v>42.149147040000003</v>
      </c>
      <c r="V53" s="41">
        <f>E53*G53*(1-N53)*O53/100*(R53+S53)/1000000</f>
        <v>2.3452981791044771</v>
      </c>
      <c r="W53" s="41">
        <f>+'10'!K13/1000</f>
        <v>37.322000000000003</v>
      </c>
      <c r="X53" s="42"/>
      <c r="Y53" s="222"/>
      <c r="Z53" s="41"/>
      <c r="AA53" s="41"/>
      <c r="AB53" s="41"/>
      <c r="AC53" s="41">
        <f>K53-T53</f>
        <v>2.5384403820895471</v>
      </c>
      <c r="AD53" s="41">
        <f>+AM53+BA53</f>
        <v>12</v>
      </c>
      <c r="AE53" s="241" t="s">
        <v>609</v>
      </c>
      <c r="AF53" s="41"/>
      <c r="AG53" s="41">
        <v>12</v>
      </c>
      <c r="AH53" s="41"/>
      <c r="AI53" s="459"/>
      <c r="AJ53" s="41"/>
      <c r="AK53" s="41"/>
      <c r="AL53" s="41"/>
      <c r="AM53" s="41">
        <f>SUM(AF53:AL53)+AT53+AV53+AX53</f>
        <v>12</v>
      </c>
      <c r="AN53" s="91"/>
      <c r="AO53" s="41"/>
      <c r="AP53" s="41"/>
      <c r="AQ53" s="41"/>
      <c r="AR53" s="41">
        <f>SUM(AN53:AQ53)</f>
        <v>0</v>
      </c>
      <c r="AS53" s="41"/>
      <c r="AT53" s="41"/>
      <c r="AU53" s="41"/>
      <c r="AV53" s="41"/>
      <c r="AW53" s="41"/>
      <c r="AX53" s="41"/>
      <c r="AY53" s="41"/>
      <c r="AZ53" s="41"/>
      <c r="BA53" s="41">
        <f>+AR53+AS53+AU53+AW53+AY53+AZ53</f>
        <v>0</v>
      </c>
      <c r="BB53" s="54"/>
      <c r="BC53" s="55">
        <v>10</v>
      </c>
      <c r="BD53" s="55"/>
      <c r="BE53" s="54"/>
      <c r="BF53" s="55"/>
    </row>
    <row r="54" spans="1:58" ht="12.95" customHeight="1">
      <c r="A54" s="44"/>
      <c r="B54" s="45"/>
      <c r="C54" s="450"/>
      <c r="D54" s="45"/>
      <c r="E54" s="46"/>
      <c r="F54" s="46"/>
      <c r="G54" s="463"/>
      <c r="H54" s="48"/>
      <c r="I54" s="49"/>
      <c r="J54" s="90"/>
      <c r="K54" s="90"/>
      <c r="L54" s="39"/>
      <c r="M54" s="39"/>
      <c r="N54" s="50"/>
      <c r="O54" s="51"/>
      <c r="P54" s="52"/>
      <c r="Q54" s="51"/>
      <c r="R54" s="420"/>
      <c r="S54" s="420"/>
      <c r="T54" s="41"/>
      <c r="U54" s="41"/>
      <c r="V54" s="41"/>
      <c r="W54" s="41"/>
      <c r="X54" s="42"/>
      <c r="Y54" s="222"/>
      <c r="Z54" s="41"/>
      <c r="AA54" s="41"/>
      <c r="AB54" s="41"/>
      <c r="AC54" s="41"/>
      <c r="AD54" s="41">
        <f>+AM54+BA54</f>
        <v>27</v>
      </c>
      <c r="AE54" s="241" t="s">
        <v>610</v>
      </c>
      <c r="AF54" s="37"/>
      <c r="AG54" s="37"/>
      <c r="AH54" s="37">
        <v>27</v>
      </c>
      <c r="AJ54" s="41"/>
      <c r="AK54" s="41"/>
      <c r="AL54" s="41"/>
      <c r="AM54" s="41">
        <f>SUM(AF54:AL54)+AT54+AV54+AX54</f>
        <v>27</v>
      </c>
      <c r="AN54" s="41"/>
      <c r="AO54" s="41"/>
      <c r="AP54" s="41"/>
      <c r="AQ54" s="41"/>
      <c r="AR54" s="41">
        <f>SUM(AN54:AQ54)</f>
        <v>0</v>
      </c>
      <c r="AS54" s="41"/>
      <c r="AT54" s="41"/>
      <c r="AU54" s="41"/>
      <c r="AV54" s="41"/>
      <c r="AW54" s="41"/>
      <c r="AX54" s="41"/>
      <c r="AY54" s="41"/>
      <c r="AZ54" s="41"/>
      <c r="BA54" s="41">
        <f>+AR54+AS54+AU54+AW54+AY54+AZ54</f>
        <v>0</v>
      </c>
      <c r="BB54" s="37"/>
      <c r="BC54" s="57"/>
      <c r="BD54" s="57"/>
      <c r="BE54" s="37"/>
      <c r="BF54" s="57"/>
    </row>
    <row r="55" spans="1:58" ht="12.95" customHeight="1">
      <c r="A55" s="44"/>
      <c r="B55" s="45"/>
      <c r="C55" s="450"/>
      <c r="D55" s="45"/>
      <c r="E55" s="46"/>
      <c r="F55" s="46"/>
      <c r="G55" s="47"/>
      <c r="H55" s="48"/>
      <c r="I55" s="49"/>
      <c r="J55" s="90"/>
      <c r="K55" s="90"/>
      <c r="L55" s="39"/>
      <c r="M55" s="39"/>
      <c r="N55" s="50"/>
      <c r="O55" s="51"/>
      <c r="P55" s="52"/>
      <c r="Q55" s="51"/>
      <c r="R55" s="420"/>
      <c r="S55" s="420"/>
      <c r="T55" s="41"/>
      <c r="U55" s="41"/>
      <c r="V55" s="41"/>
      <c r="W55" s="41"/>
      <c r="X55" s="42"/>
      <c r="Y55" s="222"/>
      <c r="Z55" s="41"/>
      <c r="AA55" s="41"/>
      <c r="AB55" s="41"/>
      <c r="AC55" s="41"/>
      <c r="AD55" s="41">
        <f>+AM55+BA55</f>
        <v>15</v>
      </c>
      <c r="AE55" s="241" t="s">
        <v>540</v>
      </c>
      <c r="AF55" s="41"/>
      <c r="AG55" s="41"/>
      <c r="AH55" s="41"/>
      <c r="AI55" s="41">
        <v>15</v>
      </c>
      <c r="AJ55" s="41"/>
      <c r="AK55" s="41"/>
      <c r="AL55" s="41"/>
      <c r="AM55" s="41">
        <f>SUM(AF55:AL55)+AT55+AV55+AX55</f>
        <v>15</v>
      </c>
      <c r="AN55" s="41"/>
      <c r="AO55" s="41"/>
      <c r="AP55" s="41"/>
      <c r="AQ55" s="41"/>
      <c r="AR55" s="41">
        <f>SUM(AN55:AQ55)</f>
        <v>0</v>
      </c>
      <c r="AS55" s="41"/>
      <c r="AT55" s="41"/>
      <c r="AU55" s="41"/>
      <c r="AV55" s="41"/>
      <c r="AW55" s="41"/>
      <c r="AX55" s="41"/>
      <c r="AY55" s="41"/>
      <c r="AZ55" s="41"/>
      <c r="BA55" s="41">
        <f>+AR55+AS55+AU55+AW55+AY55+AZ55</f>
        <v>0</v>
      </c>
      <c r="BB55" s="37"/>
      <c r="BC55" s="57"/>
      <c r="BD55" s="57"/>
      <c r="BE55" s="37"/>
      <c r="BF55" s="57"/>
    </row>
    <row r="56" spans="1:58" ht="12.95" customHeight="1">
      <c r="A56" s="346"/>
      <c r="B56" s="45"/>
      <c r="C56" s="450"/>
      <c r="D56" s="45"/>
      <c r="E56" s="46"/>
      <c r="F56" s="46"/>
      <c r="G56" s="463"/>
      <c r="H56" s="48"/>
      <c r="I56" s="49"/>
      <c r="J56" s="90"/>
      <c r="K56" s="90"/>
      <c r="L56" s="39"/>
      <c r="M56" s="39"/>
      <c r="N56" s="50"/>
      <c r="O56" s="51"/>
      <c r="P56" s="52"/>
      <c r="Q56" s="51"/>
      <c r="R56" s="420"/>
      <c r="S56" s="420"/>
      <c r="T56" s="41"/>
      <c r="U56" s="41"/>
      <c r="V56" s="41"/>
      <c r="W56" s="41"/>
      <c r="X56" s="417"/>
      <c r="Y56" s="222"/>
      <c r="Z56" s="41"/>
      <c r="AA56" s="53"/>
      <c r="AB56" s="53"/>
      <c r="AC56" s="41"/>
      <c r="AD56" s="41"/>
      <c r="AE56" s="241"/>
      <c r="AF56" s="41"/>
      <c r="AG56" s="41"/>
      <c r="AH56" s="41"/>
      <c r="AI56" s="459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37"/>
      <c r="BC56" s="55"/>
      <c r="BD56" s="55"/>
      <c r="BE56" s="55"/>
      <c r="BF56" s="55"/>
    </row>
    <row r="57" spans="1:58" ht="12.95" customHeight="1">
      <c r="A57" s="346">
        <v>45849</v>
      </c>
      <c r="B57" s="45" t="s">
        <v>607</v>
      </c>
      <c r="C57" s="450">
        <f>(M57*E57*O57*Q57)/100000000</f>
        <v>57.793075199999997</v>
      </c>
      <c r="D57" s="45" t="s">
        <v>608</v>
      </c>
      <c r="E57" s="46">
        <v>11.5</v>
      </c>
      <c r="F57" s="46">
        <v>1</v>
      </c>
      <c r="G57" s="463">
        <v>1700</v>
      </c>
      <c r="H57" s="48">
        <v>0.2</v>
      </c>
      <c r="I57" s="49">
        <v>0.88</v>
      </c>
      <c r="J57" s="90">
        <f>E57*G57*(1-H57)*1440/1000000*2.77</f>
        <v>62.384831999999996</v>
      </c>
      <c r="K57" s="90">
        <f>(IF(G57&lt;L57,L57,G57)*(1-IF(H57&lt;N57,H57,N57))*E57*O57*Q57)/100000000</f>
        <v>59.907456000000003</v>
      </c>
      <c r="L57" s="39">
        <v>1640</v>
      </c>
      <c r="M57" s="39">
        <v>1312</v>
      </c>
      <c r="N57" s="50">
        <f>1-(M57/L57)</f>
        <v>0.19999999999999996</v>
      </c>
      <c r="O57" s="51">
        <f>+'Trim Rwd'!H44</f>
        <v>266</v>
      </c>
      <c r="P57" s="52">
        <f>O57*(Q57-R57-S57)</f>
        <v>355908</v>
      </c>
      <c r="Q57" s="51">
        <v>1440</v>
      </c>
      <c r="R57" s="420">
        <v>0</v>
      </c>
      <c r="S57" s="420">
        <v>102</v>
      </c>
      <c r="T57" s="41">
        <f>E57*M57*O57*Q57/100000000</f>
        <v>57.793075199999997</v>
      </c>
      <c r="U57" s="41">
        <f>E57*M57*O57*(Q57-R57-S57)/100000000</f>
        <v>53.699399040000003</v>
      </c>
      <c r="V57" s="41">
        <f>E57*G57*(1-N57)*O57/100*(R57+S57)/1000000</f>
        <v>4.2434447999999998</v>
      </c>
      <c r="W57" s="41">
        <f>+'11'!K34/1000</f>
        <v>52.795999999999999</v>
      </c>
      <c r="X57" s="417">
        <f>SUM(W57:W60)/SUM(K57:K60)</f>
        <v>0.88129263909988098</v>
      </c>
      <c r="Y57" s="222">
        <v>0</v>
      </c>
      <c r="Z57" s="41">
        <v>0</v>
      </c>
      <c r="AA57" s="53">
        <f>SUM(U57:U60)-SUM(W57:W60)-SUM(Z57:Z60)-SUM(Y57:Y60)</f>
        <v>0.90339904000000359</v>
      </c>
      <c r="AB57" s="53">
        <f>(SUM(K57:K60)-SUM(W57:W60)-SUM(Y57:Y60)-SUM(Z57:Z60)-SUM(AC57:AC60)-SUM(V57:V60))-AA57</f>
        <v>-0.14976864000000578</v>
      </c>
      <c r="AC57" s="41">
        <f>K57-T57</f>
        <v>2.1143808000000064</v>
      </c>
      <c r="AD57" s="41">
        <f>+AM57+BA57</f>
        <v>20</v>
      </c>
      <c r="AE57" s="241" t="s">
        <v>418</v>
      </c>
      <c r="AF57" s="41">
        <v>20</v>
      </c>
      <c r="AG57" s="41"/>
      <c r="AH57" s="41"/>
      <c r="AI57" s="459"/>
      <c r="AJ57" s="41"/>
      <c r="AK57" s="41"/>
      <c r="AL57" s="41"/>
      <c r="AM57" s="41">
        <f>SUM(AF57:AL57)+AT57+AV57+AX57</f>
        <v>20</v>
      </c>
      <c r="AN57" s="41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37">
        <v>2</v>
      </c>
      <c r="BC57" s="55"/>
      <c r="BD57" s="55"/>
      <c r="BE57" s="37"/>
      <c r="BF57" s="55"/>
    </row>
    <row r="58" spans="1:58" ht="12.95" customHeight="1">
      <c r="A58" s="346"/>
      <c r="B58" s="45"/>
      <c r="C58" s="450"/>
      <c r="D58" s="45"/>
      <c r="E58" s="46"/>
      <c r="F58" s="46"/>
      <c r="G58" s="463"/>
      <c r="H58" s="48"/>
      <c r="I58" s="49"/>
      <c r="J58" s="90"/>
      <c r="K58" s="90"/>
      <c r="L58" s="39"/>
      <c r="M58" s="39"/>
      <c r="N58" s="50"/>
      <c r="O58" s="51"/>
      <c r="P58" s="52"/>
      <c r="Q58" s="51"/>
      <c r="R58" s="420"/>
      <c r="S58" s="420"/>
      <c r="T58" s="41"/>
      <c r="U58" s="41"/>
      <c r="V58" s="41"/>
      <c r="W58" s="41"/>
      <c r="X58" s="42"/>
      <c r="Y58" s="222"/>
      <c r="Z58" s="41"/>
      <c r="AA58" s="41"/>
      <c r="AB58" s="41"/>
      <c r="AC58" s="41"/>
      <c r="AD58" s="41">
        <f>+AM58+BA58</f>
        <v>16</v>
      </c>
      <c r="AE58" s="241" t="s">
        <v>625</v>
      </c>
      <c r="AF58" s="41"/>
      <c r="AG58" s="41">
        <v>16</v>
      </c>
      <c r="AH58" s="41"/>
      <c r="AI58" s="459"/>
      <c r="AJ58" s="41"/>
      <c r="AK58" s="41"/>
      <c r="AL58" s="41"/>
      <c r="AM58" s="41">
        <f>SUM(AF58:AL58)+AT58+AV58+AX58</f>
        <v>16</v>
      </c>
      <c r="AN58" s="91"/>
      <c r="AO58" s="41"/>
      <c r="AP58" s="41"/>
      <c r="AQ58" s="41"/>
      <c r="AR58" s="41">
        <f>SUM(AN58:AQ58)</f>
        <v>0</v>
      </c>
      <c r="AS58" s="41"/>
      <c r="AT58" s="41"/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54"/>
      <c r="BC58" s="55">
        <v>18</v>
      </c>
      <c r="BD58" s="55"/>
      <c r="BE58" s="54"/>
      <c r="BF58" s="55"/>
    </row>
    <row r="59" spans="1:58" ht="12.95" customHeight="1">
      <c r="A59" s="44"/>
      <c r="B59" s="45"/>
      <c r="C59" s="450"/>
      <c r="D59" s="45"/>
      <c r="E59" s="46"/>
      <c r="F59" s="46"/>
      <c r="G59" s="463"/>
      <c r="H59" s="48"/>
      <c r="I59" s="49"/>
      <c r="J59" s="90"/>
      <c r="K59" s="90"/>
      <c r="L59" s="39"/>
      <c r="M59" s="39"/>
      <c r="N59" s="50"/>
      <c r="O59" s="51"/>
      <c r="P59" s="52"/>
      <c r="Q59" s="51"/>
      <c r="R59" s="420"/>
      <c r="S59" s="420"/>
      <c r="T59" s="41"/>
      <c r="U59" s="41"/>
      <c r="V59" s="41"/>
      <c r="W59" s="41"/>
      <c r="X59" s="42"/>
      <c r="Y59" s="222"/>
      <c r="Z59" s="41"/>
      <c r="AA59" s="41"/>
      <c r="AB59" s="41"/>
      <c r="AC59" s="41"/>
      <c r="AD59" s="41">
        <f>+AM59+BA59</f>
        <v>30</v>
      </c>
      <c r="AE59" s="241" t="s">
        <v>626</v>
      </c>
      <c r="AF59" s="37"/>
      <c r="AG59" s="37"/>
      <c r="AH59" s="37">
        <v>30</v>
      </c>
      <c r="AJ59" s="41"/>
      <c r="AK59" s="41"/>
      <c r="AL59" s="41"/>
      <c r="AM59" s="41">
        <f>SUM(AF59:AL59)+AT59+AV59+AX59</f>
        <v>30</v>
      </c>
      <c r="AN59" s="41"/>
      <c r="AO59" s="41"/>
      <c r="AP59" s="41"/>
      <c r="AQ59" s="41"/>
      <c r="AR59" s="41">
        <f>SUM(AN59:AQ59)</f>
        <v>0</v>
      </c>
      <c r="AS59" s="41"/>
      <c r="AT59" s="41"/>
      <c r="AU59" s="41"/>
      <c r="AV59" s="41"/>
      <c r="AW59" s="41"/>
      <c r="AX59" s="41"/>
      <c r="AY59" s="41"/>
      <c r="AZ59" s="41"/>
      <c r="BA59" s="41">
        <f>+AR59+AS59+AU59+AW59+AY59+AZ59</f>
        <v>0</v>
      </c>
      <c r="BB59" s="37"/>
      <c r="BC59" s="57"/>
      <c r="BD59" s="57"/>
      <c r="BE59" s="37"/>
      <c r="BF59" s="57"/>
    </row>
    <row r="60" spans="1:58" ht="12.95" customHeight="1">
      <c r="A60" s="44"/>
      <c r="B60" s="45"/>
      <c r="C60" s="450"/>
      <c r="D60" s="45"/>
      <c r="E60" s="46"/>
      <c r="F60" s="46"/>
      <c r="G60" s="47"/>
      <c r="H60" s="48"/>
      <c r="I60" s="49"/>
      <c r="J60" s="90"/>
      <c r="K60" s="90"/>
      <c r="L60" s="39"/>
      <c r="M60" s="39"/>
      <c r="N60" s="50"/>
      <c r="O60" s="51"/>
      <c r="P60" s="52"/>
      <c r="Q60" s="51"/>
      <c r="R60" s="420"/>
      <c r="S60" s="420"/>
      <c r="T60" s="41"/>
      <c r="U60" s="41"/>
      <c r="V60" s="41"/>
      <c r="W60" s="41"/>
      <c r="X60" s="42"/>
      <c r="Y60" s="222"/>
      <c r="Z60" s="41"/>
      <c r="AA60" s="41"/>
      <c r="AB60" s="41"/>
      <c r="AC60" s="41"/>
      <c r="AD60" s="41">
        <f>+AM60+BA60</f>
        <v>36</v>
      </c>
      <c r="AE60" s="241" t="s">
        <v>627</v>
      </c>
      <c r="AF60" s="41"/>
      <c r="AG60" s="41"/>
      <c r="AH60" s="41"/>
      <c r="AI60" s="41">
        <v>36</v>
      </c>
      <c r="AJ60" s="41"/>
      <c r="AK60" s="41"/>
      <c r="AL60" s="41"/>
      <c r="AM60" s="41">
        <f>SUM(AF60:AL60)+AT60+AV60+AX60</f>
        <v>36</v>
      </c>
      <c r="AN60" s="41"/>
      <c r="AO60" s="41"/>
      <c r="AP60" s="41"/>
      <c r="AQ60" s="41"/>
      <c r="AR60" s="41">
        <f>SUM(AN60:AQ60)</f>
        <v>0</v>
      </c>
      <c r="AS60" s="41"/>
      <c r="AT60" s="41"/>
      <c r="AU60" s="41"/>
      <c r="AV60" s="41"/>
      <c r="AW60" s="41"/>
      <c r="AX60" s="41"/>
      <c r="AY60" s="41"/>
      <c r="AZ60" s="41"/>
      <c r="BA60" s="41">
        <f>+AR60+AS60+AU60+AW60+AY60+AZ60</f>
        <v>0</v>
      </c>
      <c r="BB60" s="37"/>
      <c r="BC60" s="57"/>
      <c r="BD60" s="57"/>
      <c r="BE60" s="37"/>
      <c r="BF60" s="57"/>
    </row>
    <row r="61" spans="1:58" ht="12.95" customHeight="1">
      <c r="A61" s="44"/>
      <c r="B61" s="45"/>
      <c r="C61" s="450"/>
      <c r="D61" s="45"/>
      <c r="E61" s="46"/>
      <c r="F61" s="46"/>
      <c r="G61" s="47"/>
      <c r="H61" s="48"/>
      <c r="I61" s="49"/>
      <c r="J61" s="90"/>
      <c r="K61" s="90"/>
      <c r="L61" s="39"/>
      <c r="M61" s="39"/>
      <c r="N61" s="50"/>
      <c r="O61" s="51"/>
      <c r="P61" s="52"/>
      <c r="Q61" s="51"/>
      <c r="R61" s="420"/>
      <c r="S61" s="420"/>
      <c r="T61" s="41"/>
      <c r="U61" s="41"/>
      <c r="V61" s="41"/>
      <c r="W61" s="41"/>
      <c r="X61" s="42"/>
      <c r="Y61" s="222"/>
      <c r="Z61" s="41"/>
      <c r="AA61" s="41"/>
      <c r="AB61" s="41"/>
      <c r="AC61" s="41"/>
      <c r="AD61" s="41"/>
      <c r="AE61" s="2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37"/>
      <c r="BC61" s="55"/>
      <c r="BD61" s="55"/>
      <c r="BE61" s="55"/>
      <c r="BF61" s="55"/>
    </row>
    <row r="62" spans="1:58" ht="12.95" customHeight="1">
      <c r="A62" s="346">
        <v>45850</v>
      </c>
      <c r="B62" s="45" t="s">
        <v>607</v>
      </c>
      <c r="C62" s="450">
        <f>(M62*E62*O62*Q62)/100000000</f>
        <v>3.3918192</v>
      </c>
      <c r="D62" s="45" t="s">
        <v>608</v>
      </c>
      <c r="E62" s="46">
        <v>11.5</v>
      </c>
      <c r="F62" s="46">
        <v>1</v>
      </c>
      <c r="G62" s="463">
        <v>1700</v>
      </c>
      <c r="H62" s="48">
        <v>0.2</v>
      </c>
      <c r="I62" s="49">
        <v>0.88</v>
      </c>
      <c r="J62" s="90">
        <f>E62*G62*(1-H62)*1440/1000000*2.77</f>
        <v>62.384831999999996</v>
      </c>
      <c r="K62" s="90">
        <f>(IF(G62&lt;L62,L62,G62)*(1-IF(H62&lt;N62,H62,N62))*E62*O62*Q62)/100000000</f>
        <v>3.4946016000000002</v>
      </c>
      <c r="L62" s="39">
        <v>1650</v>
      </c>
      <c r="M62" s="39">
        <v>1320</v>
      </c>
      <c r="N62" s="50">
        <f>1-(M62/L62)</f>
        <v>0.19999999999999996</v>
      </c>
      <c r="O62" s="51">
        <f>+'Trim Rwd'!H46</f>
        <v>266</v>
      </c>
      <c r="P62" s="52">
        <f>O62*(Q62-R62-S62)</f>
        <v>21014</v>
      </c>
      <c r="Q62" s="51">
        <v>84</v>
      </c>
      <c r="R62" s="420">
        <v>0</v>
      </c>
      <c r="S62" s="420">
        <v>5</v>
      </c>
      <c r="T62" s="41">
        <f>E62*M62*O62*Q62/100000000</f>
        <v>3.3918192</v>
      </c>
      <c r="U62" s="41">
        <f>E62*M62*O62*(Q62-R62-S62)/100000000</f>
        <v>3.1899251999999998</v>
      </c>
      <c r="V62" s="41">
        <f>E62*G62*(1-N62)*O62/100*(R62+S62)/1000000</f>
        <v>0.208012</v>
      </c>
      <c r="W62" s="41">
        <f>+'12'!K14/1000</f>
        <v>8.5510000000000002</v>
      </c>
      <c r="X62" s="417">
        <f>SUM(W62:W65)/SUM(K62:K65)</f>
        <v>0.78168732173426547</v>
      </c>
      <c r="Y62" s="222">
        <v>0</v>
      </c>
      <c r="Z62" s="41">
        <v>0</v>
      </c>
      <c r="AA62" s="53">
        <f>SUM(U62:U65)-SUM(W62:W65)-SUM(Z62:Z65)-SUM(Y62:Y65)</f>
        <v>6.7772135939999973</v>
      </c>
      <c r="AB62" s="53">
        <f>(SUM(K62:K65)-SUM(W62:W65)-SUM(Y62:Y65)-SUM(Z62:Z65)-SUM(AC62:AC65)-SUM(V62:V65))-AA62</f>
        <v>-0.11170308755810332</v>
      </c>
      <c r="AC62" s="41">
        <f>K62-T62</f>
        <v>0.10278240000000016</v>
      </c>
      <c r="AD62" s="41">
        <f>+AM62+BA62</f>
        <v>5</v>
      </c>
      <c r="AE62" s="241" t="s">
        <v>536</v>
      </c>
      <c r="AF62" s="41">
        <v>5</v>
      </c>
      <c r="AG62" s="41"/>
      <c r="AH62" s="41"/>
      <c r="AI62" s="459"/>
      <c r="AJ62" s="41"/>
      <c r="AK62" s="41"/>
      <c r="AL62" s="41"/>
      <c r="AM62" s="41">
        <f>SUM(AF62:AL62)+AT62+AV62+AX62</f>
        <v>5</v>
      </c>
      <c r="AN62" s="41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37">
        <v>1</v>
      </c>
      <c r="BC62" s="55"/>
      <c r="BD62" s="55"/>
      <c r="BE62" s="37"/>
      <c r="BF62" s="55"/>
    </row>
    <row r="63" spans="1:58" ht="12.95" customHeight="1">
      <c r="A63" s="346"/>
      <c r="B63" s="45" t="s">
        <v>607</v>
      </c>
      <c r="C63" s="450">
        <f>(M63*E63*O63*Q63)/100000000</f>
        <v>38.531902500000001</v>
      </c>
      <c r="D63" s="45" t="s">
        <v>608</v>
      </c>
      <c r="E63" s="46">
        <v>10.5</v>
      </c>
      <c r="F63" s="46">
        <v>1</v>
      </c>
      <c r="G63" s="463">
        <v>1730</v>
      </c>
      <c r="H63" s="48">
        <v>0.16</v>
      </c>
      <c r="I63" s="49">
        <v>0.88</v>
      </c>
      <c r="J63" s="90">
        <f>E63*G63*(1-H63)*1440/1000000*2.77</f>
        <v>60.863503679999987</v>
      </c>
      <c r="K63" s="90">
        <f>(IF(G63&lt;L63,L63,G63)*(1-IF(H63&lt;N63,H63,N63))*E63*O63*Q63)/100000000</f>
        <v>40.180947151898735</v>
      </c>
      <c r="L63" s="39">
        <v>1659</v>
      </c>
      <c r="M63" s="39">
        <v>1394</v>
      </c>
      <c r="N63" s="50">
        <f>1-(M63/L63)</f>
        <v>0.1597347799879445</v>
      </c>
      <c r="O63" s="51">
        <f>+'Trim Rwd'!H47</f>
        <v>270</v>
      </c>
      <c r="P63" s="52">
        <f>O63*(Q63-R63-S63)</f>
        <v>250830</v>
      </c>
      <c r="Q63" s="51">
        <v>975</v>
      </c>
      <c r="R63" s="420">
        <v>0</v>
      </c>
      <c r="S63" s="420">
        <f>18+28</f>
        <v>46</v>
      </c>
      <c r="T63" s="41">
        <f>E63*M63*O63*Q63/100000000</f>
        <v>38.531902500000001</v>
      </c>
      <c r="U63" s="41">
        <f>E63*M63*O63*(Q63-R63-S63)/100000000</f>
        <v>36.713987099999997</v>
      </c>
      <c r="V63" s="41">
        <f>E63*G63*(1-N63)*O63/100*(R63+S63)/1000000</f>
        <v>1.8957164810126585</v>
      </c>
      <c r="W63" s="41">
        <f>+'12'!K15/1000</f>
        <v>15.566000000000001</v>
      </c>
      <c r="X63" s="42"/>
      <c r="Y63" s="222"/>
      <c r="Z63" s="41">
        <f>+'12'!D34/1000</f>
        <v>1.0389999999999999</v>
      </c>
      <c r="AA63" s="41"/>
      <c r="AB63" s="41"/>
      <c r="AC63" s="41">
        <f>K63-T63</f>
        <v>1.6490446518987341</v>
      </c>
      <c r="AD63" s="41">
        <f>+AM63+BA63</f>
        <v>18</v>
      </c>
      <c r="AE63" s="241" t="s">
        <v>658</v>
      </c>
      <c r="AF63" s="41"/>
      <c r="AG63" s="41">
        <v>18</v>
      </c>
      <c r="AH63" s="41"/>
      <c r="AI63" s="459"/>
      <c r="AJ63" s="41"/>
      <c r="AK63" s="41"/>
      <c r="AL63" s="41"/>
      <c r="AM63" s="41">
        <f>SUM(AF63:AL63)+AT63+AV63+AX63</f>
        <v>18</v>
      </c>
      <c r="AN63" s="91"/>
      <c r="AO63" s="41"/>
      <c r="AP63" s="41"/>
      <c r="AQ63" s="41"/>
      <c r="AR63" s="41">
        <f>SUM(AN63:AQ63)</f>
        <v>0</v>
      </c>
      <c r="AS63" s="41"/>
      <c r="AT63" s="41"/>
      <c r="AU63" s="41"/>
      <c r="AV63" s="41"/>
      <c r="AW63" s="41"/>
      <c r="AX63" s="41"/>
      <c r="AY63" s="41"/>
      <c r="AZ63" s="41"/>
      <c r="BA63" s="41">
        <f>+AR63+AS63+AU63+AW63+AY63+AZ63</f>
        <v>0</v>
      </c>
      <c r="BB63" s="54"/>
      <c r="BC63" s="55">
        <v>15</v>
      </c>
      <c r="BD63" s="55"/>
      <c r="BE63" s="54"/>
      <c r="BF63" s="55"/>
    </row>
    <row r="64" spans="1:58" ht="12.95" customHeight="1">
      <c r="A64" s="44"/>
      <c r="B64" s="45" t="s">
        <v>607</v>
      </c>
      <c r="C64" s="450">
        <f>(M64*E64*O64*Q64)/100000000</f>
        <v>14.555346429</v>
      </c>
      <c r="D64" s="45" t="s">
        <v>608</v>
      </c>
      <c r="E64" s="46">
        <v>10.3</v>
      </c>
      <c r="F64" s="46">
        <v>1</v>
      </c>
      <c r="G64" s="463">
        <v>1730</v>
      </c>
      <c r="H64" s="48">
        <v>0.2</v>
      </c>
      <c r="I64" s="49">
        <v>0.88</v>
      </c>
      <c r="J64" s="90">
        <f>E64*G64*(1-H64)*1440/1000000*2.77</f>
        <v>56.861141760000002</v>
      </c>
      <c r="K64" s="90">
        <f>(IF(G64&lt;L64,L64,G64)*(1-IF(H64&lt;N64,H64,N64))*E64*O64*Q64)/100000000</f>
        <v>15.261060195254547</v>
      </c>
      <c r="L64" s="39">
        <v>1650</v>
      </c>
      <c r="M64" s="39">
        <v>1339</v>
      </c>
      <c r="N64" s="50">
        <f>1-(M64/L64)</f>
        <v>0.18848484848484848</v>
      </c>
      <c r="O64" s="51">
        <f>+'Trim Rwd'!H48</f>
        <v>277</v>
      </c>
      <c r="P64" s="52">
        <f>O64*(Q64-R64-S64)</f>
        <v>101382</v>
      </c>
      <c r="Q64" s="51">
        <v>381</v>
      </c>
      <c r="R64" s="420">
        <v>0</v>
      </c>
      <c r="S64" s="420">
        <v>15</v>
      </c>
      <c r="T64" s="41">
        <f>E64*M64*O64*Q64/100000000</f>
        <v>14.555346429</v>
      </c>
      <c r="U64" s="41">
        <f>E64*M64*O64*(Q64-R64-S64)/100000000</f>
        <v>13.982301294000001</v>
      </c>
      <c r="V64" s="41">
        <f>E64*G64*(1-N64)*O64/100*(R64+S64)/1000000</f>
        <v>0.60082914154545453</v>
      </c>
      <c r="W64" s="41">
        <f>+'12'!K16/1000</f>
        <v>21.952999999999999</v>
      </c>
      <c r="X64" s="42"/>
      <c r="Y64" s="222"/>
      <c r="Z64" s="41"/>
      <c r="AA64" s="41"/>
      <c r="AB64" s="41"/>
      <c r="AC64" s="41">
        <f>K64-T64</f>
        <v>0.70571376625454718</v>
      </c>
      <c r="AD64" s="41">
        <f>+AM64+BA64</f>
        <v>28</v>
      </c>
      <c r="AE64" s="241" t="s">
        <v>610</v>
      </c>
      <c r="AF64" s="37"/>
      <c r="AG64" s="37"/>
      <c r="AH64" s="37">
        <v>28</v>
      </c>
      <c r="AJ64" s="41"/>
      <c r="AK64" s="41"/>
      <c r="AL64" s="41"/>
      <c r="AM64" s="41">
        <f>SUM(AF64:AL64)+AT64+AV64+AX64</f>
        <v>28</v>
      </c>
      <c r="AN64" s="41"/>
      <c r="AO64" s="41"/>
      <c r="AP64" s="41"/>
      <c r="AQ64" s="41"/>
      <c r="AR64" s="41">
        <f>SUM(AN64:AQ64)</f>
        <v>0</v>
      </c>
      <c r="AS64" s="41"/>
      <c r="AT64" s="41"/>
      <c r="AU64" s="41"/>
      <c r="AV64" s="41"/>
      <c r="AW64" s="41"/>
      <c r="AX64" s="41"/>
      <c r="AY64" s="41"/>
      <c r="AZ64" s="41"/>
      <c r="BA64" s="41">
        <f>+AR64+AS64+AU64+AW64+AY64+AZ64</f>
        <v>0</v>
      </c>
      <c r="BB64" s="37"/>
      <c r="BC64" s="57"/>
      <c r="BD64" s="57"/>
      <c r="BE64" s="37"/>
      <c r="BF64" s="57"/>
    </row>
    <row r="65" spans="1:58" ht="12.95" customHeight="1">
      <c r="A65" s="44"/>
      <c r="B65" s="45"/>
      <c r="C65" s="450"/>
      <c r="D65" s="45"/>
      <c r="E65" s="46"/>
      <c r="F65" s="46"/>
      <c r="G65" s="47"/>
      <c r="H65" s="48"/>
      <c r="I65" s="49"/>
      <c r="J65" s="90"/>
      <c r="K65" s="90"/>
      <c r="L65" s="39"/>
      <c r="M65" s="39"/>
      <c r="N65" s="50"/>
      <c r="O65" s="51"/>
      <c r="P65" s="52"/>
      <c r="Q65" s="51"/>
      <c r="R65" s="420"/>
      <c r="S65" s="420"/>
      <c r="T65" s="41"/>
      <c r="U65" s="41"/>
      <c r="V65" s="41"/>
      <c r="W65" s="41"/>
      <c r="X65" s="42"/>
      <c r="Y65" s="222"/>
      <c r="Z65" s="41"/>
      <c r="AA65" s="41"/>
      <c r="AB65" s="41"/>
      <c r="AC65" s="41"/>
      <c r="AD65" s="41">
        <f>+AM65+BA65</f>
        <v>15</v>
      </c>
      <c r="AE65" s="241" t="s">
        <v>540</v>
      </c>
      <c r="AF65" s="41"/>
      <c r="AG65" s="41"/>
      <c r="AH65" s="41"/>
      <c r="AI65" s="41">
        <v>15</v>
      </c>
      <c r="AJ65" s="41"/>
      <c r="AK65" s="41"/>
      <c r="AL65" s="41"/>
      <c r="AM65" s="41">
        <f>SUM(AF65:AL65)+AT65+AV65+AX65</f>
        <v>15</v>
      </c>
      <c r="AN65" s="41"/>
      <c r="AO65" s="41"/>
      <c r="AP65" s="41"/>
      <c r="AQ65" s="41"/>
      <c r="AR65" s="41">
        <f>SUM(AN65:AQ65)</f>
        <v>0</v>
      </c>
      <c r="AS65" s="41"/>
      <c r="AT65" s="41"/>
      <c r="AU65" s="41"/>
      <c r="AV65" s="41"/>
      <c r="AW65" s="41"/>
      <c r="AX65" s="41"/>
      <c r="AY65" s="41"/>
      <c r="AZ65" s="41"/>
      <c r="BA65" s="41">
        <f>+AR65+AS65+AU65+AW65+AY65+AZ65</f>
        <v>0</v>
      </c>
      <c r="BB65" s="37"/>
      <c r="BC65" s="57"/>
      <c r="BD65" s="57"/>
      <c r="BE65" s="37"/>
      <c r="BF65" s="57"/>
    </row>
    <row r="66" spans="1:58" ht="12.95" customHeight="1">
      <c r="A66" s="44"/>
      <c r="B66" s="45"/>
      <c r="C66" s="450"/>
      <c r="D66" s="45"/>
      <c r="E66" s="46"/>
      <c r="F66" s="46"/>
      <c r="G66" s="47"/>
      <c r="H66" s="48"/>
      <c r="I66" s="49"/>
      <c r="J66" s="90"/>
      <c r="K66" s="90"/>
      <c r="L66" s="39"/>
      <c r="M66" s="39"/>
      <c r="N66" s="50"/>
      <c r="O66" s="51"/>
      <c r="P66" s="52"/>
      <c r="Q66" s="51"/>
      <c r="R66" s="420"/>
      <c r="S66" s="420"/>
      <c r="T66" s="41"/>
      <c r="U66" s="41"/>
      <c r="V66" s="41"/>
      <c r="W66" s="41"/>
      <c r="X66" s="42"/>
      <c r="Y66" s="222"/>
      <c r="Z66" s="41"/>
      <c r="AA66" s="41"/>
      <c r="AB66" s="41"/>
      <c r="AC66" s="41"/>
      <c r="AD66" s="41"/>
      <c r="AE66" s="2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37"/>
      <c r="BC66" s="55"/>
      <c r="BD66" s="55"/>
      <c r="BE66" s="55"/>
      <c r="BF66" s="55"/>
    </row>
    <row r="67" spans="1:58" ht="12.75" customHeight="1">
      <c r="A67" s="346">
        <v>45851</v>
      </c>
      <c r="B67" s="45" t="s">
        <v>607</v>
      </c>
      <c r="C67" s="450">
        <f>(M67*E67*O67*Q67)/100000000</f>
        <v>39.178792799999997</v>
      </c>
      <c r="D67" s="45" t="s">
        <v>608</v>
      </c>
      <c r="E67" s="46">
        <v>10.5</v>
      </c>
      <c r="F67" s="46">
        <v>1</v>
      </c>
      <c r="G67" s="463">
        <v>1730</v>
      </c>
      <c r="H67" s="48">
        <v>0.16</v>
      </c>
      <c r="I67" s="49">
        <v>0.88</v>
      </c>
      <c r="J67" s="90">
        <f>E67*G67*(1-H67)*1440/1000000*2.77</f>
        <v>60.863503679999987</v>
      </c>
      <c r="K67" s="90">
        <f>(IF(G67&lt;L67,L67,G67)*(1-IF(H67&lt;N67,H67,N67))*E67*O67*Q67)/100000000</f>
        <v>42.022184399999993</v>
      </c>
      <c r="L67" s="39">
        <v>1612.9411764705883</v>
      </c>
      <c r="M67" s="39">
        <v>1354.870588235294</v>
      </c>
      <c r="N67" s="50">
        <f>1-(M67/L67)</f>
        <v>0.16000000000000014</v>
      </c>
      <c r="O67" s="51">
        <f>+'Trim Rwd'!H51</f>
        <v>270</v>
      </c>
      <c r="P67" s="52">
        <f>O67*(Q67-R67-S67)</f>
        <v>260550</v>
      </c>
      <c r="Q67" s="51">
        <v>1020</v>
      </c>
      <c r="R67" s="420">
        <v>0</v>
      </c>
      <c r="S67" s="420">
        <v>55</v>
      </c>
      <c r="T67" s="41">
        <f>E67*M67*O67*Q67/100000000</f>
        <v>39.178792799999997</v>
      </c>
      <c r="U67" s="41">
        <f>E67*M67*O67*(Q67-R67-S67)/100000000</f>
        <v>37.066210835294115</v>
      </c>
      <c r="V67" s="41">
        <f>E67*G67*(1-N67)*O67/100*(R67+S67)/1000000</f>
        <v>2.2659020999999995</v>
      </c>
      <c r="W67" s="41">
        <f>+'13'!K15/1000</f>
        <v>22.26</v>
      </c>
      <c r="X67" s="417">
        <f>SUM(W67:W70)/SUM(K67:K70)</f>
        <v>0.60333694021081286</v>
      </c>
      <c r="Y67" s="222">
        <v>0</v>
      </c>
      <c r="Z67" s="41">
        <f>+'13'!D34/1000</f>
        <v>3.012</v>
      </c>
      <c r="AA67" s="53">
        <f>SUM(U67:U70)-SUM(W67:W70)-SUM(Z67:Z70)-SUM(Y67:Y70)</f>
        <v>14.638239635294113</v>
      </c>
      <c r="AB67" s="53">
        <f>(SUM(K67:K70)-SUM(W67:W70)-SUM(Y67:Y70)-SUM(Z67:Z70)-SUM(AC67:AC70)-SUM(V67:V70))-AA67</f>
        <v>-0.17630253529411632</v>
      </c>
      <c r="AC67" s="41">
        <f>K67-T67</f>
        <v>2.8433915999999968</v>
      </c>
      <c r="AD67" s="41">
        <f>+AM67+BA67</f>
        <v>20</v>
      </c>
      <c r="AE67" s="241" t="s">
        <v>504</v>
      </c>
      <c r="AF67" s="41">
        <v>20</v>
      </c>
      <c r="AG67" s="41"/>
      <c r="AH67" s="41"/>
      <c r="AI67" s="459"/>
      <c r="AJ67" s="41"/>
      <c r="AK67" s="41"/>
      <c r="AL67" s="41"/>
      <c r="AM67" s="41">
        <f>SUM(AF67:AL67)+AT67+AV67+AX67</f>
        <v>20</v>
      </c>
      <c r="AN67" s="41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37">
        <v>4</v>
      </c>
      <c r="BC67" s="55"/>
      <c r="BD67" s="55"/>
      <c r="BE67" s="37"/>
      <c r="BF67" s="55"/>
    </row>
    <row r="68" spans="1:58" ht="12.95" customHeight="1">
      <c r="A68" s="346"/>
      <c r="B68" s="45" t="s">
        <v>607</v>
      </c>
      <c r="C68" s="450">
        <f>(M68*E68*O68*Q68)/100000000</f>
        <v>17.696448</v>
      </c>
      <c r="D68" s="45" t="s">
        <v>608</v>
      </c>
      <c r="E68" s="46">
        <v>12</v>
      </c>
      <c r="F68" s="46">
        <v>1</v>
      </c>
      <c r="G68" s="463">
        <v>1700</v>
      </c>
      <c r="H68" s="48">
        <v>0.2</v>
      </c>
      <c r="I68" s="49">
        <v>0.88</v>
      </c>
      <c r="J68" s="90">
        <f>E68*G68*(1-H68)*1440/1000000*2.77</f>
        <v>65.097216000000003</v>
      </c>
      <c r="K68" s="90">
        <f>(IF(G68&lt;L68,L68,G68)*(1-IF(H68&lt;N68,H68,N68))*E68*O68*Q68)/100000000</f>
        <v>18.232703999999998</v>
      </c>
      <c r="L68" s="39">
        <v>1650</v>
      </c>
      <c r="M68" s="39">
        <v>1320</v>
      </c>
      <c r="N68" s="50">
        <f>1-(M68/L68)</f>
        <v>0.19999999999999996</v>
      </c>
      <c r="O68" s="51">
        <f>+'Trim Rwd'!H50</f>
        <v>266</v>
      </c>
      <c r="P68" s="52">
        <f>O68*(Q68-R68-S68)</f>
        <v>106932</v>
      </c>
      <c r="Q68" s="51">
        <v>420</v>
      </c>
      <c r="R68" s="420">
        <v>0</v>
      </c>
      <c r="S68" s="420">
        <v>18</v>
      </c>
      <c r="T68" s="41">
        <f>E68*M68*O68*Q68/100000000</f>
        <v>17.696448</v>
      </c>
      <c r="U68" s="41">
        <f>E68*M68*O68*(Q68-R68-S68)/100000000</f>
        <v>16.938028800000001</v>
      </c>
      <c r="V68" s="41">
        <f>E68*G68*(1-N68)*O68/100*(R68+S68)/1000000</f>
        <v>0.78140160000000003</v>
      </c>
      <c r="W68" s="41">
        <f>+'13'!K13/1000</f>
        <v>14.093999999999999</v>
      </c>
      <c r="X68" s="42"/>
      <c r="Y68" s="222"/>
      <c r="Z68" s="41"/>
      <c r="AA68" s="41"/>
      <c r="AB68" s="41"/>
      <c r="AC68" s="41">
        <f>K68-T68</f>
        <v>0.53625599999999807</v>
      </c>
      <c r="AD68" s="41">
        <f>+AM68+BA68</f>
        <v>18</v>
      </c>
      <c r="AE68" s="241" t="s">
        <v>659</v>
      </c>
      <c r="AF68" s="41"/>
      <c r="AG68" s="41">
        <v>18</v>
      </c>
      <c r="AH68" s="41"/>
      <c r="AI68" s="459"/>
      <c r="AJ68" s="41"/>
      <c r="AK68" s="41"/>
      <c r="AL68" s="41"/>
      <c r="AM68" s="41">
        <f>SUM(AF68:AL68)+AT68+AV68+AX68</f>
        <v>18</v>
      </c>
      <c r="AN68" s="91"/>
      <c r="AO68" s="41"/>
      <c r="AP68" s="41"/>
      <c r="AQ68" s="41"/>
      <c r="AR68" s="41">
        <f>SUM(AN68:AQ68)</f>
        <v>0</v>
      </c>
      <c r="AS68" s="41"/>
      <c r="AT68" s="41"/>
      <c r="AU68" s="41"/>
      <c r="AV68" s="41"/>
      <c r="AW68" s="41"/>
      <c r="AX68" s="41"/>
      <c r="AY68" s="41"/>
      <c r="AZ68" s="41"/>
      <c r="BA68" s="41">
        <f>+AR68+AS68+AU68+AW68+AY68+AZ68</f>
        <v>0</v>
      </c>
      <c r="BB68" s="54"/>
      <c r="BC68" s="55">
        <v>17</v>
      </c>
      <c r="BD68" s="55"/>
      <c r="BE68" s="54"/>
      <c r="BF68" s="55"/>
    </row>
    <row r="69" spans="1:58" ht="12.95" customHeight="1">
      <c r="A69" s="44"/>
      <c r="B69" s="45"/>
      <c r="C69" s="450"/>
      <c r="D69" s="45"/>
      <c r="E69" s="46"/>
      <c r="F69" s="46"/>
      <c r="G69" s="463"/>
      <c r="H69" s="48"/>
      <c r="I69" s="49"/>
      <c r="J69" s="90"/>
      <c r="K69" s="90"/>
      <c r="L69" s="39"/>
      <c r="M69" s="39"/>
      <c r="N69" s="50"/>
      <c r="O69" s="51"/>
      <c r="P69" s="52"/>
      <c r="Q69" s="51"/>
      <c r="R69" s="420"/>
      <c r="S69" s="420"/>
      <c r="T69" s="41"/>
      <c r="U69" s="41"/>
      <c r="V69" s="41"/>
      <c r="W69" s="41"/>
      <c r="X69" s="42"/>
      <c r="Y69" s="222"/>
      <c r="Z69" s="41"/>
      <c r="AA69" s="41"/>
      <c r="AB69" s="41"/>
      <c r="AC69" s="41"/>
      <c r="AD69" s="41">
        <f>+AM69+BA69</f>
        <v>25</v>
      </c>
      <c r="AE69" s="241" t="s">
        <v>460</v>
      </c>
      <c r="AF69" s="37"/>
      <c r="AG69" s="37"/>
      <c r="AH69" s="37">
        <v>25</v>
      </c>
      <c r="AJ69" s="41"/>
      <c r="AK69" s="41"/>
      <c r="AL69" s="41"/>
      <c r="AM69" s="41">
        <f>SUM(AF69:AL69)+AT69+AV69+AX69</f>
        <v>25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/>
      <c r="BC69" s="57"/>
      <c r="BD69" s="57"/>
      <c r="BE69" s="37"/>
      <c r="BF69" s="57"/>
    </row>
    <row r="70" spans="1:58" ht="12.95" customHeight="1">
      <c r="A70" s="44"/>
      <c r="B70" s="45"/>
      <c r="C70" s="450"/>
      <c r="D70" s="45"/>
      <c r="E70" s="46"/>
      <c r="F70" s="46"/>
      <c r="G70" s="47"/>
      <c r="H70" s="48"/>
      <c r="I70" s="49"/>
      <c r="J70" s="90"/>
      <c r="K70" s="90"/>
      <c r="L70" s="39"/>
      <c r="M70" s="39"/>
      <c r="N70" s="50"/>
      <c r="O70" s="51"/>
      <c r="P70" s="52"/>
      <c r="Q70" s="51"/>
      <c r="R70" s="420"/>
      <c r="S70" s="420"/>
      <c r="T70" s="41"/>
      <c r="U70" s="41"/>
      <c r="V70" s="41"/>
      <c r="W70" s="41"/>
      <c r="X70" s="42"/>
      <c r="Y70" s="222"/>
      <c r="Z70" s="41"/>
      <c r="AA70" s="41"/>
      <c r="AB70" s="41"/>
      <c r="AC70" s="41"/>
      <c r="AD70" s="41">
        <f>+AM70+BA70</f>
        <v>10</v>
      </c>
      <c r="AE70" s="241" t="s">
        <v>540</v>
      </c>
      <c r="AF70" s="41"/>
      <c r="AG70" s="41"/>
      <c r="AH70" s="41"/>
      <c r="AI70" s="41">
        <v>10</v>
      </c>
      <c r="AJ70" s="41"/>
      <c r="AK70" s="41"/>
      <c r="AL70" s="41"/>
      <c r="AM70" s="41">
        <f>SUM(AF70:AL70)+AT70+AV70+AX70</f>
        <v>10</v>
      </c>
      <c r="AN70" s="41"/>
      <c r="AO70" s="41"/>
      <c r="AP70" s="41"/>
      <c r="AQ70" s="41"/>
      <c r="AR70" s="41">
        <f>SUM(AN70:AQ70)</f>
        <v>0</v>
      </c>
      <c r="AS70" s="41"/>
      <c r="AT70" s="41"/>
      <c r="AU70" s="41"/>
      <c r="AV70" s="41"/>
      <c r="AW70" s="41"/>
      <c r="AX70" s="41"/>
      <c r="AY70" s="41"/>
      <c r="AZ70" s="41"/>
      <c r="BA70" s="41">
        <f>+AR70+AS70+AU70+AW70+AY70+AZ70</f>
        <v>0</v>
      </c>
      <c r="BB70" s="37"/>
      <c r="BC70" s="57"/>
      <c r="BD70" s="57"/>
      <c r="BE70" s="37"/>
      <c r="BF70" s="57"/>
    </row>
    <row r="71" spans="1:58" ht="12.95" customHeight="1">
      <c r="A71" s="44"/>
      <c r="B71" s="45"/>
      <c r="C71" s="450"/>
      <c r="D71" s="45"/>
      <c r="E71" s="46"/>
      <c r="F71" s="46"/>
      <c r="G71" s="47"/>
      <c r="H71" s="48"/>
      <c r="I71" s="49"/>
      <c r="J71" s="90"/>
      <c r="K71" s="90"/>
      <c r="L71" s="39"/>
      <c r="M71" s="39"/>
      <c r="N71" s="50"/>
      <c r="O71" s="51"/>
      <c r="P71" s="52"/>
      <c r="Q71" s="51"/>
      <c r="R71" s="420"/>
      <c r="S71" s="420"/>
      <c r="T71" s="41"/>
      <c r="U71" s="41"/>
      <c r="V71" s="41"/>
      <c r="W71" s="41"/>
      <c r="X71" s="42"/>
      <c r="Y71" s="222"/>
      <c r="Z71" s="41"/>
      <c r="AA71" s="41"/>
      <c r="AB71" s="41"/>
      <c r="AC71" s="41"/>
      <c r="AD71" s="41"/>
      <c r="AE71" s="2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37"/>
      <c r="BC71" s="55"/>
      <c r="BD71" s="55"/>
      <c r="BE71" s="55"/>
      <c r="BF71" s="55"/>
    </row>
    <row r="72" spans="1:58" ht="12.75" customHeight="1">
      <c r="A72" s="346">
        <v>45852</v>
      </c>
      <c r="B72" s="45" t="s">
        <v>607</v>
      </c>
      <c r="C72" s="450">
        <f>(M72*E72*O72*Q72)/100000000</f>
        <v>55.739577599999997</v>
      </c>
      <c r="D72" s="45" t="s">
        <v>608</v>
      </c>
      <c r="E72" s="46">
        <v>10.5</v>
      </c>
      <c r="F72" s="46">
        <v>1</v>
      </c>
      <c r="G72" s="463">
        <v>1730</v>
      </c>
      <c r="H72" s="48">
        <v>0.16</v>
      </c>
      <c r="I72" s="49">
        <v>0.88</v>
      </c>
      <c r="J72" s="90">
        <f>E72*G72*(1-H72)*1440/1000000*2.77</f>
        <v>60.863503679999987</v>
      </c>
      <c r="K72" s="90">
        <f>(IF(G72&lt;L72,L72,G72)*(1-IF(H72&lt;N72,H72,N72))*E72*O72*Q72)/100000000</f>
        <v>59.050501682792415</v>
      </c>
      <c r="L72" s="39">
        <v>1633</v>
      </c>
      <c r="M72" s="39">
        <v>1372</v>
      </c>
      <c r="N72" s="50">
        <f>1-(M72/L72)</f>
        <v>0.15982853643600736</v>
      </c>
      <c r="O72" s="51">
        <f>+'Trim Rwd'!H53</f>
        <v>268.69387755102042</v>
      </c>
      <c r="P72" s="52">
        <f>O72*(Q72-R72-S72)</f>
        <v>295025.87755102041</v>
      </c>
      <c r="Q72" s="51">
        <v>1440</v>
      </c>
      <c r="R72" s="420">
        <v>0</v>
      </c>
      <c r="S72" s="420">
        <v>342</v>
      </c>
      <c r="T72" s="41">
        <f>E72*M72*O72*Q72/100000000</f>
        <v>55.739577599999997</v>
      </c>
      <c r="U72" s="41">
        <f>E72*M72*O72*(Q72-R72-S72)/100000000</f>
        <v>42.501427919999998</v>
      </c>
      <c r="V72" s="41">
        <f>E72*G72*(1-N72)*O72/100*(R72+S72)/1000000</f>
        <v>14.024494149663196</v>
      </c>
      <c r="W72" s="41">
        <f>+'14'!K34/1000</f>
        <v>45.256999999999998</v>
      </c>
      <c r="X72" s="417">
        <f>SUM(W72:W75)/SUM(K72:K75)</f>
        <v>0.76641177822860218</v>
      </c>
      <c r="Y72" s="222">
        <v>0</v>
      </c>
      <c r="Z72" s="41">
        <f>+'14'!D34/1000</f>
        <v>1.3160000000000001</v>
      </c>
      <c r="AA72" s="53">
        <f>SUM(U72:U75)-SUM(W72:W75)-SUM(Z72:Z75)-SUM(Y72:Y75)</f>
        <v>-4.0715720800000001</v>
      </c>
      <c r="AB72" s="53">
        <f>(SUM(K72:K75)-SUM(W72:W75)-SUM(Y72:Y75)-SUM(Z72:Z75)-SUM(AC72:AC75)-SUM(V72:V75))-AA72</f>
        <v>-0.78634446966319782</v>
      </c>
      <c r="AC72" s="41">
        <f>K72-T72</f>
        <v>3.3109240827924182</v>
      </c>
      <c r="AD72" s="41">
        <f>+AM72+BA72</f>
        <v>120</v>
      </c>
      <c r="AE72" s="241" t="s">
        <v>676</v>
      </c>
      <c r="AF72" s="41">
        <v>120</v>
      </c>
      <c r="AG72" s="41"/>
      <c r="AH72" s="41"/>
      <c r="AI72" s="459"/>
      <c r="AJ72" s="41"/>
      <c r="AK72" s="41"/>
      <c r="AL72" s="41"/>
      <c r="AM72" s="41">
        <f>SUM(AF72:AL72)+AT72+AV72+AX72</f>
        <v>120</v>
      </c>
      <c r="AN72" s="41"/>
      <c r="AO72" s="41"/>
      <c r="AP72" s="41"/>
      <c r="AQ72" s="41"/>
      <c r="AR72" s="41">
        <f>SUM(AN72:AQ72)</f>
        <v>0</v>
      </c>
      <c r="AS72" s="41"/>
      <c r="AT72" s="41"/>
      <c r="AU72" s="41"/>
      <c r="AV72" s="41"/>
      <c r="AW72" s="41"/>
      <c r="AX72" s="41"/>
      <c r="AY72" s="41"/>
      <c r="AZ72" s="41"/>
      <c r="BA72" s="41">
        <f>+AR72+AS72+AU72+AW72+AY72+AZ72</f>
        <v>0</v>
      </c>
      <c r="BB72" s="37">
        <v>24</v>
      </c>
      <c r="BC72" s="55"/>
      <c r="BD72" s="55"/>
      <c r="BE72" s="37"/>
      <c r="BF72" s="55"/>
    </row>
    <row r="73" spans="1:58" ht="12.95" customHeight="1">
      <c r="A73" s="346"/>
      <c r="B73" s="45"/>
      <c r="C73" s="450"/>
      <c r="D73" s="45"/>
      <c r="E73" s="46"/>
      <c r="F73" s="46"/>
      <c r="G73" s="463"/>
      <c r="H73" s="48"/>
      <c r="I73" s="49"/>
      <c r="J73" s="90"/>
      <c r="K73" s="90"/>
      <c r="L73" s="39"/>
      <c r="M73" s="39"/>
      <c r="N73" s="50"/>
      <c r="O73" s="51"/>
      <c r="P73" s="52"/>
      <c r="Q73" s="51"/>
      <c r="R73" s="420"/>
      <c r="S73" s="420"/>
      <c r="T73" s="41"/>
      <c r="U73" s="41"/>
      <c r="V73" s="41"/>
      <c r="W73" s="41"/>
      <c r="X73" s="42"/>
      <c r="Y73" s="222"/>
      <c r="Z73" s="41"/>
      <c r="AA73" s="41"/>
      <c r="AB73" s="41"/>
      <c r="AC73" s="41"/>
      <c r="AD73" s="41">
        <f>+AM73+BA73</f>
        <v>12</v>
      </c>
      <c r="AE73" s="241" t="s">
        <v>677</v>
      </c>
      <c r="AF73" s="41"/>
      <c r="AG73" s="41">
        <v>12</v>
      </c>
      <c r="AH73" s="41"/>
      <c r="AI73" s="459"/>
      <c r="AJ73" s="41"/>
      <c r="AK73" s="41"/>
      <c r="AL73" s="41"/>
      <c r="AM73" s="41">
        <f>SUM(AF73:AL73)+AT73+AV73+AX73</f>
        <v>12</v>
      </c>
      <c r="AN73" s="91"/>
      <c r="AO73" s="41"/>
      <c r="AP73" s="41"/>
      <c r="AQ73" s="41"/>
      <c r="AR73" s="41">
        <f>SUM(AN73:AQ73)</f>
        <v>0</v>
      </c>
      <c r="AS73" s="41"/>
      <c r="AT73" s="41"/>
      <c r="AU73" s="41"/>
      <c r="AV73" s="41"/>
      <c r="AW73" s="41"/>
      <c r="AX73" s="41"/>
      <c r="AY73" s="41"/>
      <c r="AZ73" s="41"/>
      <c r="BA73" s="41">
        <f>+AR73+AS73+AU73+AW73+AY73+AZ73</f>
        <v>0</v>
      </c>
      <c r="BB73" s="54"/>
      <c r="BC73" s="55">
        <v>13</v>
      </c>
      <c r="BD73" s="55"/>
      <c r="BE73" s="54"/>
      <c r="BF73" s="55"/>
    </row>
    <row r="74" spans="1:58" ht="12.95" customHeight="1">
      <c r="A74" s="44"/>
      <c r="B74" s="45"/>
      <c r="C74" s="450"/>
      <c r="D74" s="45"/>
      <c r="E74" s="46"/>
      <c r="F74" s="46"/>
      <c r="G74" s="463"/>
      <c r="H74" s="48"/>
      <c r="I74" s="49"/>
      <c r="J74" s="90"/>
      <c r="K74" s="90"/>
      <c r="L74" s="39"/>
      <c r="M74" s="39"/>
      <c r="N74" s="50"/>
      <c r="O74" s="51"/>
      <c r="P74" s="52"/>
      <c r="Q74" s="51"/>
      <c r="R74" s="420"/>
      <c r="S74" s="420"/>
      <c r="T74" s="41"/>
      <c r="U74" s="41"/>
      <c r="V74" s="41"/>
      <c r="W74" s="41"/>
      <c r="X74" s="42"/>
      <c r="Y74" s="222"/>
      <c r="Z74" s="41"/>
      <c r="AA74" s="41"/>
      <c r="AB74" s="41"/>
      <c r="AC74" s="41"/>
      <c r="AD74" s="41">
        <f>+AM74+BA74</f>
        <v>30</v>
      </c>
      <c r="AE74" s="241" t="s">
        <v>678</v>
      </c>
      <c r="AF74" s="37"/>
      <c r="AG74" s="37"/>
      <c r="AH74" s="37">
        <v>30</v>
      </c>
      <c r="AJ74" s="41"/>
      <c r="AK74" s="41"/>
      <c r="AL74" s="41"/>
      <c r="AM74" s="41">
        <f>SUM(AF74:AL74)+AT74+AV74+AX74</f>
        <v>30</v>
      </c>
      <c r="AN74" s="41"/>
      <c r="AO74" s="41"/>
      <c r="AP74" s="41"/>
      <c r="AQ74" s="41"/>
      <c r="AR74" s="41">
        <f>SUM(AN74:AQ74)</f>
        <v>0</v>
      </c>
      <c r="AS74" s="41"/>
      <c r="AT74" s="41"/>
      <c r="AU74" s="41"/>
      <c r="AV74" s="41"/>
      <c r="AW74" s="41"/>
      <c r="AX74" s="41"/>
      <c r="AY74" s="41"/>
      <c r="AZ74" s="41"/>
      <c r="BA74" s="41">
        <f>+AR74+AS74+AU74+AW74+AY74+AZ74</f>
        <v>0</v>
      </c>
      <c r="BB74" s="37"/>
      <c r="BC74" s="57"/>
      <c r="BD74" s="57"/>
      <c r="BE74" s="37"/>
      <c r="BF74" s="57"/>
    </row>
    <row r="75" spans="1:58" ht="12.95" customHeight="1">
      <c r="A75" s="44"/>
      <c r="B75" s="45"/>
      <c r="C75" s="450"/>
      <c r="D75" s="45"/>
      <c r="E75" s="46"/>
      <c r="F75" s="46"/>
      <c r="G75" s="47"/>
      <c r="H75" s="48"/>
      <c r="I75" s="49"/>
      <c r="J75" s="90"/>
      <c r="K75" s="90"/>
      <c r="L75" s="39"/>
      <c r="M75" s="39"/>
      <c r="N75" s="50"/>
      <c r="O75" s="51"/>
      <c r="P75" s="52"/>
      <c r="Q75" s="51"/>
      <c r="R75" s="420"/>
      <c r="S75" s="420"/>
      <c r="T75" s="41"/>
      <c r="U75" s="41"/>
      <c r="V75" s="41"/>
      <c r="W75" s="41"/>
      <c r="X75" s="42"/>
      <c r="Y75" s="222"/>
      <c r="Z75" s="41"/>
      <c r="AA75" s="41"/>
      <c r="AB75" s="41"/>
      <c r="AC75" s="41"/>
      <c r="AD75" s="41">
        <f>+AM75+BA75</f>
        <v>180</v>
      </c>
      <c r="AE75" s="244" t="s">
        <v>667</v>
      </c>
      <c r="AF75" s="41"/>
      <c r="AG75" s="41"/>
      <c r="AH75" s="41"/>
      <c r="AI75" s="41"/>
      <c r="AJ75" s="41"/>
      <c r="AK75" s="41">
        <v>180</v>
      </c>
      <c r="AL75" s="41"/>
      <c r="AM75" s="41">
        <f>SUM(AF75:AL75)+AT75+AV75+AX75</f>
        <v>180</v>
      </c>
      <c r="AN75" s="41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37"/>
      <c r="BC75" s="57"/>
      <c r="BD75" s="57"/>
      <c r="BE75" s="37"/>
      <c r="BF75" s="57">
        <v>1</v>
      </c>
    </row>
    <row r="76" spans="1:58" ht="12.95" customHeight="1">
      <c r="A76" s="346"/>
      <c r="B76" s="45"/>
      <c r="C76" s="450"/>
      <c r="D76" s="45"/>
      <c r="E76" s="46"/>
      <c r="F76" s="46"/>
      <c r="G76" s="463"/>
      <c r="H76" s="48"/>
      <c r="I76" s="49"/>
      <c r="J76" s="90"/>
      <c r="K76" s="90"/>
      <c r="L76" s="39"/>
      <c r="M76" s="39"/>
      <c r="N76" s="50"/>
      <c r="O76" s="51"/>
      <c r="P76" s="52"/>
      <c r="Q76" s="51"/>
      <c r="R76" s="420"/>
      <c r="S76" s="420"/>
      <c r="T76" s="41"/>
      <c r="U76" s="41"/>
      <c r="V76" s="41"/>
      <c r="W76" s="41"/>
      <c r="X76" s="417"/>
      <c r="Y76" s="222"/>
      <c r="Z76" s="41"/>
      <c r="AA76" s="53"/>
      <c r="AB76" s="53"/>
      <c r="AC76" s="41"/>
      <c r="AD76" s="41"/>
      <c r="AE76" s="241"/>
      <c r="AF76" s="41"/>
      <c r="AG76" s="41"/>
      <c r="AH76" s="41"/>
      <c r="AI76" s="459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37"/>
      <c r="BC76" s="55"/>
      <c r="BD76" s="55"/>
      <c r="BE76" s="55"/>
      <c r="BF76" s="55"/>
    </row>
    <row r="77" spans="1:58" ht="12.75" customHeight="1">
      <c r="A77" s="346">
        <v>45853</v>
      </c>
      <c r="B77" s="45" t="s">
        <v>607</v>
      </c>
      <c r="C77" s="450">
        <f>(M77*E77*O77*Q77)/100000000</f>
        <v>56.017700015094348</v>
      </c>
      <c r="D77" s="45" t="s">
        <v>608</v>
      </c>
      <c r="E77" s="46">
        <v>10.5</v>
      </c>
      <c r="F77" s="46">
        <v>1</v>
      </c>
      <c r="G77" s="463">
        <v>1730</v>
      </c>
      <c r="H77" s="48">
        <v>0.16</v>
      </c>
      <c r="I77" s="49">
        <v>0.88</v>
      </c>
      <c r="J77" s="90">
        <f>E77*G77*(1-H77)*1440/1000000*2.77</f>
        <v>60.863503679999987</v>
      </c>
      <c r="K77" s="90">
        <f>(IF(G77&lt;L77,L77,G77)*(1-IF(H77&lt;N77,H77,N77))*E77*O77*Q77)/100000000</f>
        <v>58.876440477590045</v>
      </c>
      <c r="L77" s="39">
        <v>1646</v>
      </c>
      <c r="M77" s="39">
        <v>1383</v>
      </c>
      <c r="N77" s="50">
        <f>1-(M77/L77)</f>
        <v>0.15978128797083835</v>
      </c>
      <c r="O77" s="51">
        <f>+'Trim Rwd'!H56</f>
        <v>267.88679245283021</v>
      </c>
      <c r="P77" s="52">
        <f>O77*(Q77-R77-S77)</f>
        <v>358700.41509433964</v>
      </c>
      <c r="Q77" s="51">
        <v>1440</v>
      </c>
      <c r="R77" s="420">
        <v>0</v>
      </c>
      <c r="S77" s="420">
        <v>101</v>
      </c>
      <c r="T77" s="41">
        <f>E77*M77*O77*Q77/100000000</f>
        <v>56.017700015094348</v>
      </c>
      <c r="U77" s="41">
        <f>E77*M77*O77*(Q77-R77-S77)/100000000</f>
        <v>52.088680777924537</v>
      </c>
      <c r="V77" s="41">
        <f>E77*G77*(1-N77)*O77/100*(R77+S77)/1000000</f>
        <v>4.1295281168309685</v>
      </c>
      <c r="W77" s="41">
        <f>+'15'!K34/1000</f>
        <v>50.311</v>
      </c>
      <c r="X77" s="417">
        <f>SUM(W77:W80)/SUM(K77:K80)</f>
        <v>0.85451837087790183</v>
      </c>
      <c r="Y77" s="222">
        <v>0</v>
      </c>
      <c r="Z77" s="41">
        <f>+'15'!D34/1000</f>
        <v>1.7110000000000001</v>
      </c>
      <c r="AA77" s="53">
        <f>SUM(U77:U80)-SUM(W77:W80)-SUM(Z77:Z80)-SUM(Y77:Y80)</f>
        <v>6.6680777924537304E-2</v>
      </c>
      <c r="AB77" s="53">
        <f>(SUM(K77:K80)-SUM(W77:W80)-SUM(Y77:Y80)-SUM(Z77:Z80)-SUM(AC77:AC80)-SUM(V77:V80))-AA77</f>
        <v>-0.2005088796611576</v>
      </c>
      <c r="AC77" s="41">
        <f>K77-T77</f>
        <v>2.858740462495696</v>
      </c>
      <c r="AD77" s="41">
        <f>+AM77+BA77</f>
        <v>40</v>
      </c>
      <c r="AE77" s="241" t="s">
        <v>688</v>
      </c>
      <c r="AF77" s="41">
        <v>40</v>
      </c>
      <c r="AG77" s="41"/>
      <c r="AH77" s="41"/>
      <c r="AI77" s="459"/>
      <c r="AJ77" s="41"/>
      <c r="AK77" s="41"/>
      <c r="AL77" s="41"/>
      <c r="AM77" s="41">
        <f>SUM(AF77:AL77)+AT77+AV77+AX77</f>
        <v>40</v>
      </c>
      <c r="AN77" s="41"/>
      <c r="AO77" s="41"/>
      <c r="AP77" s="41"/>
      <c r="AQ77" s="41"/>
      <c r="AR77" s="41">
        <f>SUM(AN77:AQ77)</f>
        <v>0</v>
      </c>
      <c r="AS77" s="41"/>
      <c r="AT77" s="41"/>
      <c r="AU77" s="41"/>
      <c r="AV77" s="41"/>
      <c r="AW77" s="41"/>
      <c r="AX77" s="41"/>
      <c r="AY77" s="41"/>
      <c r="AZ77" s="41"/>
      <c r="BA77" s="41">
        <f>+AR77+AS77+AU77+AW77+AY77+AZ77</f>
        <v>0</v>
      </c>
      <c r="BB77" s="37">
        <v>8</v>
      </c>
      <c r="BC77" s="55"/>
      <c r="BD77" s="55"/>
      <c r="BE77" s="37"/>
      <c r="BF77" s="55"/>
    </row>
    <row r="78" spans="1:58" ht="12.95" customHeight="1">
      <c r="A78" s="346"/>
      <c r="B78" s="45"/>
      <c r="C78" s="450"/>
      <c r="D78" s="45"/>
      <c r="E78" s="46"/>
      <c r="F78" s="46"/>
      <c r="G78" s="463"/>
      <c r="H78" s="48"/>
      <c r="I78" s="49"/>
      <c r="J78" s="90"/>
      <c r="K78" s="90"/>
      <c r="L78" s="39"/>
      <c r="M78" s="39"/>
      <c r="N78" s="50"/>
      <c r="O78" s="51"/>
      <c r="P78" s="52"/>
      <c r="Q78" s="51"/>
      <c r="R78" s="420"/>
      <c r="S78" s="420"/>
      <c r="T78" s="41"/>
      <c r="U78" s="41"/>
      <c r="V78" s="41"/>
      <c r="W78" s="41"/>
      <c r="X78" s="42"/>
      <c r="Y78" s="222"/>
      <c r="Z78" s="41"/>
      <c r="AA78" s="41"/>
      <c r="AB78" s="41"/>
      <c r="AC78" s="41"/>
      <c r="AD78" s="41">
        <f>+AM78+BA78</f>
        <v>21</v>
      </c>
      <c r="AE78" s="241" t="s">
        <v>689</v>
      </c>
      <c r="AF78" s="41"/>
      <c r="AG78" s="41">
        <v>21</v>
      </c>
      <c r="AH78" s="41"/>
      <c r="AI78" s="459"/>
      <c r="AJ78" s="41"/>
      <c r="AK78" s="41"/>
      <c r="AL78" s="41"/>
      <c r="AM78" s="41">
        <f>SUM(AF78:AL78)+AT78+AV78+AX78</f>
        <v>21</v>
      </c>
      <c r="AN78" s="91"/>
      <c r="AO78" s="41"/>
      <c r="AP78" s="41"/>
      <c r="AQ78" s="41"/>
      <c r="AR78" s="41">
        <f>SUM(AN78:AQ78)</f>
        <v>0</v>
      </c>
      <c r="AS78" s="41"/>
      <c r="AT78" s="41"/>
      <c r="AU78" s="41"/>
      <c r="AV78" s="41"/>
      <c r="AW78" s="41"/>
      <c r="AX78" s="41"/>
      <c r="AY78" s="41"/>
      <c r="AZ78" s="41"/>
      <c r="BA78" s="41">
        <f>+AR78+AS78+AU78+AW78+AY78+AZ78</f>
        <v>0</v>
      </c>
      <c r="BB78" s="54"/>
      <c r="BC78" s="55">
        <v>14</v>
      </c>
      <c r="BD78" s="55"/>
      <c r="BE78" s="54"/>
      <c r="BF78" s="55"/>
    </row>
    <row r="79" spans="1:58" ht="12.95" customHeight="1">
      <c r="A79" s="44"/>
      <c r="B79" s="45"/>
      <c r="C79" s="450"/>
      <c r="D79" s="45"/>
      <c r="E79" s="46"/>
      <c r="F79" s="46"/>
      <c r="G79" s="463"/>
      <c r="H79" s="48"/>
      <c r="I79" s="49"/>
      <c r="J79" s="90"/>
      <c r="K79" s="90"/>
      <c r="L79" s="39"/>
      <c r="M79" s="39"/>
      <c r="N79" s="50"/>
      <c r="O79" s="51"/>
      <c r="P79" s="52"/>
      <c r="Q79" s="51"/>
      <c r="R79" s="420"/>
      <c r="S79" s="420"/>
      <c r="T79" s="41"/>
      <c r="U79" s="41"/>
      <c r="V79" s="41"/>
      <c r="W79" s="41"/>
      <c r="X79" s="42"/>
      <c r="Y79" s="222"/>
      <c r="Z79" s="41"/>
      <c r="AA79" s="41"/>
      <c r="AB79" s="41"/>
      <c r="AC79" s="41"/>
      <c r="AD79" s="41">
        <f>+AM79+BA79</f>
        <v>30</v>
      </c>
      <c r="AE79" s="241" t="s">
        <v>516</v>
      </c>
      <c r="AF79" s="37"/>
      <c r="AG79" s="37"/>
      <c r="AH79" s="37">
        <v>30</v>
      </c>
      <c r="AJ79" s="41"/>
      <c r="AK79" s="41"/>
      <c r="AL79" s="41"/>
      <c r="AM79" s="41">
        <f>SUM(AF79:AL79)+AT79+AV79+AX79</f>
        <v>30</v>
      </c>
      <c r="AN79" s="41"/>
      <c r="AO79" s="41"/>
      <c r="AP79" s="41"/>
      <c r="AQ79" s="41"/>
      <c r="AR79" s="41">
        <f>SUM(AN79:AQ79)</f>
        <v>0</v>
      </c>
      <c r="AS79" s="41"/>
      <c r="AT79" s="41"/>
      <c r="AU79" s="41"/>
      <c r="AV79" s="41"/>
      <c r="AW79" s="41"/>
      <c r="AX79" s="41"/>
      <c r="AY79" s="41"/>
      <c r="AZ79" s="41"/>
      <c r="BA79" s="41">
        <f>+AR79+AS79+AU79+AW79+AY79+AZ79</f>
        <v>0</v>
      </c>
      <c r="BB79" s="37"/>
      <c r="BC79" s="57"/>
      <c r="BD79" s="57"/>
      <c r="BE79" s="37"/>
      <c r="BF79" s="57"/>
    </row>
    <row r="80" spans="1:58" ht="12.95" customHeight="1">
      <c r="A80" s="44"/>
      <c r="B80" s="45"/>
      <c r="C80" s="450"/>
      <c r="D80" s="45"/>
      <c r="E80" s="46"/>
      <c r="F80" s="46"/>
      <c r="G80" s="47"/>
      <c r="H80" s="48"/>
      <c r="I80" s="49"/>
      <c r="J80" s="90"/>
      <c r="K80" s="90"/>
      <c r="L80" s="39"/>
      <c r="M80" s="39"/>
      <c r="N80" s="50"/>
      <c r="O80" s="51"/>
      <c r="P80" s="52"/>
      <c r="Q80" s="51"/>
      <c r="R80" s="420"/>
      <c r="S80" s="420"/>
      <c r="T80" s="41"/>
      <c r="U80" s="41"/>
      <c r="V80" s="41"/>
      <c r="W80" s="41"/>
      <c r="X80" s="42"/>
      <c r="Y80" s="222"/>
      <c r="Z80" s="41"/>
      <c r="AA80" s="41"/>
      <c r="AB80" s="41"/>
      <c r="AC80" s="41"/>
      <c r="AD80" s="41">
        <f>+AM80+BA80</f>
        <v>10</v>
      </c>
      <c r="AE80" s="244" t="s">
        <v>691</v>
      </c>
      <c r="AF80" s="41"/>
      <c r="AG80" s="41"/>
      <c r="AH80" s="41"/>
      <c r="AI80" s="41"/>
      <c r="AJ80" s="41"/>
      <c r="AK80" s="41">
        <v>10</v>
      </c>
      <c r="AL80" s="41"/>
      <c r="AM80" s="41">
        <f>SUM(AF80:AL80)+AT80+AV80+AX80</f>
        <v>10</v>
      </c>
      <c r="AN80" s="41"/>
      <c r="AO80" s="41"/>
      <c r="AP80" s="41"/>
      <c r="AQ80" s="41"/>
      <c r="AR80" s="41">
        <f>SUM(AN80:AQ80)</f>
        <v>0</v>
      </c>
      <c r="AS80" s="41"/>
      <c r="AT80" s="41"/>
      <c r="AU80" s="41"/>
      <c r="AV80" s="41"/>
      <c r="AW80" s="41"/>
      <c r="AX80" s="41"/>
      <c r="AY80" s="41"/>
      <c r="AZ80" s="41"/>
      <c r="BA80" s="41">
        <f>+AR80+AS80+AU80+AW80+AY80+AZ80</f>
        <v>0</v>
      </c>
      <c r="BB80" s="37"/>
      <c r="BC80" s="57"/>
      <c r="BD80" s="57"/>
      <c r="BE80" s="37"/>
      <c r="BF80" s="57">
        <v>1</v>
      </c>
    </row>
    <row r="81" spans="1:58" ht="12.95" customHeight="1">
      <c r="A81" s="346"/>
      <c r="B81" s="45"/>
      <c r="C81" s="450"/>
      <c r="D81" s="45"/>
      <c r="E81" s="46"/>
      <c r="F81" s="46"/>
      <c r="G81" s="463"/>
      <c r="H81" s="48"/>
      <c r="I81" s="49"/>
      <c r="J81" s="90"/>
      <c r="K81" s="90"/>
      <c r="L81" s="39"/>
      <c r="M81" s="39"/>
      <c r="N81" s="50"/>
      <c r="O81" s="51"/>
      <c r="P81" s="52"/>
      <c r="Q81" s="51"/>
      <c r="R81" s="420"/>
      <c r="S81" s="420"/>
      <c r="T81" s="41"/>
      <c r="U81" s="41"/>
      <c r="V81" s="41"/>
      <c r="W81" s="41"/>
      <c r="X81" s="417"/>
      <c r="Y81" s="222"/>
      <c r="Z81" s="41"/>
      <c r="AA81" s="53"/>
      <c r="AB81" s="53"/>
      <c r="AC81" s="41"/>
      <c r="AD81" s="41"/>
      <c r="AE81" s="241"/>
      <c r="AF81" s="41"/>
      <c r="AG81" s="41"/>
      <c r="AH81" s="41"/>
      <c r="AI81" s="459"/>
      <c r="AJ81" s="41"/>
      <c r="AK81" s="41"/>
      <c r="AL81" s="41"/>
      <c r="AM81" s="41"/>
      <c r="AN81" s="9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54"/>
      <c r="BC81" s="55"/>
      <c r="BD81" s="55"/>
      <c r="BE81" s="55"/>
      <c r="BF81" s="55"/>
    </row>
    <row r="82" spans="1:58" ht="12.75" customHeight="1">
      <c r="A82" s="346">
        <v>45854</v>
      </c>
      <c r="B82" s="45" t="s">
        <v>607</v>
      </c>
      <c r="C82" s="450">
        <f>(M82*E82*O82*Q82)/100000000</f>
        <v>55.585492677818181</v>
      </c>
      <c r="D82" s="45" t="s">
        <v>608</v>
      </c>
      <c r="E82" s="46">
        <v>10.3</v>
      </c>
      <c r="F82" s="46">
        <v>1</v>
      </c>
      <c r="G82" s="463">
        <v>1730</v>
      </c>
      <c r="H82" s="48">
        <v>0.16</v>
      </c>
      <c r="I82" s="49">
        <v>0.88</v>
      </c>
      <c r="J82" s="90">
        <f>E82*G82*(1-H82)*1440/1000000*2.77</f>
        <v>59.704198847999997</v>
      </c>
      <c r="K82" s="90">
        <f>(IF(G82&lt;L82,L82,G82)*(1-IF(H82&lt;N82,H82,N82))*E82*O82*Q82)/100000000</f>
        <v>57.615433637236364</v>
      </c>
      <c r="L82" s="39">
        <v>1670</v>
      </c>
      <c r="M82" s="39">
        <v>1402</v>
      </c>
      <c r="N82" s="50">
        <f>1-(M82/L82)</f>
        <v>0.16047904191616769</v>
      </c>
      <c r="O82" s="51">
        <f>+'Trim Rwd'!H59</f>
        <v>267.30909090909091</v>
      </c>
      <c r="P82" s="52">
        <f>O82*(Q82-R82-S82)</f>
        <v>369153.85454545455</v>
      </c>
      <c r="Q82" s="51">
        <v>1440</v>
      </c>
      <c r="R82" s="420">
        <v>0</v>
      </c>
      <c r="S82" s="420">
        <v>59</v>
      </c>
      <c r="T82" s="41">
        <f>E82*M82*O82*Q82/100000000</f>
        <v>55.585492677818181</v>
      </c>
      <c r="U82" s="41">
        <f>E82*M82*O82*(Q82-R82-S82)/100000000</f>
        <v>53.30803151949091</v>
      </c>
      <c r="V82" s="41">
        <f>E82*G82*(1-N82)*O82/100*(R82+S82)/1000000</f>
        <v>2.3592861101234619</v>
      </c>
      <c r="W82" s="41">
        <f>+'16'!K34/1000</f>
        <v>53.802999999999997</v>
      </c>
      <c r="X82" s="417">
        <f>SUM(W82:W85)/SUM(K82:K85)</f>
        <v>0.93382964604170882</v>
      </c>
      <c r="Y82" s="222">
        <v>0</v>
      </c>
      <c r="Z82" s="41">
        <f>+'16'!D34/1000</f>
        <v>0.97299999999999998</v>
      </c>
      <c r="AA82" s="53">
        <f>SUM(U82:U85)-SUM(W82:W85)-SUM(Z82:Z85)-SUM(Y82:Y85)</f>
        <v>-1.4679684805090867</v>
      </c>
      <c r="AB82" s="53">
        <f>(SUM(K82:K85)-SUM(W82:W85)-SUM(Y82:Y85)-SUM(Z82:Z85)-SUM(AC82:AC85)-SUM(V82:V85))-AA82</f>
        <v>-8.1824951796191758E-2</v>
      </c>
      <c r="AC82" s="41">
        <f>K82-T82</f>
        <v>2.0299409594181839</v>
      </c>
      <c r="AD82" s="41">
        <f>+AM82+BA82</f>
        <v>20</v>
      </c>
      <c r="AE82" s="241" t="s">
        <v>504</v>
      </c>
      <c r="AF82" s="41">
        <v>20</v>
      </c>
      <c r="AG82" s="41"/>
      <c r="AH82" s="41"/>
      <c r="AI82" s="459"/>
      <c r="AJ82" s="41"/>
      <c r="AK82" s="41"/>
      <c r="AL82" s="41"/>
      <c r="AM82" s="41">
        <f>SUM(AF82:AL82)+AT82+AV82+AX82</f>
        <v>20</v>
      </c>
      <c r="AN82" s="41"/>
      <c r="AO82" s="41"/>
      <c r="AP82" s="41"/>
      <c r="AQ82" s="41"/>
      <c r="AR82" s="41">
        <f>SUM(AN82:AQ82)</f>
        <v>0</v>
      </c>
      <c r="AS82" s="41"/>
      <c r="AT82" s="41"/>
      <c r="AU82" s="41"/>
      <c r="AV82" s="41"/>
      <c r="AW82" s="41"/>
      <c r="AX82" s="41"/>
      <c r="AY82" s="41"/>
      <c r="AZ82" s="41"/>
      <c r="BA82" s="41">
        <f>+AR82+AS82+AU82+AW82+AY82+AZ82</f>
        <v>0</v>
      </c>
      <c r="BB82" s="37">
        <v>4</v>
      </c>
      <c r="BC82" s="55"/>
      <c r="BD82" s="55"/>
      <c r="BE82" s="37"/>
      <c r="BF82" s="55"/>
    </row>
    <row r="83" spans="1:58" ht="12.95" customHeight="1">
      <c r="A83" s="346"/>
      <c r="B83" s="45"/>
      <c r="C83" s="450"/>
      <c r="D83" s="45"/>
      <c r="E83" s="46"/>
      <c r="F83" s="46"/>
      <c r="G83" s="463"/>
      <c r="H83" s="48"/>
      <c r="I83" s="49"/>
      <c r="J83" s="90"/>
      <c r="K83" s="90"/>
      <c r="L83" s="39"/>
      <c r="M83" s="39"/>
      <c r="N83" s="50"/>
      <c r="O83" s="51"/>
      <c r="P83" s="52"/>
      <c r="Q83" s="51"/>
      <c r="R83" s="420"/>
      <c r="S83" s="420"/>
      <c r="T83" s="41"/>
      <c r="U83" s="41"/>
      <c r="V83" s="41"/>
      <c r="W83" s="41"/>
      <c r="X83" s="42"/>
      <c r="Y83" s="222"/>
      <c r="Z83" s="41"/>
      <c r="AA83" s="41"/>
      <c r="AB83" s="41"/>
      <c r="AC83" s="41"/>
      <c r="AD83" s="41">
        <f>+AM83+BA83</f>
        <v>14</v>
      </c>
      <c r="AE83" s="241" t="s">
        <v>677</v>
      </c>
      <c r="AF83" s="41"/>
      <c r="AG83" s="41">
        <v>14</v>
      </c>
      <c r="AH83" s="41"/>
      <c r="AI83" s="459"/>
      <c r="AJ83" s="41"/>
      <c r="AK83" s="41"/>
      <c r="AL83" s="41"/>
      <c r="AM83" s="41">
        <f>SUM(AF83:AL83)+AT83+AV83+AX83</f>
        <v>14</v>
      </c>
      <c r="AN83" s="91"/>
      <c r="AO83" s="41"/>
      <c r="AP83" s="41"/>
      <c r="AQ83" s="41"/>
      <c r="AR83" s="41">
        <f>SUM(AN83:AQ83)</f>
        <v>0</v>
      </c>
      <c r="AS83" s="41"/>
      <c r="AT83" s="41"/>
      <c r="AU83" s="41"/>
      <c r="AV83" s="41"/>
      <c r="AW83" s="41"/>
      <c r="AX83" s="41"/>
      <c r="AY83" s="41"/>
      <c r="AZ83" s="41"/>
      <c r="BA83" s="41">
        <f>+AR83+AS83+AU83+AW83+AY83+AZ83</f>
        <v>0</v>
      </c>
      <c r="BB83" s="54"/>
      <c r="BC83" s="55">
        <v>13</v>
      </c>
      <c r="BD83" s="55"/>
      <c r="BE83" s="54"/>
      <c r="BF83" s="55"/>
    </row>
    <row r="84" spans="1:58" ht="12.95" customHeight="1">
      <c r="A84" s="44"/>
      <c r="B84" s="45"/>
      <c r="C84" s="450"/>
      <c r="D84" s="45"/>
      <c r="E84" s="46"/>
      <c r="F84" s="46"/>
      <c r="G84" s="463"/>
      <c r="H84" s="48"/>
      <c r="I84" s="49"/>
      <c r="J84" s="90"/>
      <c r="K84" s="90"/>
      <c r="L84" s="39"/>
      <c r="M84" s="39"/>
      <c r="N84" s="50"/>
      <c r="O84" s="51"/>
      <c r="P84" s="52"/>
      <c r="Q84" s="51"/>
      <c r="R84" s="420"/>
      <c r="S84" s="420"/>
      <c r="T84" s="41"/>
      <c r="U84" s="41"/>
      <c r="V84" s="41"/>
      <c r="W84" s="41"/>
      <c r="X84" s="42"/>
      <c r="Y84" s="222"/>
      <c r="Z84" s="41"/>
      <c r="AA84" s="41"/>
      <c r="AB84" s="41"/>
      <c r="AC84" s="41"/>
      <c r="AD84" s="41">
        <f>+AM84+BA84</f>
        <v>25</v>
      </c>
      <c r="AE84" s="241" t="s">
        <v>460</v>
      </c>
      <c r="AF84" s="37"/>
      <c r="AG84" s="37"/>
      <c r="AH84" s="37">
        <v>25</v>
      </c>
      <c r="AJ84" s="41"/>
      <c r="AK84" s="41"/>
      <c r="AL84" s="41"/>
      <c r="AM84" s="41">
        <f>SUM(AF84:AL84)+AT84+AV84+AX84</f>
        <v>25</v>
      </c>
      <c r="AN84" s="41"/>
      <c r="AO84" s="41"/>
      <c r="AP84" s="41"/>
      <c r="AQ84" s="41"/>
      <c r="AR84" s="41">
        <f>SUM(AN84:AQ84)</f>
        <v>0</v>
      </c>
      <c r="AS84" s="41"/>
      <c r="AT84" s="41"/>
      <c r="AU84" s="41"/>
      <c r="AV84" s="41"/>
      <c r="AW84" s="41"/>
      <c r="AX84" s="41"/>
      <c r="AY84" s="41"/>
      <c r="AZ84" s="41"/>
      <c r="BA84" s="41">
        <f>+AR84+AS84+AU84+AW84+AY84+AZ84</f>
        <v>0</v>
      </c>
      <c r="BB84" s="37"/>
      <c r="BC84" s="57"/>
      <c r="BD84" s="57"/>
      <c r="BE84" s="37"/>
      <c r="BF84" s="57"/>
    </row>
    <row r="85" spans="1:58" ht="12.95" customHeight="1">
      <c r="A85" s="44"/>
      <c r="B85" s="45"/>
      <c r="C85" s="450"/>
      <c r="D85" s="45"/>
      <c r="E85" s="46"/>
      <c r="F85" s="46"/>
      <c r="G85" s="47"/>
      <c r="H85" s="48"/>
      <c r="I85" s="49"/>
      <c r="J85" s="90"/>
      <c r="K85" s="90"/>
      <c r="L85" s="39"/>
      <c r="M85" s="39"/>
      <c r="N85" s="50"/>
      <c r="O85" s="51"/>
      <c r="P85" s="52"/>
      <c r="Q85" s="51"/>
      <c r="R85" s="420"/>
      <c r="S85" s="420"/>
      <c r="T85" s="41"/>
      <c r="U85" s="41"/>
      <c r="V85" s="41"/>
      <c r="W85" s="41"/>
      <c r="X85" s="42"/>
      <c r="Y85" s="222"/>
      <c r="Z85" s="41"/>
      <c r="AA85" s="41"/>
      <c r="AB85" s="41"/>
      <c r="AC85" s="41"/>
      <c r="AD85" s="41"/>
      <c r="AE85" s="244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37"/>
      <c r="BC85" s="57"/>
      <c r="BD85" s="57"/>
      <c r="BE85" s="37"/>
      <c r="BF85" s="57"/>
    </row>
    <row r="86" spans="1:58" ht="12.75" customHeight="1">
      <c r="A86" s="346">
        <v>45855</v>
      </c>
      <c r="B86" s="45" t="s">
        <v>607</v>
      </c>
      <c r="C86" s="450">
        <f>(M86*E86*O86*Q86)/100000000</f>
        <v>49.903813120000002</v>
      </c>
      <c r="D86" s="45" t="s">
        <v>608</v>
      </c>
      <c r="E86" s="46">
        <v>10.3</v>
      </c>
      <c r="F86" s="46">
        <v>1</v>
      </c>
      <c r="G86" s="463">
        <v>1730</v>
      </c>
      <c r="H86" s="48">
        <v>0.16</v>
      </c>
      <c r="I86" s="49">
        <v>0.88</v>
      </c>
      <c r="J86" s="90">
        <f>E86*G86*(1-H86)*1440/1000000*2.77</f>
        <v>59.704198847999997</v>
      </c>
      <c r="K86" s="90">
        <f>(IF(G86&lt;L86,L86,G86)*(1-IF(H86&lt;N86,H86,N86))*E86*O86*Q86)/100000000</f>
        <v>50.962910208000004</v>
      </c>
      <c r="L86" s="39">
        <v>1695</v>
      </c>
      <c r="M86" s="39">
        <v>1423</v>
      </c>
      <c r="N86" s="50">
        <f>1-(M86/L86)</f>
        <v>0.16047197640117994</v>
      </c>
      <c r="O86" s="51">
        <f>+'Trim Rwd'!H62</f>
        <v>266</v>
      </c>
      <c r="P86" s="52">
        <f>O86*(Q86-R86-S86)</f>
        <v>319200</v>
      </c>
      <c r="Q86" s="51">
        <v>1280</v>
      </c>
      <c r="R86" s="420">
        <v>0</v>
      </c>
      <c r="S86" s="420">
        <v>80</v>
      </c>
      <c r="T86" s="41">
        <f>E86*M86*O86*Q86/100000000</f>
        <v>49.903813120000002</v>
      </c>
      <c r="U86" s="41">
        <f>E86*M86*O86*(Q86-R86-S86)/100000000</f>
        <v>46.784824800000003</v>
      </c>
      <c r="V86" s="41">
        <f>E86*G86*(1-N86)*O86/100*(R86+S86)/1000000</f>
        <v>3.1833922086135695</v>
      </c>
      <c r="W86" s="41">
        <f>+'17'!K16/1000</f>
        <v>54.225999999999999</v>
      </c>
      <c r="X86" s="417">
        <f>SUM(W86:W89)/SUM(K86:K89)</f>
        <v>0.94110836908639406</v>
      </c>
      <c r="Y86" s="222">
        <v>0</v>
      </c>
      <c r="Z86" s="41">
        <v>0</v>
      </c>
      <c r="AA86" s="53">
        <f>SUM(U86:U89)-SUM(W86:W89)-SUM(Z86:Z89)-SUM(Y86:Y89)</f>
        <v>-1.1176103999999967</v>
      </c>
      <c r="AB86" s="53">
        <f>(SUM(K86:K89)-SUM(W86:W89)-SUM(Y86:Y89)-SUM(Z86:Z89)-SUM(AC86:AC89)-SUM(V86:V89))-AA86</f>
        <v>-6.4403888613566718E-2</v>
      </c>
      <c r="AC86" s="41">
        <f>K86-T86</f>
        <v>1.0590970880000015</v>
      </c>
      <c r="AD86" s="41">
        <f>+AM86+BA86</f>
        <v>30</v>
      </c>
      <c r="AE86" s="241" t="s">
        <v>459</v>
      </c>
      <c r="AF86" s="41">
        <v>30</v>
      </c>
      <c r="AG86" s="41"/>
      <c r="AH86" s="41"/>
      <c r="AI86" s="459"/>
      <c r="AJ86" s="41"/>
      <c r="AK86" s="41"/>
      <c r="AL86" s="41"/>
      <c r="AM86" s="41">
        <f>SUM(AF86:AL86)+AT86+AV86+AX86</f>
        <v>30</v>
      </c>
      <c r="AN86" s="41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37">
        <v>6</v>
      </c>
      <c r="BC86" s="55"/>
      <c r="BD86" s="55"/>
      <c r="BE86" s="37"/>
      <c r="BF86" s="55"/>
    </row>
    <row r="87" spans="1:58" ht="12.95" customHeight="1">
      <c r="A87" s="346"/>
      <c r="B87" s="45" t="s">
        <v>607</v>
      </c>
      <c r="C87" s="450">
        <f>(M87*E87*O87*Q87)/100000000</f>
        <v>6.6563840000000001</v>
      </c>
      <c r="D87" s="45" t="s">
        <v>608</v>
      </c>
      <c r="E87" s="46">
        <v>11.5</v>
      </c>
      <c r="F87" s="46">
        <v>1</v>
      </c>
      <c r="G87" s="463">
        <v>1700</v>
      </c>
      <c r="H87" s="48">
        <v>0.2</v>
      </c>
      <c r="I87" s="49">
        <v>0.88</v>
      </c>
      <c r="J87" s="90">
        <f>E87*G87*(1-H87)*1440/1000000*2.77</f>
        <v>62.384831999999996</v>
      </c>
      <c r="K87" s="90">
        <f>(IF(G87&lt;L87,L87,G87)*(1-IF(H87&lt;N87,H87,N87))*E87*O87*Q87)/100000000</f>
        <v>6.6563840000000001</v>
      </c>
      <c r="L87" s="39">
        <v>1700</v>
      </c>
      <c r="M87" s="39">
        <v>1360</v>
      </c>
      <c r="N87" s="50">
        <f>1-(M87/L87)</f>
        <v>0.19999999999999996</v>
      </c>
      <c r="O87" s="51">
        <f>+'Trim Rwd'!H64</f>
        <v>266</v>
      </c>
      <c r="P87" s="52">
        <f>O87*(Q87-R87-S87)</f>
        <v>40432</v>
      </c>
      <c r="Q87" s="51">
        <v>160</v>
      </c>
      <c r="R87" s="420">
        <v>0</v>
      </c>
      <c r="S87" s="420">
        <v>8</v>
      </c>
      <c r="T87" s="41">
        <f>E87*M87*O87*Q87/100000000</f>
        <v>6.6563840000000001</v>
      </c>
      <c r="U87" s="41">
        <f>E87*M87*O87*(Q87-R87-S87)/100000000</f>
        <v>6.3235647999999998</v>
      </c>
      <c r="V87" s="41">
        <f>E87*G87*(1-N87)*O87/100*(R87+S87)/1000000</f>
        <v>0.33281920000000004</v>
      </c>
      <c r="W87" s="41">
        <f>+'17'!K17/1000</f>
        <v>0</v>
      </c>
      <c r="X87" s="42"/>
      <c r="Y87" s="222"/>
      <c r="Z87" s="41"/>
      <c r="AA87" s="41"/>
      <c r="AB87" s="41"/>
      <c r="AC87" s="41">
        <f>K87-T87</f>
        <v>0</v>
      </c>
      <c r="AD87" s="41">
        <f>+AM87+BA87</f>
        <v>21</v>
      </c>
      <c r="AE87" s="241" t="s">
        <v>689</v>
      </c>
      <c r="AF87" s="41"/>
      <c r="AG87" s="41">
        <v>21</v>
      </c>
      <c r="AH87" s="41"/>
      <c r="AI87" s="459"/>
      <c r="AJ87" s="41"/>
      <c r="AK87" s="41"/>
      <c r="AL87" s="41"/>
      <c r="AM87" s="41">
        <f>SUM(AF87:AL87)+AT87+AV87+AX87</f>
        <v>21</v>
      </c>
      <c r="AN87" s="91"/>
      <c r="AO87" s="41"/>
      <c r="AP87" s="41"/>
      <c r="AQ87" s="41"/>
      <c r="AR87" s="41">
        <f>SUM(AN87:AQ87)</f>
        <v>0</v>
      </c>
      <c r="AS87" s="41"/>
      <c r="AT87" s="41"/>
      <c r="AU87" s="41"/>
      <c r="AV87" s="41"/>
      <c r="AW87" s="41"/>
      <c r="AX87" s="41"/>
      <c r="AY87" s="41"/>
      <c r="AZ87" s="41"/>
      <c r="BA87" s="41">
        <f>+AR87+AS87+AU87+AW87+AY87+AZ87</f>
        <v>0</v>
      </c>
      <c r="BB87" s="54"/>
      <c r="BC87" s="55">
        <v>14</v>
      </c>
      <c r="BD87" s="55"/>
      <c r="BE87" s="54"/>
      <c r="BF87" s="55"/>
    </row>
    <row r="88" spans="1:58" ht="12.95" customHeight="1">
      <c r="A88" s="44"/>
      <c r="B88" s="45"/>
      <c r="C88" s="450"/>
      <c r="D88" s="45"/>
      <c r="E88" s="46"/>
      <c r="F88" s="46"/>
      <c r="G88" s="463"/>
      <c r="H88" s="48"/>
      <c r="I88" s="49"/>
      <c r="J88" s="90"/>
      <c r="K88" s="90"/>
      <c r="L88" s="39"/>
      <c r="M88" s="39"/>
      <c r="N88" s="50"/>
      <c r="O88" s="51"/>
      <c r="P88" s="52"/>
      <c r="Q88" s="51"/>
      <c r="R88" s="420"/>
      <c r="S88" s="420"/>
      <c r="T88" s="41"/>
      <c r="U88" s="41"/>
      <c r="V88" s="41"/>
      <c r="W88" s="41"/>
      <c r="X88" s="42"/>
      <c r="Y88" s="222"/>
      <c r="Z88" s="41"/>
      <c r="AA88" s="41"/>
      <c r="AB88" s="41"/>
      <c r="AC88" s="41"/>
      <c r="AD88" s="41">
        <f>+AM88+BA88</f>
        <v>30</v>
      </c>
      <c r="AE88" s="241" t="s">
        <v>460</v>
      </c>
      <c r="AF88" s="37"/>
      <c r="AG88" s="37"/>
      <c r="AH88" s="37">
        <v>30</v>
      </c>
      <c r="AJ88" s="41"/>
      <c r="AK88" s="41"/>
      <c r="AL88" s="41"/>
      <c r="AM88" s="41">
        <f>SUM(AF88:AL88)+AT88+AV88+AX88</f>
        <v>30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/>
      <c r="AX88" s="41"/>
      <c r="AY88" s="41"/>
      <c r="AZ88" s="41"/>
      <c r="BA88" s="41">
        <f>+AR88+AS88+AU88+AW88+AY88+AZ88</f>
        <v>0</v>
      </c>
      <c r="BB88" s="37"/>
      <c r="BC88" s="57"/>
      <c r="BD88" s="57"/>
      <c r="BE88" s="37"/>
      <c r="BF88" s="57"/>
    </row>
    <row r="89" spans="1:58" ht="12.95" customHeight="1">
      <c r="A89" s="44"/>
      <c r="B89" s="45"/>
      <c r="C89" s="450"/>
      <c r="D89" s="45"/>
      <c r="E89" s="46"/>
      <c r="F89" s="46"/>
      <c r="G89" s="47"/>
      <c r="H89" s="48"/>
      <c r="I89" s="49"/>
      <c r="J89" s="90"/>
      <c r="K89" s="90"/>
      <c r="L89" s="39"/>
      <c r="M89" s="39"/>
      <c r="N89" s="50"/>
      <c r="O89" s="51"/>
      <c r="P89" s="52"/>
      <c r="Q89" s="51"/>
      <c r="R89" s="420"/>
      <c r="S89" s="420"/>
      <c r="T89" s="41"/>
      <c r="U89" s="41"/>
      <c r="V89" s="41"/>
      <c r="W89" s="41"/>
      <c r="X89" s="42"/>
      <c r="Y89" s="222"/>
      <c r="Z89" s="41"/>
      <c r="AA89" s="41"/>
      <c r="AB89" s="41"/>
      <c r="AC89" s="41"/>
      <c r="AD89" s="41">
        <f>+AM89+BA89</f>
        <v>7</v>
      </c>
      <c r="AE89" s="244" t="s">
        <v>540</v>
      </c>
      <c r="AF89" s="41"/>
      <c r="AG89" s="41"/>
      <c r="AH89" s="41"/>
      <c r="AI89" s="41">
        <v>7</v>
      </c>
      <c r="AJ89" s="41"/>
      <c r="AK89" s="41"/>
      <c r="AL89" s="41"/>
      <c r="AM89" s="41">
        <f>SUM(AF89:AL89)+AT89+AV89+AX89</f>
        <v>7</v>
      </c>
      <c r="AN89" s="41"/>
      <c r="AO89" s="41"/>
      <c r="AP89" s="41"/>
      <c r="AQ89" s="41"/>
      <c r="AR89" s="41">
        <f>SUM(AN89:AQ89)</f>
        <v>0</v>
      </c>
      <c r="AS89" s="41"/>
      <c r="AT89" s="41"/>
      <c r="AU89" s="41"/>
      <c r="AV89" s="41"/>
      <c r="AW89" s="41"/>
      <c r="AX89" s="41"/>
      <c r="AY89" s="41"/>
      <c r="AZ89" s="41"/>
      <c r="BA89" s="41">
        <f>+AR89+AS89+AU89+AW89+AY89+AZ89</f>
        <v>0</v>
      </c>
      <c r="BB89" s="37"/>
      <c r="BC89" s="57"/>
      <c r="BD89" s="57"/>
      <c r="BE89" s="37"/>
      <c r="BF89" s="57"/>
    </row>
    <row r="90" spans="1:58" ht="12.95" customHeight="1">
      <c r="A90" s="346"/>
      <c r="B90" s="45"/>
      <c r="C90" s="450"/>
      <c r="D90" s="45"/>
      <c r="E90" s="46"/>
      <c r="F90" s="46"/>
      <c r="G90" s="463"/>
      <c r="H90" s="48"/>
      <c r="I90" s="49"/>
      <c r="J90" s="90"/>
      <c r="K90" s="90"/>
      <c r="L90" s="39"/>
      <c r="M90" s="39"/>
      <c r="N90" s="50"/>
      <c r="O90" s="51"/>
      <c r="P90" s="52"/>
      <c r="Q90" s="51"/>
      <c r="R90" s="420"/>
      <c r="S90" s="420"/>
      <c r="T90" s="41"/>
      <c r="U90" s="41"/>
      <c r="V90" s="41"/>
      <c r="W90" s="41"/>
      <c r="X90" s="417"/>
      <c r="Y90" s="222"/>
      <c r="Z90" s="41"/>
      <c r="AA90" s="53"/>
      <c r="AB90" s="53"/>
      <c r="AC90" s="41"/>
      <c r="AD90" s="41"/>
      <c r="AE90" s="241"/>
      <c r="AF90" s="41"/>
      <c r="AG90" s="41"/>
      <c r="AH90" s="41"/>
      <c r="AI90" s="459"/>
      <c r="AJ90" s="41"/>
      <c r="AK90" s="41"/>
      <c r="AL90" s="41"/>
      <c r="AM90" s="41"/>
      <c r="AN90" s="9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54"/>
      <c r="BC90" s="55"/>
      <c r="BD90" s="55"/>
      <c r="BE90" s="55"/>
      <c r="BF90" s="55"/>
    </row>
    <row r="91" spans="1:58" ht="12.75" customHeight="1">
      <c r="A91" s="346">
        <v>45856</v>
      </c>
      <c r="B91" s="45" t="s">
        <v>607</v>
      </c>
      <c r="C91" s="450">
        <f>(M91*E91*O91*Q91)/100000000</f>
        <v>58.938364800000002</v>
      </c>
      <c r="D91" s="45" t="s">
        <v>608</v>
      </c>
      <c r="E91" s="46">
        <v>11.5</v>
      </c>
      <c r="F91" s="46">
        <v>1</v>
      </c>
      <c r="G91" s="463">
        <v>1700</v>
      </c>
      <c r="H91" s="48">
        <v>0.2</v>
      </c>
      <c r="I91" s="49">
        <v>0.88</v>
      </c>
      <c r="J91" s="90">
        <f>E91*G91*(1-H91)*1440/1000000*2.77</f>
        <v>62.384831999999996</v>
      </c>
      <c r="K91" s="90">
        <f>(IF(G91&lt;L91,L91,G91)*(1-IF(H91&lt;N91,H91,N91))*E91*O91*Q91)/100000000</f>
        <v>59.907456000000003</v>
      </c>
      <c r="L91" s="39">
        <v>1673</v>
      </c>
      <c r="M91" s="39">
        <v>1338</v>
      </c>
      <c r="N91" s="50">
        <f>1-(M91/L91)</f>
        <v>0.20023909145248053</v>
      </c>
      <c r="O91" s="51">
        <f>+'Trim Rwd'!H66</f>
        <v>266</v>
      </c>
      <c r="P91" s="52">
        <f>O91*(Q91-R91-S91)</f>
        <v>343938</v>
      </c>
      <c r="Q91" s="51">
        <v>1440</v>
      </c>
      <c r="R91" s="420">
        <v>0</v>
      </c>
      <c r="S91" s="420">
        <v>147</v>
      </c>
      <c r="T91" s="41">
        <f>E91*M91*O91*Q91/100000000</f>
        <v>58.938364800000002</v>
      </c>
      <c r="U91" s="41">
        <f>E91*M91*O91*(Q91-R91-S91)/100000000</f>
        <v>52.921740059999998</v>
      </c>
      <c r="V91" s="41">
        <f>E91*G91*(1-N91)*O91/100*(R91+S91)/1000000</f>
        <v>6.1137250794979074</v>
      </c>
      <c r="W91" s="41">
        <f>+'18'!K34/1000</f>
        <v>53.707000000000001</v>
      </c>
      <c r="X91" s="417">
        <f>SUM(W91:W94)/SUM(K91:K94)</f>
        <v>0.89649942738346289</v>
      </c>
      <c r="Y91" s="222">
        <v>0</v>
      </c>
      <c r="Z91" s="41">
        <v>0</v>
      </c>
      <c r="AA91" s="53">
        <f>SUM(U91:U94)-SUM(W91:W94)-SUM(Z91:Z94)-SUM(Y91:Y94)</f>
        <v>-0.7852599400000031</v>
      </c>
      <c r="AB91" s="53">
        <f>(SUM(K91:K94)-SUM(W91:W94)-SUM(Y91:Y94)-SUM(Z91:Z94)-SUM(AC91:AC94)-SUM(V91:V94))-AA91</f>
        <v>-9.7100339497902866E-2</v>
      </c>
      <c r="AC91" s="41">
        <f>K91-T91</f>
        <v>0.96909120000000115</v>
      </c>
      <c r="AD91" s="41">
        <f>+AM91+BA91</f>
        <v>100</v>
      </c>
      <c r="AE91" s="241" t="s">
        <v>712</v>
      </c>
      <c r="AF91" s="41">
        <v>100</v>
      </c>
      <c r="AG91" s="41"/>
      <c r="AH91" s="41"/>
      <c r="AI91" s="459"/>
      <c r="AJ91" s="41"/>
      <c r="AK91" s="41"/>
      <c r="AL91" s="41"/>
      <c r="AM91" s="41">
        <f>SUM(AF91:AL91)+AT91+AV91+AX91</f>
        <v>100</v>
      </c>
      <c r="AN91" s="41"/>
      <c r="AO91" s="41"/>
      <c r="AP91" s="41"/>
      <c r="AQ91" s="41"/>
      <c r="AR91" s="41">
        <f>SUM(AN91:AQ91)</f>
        <v>0</v>
      </c>
      <c r="AS91" s="41"/>
      <c r="AT91" s="41"/>
      <c r="AU91" s="41"/>
      <c r="AV91" s="41"/>
      <c r="AW91" s="41"/>
      <c r="AX91" s="41"/>
      <c r="AY91" s="41"/>
      <c r="AZ91" s="41"/>
      <c r="BA91" s="41">
        <f>+AR91+AS91+AU91+AW91+AY91+AZ91</f>
        <v>0</v>
      </c>
      <c r="BB91" s="37">
        <v>20</v>
      </c>
      <c r="BC91" s="55"/>
      <c r="BD91" s="55"/>
      <c r="BE91" s="37"/>
      <c r="BF91" s="55"/>
    </row>
    <row r="92" spans="1:58" ht="12.95" customHeight="1">
      <c r="A92" s="346"/>
      <c r="B92" s="45"/>
      <c r="C92" s="450"/>
      <c r="D92" s="45"/>
      <c r="E92" s="46"/>
      <c r="F92" s="46"/>
      <c r="G92" s="463"/>
      <c r="H92" s="48"/>
      <c r="I92" s="49"/>
      <c r="J92" s="90"/>
      <c r="K92" s="90"/>
      <c r="L92" s="39"/>
      <c r="M92" s="39"/>
      <c r="N92" s="50"/>
      <c r="O92" s="51"/>
      <c r="P92" s="52"/>
      <c r="Q92" s="51"/>
      <c r="R92" s="420"/>
      <c r="S92" s="420"/>
      <c r="T92" s="41"/>
      <c r="U92" s="41"/>
      <c r="V92" s="41"/>
      <c r="W92" s="41"/>
      <c r="X92" s="42"/>
      <c r="Y92" s="222"/>
      <c r="Z92" s="41"/>
      <c r="AA92" s="41"/>
      <c r="AB92" s="41"/>
      <c r="AC92" s="41"/>
      <c r="AD92" s="41">
        <f>+AM92+BA92</f>
        <v>18</v>
      </c>
      <c r="AE92" s="241" t="s">
        <v>677</v>
      </c>
      <c r="AF92" s="41"/>
      <c r="AG92" s="41">
        <v>18</v>
      </c>
      <c r="AH92" s="41"/>
      <c r="AI92" s="459"/>
      <c r="AJ92" s="41"/>
      <c r="AK92" s="41"/>
      <c r="AL92" s="41"/>
      <c r="AM92" s="41">
        <f>SUM(AF92:AL92)+AT92+AV92+AX92</f>
        <v>18</v>
      </c>
      <c r="AN92" s="91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54"/>
      <c r="BC92" s="55">
        <v>13</v>
      </c>
      <c r="BD92" s="55"/>
      <c r="BE92" s="54"/>
      <c r="BF92" s="55"/>
    </row>
    <row r="93" spans="1:58" ht="12.95" customHeight="1">
      <c r="A93" s="44"/>
      <c r="B93" s="45"/>
      <c r="C93" s="450"/>
      <c r="D93" s="45"/>
      <c r="E93" s="46"/>
      <c r="F93" s="46"/>
      <c r="G93" s="463"/>
      <c r="H93" s="48"/>
      <c r="I93" s="49"/>
      <c r="J93" s="90"/>
      <c r="K93" s="90"/>
      <c r="L93" s="39"/>
      <c r="M93" s="39"/>
      <c r="N93" s="50"/>
      <c r="O93" s="51"/>
      <c r="P93" s="52"/>
      <c r="Q93" s="51"/>
      <c r="R93" s="420"/>
      <c r="S93" s="420"/>
      <c r="T93" s="41"/>
      <c r="U93" s="41"/>
      <c r="V93" s="41"/>
      <c r="W93" s="41"/>
      <c r="X93" s="42"/>
      <c r="Y93" s="222"/>
      <c r="Z93" s="41"/>
      <c r="AA93" s="41"/>
      <c r="AB93" s="41"/>
      <c r="AC93" s="41"/>
      <c r="AD93" s="41">
        <f>+AM93+BA93</f>
        <v>29</v>
      </c>
      <c r="AE93" s="241" t="s">
        <v>626</v>
      </c>
      <c r="AF93" s="37"/>
      <c r="AG93" s="37"/>
      <c r="AH93" s="37">
        <v>29</v>
      </c>
      <c r="AJ93" s="41"/>
      <c r="AK93" s="41"/>
      <c r="AL93" s="41"/>
      <c r="AM93" s="41">
        <f>SUM(AF93:AL93)+AT93+AV93+AX93</f>
        <v>29</v>
      </c>
      <c r="AN93" s="41"/>
      <c r="AO93" s="41"/>
      <c r="AP93" s="41"/>
      <c r="AQ93" s="41"/>
      <c r="AR93" s="41">
        <f>SUM(AN93:AQ93)</f>
        <v>0</v>
      </c>
      <c r="AS93" s="41"/>
      <c r="AT93" s="41"/>
      <c r="AU93" s="41"/>
      <c r="AV93" s="41"/>
      <c r="AW93" s="41"/>
      <c r="AX93" s="41"/>
      <c r="AY93" s="41"/>
      <c r="AZ93" s="41"/>
      <c r="BA93" s="41">
        <f>+AR93+AS93+AU93+AW93+AY93+AZ93</f>
        <v>0</v>
      </c>
      <c r="BB93" s="37"/>
      <c r="BC93" s="57"/>
      <c r="BD93" s="57"/>
      <c r="BE93" s="37"/>
      <c r="BF93" s="57"/>
    </row>
    <row r="94" spans="1:58" ht="12.95" customHeight="1">
      <c r="A94" s="44"/>
      <c r="B94" s="45"/>
      <c r="C94" s="450"/>
      <c r="D94" s="45"/>
      <c r="E94" s="46"/>
      <c r="F94" s="46"/>
      <c r="G94" s="47"/>
      <c r="H94" s="48"/>
      <c r="I94" s="49"/>
      <c r="J94" s="90"/>
      <c r="K94" s="90"/>
      <c r="L94" s="39"/>
      <c r="M94" s="39"/>
      <c r="N94" s="50"/>
      <c r="O94" s="51"/>
      <c r="P94" s="52"/>
      <c r="Q94" s="51"/>
      <c r="R94" s="420"/>
      <c r="S94" s="420"/>
      <c r="T94" s="41"/>
      <c r="U94" s="41"/>
      <c r="V94" s="41"/>
      <c r="W94" s="41"/>
      <c r="X94" s="42"/>
      <c r="Y94" s="222"/>
      <c r="Z94" s="41"/>
      <c r="AA94" s="41"/>
      <c r="AB94" s="41"/>
      <c r="AC94" s="41"/>
      <c r="AD94" s="41"/>
      <c r="AE94" s="244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37"/>
      <c r="BC94" s="57"/>
      <c r="BD94" s="57"/>
      <c r="BE94" s="37"/>
      <c r="BF94" s="57"/>
    </row>
    <row r="95" spans="1:58" ht="12.75" customHeight="1">
      <c r="A95" s="346">
        <v>45857</v>
      </c>
      <c r="B95" s="45" t="s">
        <v>607</v>
      </c>
      <c r="C95" s="450">
        <f>(M95*E95*O95*Q95)/100000000</f>
        <v>18.981296176071428</v>
      </c>
      <c r="D95" s="45" t="s">
        <v>608</v>
      </c>
      <c r="E95" s="46">
        <v>11.5</v>
      </c>
      <c r="F95" s="46">
        <v>1</v>
      </c>
      <c r="G95" s="463">
        <v>1700</v>
      </c>
      <c r="H95" s="631">
        <v>0.24</v>
      </c>
      <c r="I95" s="49">
        <v>0.88</v>
      </c>
      <c r="J95" s="90">
        <f>E95*G95*(1-H95)*1440/1000000*2.77</f>
        <v>59.265590400000001</v>
      </c>
      <c r="K95" s="90">
        <f>(IF(G95&lt;L95,L95,G95)*(1-IF(H95&lt;N95,H95,N95))*E95*O95*Q95)/100000000</f>
        <v>19.556486969285711</v>
      </c>
      <c r="L95" s="39">
        <v>1650</v>
      </c>
      <c r="M95" s="39">
        <v>1254</v>
      </c>
      <c r="N95" s="50">
        <f>1-(M95/L95)</f>
        <v>0.24</v>
      </c>
      <c r="O95" s="51">
        <f>+'Trim Rwd'!H69</f>
        <v>262.19642857142856</v>
      </c>
      <c r="P95" s="52">
        <f>O95*(Q95-R95-S95)</f>
        <v>120085.96428571428</v>
      </c>
      <c r="Q95" s="51">
        <v>502</v>
      </c>
      <c r="R95" s="420">
        <v>0</v>
      </c>
      <c r="S95" s="420">
        <v>44</v>
      </c>
      <c r="T95" s="41">
        <f>E95*M95*O95*Q95/100000000</f>
        <v>18.981296176071428</v>
      </c>
      <c r="U95" s="41">
        <f>E95*M95*O95*(Q95-R95-S95)/100000000</f>
        <v>17.317596909642855</v>
      </c>
      <c r="V95" s="41">
        <f>E95*G95*(1-N95)*O95/100*(R95+S95)/1000000</f>
        <v>1.7141143957142857</v>
      </c>
      <c r="W95" s="41">
        <f>+'19'!K14/1000</f>
        <v>34.942999999999998</v>
      </c>
      <c r="X95" s="417">
        <f>SUM(W95:W98)/SUM(K95:K98)</f>
        <v>0.90712458255772299</v>
      </c>
      <c r="Y95" s="222">
        <v>0</v>
      </c>
      <c r="Z95" s="41">
        <f>+'19'!D7/1000</f>
        <v>0.71</v>
      </c>
      <c r="AA95" s="53">
        <f>SUM(U95:U98)-SUM(W95:W98)-SUM(Z95:Z98)-SUM(Y95:Y98)</f>
        <v>-0.90618432235714419</v>
      </c>
      <c r="AB95" s="53">
        <f>(SUM(K95:K98)-SUM(W95:W98)-SUM(Y95:Y98)-SUM(Z95:Z98)-SUM(AC95:AC98)-SUM(V95:V98))-AA95</f>
        <v>-7.9880380485708891E-2</v>
      </c>
      <c r="AC95" s="41">
        <f>K95-T95</f>
        <v>0.57519079321428279</v>
      </c>
      <c r="AD95" s="41">
        <f>+AM95+BA95</f>
        <v>40</v>
      </c>
      <c r="AE95" s="241" t="s">
        <v>688</v>
      </c>
      <c r="AF95" s="41">
        <v>40</v>
      </c>
      <c r="AG95" s="41"/>
      <c r="AH95" s="41"/>
      <c r="AI95" s="459"/>
      <c r="AJ95" s="41"/>
      <c r="AK95" s="41"/>
      <c r="AL95" s="41"/>
      <c r="AM95" s="41">
        <f>SUM(AF95:AL95)+AT95+AV95+AX95</f>
        <v>40</v>
      </c>
      <c r="AN95" s="41"/>
      <c r="AO95" s="41"/>
      <c r="AP95" s="41"/>
      <c r="AQ95" s="41"/>
      <c r="AR95" s="41">
        <f>SUM(AN95:AQ95)</f>
        <v>0</v>
      </c>
      <c r="AS95" s="41"/>
      <c r="AT95" s="41"/>
      <c r="AU95" s="41"/>
      <c r="AV95" s="41"/>
      <c r="AW95" s="41"/>
      <c r="AX95" s="41"/>
      <c r="AY95" s="41"/>
      <c r="AZ95" s="41"/>
      <c r="BA95" s="41">
        <f>+AR95+AS95+AU95+AW95+AY95+AZ95</f>
        <v>0</v>
      </c>
      <c r="BB95" s="37">
        <v>8</v>
      </c>
      <c r="BC95" s="55"/>
      <c r="BD95" s="55"/>
      <c r="BE95" s="37"/>
      <c r="BF95" s="55"/>
    </row>
    <row r="96" spans="1:58" ht="12.95" customHeight="1">
      <c r="A96" s="346"/>
      <c r="B96" s="45" t="s">
        <v>607</v>
      </c>
      <c r="C96" s="450">
        <f>(M96*E96*O96*Q96)/100000000</f>
        <v>35.594916336000004</v>
      </c>
      <c r="D96" s="45" t="s">
        <v>608</v>
      </c>
      <c r="E96" s="46">
        <v>10.3</v>
      </c>
      <c r="F96" s="46">
        <v>1</v>
      </c>
      <c r="G96" s="463">
        <v>1730</v>
      </c>
      <c r="H96" s="48">
        <v>0.2</v>
      </c>
      <c r="I96" s="49">
        <v>0.88</v>
      </c>
      <c r="J96" s="90">
        <f>E96*G96*(1-H96)*1440/1000000*2.77</f>
        <v>56.861141760000002</v>
      </c>
      <c r="K96" s="90">
        <f>(IF(G96&lt;L96,L96,G96)*(1-IF(H96&lt;N96,H96,N96))*E96*O96*Q96)/100000000</f>
        <v>36.223061918399999</v>
      </c>
      <c r="L96" s="39">
        <v>1700</v>
      </c>
      <c r="M96" s="39">
        <v>1360</v>
      </c>
      <c r="N96" s="50">
        <f>1-(M96/L96)</f>
        <v>0.19999999999999996</v>
      </c>
      <c r="O96" s="51">
        <f>+'Trim Rwd'!H72</f>
        <v>270.89999999999998</v>
      </c>
      <c r="P96" s="52">
        <f>O96*(Q96-R96-S96)</f>
        <v>242184.59999999998</v>
      </c>
      <c r="Q96" s="51">
        <v>938</v>
      </c>
      <c r="R96" s="420">
        <v>0</v>
      </c>
      <c r="S96" s="420">
        <v>44</v>
      </c>
      <c r="T96" s="41">
        <f>E96*M96*O96*Q96/100000000</f>
        <v>35.594916336000004</v>
      </c>
      <c r="U96" s="41">
        <f>E96*M96*O96*(Q96-R96-S96)/100000000</f>
        <v>33.925218768000001</v>
      </c>
      <c r="V96" s="41">
        <f>E96*G96*(1-N96)*O96/100*(R96+S96)/1000000</f>
        <v>1.6991628191999999</v>
      </c>
      <c r="W96" s="41">
        <f>+'19'!K16/1000</f>
        <v>15.656000000000001</v>
      </c>
      <c r="X96" s="417"/>
      <c r="Y96" s="222"/>
      <c r="Z96" s="41">
        <f>+('19'!D17+'19'!D26)/1000</f>
        <v>0.84</v>
      </c>
      <c r="AA96" s="53"/>
      <c r="AB96" s="53"/>
      <c r="AC96" s="41">
        <f>K96-T96</f>
        <v>0.62814558239999485</v>
      </c>
      <c r="AD96" s="41">
        <f>+AM96+BA96</f>
        <v>18</v>
      </c>
      <c r="AE96" s="241" t="s">
        <v>658</v>
      </c>
      <c r="AF96" s="41"/>
      <c r="AG96" s="41">
        <v>18</v>
      </c>
      <c r="AH96" s="41"/>
      <c r="AI96" s="459"/>
      <c r="AJ96" s="41"/>
      <c r="AK96" s="41"/>
      <c r="AL96" s="41"/>
      <c r="AM96" s="41">
        <f>SUM(AF96:AL96)+AT96+AV96+AX96</f>
        <v>18</v>
      </c>
      <c r="AN96" s="91"/>
      <c r="AO96" s="41"/>
      <c r="AP96" s="41"/>
      <c r="AQ96" s="41"/>
      <c r="AR96" s="41">
        <f>SUM(AN96:AQ96)</f>
        <v>0</v>
      </c>
      <c r="AS96" s="41"/>
      <c r="AT96" s="41"/>
      <c r="AU96" s="41"/>
      <c r="AV96" s="41"/>
      <c r="AW96" s="41"/>
      <c r="AX96" s="41"/>
      <c r="AY96" s="41"/>
      <c r="AZ96" s="41"/>
      <c r="BA96" s="41">
        <f>+AR96+AS96+AU96+AW96+AY96+AZ96</f>
        <v>0</v>
      </c>
      <c r="BB96" s="54"/>
      <c r="BC96" s="55">
        <v>15</v>
      </c>
      <c r="BD96" s="55"/>
      <c r="BE96" s="54"/>
      <c r="BF96" s="55"/>
    </row>
    <row r="97" spans="1:58" ht="12.95" customHeight="1">
      <c r="A97" s="44"/>
      <c r="B97" s="45"/>
      <c r="C97" s="450"/>
      <c r="D97" s="45"/>
      <c r="E97" s="46"/>
      <c r="F97" s="46"/>
      <c r="G97" s="463"/>
      <c r="H97" s="48"/>
      <c r="I97" s="49"/>
      <c r="J97" s="90"/>
      <c r="K97" s="90"/>
      <c r="L97" s="39"/>
      <c r="M97" s="39"/>
      <c r="N97" s="50"/>
      <c r="O97" s="51"/>
      <c r="P97" s="52"/>
      <c r="Q97" s="51"/>
      <c r="R97" s="420"/>
      <c r="S97" s="420"/>
      <c r="T97" s="41"/>
      <c r="U97" s="41"/>
      <c r="V97" s="41"/>
      <c r="W97" s="41"/>
      <c r="X97" s="42"/>
      <c r="Y97" s="222"/>
      <c r="Z97" s="41"/>
      <c r="AA97" s="41"/>
      <c r="AB97" s="41"/>
      <c r="AC97" s="41"/>
      <c r="AD97" s="41">
        <f>+AM97+BA97</f>
        <v>30</v>
      </c>
      <c r="AE97" s="241" t="s">
        <v>460</v>
      </c>
      <c r="AF97" s="37"/>
      <c r="AG97" s="37"/>
      <c r="AH97" s="37">
        <v>30</v>
      </c>
      <c r="AJ97" s="41"/>
      <c r="AK97" s="41"/>
      <c r="AL97" s="41"/>
      <c r="AM97" s="41">
        <f>SUM(AF97:AL97)+AT97+AV97+AX97</f>
        <v>30</v>
      </c>
      <c r="AN97" s="41"/>
      <c r="AO97" s="41"/>
      <c r="AP97" s="41"/>
      <c r="AQ97" s="41"/>
      <c r="AR97" s="41">
        <f>SUM(AN97:AQ97)</f>
        <v>0</v>
      </c>
      <c r="AS97" s="41"/>
      <c r="AT97" s="41"/>
      <c r="AU97" s="41"/>
      <c r="AV97" s="41"/>
      <c r="AW97" s="41"/>
      <c r="AX97" s="41"/>
      <c r="AY97" s="41"/>
      <c r="AZ97" s="41"/>
      <c r="BA97" s="41">
        <f>+AR97+AS97+AU97+AW97+AY97+AZ97</f>
        <v>0</v>
      </c>
      <c r="BB97" s="37"/>
      <c r="BC97" s="57"/>
      <c r="BD97" s="57"/>
      <c r="BE97" s="37"/>
      <c r="BF97" s="57"/>
    </row>
    <row r="98" spans="1:58" ht="12.95" customHeight="1">
      <c r="A98" s="44"/>
      <c r="B98" s="45"/>
      <c r="C98" s="450"/>
      <c r="D98" s="45"/>
      <c r="E98" s="46"/>
      <c r="F98" s="46"/>
      <c r="G98" s="47"/>
      <c r="H98" s="48"/>
      <c r="I98" s="49"/>
      <c r="J98" s="90"/>
      <c r="K98" s="90"/>
      <c r="L98" s="39"/>
      <c r="M98" s="39"/>
      <c r="N98" s="50"/>
      <c r="O98" s="51"/>
      <c r="P98" s="52"/>
      <c r="Q98" s="51"/>
      <c r="R98" s="420"/>
      <c r="S98" s="420"/>
      <c r="T98" s="41"/>
      <c r="U98" s="41"/>
      <c r="V98" s="41"/>
      <c r="W98" s="41"/>
      <c r="X98" s="42"/>
      <c r="Y98" s="222"/>
      <c r="Z98" s="41"/>
      <c r="AA98" s="41"/>
      <c r="AB98" s="41"/>
      <c r="AC98" s="41"/>
      <c r="AD98" s="41"/>
      <c r="AE98" s="244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37"/>
      <c r="BC98" s="57"/>
      <c r="BD98" s="57"/>
      <c r="BE98" s="37"/>
      <c r="BF98" s="57"/>
    </row>
    <row r="99" spans="1:58" ht="12.75" customHeight="1">
      <c r="A99" s="346">
        <v>45858</v>
      </c>
      <c r="B99" s="45" t="s">
        <v>607</v>
      </c>
      <c r="C99" s="450">
        <f>(M99*E99*O99*Q99)/100000000</f>
        <v>54.583038152112685</v>
      </c>
      <c r="D99" s="45" t="s">
        <v>608</v>
      </c>
      <c r="E99" s="46">
        <v>11.5</v>
      </c>
      <c r="F99" s="46">
        <v>1</v>
      </c>
      <c r="G99" s="463">
        <v>1700</v>
      </c>
      <c r="H99" s="631">
        <v>0.24</v>
      </c>
      <c r="I99" s="49">
        <v>0.88</v>
      </c>
      <c r="J99" s="90">
        <f>E99*G99*(1-H99)*1440/1000000*2.77</f>
        <v>59.265590400000001</v>
      </c>
      <c r="K99" s="90">
        <f>(IF(G99&lt;L99,L99,G99)*(1-IF(H99&lt;N99,H99,N99))*E99*O99*Q99)/100000000</f>
        <v>56.237069611267614</v>
      </c>
      <c r="L99" s="39">
        <v>1650</v>
      </c>
      <c r="M99" s="39">
        <v>1254</v>
      </c>
      <c r="N99" s="50">
        <f>1-(M99/L99)</f>
        <v>0.24</v>
      </c>
      <c r="O99" s="51">
        <f>+'Trim Rwd'!H75</f>
        <v>262.84507042253523</v>
      </c>
      <c r="P99" s="52">
        <f>O99*(Q99-R99-S99)</f>
        <v>343538.50704225356</v>
      </c>
      <c r="Q99" s="51">
        <v>1440</v>
      </c>
      <c r="R99" s="420">
        <v>0</v>
      </c>
      <c r="S99" s="420">
        <v>133</v>
      </c>
      <c r="T99" s="41">
        <f>E99*M99*O99*Q99/100000000</f>
        <v>54.583038152112685</v>
      </c>
      <c r="U99" s="41">
        <f>E99*M99*O99*(Q99-R99-S99)/100000000</f>
        <v>49.541688100563384</v>
      </c>
      <c r="V99" s="41">
        <f>E99*G99*(1-N99)*O99/100*(R99+S99)/1000000</f>
        <v>5.1941182349295776</v>
      </c>
      <c r="W99" s="41">
        <f>+'20'!K14/1000</f>
        <v>45.067999999999998</v>
      </c>
      <c r="X99" s="417">
        <f>SUM(W99:W102)/SUM(K99:K102)</f>
        <v>0.80139310798957797</v>
      </c>
      <c r="Y99" s="222">
        <v>0</v>
      </c>
      <c r="Z99" s="41">
        <f>+'20'!D7/1000</f>
        <v>0.33100000000000002</v>
      </c>
      <c r="AA99" s="53">
        <f>SUM(U99:U102)-SUM(W99:W102)-SUM(Z99:Z102)-SUM(Y99:Y102)</f>
        <v>4.1426881005633858</v>
      </c>
      <c r="AB99" s="53">
        <f>(SUM(K99:K102)-SUM(W99:W102)-SUM(Y99:Y102)-SUM(Z99:Z102)-SUM(AC99:AC102)-SUM(V99:V102))-AA99</f>
        <v>-0.15276818338027542</v>
      </c>
      <c r="AC99" s="41">
        <f>K99-T99</f>
        <v>1.654031459154929</v>
      </c>
      <c r="AD99" s="41">
        <f>+AM99+BA99</f>
        <v>80</v>
      </c>
      <c r="AE99" s="241" t="s">
        <v>728</v>
      </c>
      <c r="AF99" s="41">
        <v>80</v>
      </c>
      <c r="AG99" s="41"/>
      <c r="AH99" s="41"/>
      <c r="AI99" s="459"/>
      <c r="AJ99" s="41"/>
      <c r="AK99" s="41"/>
      <c r="AL99" s="41"/>
      <c r="AM99" s="41">
        <f>SUM(AF99:AL99)+AT99+AV99+AX99</f>
        <v>80</v>
      </c>
      <c r="AN99" s="41"/>
      <c r="AO99" s="41"/>
      <c r="AP99" s="41"/>
      <c r="AQ99" s="41"/>
      <c r="AR99" s="41">
        <f>SUM(AN99:AQ99)</f>
        <v>0</v>
      </c>
      <c r="AS99" s="41"/>
      <c r="AT99" s="41"/>
      <c r="AU99" s="41"/>
      <c r="AV99" s="41"/>
      <c r="AW99" s="41"/>
      <c r="AX99" s="41"/>
      <c r="AY99" s="41"/>
      <c r="AZ99" s="41"/>
      <c r="BA99" s="41">
        <f>+AR99+AS99+AU99+AW99+AY99+AZ99</f>
        <v>0</v>
      </c>
      <c r="BB99" s="37">
        <v>16</v>
      </c>
      <c r="BC99" s="55"/>
      <c r="BD99" s="55"/>
      <c r="BE99" s="37"/>
      <c r="BF99" s="55"/>
    </row>
    <row r="100" spans="1:58" ht="12.95" customHeight="1">
      <c r="A100" s="346"/>
      <c r="B100" s="45"/>
      <c r="C100" s="450"/>
      <c r="D100" s="45"/>
      <c r="E100" s="46"/>
      <c r="F100" s="46"/>
      <c r="G100" s="463"/>
      <c r="H100" s="48"/>
      <c r="I100" s="49"/>
      <c r="J100" s="90"/>
      <c r="K100" s="90"/>
      <c r="L100" s="39"/>
      <c r="M100" s="39"/>
      <c r="N100" s="50"/>
      <c r="O100" s="51"/>
      <c r="P100" s="52"/>
      <c r="Q100" s="51"/>
      <c r="R100" s="420"/>
      <c r="S100" s="420"/>
      <c r="T100" s="41"/>
      <c r="U100" s="41"/>
      <c r="V100" s="41"/>
      <c r="W100" s="41"/>
      <c r="X100" s="42"/>
      <c r="Y100" s="222"/>
      <c r="Z100" s="41"/>
      <c r="AA100" s="41"/>
      <c r="AB100" s="41"/>
      <c r="AC100" s="41"/>
      <c r="AD100" s="41">
        <f>+AM100+BA100</f>
        <v>18</v>
      </c>
      <c r="AE100" s="241" t="s">
        <v>658</v>
      </c>
      <c r="AF100" s="41"/>
      <c r="AG100" s="41">
        <v>18</v>
      </c>
      <c r="AH100" s="41"/>
      <c r="AI100" s="459"/>
      <c r="AJ100" s="41"/>
      <c r="AK100" s="41"/>
      <c r="AL100" s="41"/>
      <c r="AM100" s="41">
        <f>SUM(AF100:AL100)+AT100+AV100+AX100</f>
        <v>18</v>
      </c>
      <c r="AN100" s="91"/>
      <c r="AO100" s="41"/>
      <c r="AP100" s="41"/>
      <c r="AQ100" s="41"/>
      <c r="AR100" s="41">
        <f>SUM(AN100:AQ100)</f>
        <v>0</v>
      </c>
      <c r="AS100" s="41"/>
      <c r="AT100" s="41"/>
      <c r="AU100" s="41"/>
      <c r="AV100" s="41"/>
      <c r="AW100" s="41"/>
      <c r="AX100" s="41"/>
      <c r="AY100" s="41"/>
      <c r="AZ100" s="41"/>
      <c r="BA100" s="41">
        <f>+AR100+AS100+AU100+AW100+AY100+AZ100</f>
        <v>0</v>
      </c>
      <c r="BB100" s="54"/>
      <c r="BC100" s="55">
        <v>15</v>
      </c>
      <c r="BD100" s="55"/>
      <c r="BE100" s="54"/>
      <c r="BF100" s="55"/>
    </row>
    <row r="101" spans="1:58" ht="12.95" customHeight="1">
      <c r="A101" s="44"/>
      <c r="B101" s="45"/>
      <c r="C101" s="450"/>
      <c r="D101" s="45"/>
      <c r="E101" s="46"/>
      <c r="F101" s="46"/>
      <c r="G101" s="463"/>
      <c r="H101" s="48"/>
      <c r="I101" s="49"/>
      <c r="J101" s="90"/>
      <c r="K101" s="90"/>
      <c r="L101" s="39"/>
      <c r="M101" s="39"/>
      <c r="N101" s="50"/>
      <c r="O101" s="51"/>
      <c r="P101" s="52"/>
      <c r="Q101" s="51"/>
      <c r="R101" s="420"/>
      <c r="S101" s="420"/>
      <c r="T101" s="41"/>
      <c r="U101" s="41"/>
      <c r="V101" s="41"/>
      <c r="W101" s="41"/>
      <c r="X101" s="42"/>
      <c r="Y101" s="222"/>
      <c r="Z101" s="41"/>
      <c r="AA101" s="41"/>
      <c r="AB101" s="41"/>
      <c r="AC101" s="41"/>
      <c r="AD101" s="41">
        <f>+AM101+BA101</f>
        <v>35</v>
      </c>
      <c r="AE101" s="241" t="s">
        <v>729</v>
      </c>
      <c r="AF101" s="37"/>
      <c r="AG101" s="37"/>
      <c r="AH101" s="37">
        <v>35</v>
      </c>
      <c r="AJ101" s="41"/>
      <c r="AK101" s="41"/>
      <c r="AL101" s="41"/>
      <c r="AM101" s="41">
        <f>SUM(AF101:AL101)+AT101+AV101+AX101</f>
        <v>35</v>
      </c>
      <c r="AN101" s="41"/>
      <c r="AO101" s="41"/>
      <c r="AP101" s="41"/>
      <c r="AQ101" s="41"/>
      <c r="AR101" s="41">
        <f>SUM(AN101:AQ101)</f>
        <v>0</v>
      </c>
      <c r="AS101" s="41"/>
      <c r="AT101" s="41"/>
      <c r="AU101" s="41"/>
      <c r="AV101" s="41"/>
      <c r="AW101" s="41"/>
      <c r="AX101" s="41"/>
      <c r="AY101" s="41"/>
      <c r="AZ101" s="41"/>
      <c r="BA101" s="41">
        <f>+AR101+AS101+AU101+AW101+AY101+AZ101</f>
        <v>0</v>
      </c>
      <c r="BB101" s="37"/>
      <c r="BC101" s="57"/>
      <c r="BD101" s="57"/>
      <c r="BE101" s="37"/>
      <c r="BF101" s="57"/>
    </row>
    <row r="102" spans="1:58" ht="12.75" customHeight="1">
      <c r="A102" s="346"/>
      <c r="B102" s="45"/>
      <c r="C102" s="450"/>
      <c r="D102" s="45"/>
      <c r="E102" s="46"/>
      <c r="F102" s="46"/>
      <c r="G102" s="47"/>
      <c r="H102" s="48"/>
      <c r="I102" s="49"/>
      <c r="J102" s="90"/>
      <c r="K102" s="90"/>
      <c r="L102" s="39"/>
      <c r="M102" s="39"/>
      <c r="N102" s="50"/>
      <c r="O102" s="51"/>
      <c r="P102" s="52"/>
      <c r="Q102" s="51"/>
      <c r="R102" s="420"/>
      <c r="S102" s="420"/>
      <c r="T102" s="41"/>
      <c r="U102" s="41"/>
      <c r="V102" s="41"/>
      <c r="W102" s="41"/>
      <c r="X102" s="417"/>
      <c r="Y102" s="222"/>
      <c r="Z102" s="41"/>
      <c r="AA102" s="53"/>
      <c r="AB102" s="53"/>
      <c r="AC102" s="41"/>
      <c r="AD102" s="41"/>
      <c r="AE102" s="244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37"/>
      <c r="BC102" s="55"/>
      <c r="BD102" s="55"/>
      <c r="BE102" s="55"/>
      <c r="BF102" s="55"/>
    </row>
    <row r="103" spans="1:58" ht="12.75" customHeight="1">
      <c r="A103" s="346">
        <v>45859</v>
      </c>
      <c r="B103" s="45" t="s">
        <v>607</v>
      </c>
      <c r="C103" s="450">
        <f>(M103*E103*O103*Q103)/100000000</f>
        <v>54.511380000000003</v>
      </c>
      <c r="D103" s="45" t="s">
        <v>608</v>
      </c>
      <c r="E103" s="46">
        <v>11.5</v>
      </c>
      <c r="F103" s="46">
        <v>1</v>
      </c>
      <c r="G103" s="463">
        <v>1700</v>
      </c>
      <c r="H103" s="631">
        <v>0.24</v>
      </c>
      <c r="I103" s="49">
        <v>0.88</v>
      </c>
      <c r="J103" s="90">
        <f>E103*G103*(1-H103)*1440/1000000*2.77</f>
        <v>59.265590400000001</v>
      </c>
      <c r="K103" s="90">
        <f>(IF(G103&lt;L103,L103,G103)*(1-IF(H103&lt;N103,H103,N103))*E103*O103*Q103)/100000000</f>
        <v>56.163240000000002</v>
      </c>
      <c r="L103" s="39">
        <v>1650</v>
      </c>
      <c r="M103" s="39">
        <v>1254</v>
      </c>
      <c r="N103" s="50">
        <f>1-(M103/L103)</f>
        <v>0.24</v>
      </c>
      <c r="O103" s="51">
        <f>+'Trim Rwd'!H78</f>
        <v>262.5</v>
      </c>
      <c r="P103" s="52">
        <f>O103*(Q103-R103-S103)</f>
        <v>340200</v>
      </c>
      <c r="Q103" s="51">
        <v>1440</v>
      </c>
      <c r="R103" s="420">
        <v>0</v>
      </c>
      <c r="S103" s="420">
        <v>144</v>
      </c>
      <c r="T103" s="41">
        <f>E103*M103*O103*Q103/100000000</f>
        <v>54.511380000000003</v>
      </c>
      <c r="U103" s="41">
        <f>E103*M103*O103*(Q103-R103-S103)/100000000</f>
        <v>49.060242000000002</v>
      </c>
      <c r="V103" s="41">
        <f>E103*G103*(1-N103)*O103/100*(R103+S103)/1000000</f>
        <v>5.6163239999999996</v>
      </c>
      <c r="W103" s="41">
        <f>+'21'!K34/1000</f>
        <v>44.09</v>
      </c>
      <c r="X103" s="417">
        <f>SUM(W103:W106)/SUM(K103:K106)</f>
        <v>0.78503305720966243</v>
      </c>
      <c r="Y103" s="222">
        <v>0</v>
      </c>
      <c r="Z103" s="41">
        <f>+'21'!D34/1000</f>
        <v>0.32</v>
      </c>
      <c r="AA103" s="53">
        <f>SUM(U103:U106)-SUM(W103:W106)-SUM(Z103:Z106)-SUM(Y103:Y106)</f>
        <v>4.6502419999999987</v>
      </c>
      <c r="AB103" s="53">
        <f>(SUM(K103:K106)-SUM(W103:W106)-SUM(Y103:Y106)-SUM(Z103:Z106)-SUM(AC103:AC106)-SUM(V103:V106))-AA103</f>
        <v>-0.16518599999999939</v>
      </c>
      <c r="AC103" s="41">
        <f>K103-T103</f>
        <v>1.6518599999999992</v>
      </c>
      <c r="AD103" s="41">
        <f>+AM103+BA103</f>
        <v>95</v>
      </c>
      <c r="AE103" s="241" t="s">
        <v>740</v>
      </c>
      <c r="AF103" s="41">
        <v>95</v>
      </c>
      <c r="AG103" s="41"/>
      <c r="AH103" s="41"/>
      <c r="AI103" s="459"/>
      <c r="AJ103" s="41"/>
      <c r="AK103" s="41"/>
      <c r="AL103" s="41"/>
      <c r="AM103" s="41">
        <f>SUM(AF103:AL103)+AT103+AV103+AX103</f>
        <v>95</v>
      </c>
      <c r="AN103" s="41"/>
      <c r="AO103" s="41"/>
      <c r="AP103" s="41"/>
      <c r="AQ103" s="41"/>
      <c r="AR103" s="41">
        <f>SUM(AN103:AQ103)</f>
        <v>0</v>
      </c>
      <c r="AS103" s="41"/>
      <c r="AT103" s="41"/>
      <c r="AU103" s="41"/>
      <c r="AV103" s="41"/>
      <c r="AW103" s="41"/>
      <c r="AX103" s="41"/>
      <c r="AY103" s="41"/>
      <c r="AZ103" s="41"/>
      <c r="BA103" s="41">
        <f>+AR103+AS103+AU103+AW103+AY103+AZ103</f>
        <v>0</v>
      </c>
      <c r="BB103" s="37">
        <v>19</v>
      </c>
      <c r="BC103" s="55"/>
      <c r="BD103" s="55"/>
      <c r="BE103" s="37"/>
      <c r="BF103" s="55"/>
    </row>
    <row r="104" spans="1:58" ht="12.95" customHeight="1">
      <c r="A104" s="346"/>
      <c r="B104" s="45"/>
      <c r="C104" s="450"/>
      <c r="D104" s="45"/>
      <c r="E104" s="46"/>
      <c r="F104" s="46"/>
      <c r="G104" s="463"/>
      <c r="H104" s="48"/>
      <c r="I104" s="49"/>
      <c r="J104" s="90"/>
      <c r="K104" s="90"/>
      <c r="L104" s="39"/>
      <c r="M104" s="39"/>
      <c r="N104" s="50"/>
      <c r="O104" s="51"/>
      <c r="P104" s="52"/>
      <c r="Q104" s="51"/>
      <c r="R104" s="420"/>
      <c r="S104" s="420"/>
      <c r="T104" s="41"/>
      <c r="U104" s="41"/>
      <c r="V104" s="41"/>
      <c r="W104" s="41"/>
      <c r="X104" s="42"/>
      <c r="Y104" s="222"/>
      <c r="Z104" s="41"/>
      <c r="AA104" s="41"/>
      <c r="AB104" s="41"/>
      <c r="AC104" s="41"/>
      <c r="AD104" s="41">
        <f>+AM104+BA104</f>
        <v>19</v>
      </c>
      <c r="AE104" s="241" t="s">
        <v>741</v>
      </c>
      <c r="AF104" s="41"/>
      <c r="AG104" s="41">
        <v>19</v>
      </c>
      <c r="AH104" s="41"/>
      <c r="AI104" s="459"/>
      <c r="AJ104" s="41"/>
      <c r="AK104" s="41"/>
      <c r="AL104" s="41"/>
      <c r="AM104" s="41">
        <f>SUM(AF104:AL104)+AT104+AV104+AX104</f>
        <v>19</v>
      </c>
      <c r="AN104" s="91"/>
      <c r="AO104" s="41"/>
      <c r="AP104" s="41"/>
      <c r="AQ104" s="41"/>
      <c r="AR104" s="41">
        <f>SUM(AN104:AQ104)</f>
        <v>0</v>
      </c>
      <c r="AS104" s="41"/>
      <c r="AT104" s="41"/>
      <c r="AU104" s="41"/>
      <c r="AV104" s="41"/>
      <c r="AW104" s="41"/>
      <c r="AX104" s="41"/>
      <c r="AY104" s="41"/>
      <c r="AZ104" s="41"/>
      <c r="BA104" s="41">
        <f>+AR104+AS104+AU104+AW104+AY104+AZ104</f>
        <v>0</v>
      </c>
      <c r="BB104" s="54"/>
      <c r="BC104" s="55">
        <v>9</v>
      </c>
      <c r="BD104" s="55"/>
      <c r="BE104" s="54"/>
      <c r="BF104" s="55"/>
    </row>
    <row r="105" spans="1:58" ht="12.95" customHeight="1">
      <c r="A105" s="44"/>
      <c r="B105" s="45"/>
      <c r="C105" s="450"/>
      <c r="D105" s="45"/>
      <c r="E105" s="46"/>
      <c r="F105" s="46"/>
      <c r="G105" s="463"/>
      <c r="H105" s="48"/>
      <c r="I105" s="49"/>
      <c r="J105" s="90"/>
      <c r="K105" s="90"/>
      <c r="L105" s="39"/>
      <c r="M105" s="39"/>
      <c r="N105" s="50"/>
      <c r="O105" s="51"/>
      <c r="P105" s="52"/>
      <c r="Q105" s="51"/>
      <c r="R105" s="420"/>
      <c r="S105" s="420"/>
      <c r="T105" s="41"/>
      <c r="U105" s="41"/>
      <c r="V105" s="41"/>
      <c r="W105" s="41"/>
      <c r="X105" s="42"/>
      <c r="Y105" s="222"/>
      <c r="Z105" s="41"/>
      <c r="AA105" s="41"/>
      <c r="AB105" s="41"/>
      <c r="AC105" s="41"/>
      <c r="AD105" s="41">
        <f>+AM105+BA105</f>
        <v>30</v>
      </c>
      <c r="AE105" s="241" t="s">
        <v>742</v>
      </c>
      <c r="AF105" s="37"/>
      <c r="AG105" s="37"/>
      <c r="AH105" s="37">
        <v>30</v>
      </c>
      <c r="AJ105" s="41"/>
      <c r="AK105" s="41"/>
      <c r="AL105" s="41"/>
      <c r="AM105" s="41">
        <f>SUM(AF105:AL105)+AT105+AV105+AX105</f>
        <v>30</v>
      </c>
      <c r="AN105" s="41"/>
      <c r="AO105" s="41"/>
      <c r="AP105" s="41"/>
      <c r="AQ105" s="41"/>
      <c r="AR105" s="41">
        <f>SUM(AN105:AQ105)</f>
        <v>0</v>
      </c>
      <c r="AS105" s="41"/>
      <c r="AT105" s="41"/>
      <c r="AU105" s="41"/>
      <c r="AV105" s="41"/>
      <c r="AW105" s="41"/>
      <c r="AX105" s="41"/>
      <c r="AY105" s="41"/>
      <c r="AZ105" s="41"/>
      <c r="BA105" s="41">
        <f>+AR105+AS105+AU105+AW105+AY105+AZ105</f>
        <v>0</v>
      </c>
      <c r="BB105" s="37"/>
      <c r="BC105" s="57"/>
      <c r="BD105" s="57"/>
      <c r="BE105" s="37"/>
      <c r="BF105" s="57"/>
    </row>
    <row r="106" spans="1:58" ht="12.95" customHeight="1">
      <c r="A106" s="346"/>
      <c r="B106" s="45"/>
      <c r="C106" s="450"/>
      <c r="D106" s="45"/>
      <c r="E106" s="46"/>
      <c r="F106" s="46"/>
      <c r="G106" s="47"/>
      <c r="H106" s="48"/>
      <c r="I106" s="49"/>
      <c r="J106" s="90"/>
      <c r="K106" s="90"/>
      <c r="L106" s="39"/>
      <c r="M106" s="39"/>
      <c r="N106" s="50"/>
      <c r="O106" s="51"/>
      <c r="P106" s="52"/>
      <c r="Q106" s="51"/>
      <c r="R106" s="420"/>
      <c r="S106" s="420"/>
      <c r="T106" s="41"/>
      <c r="U106" s="41"/>
      <c r="V106" s="41"/>
      <c r="W106" s="41"/>
      <c r="X106" s="417"/>
      <c r="Y106" s="222"/>
      <c r="Z106" s="41"/>
      <c r="AA106" s="53"/>
      <c r="AB106" s="53"/>
      <c r="AC106" s="41"/>
      <c r="AD106" s="41"/>
      <c r="AE106" s="244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37"/>
      <c r="BC106" s="55"/>
      <c r="BD106" s="55"/>
      <c r="BE106" s="55"/>
      <c r="BF106" s="55"/>
    </row>
    <row r="107" spans="1:58" ht="12.75" customHeight="1">
      <c r="A107" s="346">
        <v>45860</v>
      </c>
      <c r="B107" s="45" t="s">
        <v>607</v>
      </c>
      <c r="C107" s="450">
        <f>(M107*E107*O107*Q107)/100000000</f>
        <v>18.170459999999999</v>
      </c>
      <c r="D107" s="45" t="s">
        <v>608</v>
      </c>
      <c r="E107" s="46">
        <v>11.5</v>
      </c>
      <c r="F107" s="46">
        <v>1</v>
      </c>
      <c r="G107" s="463">
        <v>1700</v>
      </c>
      <c r="H107" s="631">
        <v>0.24</v>
      </c>
      <c r="I107" s="49">
        <v>0.88</v>
      </c>
      <c r="J107" s="90">
        <f>E107*G107*(1-H107)*1440/1000000*2.77</f>
        <v>59.265590400000001</v>
      </c>
      <c r="K107" s="90">
        <f>(IF(G107&lt;L107,L107,G107)*(1-IF(H107&lt;N107,H107,N107))*E107*O107*Q107)/100000000</f>
        <v>18.721080000000001</v>
      </c>
      <c r="L107" s="39">
        <v>1650</v>
      </c>
      <c r="M107" s="39">
        <v>1254</v>
      </c>
      <c r="N107" s="50">
        <f>1-(M107/L107)</f>
        <v>0.24</v>
      </c>
      <c r="O107" s="51">
        <f>+'Trim Rwd'!H80</f>
        <v>262.5</v>
      </c>
      <c r="P107" s="52">
        <f>O107*(Q107-R107-S107)</f>
        <v>118125</v>
      </c>
      <c r="Q107" s="51">
        <v>480</v>
      </c>
      <c r="R107" s="420">
        <v>0</v>
      </c>
      <c r="S107" s="420">
        <v>30</v>
      </c>
      <c r="T107" s="41">
        <f>E107*M107*O107*Q107/100000000</f>
        <v>18.170459999999999</v>
      </c>
      <c r="U107" s="41">
        <f>E107*M107*O107*(Q107-R107-S107)/100000000</f>
        <v>17.034806249999999</v>
      </c>
      <c r="V107" s="41">
        <f>E107*G107*(1-N107)*O107/100*(R107+S107)/1000000</f>
        <v>1.1700675</v>
      </c>
      <c r="W107" s="41">
        <f>+'22'!K14/1000</f>
        <v>3.42</v>
      </c>
      <c r="X107" s="417">
        <f>SUM(W107:W110)/SUM(K107:K110)</f>
        <v>0.82502237366406905</v>
      </c>
      <c r="Y107" s="222">
        <v>0</v>
      </c>
      <c r="Z107" s="41">
        <v>0</v>
      </c>
      <c r="AA107" s="53">
        <f>SUM(U107:U110)-SUM(W107:W110)-SUM(Z107:Z110)-SUM(Y107:Y110)</f>
        <v>3.9983687500000009</v>
      </c>
      <c r="AB107" s="53">
        <f>(SUM(K107:K110)-SUM(W107:W110)-SUM(Y107:Y110)-SUM(Z107:Z110)-SUM(AC107:AC110)-SUM(V107:V110))-AA107</f>
        <v>-0.10561273648649294</v>
      </c>
      <c r="AC107" s="41">
        <f>K107-T107</f>
        <v>0.55062000000000211</v>
      </c>
      <c r="AD107" s="41">
        <f>+AM107+BA107</f>
        <v>70</v>
      </c>
      <c r="AE107" s="241" t="s">
        <v>750</v>
      </c>
      <c r="AF107" s="41">
        <v>70</v>
      </c>
      <c r="AG107" s="41"/>
      <c r="AH107" s="41"/>
      <c r="AI107" s="459"/>
      <c r="AJ107" s="41"/>
      <c r="AK107" s="41"/>
      <c r="AL107" s="41"/>
      <c r="AM107" s="41">
        <f>SUM(AF107:AL107)+AT107+AV107+AX107</f>
        <v>70</v>
      </c>
      <c r="AN107" s="41"/>
      <c r="AO107" s="41"/>
      <c r="AP107" s="41"/>
      <c r="AQ107" s="41"/>
      <c r="AR107" s="41">
        <f>SUM(AN107:AQ107)</f>
        <v>0</v>
      </c>
      <c r="AS107" s="41"/>
      <c r="AT107" s="41"/>
      <c r="AU107" s="41"/>
      <c r="AV107" s="41"/>
      <c r="AW107" s="41"/>
      <c r="AX107" s="41"/>
      <c r="AY107" s="41"/>
      <c r="AZ107" s="41"/>
      <c r="BA107" s="41">
        <f>+AR107+AS107+AU107+AW107+AY107+AZ107</f>
        <v>0</v>
      </c>
      <c r="BB107" s="37">
        <v>14</v>
      </c>
      <c r="BC107" s="55"/>
      <c r="BD107" s="55"/>
      <c r="BE107" s="37"/>
      <c r="BF107" s="55"/>
    </row>
    <row r="108" spans="1:58" ht="12.95" customHeight="1">
      <c r="A108" s="346"/>
      <c r="B108" s="45" t="s">
        <v>607</v>
      </c>
      <c r="C108" s="450">
        <f>(M108*E108*O108*Q108)/100000000</f>
        <v>38.253599999999999</v>
      </c>
      <c r="D108" s="45" t="s">
        <v>608</v>
      </c>
      <c r="E108" s="46">
        <v>12</v>
      </c>
      <c r="F108" s="46">
        <v>1</v>
      </c>
      <c r="G108" s="463">
        <v>1700</v>
      </c>
      <c r="H108" s="631">
        <v>0.24</v>
      </c>
      <c r="I108" s="49">
        <v>0.88</v>
      </c>
      <c r="J108" s="90">
        <f>E108*G108*(1-H108)*1440/1000000*2.77</f>
        <v>61.8423552</v>
      </c>
      <c r="K108" s="90">
        <f>(IF(G108&lt;L108,L108,G108)*(1-IF(H108&lt;N108,H108,N108))*E108*O108*Q108)/100000000</f>
        <v>39.070079999999997</v>
      </c>
      <c r="L108" s="39">
        <v>1665</v>
      </c>
      <c r="M108" s="39">
        <v>1265</v>
      </c>
      <c r="N108" s="50">
        <f>1-(M108/L108)</f>
        <v>0.24024024024024027</v>
      </c>
      <c r="O108" s="51">
        <f>+'Trim Rwd'!H81</f>
        <v>262.5</v>
      </c>
      <c r="P108" s="52">
        <f>O108*(Q108-R108-S108)</f>
        <v>229687.5</v>
      </c>
      <c r="Q108" s="51">
        <v>960</v>
      </c>
      <c r="R108" s="420">
        <v>0</v>
      </c>
      <c r="S108" s="420">
        <v>85</v>
      </c>
      <c r="T108" s="41">
        <f>E108*M108*O108*Q108/100000000</f>
        <v>38.253599999999999</v>
      </c>
      <c r="U108" s="41">
        <f>E108*M108*O108*(Q108-R108-S108)/100000000</f>
        <v>34.866562500000001</v>
      </c>
      <c r="V108" s="41">
        <f>E108*G108*(1-N108)*O108/100*(R108+S108)/1000000</f>
        <v>3.458236486486487</v>
      </c>
      <c r="W108" s="41">
        <f>+'22'!K13/1000</f>
        <v>44.259</v>
      </c>
      <c r="X108" s="42"/>
      <c r="Y108" s="222"/>
      <c r="Z108" s="41">
        <f>+'22'!D16/1000</f>
        <v>0.224</v>
      </c>
      <c r="AA108" s="41"/>
      <c r="AB108" s="41"/>
      <c r="AC108" s="41">
        <f>K108-T108</f>
        <v>0.81647999999999854</v>
      </c>
      <c r="AD108" s="41">
        <f>+AM108+BA108</f>
        <v>15</v>
      </c>
      <c r="AE108" s="241" t="s">
        <v>689</v>
      </c>
      <c r="AF108" s="41"/>
      <c r="AG108" s="41">
        <v>15</v>
      </c>
      <c r="AH108" s="41"/>
      <c r="AI108" s="459"/>
      <c r="AJ108" s="41"/>
      <c r="AK108" s="41"/>
      <c r="AL108" s="41"/>
      <c r="AM108" s="41">
        <f>SUM(AF108:AL108)+AT108+AV108+AX108</f>
        <v>15</v>
      </c>
      <c r="AN108" s="91"/>
      <c r="AO108" s="41"/>
      <c r="AP108" s="41"/>
      <c r="AQ108" s="41"/>
      <c r="AR108" s="41">
        <f>SUM(AN108:AQ108)</f>
        <v>0</v>
      </c>
      <c r="AS108" s="41"/>
      <c r="AT108" s="41"/>
      <c r="AU108" s="41"/>
      <c r="AV108" s="41"/>
      <c r="AW108" s="41"/>
      <c r="AX108" s="41"/>
      <c r="AY108" s="41"/>
      <c r="AZ108" s="41"/>
      <c r="BA108" s="41">
        <f>+AR108+AS108+AU108+AW108+AY108+AZ108</f>
        <v>0</v>
      </c>
      <c r="BB108" s="54"/>
      <c r="BC108" s="55">
        <v>14</v>
      </c>
      <c r="BD108" s="55"/>
      <c r="BE108" s="54"/>
      <c r="BF108" s="55"/>
    </row>
    <row r="109" spans="1:58" ht="12.95" customHeight="1">
      <c r="A109" s="44"/>
      <c r="B109" s="45"/>
      <c r="C109" s="450"/>
      <c r="D109" s="45"/>
      <c r="E109" s="46"/>
      <c r="F109" s="46"/>
      <c r="G109" s="463"/>
      <c r="H109" s="48"/>
      <c r="I109" s="49"/>
      <c r="J109" s="90"/>
      <c r="K109" s="90"/>
      <c r="L109" s="39"/>
      <c r="M109" s="39"/>
      <c r="N109" s="50"/>
      <c r="O109" s="51"/>
      <c r="P109" s="52"/>
      <c r="Q109" s="51"/>
      <c r="R109" s="420"/>
      <c r="S109" s="420"/>
      <c r="T109" s="41"/>
      <c r="U109" s="41"/>
      <c r="V109" s="41"/>
      <c r="W109" s="41"/>
      <c r="X109" s="42"/>
      <c r="Y109" s="222"/>
      <c r="Z109" s="41"/>
      <c r="AA109" s="41"/>
      <c r="AB109" s="41"/>
      <c r="AC109" s="41"/>
      <c r="AD109" s="41">
        <f>+AM109+BA109</f>
        <v>30</v>
      </c>
      <c r="AE109" s="241" t="s">
        <v>490</v>
      </c>
      <c r="AF109" s="37"/>
      <c r="AG109" s="37"/>
      <c r="AH109" s="37">
        <v>30</v>
      </c>
      <c r="AI109" s="459"/>
      <c r="AJ109" s="41"/>
      <c r="AK109" s="41"/>
      <c r="AL109" s="41"/>
      <c r="AM109" s="41">
        <f>SUM(AF109:AL109)+AT109+AV109+AX109</f>
        <v>30</v>
      </c>
      <c r="AN109" s="41"/>
      <c r="AO109" s="41"/>
      <c r="AP109" s="41"/>
      <c r="AQ109" s="41"/>
      <c r="AR109" s="41">
        <f>SUM(AN109:AQ109)</f>
        <v>0</v>
      </c>
      <c r="AS109" s="41"/>
      <c r="AT109" s="41"/>
      <c r="AU109" s="41"/>
      <c r="AV109" s="41"/>
      <c r="AW109" s="41"/>
      <c r="AX109" s="41"/>
      <c r="AY109" s="41"/>
      <c r="AZ109" s="41"/>
      <c r="BA109" s="41">
        <f>+AR109+AS109+AU109+AW109+AY109+AZ109</f>
        <v>0</v>
      </c>
      <c r="BB109" s="37"/>
      <c r="BC109" s="57"/>
      <c r="BD109" s="57"/>
      <c r="BE109" s="37"/>
      <c r="BF109" s="57"/>
    </row>
    <row r="110" spans="1:58" ht="12.95" customHeight="1">
      <c r="A110" s="44"/>
      <c r="B110" s="45"/>
      <c r="C110" s="450"/>
      <c r="D110" s="45"/>
      <c r="E110" s="46"/>
      <c r="F110" s="46"/>
      <c r="G110" s="463"/>
      <c r="H110" s="48"/>
      <c r="I110" s="49"/>
      <c r="J110" s="90"/>
      <c r="K110" s="90"/>
      <c r="L110" s="39"/>
      <c r="M110" s="39"/>
      <c r="N110" s="50"/>
      <c r="O110" s="51"/>
      <c r="P110" s="52"/>
      <c r="Q110" s="51"/>
      <c r="R110" s="420"/>
      <c r="S110" s="420"/>
      <c r="T110" s="41"/>
      <c r="U110" s="41"/>
      <c r="V110" s="41"/>
      <c r="W110" s="41"/>
      <c r="X110" s="42"/>
      <c r="Y110" s="222"/>
      <c r="Z110" s="41"/>
      <c r="AA110" s="41"/>
      <c r="AB110" s="41"/>
      <c r="AC110" s="41"/>
      <c r="AD110" s="41"/>
      <c r="AE110" s="241"/>
      <c r="AF110" s="37"/>
      <c r="AG110" s="37"/>
      <c r="AH110" s="37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37"/>
      <c r="BC110" s="57"/>
      <c r="BD110" s="55"/>
      <c r="BE110" s="55"/>
      <c r="BF110" s="55"/>
    </row>
    <row r="111" spans="1:58" ht="12.75" customHeight="1">
      <c r="A111" s="346">
        <v>45861</v>
      </c>
      <c r="B111" s="45" t="s">
        <v>607</v>
      </c>
      <c r="C111" s="450">
        <f>(M111*E111*O111*Q111)/100000000</f>
        <v>58.33296</v>
      </c>
      <c r="D111" s="45" t="s">
        <v>608</v>
      </c>
      <c r="E111" s="46">
        <v>12</v>
      </c>
      <c r="F111" s="46">
        <v>1</v>
      </c>
      <c r="G111" s="463">
        <v>1700</v>
      </c>
      <c r="H111" s="631">
        <v>0.24</v>
      </c>
      <c r="I111" s="49">
        <v>0.88</v>
      </c>
      <c r="J111" s="90">
        <f>E111*G111*(1-H111)*1440/1000000*2.77</f>
        <v>61.8423552</v>
      </c>
      <c r="K111" s="90">
        <f>(IF(G111&lt;L111,L111,G111)*(1-IF(H111&lt;N111,H111,N111))*E111*O111*Q111)/100000000</f>
        <v>58.605119999999999</v>
      </c>
      <c r="L111" s="39">
        <v>1693</v>
      </c>
      <c r="M111" s="39">
        <v>1286</v>
      </c>
      <c r="N111" s="50">
        <f>1-(M111/L111)</f>
        <v>0.2404016538688718</v>
      </c>
      <c r="O111" s="51">
        <f>+'Trim Rwd'!H83</f>
        <v>262.5</v>
      </c>
      <c r="P111" s="52">
        <f>O111*(Q111-R111-S111)</f>
        <v>339412.5</v>
      </c>
      <c r="Q111" s="51">
        <v>1440</v>
      </c>
      <c r="R111" s="420">
        <v>0</v>
      </c>
      <c r="S111" s="420">
        <v>147</v>
      </c>
      <c r="T111" s="41">
        <f>E111*M111*O111*Q111/100000000</f>
        <v>58.33296</v>
      </c>
      <c r="U111" s="41">
        <f>E111*M111*O111*(Q111-R111-S111)/100000000</f>
        <v>52.378137000000002</v>
      </c>
      <c r="V111" s="41">
        <f>E111*G111*(1-N111)*O111/100*(R111+S111)/1000000</f>
        <v>5.9794442409923212</v>
      </c>
      <c r="W111" s="41">
        <f>+'23'!K34/1000</f>
        <v>42.927999999999997</v>
      </c>
      <c r="X111" s="417">
        <f>SUM(W111:W114)/SUM(K111:K114)</f>
        <v>0.73249572733576862</v>
      </c>
      <c r="Y111" s="222">
        <v>0</v>
      </c>
      <c r="Z111" s="41">
        <f>+'23'!D34/1000</f>
        <v>0.78</v>
      </c>
      <c r="AA111" s="53">
        <f>SUM(U111:U114)-SUM(W111:W114)-SUM(Z111:Z114)-SUM(Y111:Y114)</f>
        <v>8.6701370000000058</v>
      </c>
      <c r="AB111" s="53">
        <f>(SUM(K111:K114)-SUM(W111:W114)-SUM(Y111:Y114)-SUM(Z111:Z114)-SUM(AC111:AC114)-SUM(V111:V114))-AA111</f>
        <v>-2.4621240992322768E-2</v>
      </c>
      <c r="AC111" s="41">
        <f>K111-T111</f>
        <v>0.27215999999999951</v>
      </c>
      <c r="AD111" s="41">
        <f>+AM111+BA111</f>
        <v>75</v>
      </c>
      <c r="AE111" s="241" t="s">
        <v>711</v>
      </c>
      <c r="AF111" s="41">
        <v>75</v>
      </c>
      <c r="AG111" s="41"/>
      <c r="AH111" s="41"/>
      <c r="AI111" s="459"/>
      <c r="AJ111" s="41"/>
      <c r="AK111" s="41"/>
      <c r="AL111" s="41"/>
      <c r="AM111" s="41">
        <f>SUM(AF111:AL111)+AT111+AV111+AX111</f>
        <v>75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>
        <v>15</v>
      </c>
      <c r="BC111" s="55"/>
      <c r="BD111" s="55"/>
      <c r="BE111" s="37"/>
      <c r="BF111" s="55"/>
    </row>
    <row r="112" spans="1:58" ht="12.95" customHeight="1">
      <c r="A112" s="346"/>
      <c r="B112" s="45"/>
      <c r="C112" s="450"/>
      <c r="D112" s="45"/>
      <c r="E112" s="46"/>
      <c r="F112" s="46"/>
      <c r="G112" s="463"/>
      <c r="H112" s="48"/>
      <c r="I112" s="49"/>
      <c r="J112" s="90"/>
      <c r="K112" s="90"/>
      <c r="L112" s="39"/>
      <c r="M112" s="39"/>
      <c r="N112" s="50"/>
      <c r="O112" s="51"/>
      <c r="P112" s="52"/>
      <c r="Q112" s="51"/>
      <c r="R112" s="420"/>
      <c r="S112" s="420"/>
      <c r="T112" s="41"/>
      <c r="U112" s="41"/>
      <c r="V112" s="41"/>
      <c r="W112" s="41"/>
      <c r="X112" s="42"/>
      <c r="Y112" s="222"/>
      <c r="Z112" s="41"/>
      <c r="AA112" s="41"/>
      <c r="AB112" s="41"/>
      <c r="AC112" s="41"/>
      <c r="AD112" s="41">
        <f>+AM112+BA112</f>
        <v>22</v>
      </c>
      <c r="AE112" s="241" t="s">
        <v>625</v>
      </c>
      <c r="AF112" s="41"/>
      <c r="AG112" s="41">
        <v>22</v>
      </c>
      <c r="AH112" s="41"/>
      <c r="AI112" s="459"/>
      <c r="AJ112" s="41"/>
      <c r="AK112" s="41"/>
      <c r="AL112" s="41"/>
      <c r="AM112" s="41">
        <f>SUM(AF112:AL112)+AT112+AV112+AX112</f>
        <v>22</v>
      </c>
      <c r="AN112" s="91"/>
      <c r="AO112" s="41"/>
      <c r="AP112" s="41"/>
      <c r="AQ112" s="41"/>
      <c r="AR112" s="41">
        <f>SUM(AN112:AQ112)</f>
        <v>0</v>
      </c>
      <c r="AS112" s="41"/>
      <c r="AT112" s="41"/>
      <c r="AU112" s="41"/>
      <c r="AV112" s="41"/>
      <c r="AW112" s="41"/>
      <c r="AX112" s="41"/>
      <c r="AY112" s="41"/>
      <c r="AZ112" s="41"/>
      <c r="BA112" s="41">
        <f>+AR112+AS112+AU112+AW112+AY112+AZ112</f>
        <v>0</v>
      </c>
      <c r="BB112" s="54"/>
      <c r="BC112" s="55">
        <v>18</v>
      </c>
      <c r="BD112" s="55"/>
      <c r="BE112" s="54"/>
      <c r="BF112" s="55"/>
    </row>
    <row r="113" spans="1:58" ht="12.95" customHeight="1">
      <c r="A113" s="44"/>
      <c r="B113" s="45"/>
      <c r="C113" s="450"/>
      <c r="D113" s="45"/>
      <c r="E113" s="46"/>
      <c r="F113" s="46"/>
      <c r="G113" s="463"/>
      <c r="H113" s="48"/>
      <c r="I113" s="49"/>
      <c r="J113" s="90"/>
      <c r="K113" s="90"/>
      <c r="L113" s="39"/>
      <c r="M113" s="39"/>
      <c r="N113" s="50"/>
      <c r="O113" s="51"/>
      <c r="P113" s="52"/>
      <c r="Q113" s="51"/>
      <c r="R113" s="420"/>
      <c r="S113" s="420"/>
      <c r="T113" s="41"/>
      <c r="U113" s="41"/>
      <c r="V113" s="41"/>
      <c r="W113" s="41"/>
      <c r="X113" s="42"/>
      <c r="Y113" s="222"/>
      <c r="Z113" s="41"/>
      <c r="AA113" s="41"/>
      <c r="AB113" s="41"/>
      <c r="AC113" s="41"/>
      <c r="AD113" s="41">
        <f>+AM113+BA113</f>
        <v>32</v>
      </c>
      <c r="AE113" s="241" t="s">
        <v>516</v>
      </c>
      <c r="AF113" s="37"/>
      <c r="AG113" s="37"/>
      <c r="AH113" s="37">
        <v>32</v>
      </c>
      <c r="AI113" s="459"/>
      <c r="AJ113" s="41"/>
      <c r="AK113" s="41"/>
      <c r="AL113" s="41"/>
      <c r="AM113" s="41">
        <f>SUM(AF113:AL113)+AT113+AV113+AX113</f>
        <v>32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/>
      <c r="BC113" s="57"/>
      <c r="BD113" s="57"/>
      <c r="BE113" s="37"/>
      <c r="BF113" s="57"/>
    </row>
    <row r="114" spans="1:58" ht="12.95" customHeight="1">
      <c r="A114" s="44"/>
      <c r="B114" s="45"/>
      <c r="C114" s="450"/>
      <c r="D114" s="45"/>
      <c r="E114" s="46"/>
      <c r="F114" s="46"/>
      <c r="G114" s="463"/>
      <c r="H114" s="48"/>
      <c r="I114" s="49"/>
      <c r="J114" s="90"/>
      <c r="K114" s="90"/>
      <c r="L114" s="39"/>
      <c r="M114" s="39"/>
      <c r="N114" s="50"/>
      <c r="O114" s="51"/>
      <c r="P114" s="52"/>
      <c r="Q114" s="51"/>
      <c r="R114" s="420"/>
      <c r="S114" s="420"/>
      <c r="T114" s="41"/>
      <c r="U114" s="41"/>
      <c r="V114" s="41"/>
      <c r="W114" s="41"/>
      <c r="X114" s="42"/>
      <c r="Y114" s="222"/>
      <c r="Z114" s="41"/>
      <c r="AA114" s="41"/>
      <c r="AB114" s="41"/>
      <c r="AC114" s="41"/>
      <c r="AD114" s="41">
        <f>+AM114+BA114</f>
        <v>18</v>
      </c>
      <c r="AE114" s="244" t="s">
        <v>761</v>
      </c>
      <c r="AF114" s="37"/>
      <c r="AG114" s="37"/>
      <c r="AH114" s="37"/>
      <c r="AJ114" s="41"/>
      <c r="AK114" s="41">
        <v>18</v>
      </c>
      <c r="AL114" s="41"/>
      <c r="AM114" s="41">
        <f>SUM(AF114:AL114)+AT114+AV114+AX114</f>
        <v>18</v>
      </c>
      <c r="AN114" s="41"/>
      <c r="AO114" s="41"/>
      <c r="AP114" s="41"/>
      <c r="AQ114" s="41"/>
      <c r="AR114" s="41">
        <f>SUM(AN114:AQ114)</f>
        <v>0</v>
      </c>
      <c r="AS114" s="41"/>
      <c r="AT114" s="41"/>
      <c r="AU114" s="41"/>
      <c r="AV114" s="41"/>
      <c r="AW114" s="41"/>
      <c r="AX114" s="41"/>
      <c r="AY114" s="41"/>
      <c r="AZ114" s="41"/>
      <c r="BA114" s="41">
        <f>+AR114+AS114+AU114+AW114+AY114+AZ114</f>
        <v>0</v>
      </c>
      <c r="BB114" s="37"/>
      <c r="BC114" s="57"/>
      <c r="BD114" s="57"/>
      <c r="BE114" s="37"/>
      <c r="BF114" s="57"/>
    </row>
    <row r="115" spans="1:58" ht="12.95" customHeight="1">
      <c r="A115" s="346"/>
      <c r="B115" s="45"/>
      <c r="C115" s="450"/>
      <c r="D115" s="45"/>
      <c r="E115" s="46"/>
      <c r="F115" s="46"/>
      <c r="G115" s="47"/>
      <c r="H115" s="48"/>
      <c r="I115" s="49"/>
      <c r="J115" s="90"/>
      <c r="K115" s="90"/>
      <c r="L115" s="39"/>
      <c r="M115" s="39"/>
      <c r="N115" s="50"/>
      <c r="O115" s="51"/>
      <c r="P115" s="52"/>
      <c r="Q115" s="51"/>
      <c r="R115" s="420"/>
      <c r="S115" s="420"/>
      <c r="T115" s="41"/>
      <c r="U115" s="41"/>
      <c r="V115" s="41"/>
      <c r="W115" s="41"/>
      <c r="X115" s="417"/>
      <c r="Y115" s="222"/>
      <c r="Z115" s="41"/>
      <c r="AA115" s="53"/>
      <c r="AB115" s="53"/>
      <c r="AC115" s="41"/>
      <c r="AD115" s="41"/>
      <c r="AE115" s="2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37"/>
      <c r="BC115" s="55"/>
      <c r="BD115" s="55"/>
      <c r="BE115" s="55"/>
      <c r="BF115" s="55"/>
    </row>
    <row r="116" spans="1:58" ht="12.75" customHeight="1">
      <c r="A116" s="346">
        <v>45862</v>
      </c>
      <c r="B116" s="45" t="s">
        <v>607</v>
      </c>
      <c r="C116" s="450">
        <f>(M116*E116*O116*Q116)/100000000</f>
        <v>44.918738911807232</v>
      </c>
      <c r="D116" s="45" t="s">
        <v>608</v>
      </c>
      <c r="E116" s="46">
        <v>12</v>
      </c>
      <c r="F116" s="46">
        <v>1</v>
      </c>
      <c r="G116" s="463">
        <v>1700</v>
      </c>
      <c r="H116" s="631">
        <v>0.24</v>
      </c>
      <c r="I116" s="49">
        <v>0.88</v>
      </c>
      <c r="J116" s="90">
        <f>E116*G116*(1-H116)*1440/1000000*2.77</f>
        <v>61.8423552</v>
      </c>
      <c r="K116" s="90">
        <f>(IF(G116&lt;L116,L116,G116)*(1-IF(H116&lt;N116,H116,N116))*E116*O116*Q116)/100000000</f>
        <v>44.918738911807232</v>
      </c>
      <c r="L116" s="39">
        <v>1700</v>
      </c>
      <c r="M116" s="39">
        <v>1292</v>
      </c>
      <c r="N116" s="50">
        <f>1-(M116/L116)</f>
        <v>0.24</v>
      </c>
      <c r="O116" s="51">
        <f>+'Trim Rwd'!H85</f>
        <v>262.6686746987952</v>
      </c>
      <c r="P116" s="52">
        <f>O116*(Q116-R116-S116)</f>
        <v>267396.7108433735</v>
      </c>
      <c r="Q116" s="51">
        <v>1103</v>
      </c>
      <c r="R116" s="420">
        <v>0</v>
      </c>
      <c r="S116" s="420">
        <v>85</v>
      </c>
      <c r="T116" s="41">
        <f>E116*M116*O116*Q116/100000000</f>
        <v>44.918738911807232</v>
      </c>
      <c r="U116" s="41">
        <f>E116*M116*O116*(Q116-R116-S116)/100000000</f>
        <v>41.457186049156626</v>
      </c>
      <c r="V116" s="41">
        <f>E116*G116*(1-N116)*O116/100*(R116+S116)/1000000</f>
        <v>3.4615528626506027</v>
      </c>
      <c r="W116" s="41">
        <f>+'24'!K13/1000</f>
        <v>49.802</v>
      </c>
      <c r="X116" s="417">
        <f>SUM(W116:W119)/SUM(K116:K119)</f>
        <v>0.93638366459845312</v>
      </c>
      <c r="Y116" s="222">
        <v>0</v>
      </c>
      <c r="Z116" s="41">
        <f>+'24'!D7/1000</f>
        <v>0.32</v>
      </c>
      <c r="AA116" s="53">
        <f>SUM(U116:U119)-SUM(W116:W119)-SUM(Z116:Z119)-SUM(Y116:Y119)</f>
        <v>-2.285482700843374</v>
      </c>
      <c r="AB116" s="53">
        <f>(SUM(K116:K119)-SUM(W116:W119)-SUM(Y116:Y119)-SUM(Z116:Z119)-SUM(AC116:AC119)-SUM(V116:V119))-AA116</f>
        <v>-2.4921874999997762E-2</v>
      </c>
      <c r="AC116" s="41">
        <f>K116-T116</f>
        <v>0</v>
      </c>
      <c r="AD116" s="41">
        <f>+AM116+BA116</f>
        <v>60</v>
      </c>
      <c r="AE116" s="241" t="s">
        <v>739</v>
      </c>
      <c r="AF116" s="41">
        <v>60</v>
      </c>
      <c r="AG116" s="41"/>
      <c r="AH116" s="41"/>
      <c r="AI116" s="459"/>
      <c r="AJ116" s="41"/>
      <c r="AK116" s="41"/>
      <c r="AL116" s="41"/>
      <c r="AM116" s="41">
        <f>SUM(AF116:AL116)+AT116+AV116+AX116</f>
        <v>60</v>
      </c>
      <c r="AN116" s="41"/>
      <c r="AO116" s="41"/>
      <c r="AP116" s="41"/>
      <c r="AQ116" s="41"/>
      <c r="AR116" s="41">
        <f>SUM(AN116:AQ116)</f>
        <v>0</v>
      </c>
      <c r="AS116" s="41"/>
      <c r="AT116" s="41"/>
      <c r="AU116" s="41"/>
      <c r="AV116" s="41"/>
      <c r="AW116" s="41"/>
      <c r="AX116" s="41"/>
      <c r="AY116" s="41"/>
      <c r="AZ116" s="41"/>
      <c r="BA116" s="41">
        <f>+AR116+AS116+AU116+AW116+AY116+AZ116</f>
        <v>0</v>
      </c>
      <c r="BB116" s="37">
        <v>12</v>
      </c>
      <c r="BC116" s="55"/>
      <c r="BD116" s="55"/>
      <c r="BE116" s="37"/>
      <c r="BF116" s="55"/>
    </row>
    <row r="117" spans="1:58" ht="12.95" customHeight="1">
      <c r="A117" s="346"/>
      <c r="B117" s="45" t="s">
        <v>607</v>
      </c>
      <c r="C117" s="450">
        <f>(M117*E117*O117*Q117)/100000000</f>
        <v>14.109768750000001</v>
      </c>
      <c r="D117" s="45" t="s">
        <v>608</v>
      </c>
      <c r="E117" s="46">
        <v>12.5</v>
      </c>
      <c r="F117" s="46">
        <v>1</v>
      </c>
      <c r="G117" s="463">
        <v>1700</v>
      </c>
      <c r="H117" s="631">
        <v>0.24</v>
      </c>
      <c r="I117" s="49">
        <v>0.88</v>
      </c>
      <c r="J117" s="90">
        <f>E117*G117*(1-H117)*1440/1000000*2.77</f>
        <v>64.419120000000007</v>
      </c>
      <c r="K117" s="90">
        <f>(IF(G117&lt;L117,L117,G117)*(1-IF(H117&lt;N117,H117,N117))*E117*O117*Q117)/100000000</f>
        <v>14.28669375</v>
      </c>
      <c r="L117" s="39">
        <v>1680</v>
      </c>
      <c r="M117" s="39">
        <v>1276</v>
      </c>
      <c r="N117" s="50">
        <f>1-(M117/L117)</f>
        <v>0.24047619047619051</v>
      </c>
      <c r="O117" s="51">
        <f>+'Trim Rwd'!H87</f>
        <v>262.5</v>
      </c>
      <c r="P117" s="52">
        <f>O117*(Q117-R117-S117)</f>
        <v>75337.5</v>
      </c>
      <c r="Q117" s="51">
        <v>337</v>
      </c>
      <c r="R117" s="420">
        <v>0</v>
      </c>
      <c r="S117" s="420">
        <f>35+15</f>
        <v>50</v>
      </c>
      <c r="T117" s="41">
        <f>E117*M117*O117*Q117/100000000</f>
        <v>14.109768750000001</v>
      </c>
      <c r="U117" s="41">
        <f>E117*M117*O117*(Q117-R117-S117)/100000000</f>
        <v>12.01633125</v>
      </c>
      <c r="V117" s="41">
        <f>E117*G117*(1-N117)*O117/100*(R117+S117)/1000000</f>
        <v>2.1183593749999998</v>
      </c>
      <c r="W117" s="41">
        <f>+'24'!K17/1000</f>
        <v>5.6369999999999996</v>
      </c>
      <c r="X117" s="42"/>
      <c r="Y117" s="222"/>
      <c r="Z117" s="41"/>
      <c r="AA117" s="41"/>
      <c r="AB117" s="41"/>
      <c r="AC117" s="41">
        <f>K117-T117</f>
        <v>0.17692499999999889</v>
      </c>
      <c r="AD117" s="41">
        <f>+AM117+BA117</f>
        <v>25</v>
      </c>
      <c r="AE117" s="241" t="s">
        <v>772</v>
      </c>
      <c r="AF117" s="41"/>
      <c r="AG117" s="41">
        <v>25</v>
      </c>
      <c r="AH117" s="41"/>
      <c r="AI117" s="459"/>
      <c r="AJ117" s="41"/>
      <c r="AK117" s="41"/>
      <c r="AL117" s="41"/>
      <c r="AM117" s="41">
        <f>SUM(AF117:AL117)+AT117+AV117+AX117</f>
        <v>25</v>
      </c>
      <c r="AN117" s="91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54"/>
      <c r="BC117" s="55">
        <v>24</v>
      </c>
      <c r="BD117" s="55"/>
      <c r="BE117" s="54"/>
      <c r="BF117" s="55"/>
    </row>
    <row r="118" spans="1:58" ht="12.95" customHeight="1">
      <c r="A118" s="44"/>
      <c r="B118" s="45"/>
      <c r="C118" s="450"/>
      <c r="D118" s="45"/>
      <c r="E118" s="46"/>
      <c r="F118" s="46"/>
      <c r="G118" s="463"/>
      <c r="H118" s="48"/>
      <c r="I118" s="49"/>
      <c r="J118" s="90"/>
      <c r="K118" s="90"/>
      <c r="L118" s="39"/>
      <c r="M118" s="39"/>
      <c r="N118" s="50"/>
      <c r="O118" s="51"/>
      <c r="P118" s="52"/>
      <c r="Q118" s="51"/>
      <c r="R118" s="420"/>
      <c r="S118" s="420"/>
      <c r="T118" s="41"/>
      <c r="U118" s="41"/>
      <c r="V118" s="41"/>
      <c r="W118" s="41"/>
      <c r="X118" s="42"/>
      <c r="Y118" s="222"/>
      <c r="Z118" s="41"/>
      <c r="AA118" s="41"/>
      <c r="AB118" s="41"/>
      <c r="AC118" s="41"/>
      <c r="AD118" s="41">
        <f>+AM118+BA118</f>
        <v>35</v>
      </c>
      <c r="AE118" s="241" t="s">
        <v>626</v>
      </c>
      <c r="AF118" s="37"/>
      <c r="AG118" s="37"/>
      <c r="AH118" s="37">
        <v>35</v>
      </c>
      <c r="AI118" s="459"/>
      <c r="AJ118" s="41"/>
      <c r="AK118" s="41"/>
      <c r="AL118" s="41"/>
      <c r="AM118" s="41">
        <f>SUM(AF118:AL118)+AT118+AV118+AX118</f>
        <v>35</v>
      </c>
      <c r="AN118" s="41"/>
      <c r="AO118" s="41"/>
      <c r="AP118" s="41"/>
      <c r="AQ118" s="41"/>
      <c r="AR118" s="41">
        <f>SUM(AN118:AQ118)</f>
        <v>0</v>
      </c>
      <c r="AS118" s="41"/>
      <c r="AT118" s="41"/>
      <c r="AU118" s="41"/>
      <c r="AV118" s="41"/>
      <c r="AW118" s="41"/>
      <c r="AX118" s="41"/>
      <c r="AY118" s="41"/>
      <c r="AZ118" s="41"/>
      <c r="BA118" s="41">
        <f>+AR118+AS118+AU118+AW118+AY118+AZ118</f>
        <v>0</v>
      </c>
      <c r="BB118" s="37"/>
      <c r="BC118" s="57"/>
      <c r="BD118" s="57"/>
      <c r="BE118" s="37"/>
      <c r="BF118" s="57"/>
    </row>
    <row r="119" spans="1:58" ht="12.95" customHeight="1">
      <c r="A119" s="44"/>
      <c r="B119" s="45"/>
      <c r="C119" s="450"/>
      <c r="D119" s="45"/>
      <c r="E119" s="46"/>
      <c r="F119" s="46"/>
      <c r="G119" s="463"/>
      <c r="H119" s="48"/>
      <c r="I119" s="49"/>
      <c r="J119" s="90"/>
      <c r="K119" s="90"/>
      <c r="L119" s="39"/>
      <c r="M119" s="39"/>
      <c r="N119" s="50"/>
      <c r="O119" s="51"/>
      <c r="P119" s="52"/>
      <c r="Q119" s="51"/>
      <c r="R119" s="420"/>
      <c r="S119" s="420"/>
      <c r="T119" s="41"/>
      <c r="U119" s="41"/>
      <c r="V119" s="41"/>
      <c r="W119" s="41"/>
      <c r="X119" s="42"/>
      <c r="Y119" s="222"/>
      <c r="Z119" s="41"/>
      <c r="AA119" s="41"/>
      <c r="AB119" s="41"/>
      <c r="AC119" s="41"/>
      <c r="AD119" s="41">
        <f>+AM119+BA119</f>
        <v>15</v>
      </c>
      <c r="AE119" s="244" t="s">
        <v>763</v>
      </c>
      <c r="AF119" s="37"/>
      <c r="AG119" s="37"/>
      <c r="AH119" s="37"/>
      <c r="AJ119" s="41"/>
      <c r="AK119" s="41">
        <v>15</v>
      </c>
      <c r="AL119" s="41"/>
      <c r="AM119" s="41">
        <f>SUM(AF119:AL119)+AT119+AV119+AX119</f>
        <v>15</v>
      </c>
      <c r="AN119" s="41"/>
      <c r="AO119" s="41"/>
      <c r="AP119" s="41"/>
      <c r="AQ119" s="41"/>
      <c r="AR119" s="41">
        <f>SUM(AN119:AQ119)</f>
        <v>0</v>
      </c>
      <c r="AS119" s="41"/>
      <c r="AT119" s="41"/>
      <c r="AU119" s="41"/>
      <c r="AV119" s="41"/>
      <c r="AW119" s="41"/>
      <c r="AX119" s="41"/>
      <c r="AY119" s="41"/>
      <c r="AZ119" s="41"/>
      <c r="BA119" s="41">
        <f>+AR119+AS119+AU119+AW119+AY119+AZ119</f>
        <v>0</v>
      </c>
      <c r="BB119" s="37"/>
      <c r="BC119" s="57"/>
      <c r="BD119" s="57"/>
      <c r="BE119" s="37"/>
      <c r="BF119" s="57"/>
    </row>
    <row r="120" spans="1:58" ht="12.95" customHeight="1">
      <c r="A120" s="346"/>
      <c r="B120" s="45"/>
      <c r="C120" s="450"/>
      <c r="D120" s="45"/>
      <c r="E120" s="46"/>
      <c r="F120" s="46"/>
      <c r="G120" s="47"/>
      <c r="H120" s="48"/>
      <c r="I120" s="49"/>
      <c r="J120" s="90"/>
      <c r="K120" s="90"/>
      <c r="L120" s="39"/>
      <c r="M120" s="39"/>
      <c r="N120" s="50"/>
      <c r="O120" s="51"/>
      <c r="P120" s="52"/>
      <c r="Q120" s="51"/>
      <c r="R120" s="420"/>
      <c r="S120" s="420"/>
      <c r="T120" s="41"/>
      <c r="U120" s="41"/>
      <c r="V120" s="41"/>
      <c r="W120" s="41"/>
      <c r="X120" s="417"/>
      <c r="Y120" s="222"/>
      <c r="Z120" s="41"/>
      <c r="AA120" s="53"/>
      <c r="AB120" s="53"/>
      <c r="AC120" s="41"/>
      <c r="AD120" s="41"/>
      <c r="AE120" s="2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37"/>
      <c r="BC120" s="55"/>
      <c r="BD120" s="55"/>
      <c r="BE120" s="55"/>
      <c r="BF120" s="55"/>
    </row>
    <row r="121" spans="1:58" ht="12.75" customHeight="1">
      <c r="A121" s="346">
        <v>45863</v>
      </c>
      <c r="B121" s="45" t="s">
        <v>607</v>
      </c>
      <c r="C121" s="450">
        <f>(M121*E121*O121*Q121)/100000000</f>
        <v>57.283200000000001</v>
      </c>
      <c r="D121" s="45" t="s">
        <v>608</v>
      </c>
      <c r="E121" s="46">
        <v>12.5</v>
      </c>
      <c r="F121" s="46">
        <v>1</v>
      </c>
      <c r="G121" s="463">
        <v>1700</v>
      </c>
      <c r="H121" s="631">
        <v>0.24</v>
      </c>
      <c r="I121" s="49">
        <v>0.88</v>
      </c>
      <c r="J121" s="90">
        <f>E121*G121*(1-H121)*1440/1000000*2.77</f>
        <v>64.419120000000007</v>
      </c>
      <c r="K121" s="90">
        <f>(IF(G121&lt;L121,L121,G121)*(1-IF(H121&lt;N121,H121,N121))*E121*O121*Q121)/100000000</f>
        <v>60.465600000000002</v>
      </c>
      <c r="L121" s="39">
        <v>1611</v>
      </c>
      <c r="M121" s="39">
        <v>1224</v>
      </c>
      <c r="N121" s="50">
        <f>1-(M121/L121)</f>
        <v>0.24022346368715086</v>
      </c>
      <c r="O121" s="51">
        <f>+'Trim Rwd'!H89</f>
        <v>260</v>
      </c>
      <c r="P121" s="52">
        <f>O121*(Q121-R121-S121)</f>
        <v>342160</v>
      </c>
      <c r="Q121" s="51">
        <v>1440</v>
      </c>
      <c r="R121" s="420">
        <v>0</v>
      </c>
      <c r="S121" s="420">
        <v>124</v>
      </c>
      <c r="T121" s="41">
        <f>E121*M121*O121*Q121/100000000</f>
        <v>57.283200000000001</v>
      </c>
      <c r="U121" s="41">
        <f>E121*M121*O121*(Q121-R121-S121)/100000000</f>
        <v>52.350479999999997</v>
      </c>
      <c r="V121" s="41">
        <f>E121*G121*(1-N121)*O121/100*(R121+S121)/1000000</f>
        <v>5.2052290502793301</v>
      </c>
      <c r="W121" s="41">
        <f>+'25'!K34/1000</f>
        <v>41.302999999999997</v>
      </c>
      <c r="X121" s="417">
        <f>SUM(W121:W124)/SUM(K121:K124)</f>
        <v>0.68308261226217881</v>
      </c>
      <c r="Y121" s="222">
        <v>0</v>
      </c>
      <c r="Z121" s="41">
        <f>+'25'!D34/1000</f>
        <v>0.47</v>
      </c>
      <c r="AA121" s="53">
        <f>SUM(U121:U124)-SUM(W121:W124)-SUM(Z121:Z124)-SUM(Y121:Y124)</f>
        <v>10.57748</v>
      </c>
      <c r="AB121" s="53">
        <f>(SUM(K121:K124)-SUM(W121:W124)-SUM(Y121:Y124)-SUM(Z121:Z124)-SUM(AC121:AC124)-SUM(V121:V124))-AA121</f>
        <v>-0.27250905027932504</v>
      </c>
      <c r="AC121" s="41">
        <f>K121-T121</f>
        <v>3.1824000000000012</v>
      </c>
      <c r="AD121" s="41">
        <f>+AM121+BA121</f>
        <v>80</v>
      </c>
      <c r="AE121" s="241" t="s">
        <v>728</v>
      </c>
      <c r="AF121" s="41">
        <v>80</v>
      </c>
      <c r="AG121" s="41"/>
      <c r="AH121" s="41"/>
      <c r="AI121" s="459"/>
      <c r="AJ121" s="41"/>
      <c r="AK121" s="41"/>
      <c r="AL121" s="41"/>
      <c r="AM121" s="41">
        <f>SUM(AF121:AL121)+AT121+AV121+AX121</f>
        <v>80</v>
      </c>
      <c r="AN121" s="41"/>
      <c r="AO121" s="41"/>
      <c r="AP121" s="41"/>
      <c r="AQ121" s="41"/>
      <c r="AR121" s="41">
        <f>SUM(AN121:AQ121)</f>
        <v>0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0</v>
      </c>
      <c r="BB121" s="37">
        <v>16</v>
      </c>
      <c r="BC121" s="55"/>
      <c r="BD121" s="55"/>
      <c r="BE121" s="37"/>
      <c r="BF121" s="55"/>
    </row>
    <row r="122" spans="1:58" ht="12.95" customHeight="1">
      <c r="A122" s="346"/>
      <c r="B122" s="45"/>
      <c r="C122" s="450"/>
      <c r="D122" s="45"/>
      <c r="E122" s="46"/>
      <c r="F122" s="46"/>
      <c r="G122" s="463"/>
      <c r="H122" s="48"/>
      <c r="I122" s="49"/>
      <c r="J122" s="90"/>
      <c r="K122" s="90"/>
      <c r="L122" s="39"/>
      <c r="M122" s="39"/>
      <c r="N122" s="50"/>
      <c r="O122" s="51"/>
      <c r="P122" s="52"/>
      <c r="Q122" s="51"/>
      <c r="R122" s="420"/>
      <c r="S122" s="420"/>
      <c r="T122" s="41"/>
      <c r="U122" s="41"/>
      <c r="V122" s="41"/>
      <c r="W122" s="41"/>
      <c r="X122" s="42"/>
      <c r="Y122" s="222"/>
      <c r="Z122" s="41"/>
      <c r="AA122" s="41"/>
      <c r="AB122" s="41"/>
      <c r="AC122" s="41"/>
      <c r="AD122" s="41">
        <f>+AM122+BA122</f>
        <v>19</v>
      </c>
      <c r="AE122" s="241" t="s">
        <v>785</v>
      </c>
      <c r="AF122" s="41"/>
      <c r="AG122" s="41">
        <v>19</v>
      </c>
      <c r="AH122" s="41"/>
      <c r="AI122" s="459"/>
      <c r="AJ122" s="41"/>
      <c r="AK122" s="41"/>
      <c r="AL122" s="41"/>
      <c r="AM122" s="41">
        <f>SUM(AF122:AL122)+AT122+AV122+AX122</f>
        <v>19</v>
      </c>
      <c r="AN122" s="91"/>
      <c r="AO122" s="41"/>
      <c r="AP122" s="41"/>
      <c r="AQ122" s="41"/>
      <c r="AR122" s="41">
        <f>SUM(AN122:AQ122)</f>
        <v>0</v>
      </c>
      <c r="AS122" s="41"/>
      <c r="AT122" s="41"/>
      <c r="AU122" s="41"/>
      <c r="AV122" s="41"/>
      <c r="AW122" s="41"/>
      <c r="AX122" s="41"/>
      <c r="AY122" s="41"/>
      <c r="AZ122" s="41"/>
      <c r="BA122" s="41">
        <f>+AR122+AS122+AU122+AW122+AY122+AZ122</f>
        <v>0</v>
      </c>
      <c r="BB122" s="54"/>
      <c r="BC122" s="55">
        <v>20</v>
      </c>
      <c r="BD122" s="55"/>
      <c r="BE122" s="54"/>
      <c r="BF122" s="55"/>
    </row>
    <row r="123" spans="1:58" ht="12.95" customHeight="1">
      <c r="A123" s="44"/>
      <c r="B123" s="45"/>
      <c r="C123" s="450"/>
      <c r="D123" s="45"/>
      <c r="E123" s="46"/>
      <c r="F123" s="46"/>
      <c r="G123" s="463"/>
      <c r="H123" s="48"/>
      <c r="I123" s="49"/>
      <c r="J123" s="90"/>
      <c r="K123" s="90"/>
      <c r="L123" s="39"/>
      <c r="M123" s="39"/>
      <c r="N123" s="50"/>
      <c r="O123" s="51"/>
      <c r="P123" s="52"/>
      <c r="Q123" s="51"/>
      <c r="R123" s="420"/>
      <c r="S123" s="420"/>
      <c r="T123" s="41"/>
      <c r="U123" s="41"/>
      <c r="V123" s="41"/>
      <c r="W123" s="41"/>
      <c r="X123" s="42"/>
      <c r="Y123" s="222"/>
      <c r="Z123" s="41"/>
      <c r="AA123" s="41"/>
      <c r="AB123" s="41"/>
      <c r="AC123" s="41"/>
      <c r="AD123" s="41">
        <f>+AM123+BA123</f>
        <v>25</v>
      </c>
      <c r="AE123" s="241" t="s">
        <v>516</v>
      </c>
      <c r="AF123" s="37"/>
      <c r="AG123" s="37"/>
      <c r="AH123" s="37">
        <v>25</v>
      </c>
      <c r="AI123" s="459"/>
      <c r="AJ123" s="41"/>
      <c r="AK123" s="41"/>
      <c r="AL123" s="41"/>
      <c r="AM123" s="41">
        <f>SUM(AF123:AL123)+AT123+AV123+AX123</f>
        <v>25</v>
      </c>
      <c r="AN123" s="41"/>
      <c r="AO123" s="41"/>
      <c r="AP123" s="41"/>
      <c r="AQ123" s="41"/>
      <c r="AR123" s="41">
        <f>SUM(AN123:AQ123)</f>
        <v>0</v>
      </c>
      <c r="AS123" s="41"/>
      <c r="AT123" s="41"/>
      <c r="AU123" s="41"/>
      <c r="AV123" s="41"/>
      <c r="AW123" s="41"/>
      <c r="AX123" s="41"/>
      <c r="AY123" s="41"/>
      <c r="AZ123" s="41"/>
      <c r="BA123" s="41">
        <f>+AR123+AS123+AU123+AW123+AY123+AZ123</f>
        <v>0</v>
      </c>
      <c r="BB123" s="37"/>
      <c r="BC123" s="57"/>
      <c r="BD123" s="57"/>
      <c r="BE123" s="37"/>
      <c r="BF123" s="57"/>
    </row>
    <row r="124" spans="1:58" ht="12.95" customHeight="1">
      <c r="A124" s="44"/>
      <c r="B124" s="45"/>
      <c r="C124" s="450"/>
      <c r="D124" s="45"/>
      <c r="E124" s="46"/>
      <c r="F124" s="46"/>
      <c r="G124" s="463"/>
      <c r="H124" s="48"/>
      <c r="I124" s="49"/>
      <c r="J124" s="90"/>
      <c r="K124" s="90"/>
      <c r="L124" s="39"/>
      <c r="M124" s="39"/>
      <c r="N124" s="50"/>
      <c r="O124" s="51"/>
      <c r="P124" s="52"/>
      <c r="Q124" s="51"/>
      <c r="R124" s="420"/>
      <c r="S124" s="420"/>
      <c r="T124" s="41"/>
      <c r="U124" s="41"/>
      <c r="V124" s="41"/>
      <c r="W124" s="41"/>
      <c r="X124" s="42"/>
      <c r="Y124" s="222"/>
      <c r="Z124" s="41"/>
      <c r="AA124" s="41"/>
      <c r="AB124" s="41"/>
      <c r="AC124" s="41"/>
      <c r="AD124" s="41"/>
      <c r="AE124" s="244"/>
      <c r="AF124" s="37"/>
      <c r="AG124" s="37"/>
      <c r="AH124" s="37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37"/>
      <c r="BC124" s="57"/>
      <c r="BD124" s="57"/>
      <c r="BE124" s="37"/>
      <c r="BF124" s="57"/>
    </row>
    <row r="125" spans="1:58" ht="12.75" customHeight="1">
      <c r="A125" s="346">
        <v>45864</v>
      </c>
      <c r="B125" s="45" t="s">
        <v>607</v>
      </c>
      <c r="C125" s="450">
        <f>(M125*E125*O125*Q125)/100000000</f>
        <v>4.7423999999999999</v>
      </c>
      <c r="D125" s="45" t="s">
        <v>608</v>
      </c>
      <c r="E125" s="46">
        <v>12.5</v>
      </c>
      <c r="F125" s="46">
        <v>1</v>
      </c>
      <c r="G125" s="463">
        <v>1700</v>
      </c>
      <c r="H125" s="631">
        <v>0.24</v>
      </c>
      <c r="I125" s="49">
        <v>0.88</v>
      </c>
      <c r="J125" s="90">
        <f>E125*G125*(1-H125)*1440/1000000*2.77</f>
        <v>64.419120000000007</v>
      </c>
      <c r="K125" s="90">
        <f>(IF(G125&lt;L125,L125,G125)*(1-IF(H125&lt;N125,H125,N125))*E125*O125*Q125)/100000000</f>
        <v>5.0388000000000002</v>
      </c>
      <c r="L125" s="39">
        <v>1600</v>
      </c>
      <c r="M125" s="39">
        <v>1216</v>
      </c>
      <c r="N125" s="50">
        <f>1-(M125/L125)</f>
        <v>0.24</v>
      </c>
      <c r="O125" s="51">
        <f>+'Trim Rwd'!H91</f>
        <v>260</v>
      </c>
      <c r="P125" s="52">
        <f>O125*(Q125-R125-S125)</f>
        <v>29120</v>
      </c>
      <c r="Q125" s="51">
        <v>120</v>
      </c>
      <c r="R125" s="420">
        <v>0</v>
      </c>
      <c r="S125" s="420">
        <v>8</v>
      </c>
      <c r="T125" s="41">
        <f>E125*M125*O125*Q125/100000000</f>
        <v>4.7423999999999999</v>
      </c>
      <c r="U125" s="41">
        <f>E125*M125*O125*(Q125-R125-S125)/100000000</f>
        <v>4.42624</v>
      </c>
      <c r="V125" s="41">
        <f>E125*G125*(1-N125)*O125/100*(R125+S125)/1000000</f>
        <v>0.33592</v>
      </c>
      <c r="W125" s="41">
        <f>+'26'!K17/1000</f>
        <v>15.840999999999999</v>
      </c>
      <c r="X125" s="417">
        <f>SUM(W125:W128)/SUM(K125:K128)</f>
        <v>1.0217425580265307</v>
      </c>
      <c r="Y125" s="222">
        <v>0</v>
      </c>
      <c r="Z125" s="41">
        <v>0</v>
      </c>
      <c r="AA125" s="53">
        <f>SUM(U125:U128)-SUM(W125:W128)-SUM(Z125:Z128)-SUM(Y125:Y128)</f>
        <v>-7.8827600000000011</v>
      </c>
      <c r="AB125" s="53">
        <f>(SUM(K125:K128)-SUM(W125:W128)-SUM(Y125:Y128)-SUM(Z125:Z128)-SUM(AC125:AC128)-SUM(V125:V128))-AA125</f>
        <v>-0.18574399999999969</v>
      </c>
      <c r="AC125" s="41">
        <f>K125-T125</f>
        <v>0.29640000000000022</v>
      </c>
      <c r="AD125" s="41">
        <f>+AM125+BA125</f>
        <v>30</v>
      </c>
      <c r="AE125" s="241" t="s">
        <v>459</v>
      </c>
      <c r="AF125" s="41">
        <v>30</v>
      </c>
      <c r="AG125" s="41"/>
      <c r="AH125" s="41"/>
      <c r="AI125" s="459"/>
      <c r="AJ125" s="41"/>
      <c r="AK125" s="41"/>
      <c r="AL125" s="41"/>
      <c r="AM125" s="41">
        <f>SUM(AF125:AL125)+AT125+AV125+AX125</f>
        <v>30</v>
      </c>
      <c r="AN125" s="41"/>
      <c r="AO125" s="41"/>
      <c r="AP125" s="41"/>
      <c r="AQ125" s="41"/>
      <c r="AR125" s="41">
        <f>SUM(AN125:AQ125)</f>
        <v>0</v>
      </c>
      <c r="AS125" s="41"/>
      <c r="AT125" s="41"/>
      <c r="AU125" s="41"/>
      <c r="AV125" s="41"/>
      <c r="AW125" s="41"/>
      <c r="AX125" s="41"/>
      <c r="AY125" s="41"/>
      <c r="AZ125" s="41"/>
      <c r="BA125" s="41">
        <f>+AR125+AS125+AU125+AW125+AY125+AZ125</f>
        <v>0</v>
      </c>
      <c r="BB125" s="37">
        <v>6</v>
      </c>
      <c r="BC125" s="55"/>
      <c r="BD125" s="55"/>
      <c r="BE125" s="37"/>
      <c r="BF125" s="55"/>
    </row>
    <row r="126" spans="1:58" ht="12.95" customHeight="1">
      <c r="A126" s="346"/>
      <c r="B126" s="45" t="s">
        <v>607</v>
      </c>
      <c r="C126" s="450">
        <f>(M126*E126*O126*Q126)/100000000</f>
        <v>50.079743999999998</v>
      </c>
      <c r="D126" s="45" t="s">
        <v>608</v>
      </c>
      <c r="E126" s="46">
        <v>12</v>
      </c>
      <c r="F126" s="46">
        <v>1</v>
      </c>
      <c r="G126" s="463">
        <v>1700</v>
      </c>
      <c r="H126" s="631">
        <v>0.24</v>
      </c>
      <c r="I126" s="49">
        <v>0.88</v>
      </c>
      <c r="J126" s="90">
        <f>E126*G126*(1-H126)*1440/1000000*2.77</f>
        <v>61.8423552</v>
      </c>
      <c r="K126" s="90">
        <f>(IF(G126&lt;L126,L126,G126)*(1-IF(H126&lt;N126,H126,N126))*E126*O126*Q126)/100000000</f>
        <v>53.209727999999998</v>
      </c>
      <c r="L126" s="39">
        <v>1600</v>
      </c>
      <c r="M126" s="39">
        <v>1216</v>
      </c>
      <c r="N126" s="50">
        <f>1-(M126/L126)</f>
        <v>0.24</v>
      </c>
      <c r="O126" s="51">
        <f>+'Trim Rwd'!H92</f>
        <v>260</v>
      </c>
      <c r="P126" s="52">
        <f>O126*(Q126-R126-S126)</f>
        <v>325000</v>
      </c>
      <c r="Q126" s="51">
        <v>1320</v>
      </c>
      <c r="R126" s="420">
        <v>0</v>
      </c>
      <c r="S126" s="420">
        <v>70</v>
      </c>
      <c r="T126" s="41">
        <f>E126*M126*O126*Q126/100000000</f>
        <v>50.079743999999998</v>
      </c>
      <c r="U126" s="41">
        <f>E126*M126*O126*(Q126-R126-S126)/100000000</f>
        <v>47.423999999999999</v>
      </c>
      <c r="V126" s="41">
        <f>E126*G126*(1-N126)*O126/100*(R126+S126)/1000000</f>
        <v>2.8217279999999998</v>
      </c>
      <c r="W126" s="41">
        <f>+'26'!K13/1000</f>
        <v>43.673999999999999</v>
      </c>
      <c r="X126" s="42"/>
      <c r="Y126" s="222"/>
      <c r="Z126" s="41">
        <f>+'26'!D16/1000</f>
        <v>0.218</v>
      </c>
      <c r="AA126" s="41"/>
      <c r="AB126" s="41"/>
      <c r="AC126" s="41">
        <f>K126-T126</f>
        <v>3.1299840000000003</v>
      </c>
      <c r="AD126" s="41">
        <f>+AM126+BA126</f>
        <v>23</v>
      </c>
      <c r="AE126" s="241" t="s">
        <v>796</v>
      </c>
      <c r="AF126" s="41"/>
      <c r="AG126" s="41">
        <v>23</v>
      </c>
      <c r="AH126" s="41"/>
      <c r="AI126" s="459"/>
      <c r="AJ126" s="41"/>
      <c r="AK126" s="41"/>
      <c r="AL126" s="41"/>
      <c r="AM126" s="41">
        <f>SUM(AF126:AL126)+AT126+AV126+AX126</f>
        <v>23</v>
      </c>
      <c r="AN126" s="91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54"/>
      <c r="BC126" s="55">
        <v>22</v>
      </c>
      <c r="BD126" s="55"/>
      <c r="BE126" s="54"/>
      <c r="BF126" s="55"/>
    </row>
    <row r="127" spans="1:58" ht="12.95" customHeight="1">
      <c r="A127" s="44"/>
      <c r="B127" s="45"/>
      <c r="C127" s="450"/>
      <c r="D127" s="45"/>
      <c r="E127" s="46"/>
      <c r="F127" s="46"/>
      <c r="G127" s="463"/>
      <c r="H127" s="48"/>
      <c r="I127" s="49"/>
      <c r="J127" s="90"/>
      <c r="K127" s="90"/>
      <c r="L127" s="39"/>
      <c r="M127" s="39"/>
      <c r="N127" s="50"/>
      <c r="O127" s="51"/>
      <c r="P127" s="52"/>
      <c r="Q127" s="51"/>
      <c r="R127" s="420"/>
      <c r="S127" s="420"/>
      <c r="T127" s="41"/>
      <c r="U127" s="41"/>
      <c r="V127" s="41"/>
      <c r="W127" s="41"/>
      <c r="X127" s="42"/>
      <c r="Y127" s="222"/>
      <c r="Z127" s="41"/>
      <c r="AA127" s="41"/>
      <c r="AB127" s="41"/>
      <c r="AC127" s="41"/>
      <c r="AD127" s="41">
        <f>+AM127+BA127</f>
        <v>25</v>
      </c>
      <c r="AE127" s="241" t="s">
        <v>610</v>
      </c>
      <c r="AF127" s="37"/>
      <c r="AG127" s="37"/>
      <c r="AH127" s="37">
        <v>25</v>
      </c>
      <c r="AI127" s="459"/>
      <c r="AJ127" s="41"/>
      <c r="AK127" s="41"/>
      <c r="AL127" s="41"/>
      <c r="AM127" s="41">
        <f>SUM(AF127:AL127)+AT127+AV127+AX127</f>
        <v>25</v>
      </c>
      <c r="AN127" s="41"/>
      <c r="AO127" s="41"/>
      <c r="AP127" s="41"/>
      <c r="AQ127" s="41"/>
      <c r="AR127" s="41">
        <f>SUM(AN127:AQ127)</f>
        <v>0</v>
      </c>
      <c r="AS127" s="41"/>
      <c r="AT127" s="41"/>
      <c r="AU127" s="41"/>
      <c r="AV127" s="41"/>
      <c r="AW127" s="41"/>
      <c r="AX127" s="41"/>
      <c r="AY127" s="41"/>
      <c r="AZ127" s="41"/>
      <c r="BA127" s="41">
        <f>+AR127+AS127+AU127+AW127+AY127+AZ127</f>
        <v>0</v>
      </c>
      <c r="BB127" s="37"/>
      <c r="BC127" s="57"/>
      <c r="BD127" s="57"/>
      <c r="BE127" s="37"/>
      <c r="BF127" s="57"/>
    </row>
    <row r="128" spans="1:58" ht="12.95" customHeight="1">
      <c r="A128" s="44"/>
      <c r="B128" s="45"/>
      <c r="C128" s="450"/>
      <c r="D128" s="45"/>
      <c r="E128" s="46"/>
      <c r="F128" s="46"/>
      <c r="G128" s="463"/>
      <c r="H128" s="48"/>
      <c r="I128" s="49"/>
      <c r="J128" s="90"/>
      <c r="K128" s="90"/>
      <c r="L128" s="39"/>
      <c r="M128" s="39"/>
      <c r="N128" s="50"/>
      <c r="O128" s="51"/>
      <c r="P128" s="52"/>
      <c r="Q128" s="51"/>
      <c r="R128" s="420"/>
      <c r="S128" s="420"/>
      <c r="T128" s="41"/>
      <c r="U128" s="41"/>
      <c r="V128" s="41"/>
      <c r="W128" s="41"/>
      <c r="X128" s="42"/>
      <c r="Y128" s="222"/>
      <c r="Z128" s="41"/>
      <c r="AA128" s="41"/>
      <c r="AB128" s="41"/>
      <c r="AC128" s="41"/>
      <c r="AD128" s="41"/>
      <c r="AE128" s="244"/>
      <c r="AF128" s="37"/>
      <c r="AG128" s="37"/>
      <c r="AH128" s="37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37"/>
      <c r="BC128" s="57"/>
      <c r="BD128" s="57"/>
      <c r="BE128" s="37"/>
      <c r="BF128" s="57"/>
    </row>
    <row r="129" spans="1:58" ht="12.75" customHeight="1">
      <c r="A129" s="346">
        <v>45865</v>
      </c>
      <c r="B129" s="45" t="s">
        <v>607</v>
      </c>
      <c r="C129" s="450">
        <f>(M129*E129*O129*Q129)/100000000</f>
        <v>54.632447999999997</v>
      </c>
      <c r="D129" s="45" t="s">
        <v>608</v>
      </c>
      <c r="E129" s="46">
        <v>12</v>
      </c>
      <c r="F129" s="46">
        <v>1</v>
      </c>
      <c r="G129" s="463">
        <v>1700</v>
      </c>
      <c r="H129" s="631">
        <v>0.24</v>
      </c>
      <c r="I129" s="49">
        <v>0.88</v>
      </c>
      <c r="J129" s="90">
        <f>E129*G129*(1-H129)*1440/1000000*2.77</f>
        <v>61.8423552</v>
      </c>
      <c r="K129" s="90">
        <f>(IF(G129&lt;L129,L129,G129)*(1-IF(H129&lt;N129,H129,N129))*E129*O129*Q129)/100000000</f>
        <v>58.046976000000001</v>
      </c>
      <c r="L129" s="39">
        <v>1600</v>
      </c>
      <c r="M129" s="39">
        <v>1216</v>
      </c>
      <c r="N129" s="50">
        <f>1-(M129/L129)</f>
        <v>0.24</v>
      </c>
      <c r="O129" s="51">
        <f>+'Trim Rwd'!H94</f>
        <v>260</v>
      </c>
      <c r="P129" s="52">
        <f>O129*(Q129-R129-S129)</f>
        <v>357760</v>
      </c>
      <c r="Q129" s="51">
        <v>1440</v>
      </c>
      <c r="R129" s="420">
        <v>0</v>
      </c>
      <c r="S129" s="420">
        <v>64</v>
      </c>
      <c r="T129" s="41">
        <f>E129*M129*O129*Q129/100000000</f>
        <v>54.632447999999997</v>
      </c>
      <c r="U129" s="41">
        <f>E129*M129*O129*(Q129-R129-S129)/100000000</f>
        <v>52.2043392</v>
      </c>
      <c r="V129" s="41">
        <f>E129*G129*(1-N129)*O129/100*(R129+S129)/1000000</f>
        <v>2.5798656000000002</v>
      </c>
      <c r="W129" s="41">
        <f>+'27'!K34/1000</f>
        <v>51.79</v>
      </c>
      <c r="X129" s="417">
        <f>SUM(W129:W132)/SUM(K129:K132)</f>
        <v>0.8922084072045372</v>
      </c>
      <c r="Y129" s="222">
        <v>0</v>
      </c>
      <c r="Z129" s="41">
        <f>+'27'!D34/1000</f>
        <v>0.218</v>
      </c>
      <c r="AA129" s="53">
        <f>SUM(U129:U132)-SUM(W129:W132)-SUM(Z129:Z132)-SUM(Y129:Y132)</f>
        <v>0.19633920000000057</v>
      </c>
      <c r="AB129" s="53">
        <f>(SUM(K129:K132)-SUM(W129:W132)-SUM(Y129:Y132)-SUM(Z129:Z132)-SUM(AC129:AC132)-SUM(V129:V132))-AA129</f>
        <v>-0.15175680000000333</v>
      </c>
      <c r="AC129" s="41">
        <f>K129-T129</f>
        <v>3.4145280000000042</v>
      </c>
      <c r="AD129" s="41">
        <f>+AM129+BA129</f>
        <v>10</v>
      </c>
      <c r="AE129" s="241" t="s">
        <v>418</v>
      </c>
      <c r="AF129" s="41">
        <v>10</v>
      </c>
      <c r="AG129" s="41"/>
      <c r="AH129" s="41"/>
      <c r="AI129" s="459"/>
      <c r="AJ129" s="41"/>
      <c r="AK129" s="41"/>
      <c r="AL129" s="41"/>
      <c r="AM129" s="41">
        <f>SUM(AF129:AL129)+AT129+AV129+AX129</f>
        <v>10</v>
      </c>
      <c r="AN129" s="41"/>
      <c r="AO129" s="41"/>
      <c r="AP129" s="41"/>
      <c r="AQ129" s="41"/>
      <c r="AR129" s="41">
        <f>SUM(AN129:AQ129)</f>
        <v>0</v>
      </c>
      <c r="AS129" s="41"/>
      <c r="AT129" s="41"/>
      <c r="AU129" s="41"/>
      <c r="AV129" s="41"/>
      <c r="AW129" s="41"/>
      <c r="AX129" s="41"/>
      <c r="AY129" s="41"/>
      <c r="AZ129" s="41"/>
      <c r="BA129" s="41">
        <f>+AR129+AS129+AU129+AW129+AY129+AZ129</f>
        <v>0</v>
      </c>
      <c r="BB129" s="37">
        <v>2</v>
      </c>
      <c r="BC129" s="55"/>
      <c r="BD129" s="55"/>
      <c r="BE129" s="37"/>
      <c r="BF129" s="55"/>
    </row>
    <row r="130" spans="1:58" ht="12.95" customHeight="1">
      <c r="A130" s="346"/>
      <c r="B130" s="45"/>
      <c r="C130" s="450"/>
      <c r="D130" s="45"/>
      <c r="E130" s="46"/>
      <c r="F130" s="46"/>
      <c r="G130" s="463"/>
      <c r="H130" s="48"/>
      <c r="I130" s="49"/>
      <c r="J130" s="90"/>
      <c r="K130" s="90"/>
      <c r="L130" s="39"/>
      <c r="M130" s="39"/>
      <c r="N130" s="50"/>
      <c r="O130" s="51"/>
      <c r="P130" s="52"/>
      <c r="Q130" s="51"/>
      <c r="R130" s="420"/>
      <c r="S130" s="420"/>
      <c r="T130" s="41"/>
      <c r="U130" s="41"/>
      <c r="V130" s="41"/>
      <c r="W130" s="41"/>
      <c r="X130" s="42"/>
      <c r="Y130" s="222"/>
      <c r="Z130" s="41"/>
      <c r="AA130" s="41"/>
      <c r="AB130" s="41"/>
      <c r="AC130" s="41"/>
      <c r="AD130" s="41">
        <f>+AM130+BA130</f>
        <v>23</v>
      </c>
      <c r="AE130" s="241" t="s">
        <v>797</v>
      </c>
      <c r="AF130" s="41"/>
      <c r="AG130" s="41">
        <v>23</v>
      </c>
      <c r="AH130" s="41"/>
      <c r="AI130" s="459"/>
      <c r="AJ130" s="41"/>
      <c r="AK130" s="41"/>
      <c r="AL130" s="41"/>
      <c r="AM130" s="41">
        <f>SUM(AF130:AL130)+AT130+AV130+AX130</f>
        <v>23</v>
      </c>
      <c r="AN130" s="9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54"/>
      <c r="BC130" s="55">
        <v>23</v>
      </c>
      <c r="BD130" s="55"/>
      <c r="BE130" s="54"/>
      <c r="BF130" s="55"/>
    </row>
    <row r="131" spans="1:58" ht="12.95" customHeight="1">
      <c r="A131" s="44"/>
      <c r="B131" s="45"/>
      <c r="C131" s="450"/>
      <c r="D131" s="45"/>
      <c r="E131" s="46"/>
      <c r="F131" s="46"/>
      <c r="G131" s="463"/>
      <c r="H131" s="48"/>
      <c r="I131" s="49"/>
      <c r="J131" s="90"/>
      <c r="K131" s="90"/>
      <c r="L131" s="39"/>
      <c r="M131" s="39"/>
      <c r="N131" s="50"/>
      <c r="O131" s="51"/>
      <c r="P131" s="52"/>
      <c r="Q131" s="51"/>
      <c r="R131" s="420"/>
      <c r="S131" s="420"/>
      <c r="T131" s="41"/>
      <c r="U131" s="41"/>
      <c r="V131" s="41"/>
      <c r="W131" s="41"/>
      <c r="X131" s="42"/>
      <c r="Y131" s="222"/>
      <c r="Z131" s="41"/>
      <c r="AA131" s="41"/>
      <c r="AB131" s="41"/>
      <c r="AC131" s="41"/>
      <c r="AD131" s="41">
        <f>+AM131+BA131</f>
        <v>31</v>
      </c>
      <c r="AE131" s="241" t="s">
        <v>490</v>
      </c>
      <c r="AF131" s="37"/>
      <c r="AG131" s="37"/>
      <c r="AH131" s="37">
        <v>31</v>
      </c>
      <c r="AI131" s="459"/>
      <c r="AJ131" s="41"/>
      <c r="AK131" s="41"/>
      <c r="AL131" s="41"/>
      <c r="AM131" s="41">
        <f>SUM(AF131:AL131)+AT131+AV131+AX131</f>
        <v>31</v>
      </c>
      <c r="AN131" s="41"/>
      <c r="AO131" s="41"/>
      <c r="AP131" s="41"/>
      <c r="AQ131" s="41"/>
      <c r="AR131" s="41">
        <f>SUM(AN131:AQ131)</f>
        <v>0</v>
      </c>
      <c r="AS131" s="41"/>
      <c r="AT131" s="41"/>
      <c r="AU131" s="41"/>
      <c r="AV131" s="41"/>
      <c r="AW131" s="41"/>
      <c r="AX131" s="41"/>
      <c r="AY131" s="41"/>
      <c r="AZ131" s="41"/>
      <c r="BA131" s="41">
        <f>+AR131+AS131+AU131+AW131+AY131+AZ131</f>
        <v>0</v>
      </c>
      <c r="BB131" s="37"/>
      <c r="BC131" s="57"/>
      <c r="BD131" s="57"/>
      <c r="BE131" s="37"/>
      <c r="BF131" s="57"/>
    </row>
    <row r="132" spans="1:58" ht="12.95" customHeight="1">
      <c r="A132" s="346"/>
      <c r="B132" s="45"/>
      <c r="C132" s="450"/>
      <c r="D132" s="45"/>
      <c r="E132" s="46"/>
      <c r="F132" s="46"/>
      <c r="G132" s="463"/>
      <c r="H132" s="48"/>
      <c r="I132" s="49"/>
      <c r="J132" s="90"/>
      <c r="K132" s="90"/>
      <c r="L132" s="39"/>
      <c r="M132" s="39"/>
      <c r="N132" s="50"/>
      <c r="O132" s="51"/>
      <c r="P132" s="52"/>
      <c r="Q132" s="51"/>
      <c r="R132" s="420"/>
      <c r="S132" s="420"/>
      <c r="T132" s="41"/>
      <c r="U132" s="41"/>
      <c r="V132" s="41"/>
      <c r="W132" s="41"/>
      <c r="X132" s="417"/>
      <c r="Y132" s="222"/>
      <c r="Z132" s="41"/>
      <c r="AA132" s="53"/>
      <c r="AB132" s="53"/>
      <c r="AC132" s="41"/>
      <c r="AD132" s="41"/>
      <c r="AE132" s="241"/>
      <c r="AF132" s="41"/>
      <c r="AG132" s="41"/>
      <c r="AH132" s="41"/>
      <c r="AI132" s="459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37"/>
      <c r="BC132" s="55"/>
      <c r="BD132" s="55"/>
      <c r="BE132" s="55"/>
      <c r="BF132" s="55"/>
    </row>
    <row r="133" spans="1:58" ht="12.75" customHeight="1">
      <c r="A133" s="346">
        <v>45866</v>
      </c>
      <c r="B133" s="45" t="s">
        <v>607</v>
      </c>
      <c r="C133" s="450">
        <f>(M133*E133*O133*Q133)/100000000</f>
        <v>12.481996799999999</v>
      </c>
      <c r="D133" s="45" t="s">
        <v>608</v>
      </c>
      <c r="E133" s="46">
        <v>12</v>
      </c>
      <c r="F133" s="46">
        <v>1</v>
      </c>
      <c r="G133" s="463">
        <v>1700</v>
      </c>
      <c r="H133" s="631">
        <v>0.24</v>
      </c>
      <c r="I133" s="49">
        <v>0.88</v>
      </c>
      <c r="J133" s="90">
        <f>E133*G133*(1-H133)*1440/1000000*2.77</f>
        <v>61.8423552</v>
      </c>
      <c r="K133" s="90">
        <f>(IF(G133&lt;L133,L133,G133)*(1-IF(H133&lt;N133,H133,N133))*E133*O133*Q133)/100000000</f>
        <v>13.2621216</v>
      </c>
      <c r="L133" s="39">
        <v>1600</v>
      </c>
      <c r="M133" s="39">
        <v>1216</v>
      </c>
      <c r="N133" s="50">
        <f>1-(M133/L133)</f>
        <v>0.24</v>
      </c>
      <c r="O133" s="51">
        <f>+'Trim Rwd'!H96</f>
        <v>260</v>
      </c>
      <c r="P133" s="52">
        <f>O133*(Q133-R133-S133)</f>
        <v>77740</v>
      </c>
      <c r="Q133" s="51">
        <v>329</v>
      </c>
      <c r="R133" s="420">
        <v>0</v>
      </c>
      <c r="S133" s="420">
        <v>30</v>
      </c>
      <c r="T133" s="41">
        <f>E133*M133*O133*Q133/100000000</f>
        <v>12.481996799999999</v>
      </c>
      <c r="U133" s="41">
        <f>E133*M133*O133*(Q133-R133-S133)/100000000</f>
        <v>11.3438208</v>
      </c>
      <c r="V133" s="41">
        <f>E133*G133*(1-N133)*O133/100*(R133+S133)/1000000</f>
        <v>1.2093119999999999</v>
      </c>
      <c r="W133" s="41">
        <f>+'28'!K13/1000</f>
        <v>15.896000000000001</v>
      </c>
      <c r="X133" s="417">
        <f>SUM(W133:W136)/SUM(K133:K136)</f>
        <v>0.8619820785531136</v>
      </c>
      <c r="Y133" s="222">
        <v>0</v>
      </c>
      <c r="Z133" s="41">
        <f>+'28'!D7/1000</f>
        <v>0.25</v>
      </c>
      <c r="AA133" s="53">
        <f>SUM(U133:U136)-SUM(W133:W136)-SUM(Z133:Z136)-SUM(Y133:Y136)</f>
        <v>0.48692349000000412</v>
      </c>
      <c r="AB133" s="53">
        <f>(SUM(K133:K136)-SUM(W133:W136)-SUM(Y133:Y136)-SUM(Z133:Z136)-SUM(AC133:AC136)-SUM(V133:V136))-AA133</f>
        <v>-0.21420739970552338</v>
      </c>
      <c r="AC133" s="41">
        <f>K133-T133</f>
        <v>0.78012480000000117</v>
      </c>
      <c r="AD133" s="41">
        <f>+AM133+BA133</f>
        <v>30</v>
      </c>
      <c r="AE133" s="241" t="s">
        <v>459</v>
      </c>
      <c r="AF133" s="41">
        <v>30</v>
      </c>
      <c r="AG133" s="41"/>
      <c r="AH133" s="41"/>
      <c r="AI133" s="459"/>
      <c r="AJ133" s="41"/>
      <c r="AK133" s="41"/>
      <c r="AL133" s="41"/>
      <c r="AM133" s="41">
        <f>SUM(AF133:AL133)+AT133+AV133+AX133</f>
        <v>30</v>
      </c>
      <c r="AN133" s="41"/>
      <c r="AO133" s="41"/>
      <c r="AP133" s="41"/>
      <c r="AQ133" s="41"/>
      <c r="AR133" s="41">
        <f>SUM(AN133:AQ133)</f>
        <v>0</v>
      </c>
      <c r="AS133" s="41"/>
      <c r="AT133" s="41"/>
      <c r="AU133" s="41"/>
      <c r="AV133" s="41"/>
      <c r="AW133" s="41"/>
      <c r="AX133" s="41"/>
      <c r="AY133" s="41"/>
      <c r="AZ133" s="41"/>
      <c r="BA133" s="41">
        <f>+AR133+AS133+AU133+AW133+AY133+AZ133</f>
        <v>0</v>
      </c>
      <c r="BB133" s="37">
        <v>6</v>
      </c>
      <c r="BC133" s="55"/>
      <c r="BD133" s="55"/>
      <c r="BE133" s="37"/>
      <c r="BF133" s="55"/>
    </row>
    <row r="134" spans="1:58" ht="12.95" customHeight="1">
      <c r="A134" s="346"/>
      <c r="B134" s="45" t="s">
        <v>607</v>
      </c>
      <c r="C134" s="450">
        <f t="shared" ref="C134:C135" si="4">(M134*E134*O134*Q134)/100000000</f>
        <v>16.67577408</v>
      </c>
      <c r="D134" s="45" t="s">
        <v>608</v>
      </c>
      <c r="E134" s="46">
        <v>10.5</v>
      </c>
      <c r="F134" s="46">
        <v>1</v>
      </c>
      <c r="G134" s="463">
        <v>1730</v>
      </c>
      <c r="H134" s="631">
        <v>0.24</v>
      </c>
      <c r="I134" s="49">
        <v>0.88</v>
      </c>
      <c r="J134" s="90">
        <f t="shared" ref="J134:J135" si="5">E134*G134*(1-H134)*1440/1000000*2.77</f>
        <v>55.066979519999997</v>
      </c>
      <c r="K134" s="90">
        <f t="shared" ref="K134:K135" si="6">(IF(G134&lt;L134,L134,G134)*(1-IF(H134&lt;N134,H134,N134))*E134*O134*Q134)/100000000</f>
        <v>18.030680724</v>
      </c>
      <c r="L134" s="39">
        <v>1600</v>
      </c>
      <c r="M134" s="39">
        <v>1216</v>
      </c>
      <c r="N134" s="50">
        <f t="shared" ref="N134:N135" si="7">1-(M134/L134)</f>
        <v>0.24</v>
      </c>
      <c r="O134" s="51">
        <f>+'Trim Rwd'!H97</f>
        <v>266</v>
      </c>
      <c r="P134" s="52">
        <f>O134*(Q134-R134-S134)</f>
        <v>122360</v>
      </c>
      <c r="Q134" s="51">
        <v>491</v>
      </c>
      <c r="R134" s="420">
        <v>0</v>
      </c>
      <c r="S134" s="420">
        <f>17+14</f>
        <v>31</v>
      </c>
      <c r="T134" s="41">
        <f t="shared" ref="T134:T135" si="8">E134*M134*O134*Q134/100000000</f>
        <v>16.67577408</v>
      </c>
      <c r="U134" s="41">
        <f t="shared" ref="U134:U135" si="9">E134*M134*O134*(Q134-R134-S134)/100000000</f>
        <v>15.6229248</v>
      </c>
      <c r="V134" s="41">
        <f t="shared" ref="V134:V135" si="10">E134*G134*(1-N134)*O134/100*(R134+S134)/1000000</f>
        <v>1.1383932839999999</v>
      </c>
      <c r="W134" s="41">
        <f>+'28'!K15/1000</f>
        <v>14.125999999999999</v>
      </c>
      <c r="X134" s="42"/>
      <c r="Y134" s="222"/>
      <c r="Z134" s="41">
        <f>+'28'!D16/1000</f>
        <v>0.29499999999999998</v>
      </c>
      <c r="AA134" s="41"/>
      <c r="AB134" s="41"/>
      <c r="AC134" s="41">
        <f t="shared" ref="AC134:AC135" si="11">K134-T134</f>
        <v>1.3549066439999997</v>
      </c>
      <c r="AD134" s="41">
        <f>+AM134+BA134</f>
        <v>17</v>
      </c>
      <c r="AE134" s="241" t="s">
        <v>810</v>
      </c>
      <c r="AF134" s="41"/>
      <c r="AG134" s="41">
        <v>17</v>
      </c>
      <c r="AH134" s="41"/>
      <c r="AI134" s="459"/>
      <c r="AJ134" s="41"/>
      <c r="AK134" s="41"/>
      <c r="AL134" s="41"/>
      <c r="AM134" s="41">
        <f>SUM(AF134:AL134)+AT134+AV134+AX134</f>
        <v>17</v>
      </c>
      <c r="AN134" s="91"/>
      <c r="AO134" s="41"/>
      <c r="AP134" s="41"/>
      <c r="AQ134" s="41"/>
      <c r="AR134" s="41">
        <f>SUM(AN134:AQ134)</f>
        <v>0</v>
      </c>
      <c r="AS134" s="41"/>
      <c r="AT134" s="41"/>
      <c r="AU134" s="41"/>
      <c r="AV134" s="41"/>
      <c r="AW134" s="41"/>
      <c r="AX134" s="41"/>
      <c r="AY134" s="41"/>
      <c r="AZ134" s="41"/>
      <c r="BA134" s="41">
        <f>+AR134+AS134+AU134+AW134+AY134+AZ134</f>
        <v>0</v>
      </c>
      <c r="BB134" s="54"/>
      <c r="BC134" s="55">
        <v>19</v>
      </c>
      <c r="BD134" s="55"/>
      <c r="BE134" s="54"/>
      <c r="BF134" s="55"/>
    </row>
    <row r="135" spans="1:58" ht="12.95" customHeight="1">
      <c r="A135" s="44"/>
      <c r="B135" s="45" t="s">
        <v>607</v>
      </c>
      <c r="C135" s="450">
        <f t="shared" si="4"/>
        <v>23.254874439999998</v>
      </c>
      <c r="D135" s="45" t="s">
        <v>608</v>
      </c>
      <c r="E135" s="46">
        <v>10.3</v>
      </c>
      <c r="F135" s="46">
        <v>1</v>
      </c>
      <c r="G135" s="463">
        <v>1730</v>
      </c>
      <c r="H135" s="632">
        <v>0.16</v>
      </c>
      <c r="I135" s="49">
        <v>0.88</v>
      </c>
      <c r="J135" s="90">
        <f t="shared" si="5"/>
        <v>59.704198847999997</v>
      </c>
      <c r="K135" s="90">
        <f t="shared" si="6"/>
        <v>24.685159632000001</v>
      </c>
      <c r="L135" s="39">
        <v>1630</v>
      </c>
      <c r="M135" s="39">
        <v>1369</v>
      </c>
      <c r="N135" s="50">
        <f t="shared" si="7"/>
        <v>0.16012269938650303</v>
      </c>
      <c r="O135" s="51">
        <f>+'Trim Rwd'!H98</f>
        <v>266</v>
      </c>
      <c r="P135" s="52">
        <f t="shared" ref="P135" si="12">O135*(Q135-R135-S135)</f>
        <v>158270</v>
      </c>
      <c r="Q135" s="51">
        <v>620</v>
      </c>
      <c r="R135" s="420">
        <v>0</v>
      </c>
      <c r="S135" s="420">
        <v>25</v>
      </c>
      <c r="T135" s="41">
        <f t="shared" si="8"/>
        <v>23.254874439999998</v>
      </c>
      <c r="U135" s="41">
        <f t="shared" si="9"/>
        <v>22.31717789</v>
      </c>
      <c r="V135" s="41">
        <f t="shared" si="10"/>
        <v>0.99522394570552153</v>
      </c>
      <c r="W135" s="41">
        <f>+'28'!K16/1000</f>
        <v>18.23</v>
      </c>
      <c r="X135" s="42"/>
      <c r="Y135" s="222"/>
      <c r="Z135" s="41"/>
      <c r="AA135" s="41"/>
      <c r="AB135" s="41"/>
      <c r="AC135" s="41">
        <f t="shared" si="11"/>
        <v>1.430285192000003</v>
      </c>
      <c r="AD135" s="41">
        <f>+AM135+BA135</f>
        <v>25</v>
      </c>
      <c r="AE135" s="241" t="s">
        <v>460</v>
      </c>
      <c r="AF135" s="37"/>
      <c r="AG135" s="37"/>
      <c r="AH135" s="37">
        <v>25</v>
      </c>
      <c r="AI135" s="459"/>
      <c r="AJ135" s="41"/>
      <c r="AK135" s="41"/>
      <c r="AL135" s="41"/>
      <c r="AM135" s="41">
        <f>SUM(AF135:AL135)+AT135+AV135+AX135</f>
        <v>25</v>
      </c>
      <c r="AN135" s="41"/>
      <c r="AO135" s="41"/>
      <c r="AP135" s="41"/>
      <c r="AQ135" s="41"/>
      <c r="AR135" s="41">
        <f>SUM(AN135:AQ135)</f>
        <v>0</v>
      </c>
      <c r="AS135" s="41"/>
      <c r="AT135" s="41"/>
      <c r="AU135" s="41"/>
      <c r="AV135" s="41"/>
      <c r="AW135" s="41"/>
      <c r="AX135" s="41"/>
      <c r="AY135" s="41"/>
      <c r="AZ135" s="41"/>
      <c r="BA135" s="41">
        <f>+AR135+AS135+AU135+AW135+AY135+AZ135</f>
        <v>0</v>
      </c>
      <c r="BB135" s="37"/>
      <c r="BC135" s="57"/>
      <c r="BD135" s="57"/>
      <c r="BE135" s="37"/>
      <c r="BF135" s="57"/>
    </row>
    <row r="136" spans="1:58" ht="12.95" customHeight="1">
      <c r="A136" s="346"/>
      <c r="B136" s="45"/>
      <c r="C136" s="450"/>
      <c r="D136" s="45"/>
      <c r="E136" s="46"/>
      <c r="F136" s="46"/>
      <c r="G136" s="463"/>
      <c r="H136" s="48"/>
      <c r="I136" s="49"/>
      <c r="J136" s="90"/>
      <c r="K136" s="90"/>
      <c r="L136" s="39"/>
      <c r="M136" s="39"/>
      <c r="N136" s="50"/>
      <c r="O136" s="51"/>
      <c r="P136" s="52"/>
      <c r="Q136" s="51"/>
      <c r="R136" s="420"/>
      <c r="S136" s="420"/>
      <c r="T136" s="41"/>
      <c r="U136" s="41"/>
      <c r="V136" s="41"/>
      <c r="W136" s="41"/>
      <c r="X136" s="417"/>
      <c r="Y136" s="222"/>
      <c r="Z136" s="41"/>
      <c r="AA136" s="53"/>
      <c r="AB136" s="53"/>
      <c r="AC136" s="41"/>
      <c r="AD136" s="41">
        <f>+AM136+BA136</f>
        <v>14</v>
      </c>
      <c r="AE136" s="241" t="s">
        <v>540</v>
      </c>
      <c r="AF136" s="41"/>
      <c r="AG136" s="41"/>
      <c r="AH136" s="41"/>
      <c r="AI136" s="459">
        <v>14</v>
      </c>
      <c r="AJ136" s="41"/>
      <c r="AK136" s="41"/>
      <c r="AL136" s="41"/>
      <c r="AM136" s="41">
        <f>SUM(AF136:AL136)+AT136+AV136+AX136</f>
        <v>14</v>
      </c>
      <c r="AN136" s="41"/>
      <c r="AO136" s="41"/>
      <c r="AP136" s="41"/>
      <c r="AQ136" s="41"/>
      <c r="AR136" s="41">
        <f>SUM(AN136:AQ136)</f>
        <v>0</v>
      </c>
      <c r="AS136" s="41"/>
      <c r="AT136" s="41"/>
      <c r="AU136" s="41"/>
      <c r="AV136" s="41"/>
      <c r="AW136" s="41"/>
      <c r="AX136" s="41"/>
      <c r="AY136" s="41"/>
      <c r="AZ136" s="41"/>
      <c r="BA136" s="41">
        <f>+AR136+AS136+AU136+AW136+AY136+AZ136</f>
        <v>0</v>
      </c>
      <c r="BB136" s="37"/>
      <c r="BC136" s="57"/>
      <c r="BD136" s="57"/>
      <c r="BE136" s="37"/>
      <c r="BF136" s="57"/>
    </row>
    <row r="137" spans="1:58" ht="12.95" customHeight="1">
      <c r="A137" s="346"/>
      <c r="B137" s="45"/>
      <c r="C137" s="450"/>
      <c r="D137" s="45"/>
      <c r="E137" s="46"/>
      <c r="F137" s="46"/>
      <c r="G137" s="463"/>
      <c r="H137" s="48"/>
      <c r="I137" s="49"/>
      <c r="J137" s="90"/>
      <c r="K137" s="90"/>
      <c r="L137" s="39"/>
      <c r="M137" s="39"/>
      <c r="N137" s="50"/>
      <c r="O137" s="51"/>
      <c r="P137" s="52"/>
      <c r="Q137" s="51"/>
      <c r="R137" s="420"/>
      <c r="S137" s="420"/>
      <c r="T137" s="41"/>
      <c r="U137" s="41"/>
      <c r="V137" s="41"/>
      <c r="W137" s="41"/>
      <c r="X137" s="417"/>
      <c r="Y137" s="222"/>
      <c r="Z137" s="41"/>
      <c r="AA137" s="53"/>
      <c r="AB137" s="53"/>
      <c r="AC137" s="41"/>
      <c r="AD137" s="41"/>
      <c r="AE137" s="241"/>
      <c r="AF137" s="41"/>
      <c r="AG137" s="41"/>
      <c r="AH137" s="41"/>
      <c r="AI137" s="459"/>
      <c r="AJ137" s="41"/>
      <c r="AK137" s="41"/>
      <c r="AL137" s="41"/>
      <c r="AM137" s="41"/>
      <c r="AN137" s="9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54"/>
      <c r="BC137" s="55"/>
      <c r="BD137" s="55"/>
      <c r="BE137" s="55"/>
      <c r="BF137" s="55"/>
    </row>
    <row r="138" spans="1:58" ht="12.75" customHeight="1">
      <c r="A138" s="346">
        <v>45867</v>
      </c>
      <c r="B138" s="45" t="s">
        <v>607</v>
      </c>
      <c r="C138" s="450">
        <f t="shared" ref="C138" si="13">(M138*E138*O138*Q138)/100000000</f>
        <v>27.104293439999999</v>
      </c>
      <c r="D138" s="45" t="s">
        <v>608</v>
      </c>
      <c r="E138" s="46">
        <v>10.3</v>
      </c>
      <c r="F138" s="46">
        <v>1</v>
      </c>
      <c r="G138" s="463">
        <v>1730</v>
      </c>
      <c r="H138" s="632">
        <v>0.16</v>
      </c>
      <c r="I138" s="49">
        <v>0.88</v>
      </c>
      <c r="J138" s="90">
        <f t="shared" ref="J138" si="14">E138*G138*(1-H138)*1440/1000000*2.77</f>
        <v>59.704198847999997</v>
      </c>
      <c r="K138" s="90">
        <f t="shared" ref="K138" si="15">(IF(G138&lt;L138,L138,G138)*(1-IF(H138&lt;N138,H138,N138))*E138*O138*Q138)/100000000</f>
        <v>28.666636992000004</v>
      </c>
      <c r="L138" s="39">
        <v>1636</v>
      </c>
      <c r="M138" s="39">
        <v>1374</v>
      </c>
      <c r="N138" s="50">
        <f t="shared" ref="N138" si="16">1-(M138/L138)</f>
        <v>0.16014669926650371</v>
      </c>
      <c r="O138" s="51">
        <f>+'Trim Rwd'!H100</f>
        <v>266</v>
      </c>
      <c r="P138" s="52">
        <f t="shared" ref="P138" si="17">O138*(Q138-R138-S138)</f>
        <v>185934</v>
      </c>
      <c r="Q138" s="51">
        <v>720</v>
      </c>
      <c r="R138" s="420">
        <v>0</v>
      </c>
      <c r="S138" s="420">
        <v>21</v>
      </c>
      <c r="T138" s="41">
        <f t="shared" ref="T138" si="18">E138*M138*O138*Q138/100000000</f>
        <v>27.104293439999999</v>
      </c>
      <c r="U138" s="41">
        <f t="shared" ref="U138" si="19">E138*M138*O138*(Q138-R138-S138)/100000000</f>
        <v>26.313751548000003</v>
      </c>
      <c r="V138" s="41">
        <f t="shared" ref="V138" si="20">E138*G138*(1-N138)*O138/100*(R138+S138)/1000000</f>
        <v>0.83596422564792172</v>
      </c>
      <c r="W138" s="41">
        <f>+'29'!K16/1000</f>
        <v>31.498999999999999</v>
      </c>
      <c r="X138" s="417">
        <f>SUM(W138:W141)/SUM(K138:K141)</f>
        <v>0.90739687363668242</v>
      </c>
      <c r="Y138" s="222">
        <v>0</v>
      </c>
      <c r="Z138" s="41">
        <v>0</v>
      </c>
      <c r="AA138" s="53">
        <f>SUM(U138:U141)-SUM(W138:W141)-SUM(Z138:Z141)-SUM(Y138:Y141)</f>
        <v>-0.35956173199999597</v>
      </c>
      <c r="AB138" s="53">
        <f>(SUM(K138:K141)-SUM(W138:W141)-SUM(Y138:Y141)-SUM(Z138:Z141)-SUM(AC138:AC141)-SUM(V138:V141))-AA138</f>
        <v>1.6359955863520783</v>
      </c>
      <c r="AC138" s="41">
        <f>K138-T138</f>
        <v>1.5623435520000051</v>
      </c>
      <c r="AD138" s="41">
        <f>+AM138+BA138</f>
        <v>4</v>
      </c>
      <c r="AE138" s="241" t="s">
        <v>536</v>
      </c>
      <c r="AF138" s="41">
        <v>4</v>
      </c>
      <c r="AG138" s="41"/>
      <c r="AH138" s="41"/>
      <c r="AI138" s="459"/>
      <c r="AJ138" s="41"/>
      <c r="AK138" s="41"/>
      <c r="AL138" s="41"/>
      <c r="AM138" s="41">
        <f>SUM(AF138:AL138)+AT138+AV138+AX138</f>
        <v>4</v>
      </c>
      <c r="AN138" s="41"/>
      <c r="AO138" s="41"/>
      <c r="AP138" s="41"/>
      <c r="AQ138" s="41"/>
      <c r="AR138" s="41">
        <f>SUM(AN138:AQ138)</f>
        <v>0</v>
      </c>
      <c r="AS138" s="41"/>
      <c r="AT138" s="41"/>
      <c r="AU138" s="41"/>
      <c r="AV138" s="41"/>
      <c r="AW138" s="41"/>
      <c r="AX138" s="41"/>
      <c r="AY138" s="41"/>
      <c r="AZ138" s="41"/>
      <c r="BA138" s="41">
        <f>+AR138+AS138+AU138+AW138+AY138+AZ138</f>
        <v>0</v>
      </c>
      <c r="BB138" s="37">
        <v>1</v>
      </c>
      <c r="BC138" s="55"/>
      <c r="BD138" s="55"/>
      <c r="BE138" s="37"/>
      <c r="BF138" s="55"/>
    </row>
    <row r="139" spans="1:58" ht="12.95" customHeight="1">
      <c r="A139" s="346"/>
      <c r="B139" s="45" t="s">
        <v>607</v>
      </c>
      <c r="C139" s="450">
        <f t="shared" ref="C139" si="21">(M139*E139*O139*Q139)/100000000</f>
        <v>11.353305600000001</v>
      </c>
      <c r="D139" s="45" t="s">
        <v>608</v>
      </c>
      <c r="E139" s="46">
        <v>13</v>
      </c>
      <c r="F139" s="46">
        <v>1</v>
      </c>
      <c r="G139" s="463">
        <v>1700</v>
      </c>
      <c r="H139" s="631">
        <v>0.24</v>
      </c>
      <c r="I139" s="49">
        <v>0.88</v>
      </c>
      <c r="J139" s="90">
        <f t="shared" ref="J139" si="22">E139*G139*(1-H139)*1440/1000000*2.77</f>
        <v>66.995884799999999</v>
      </c>
      <c r="K139" s="90">
        <f t="shared" ref="K139" si="23">(IF(G139&lt;L139,L139,G139)*(1-IF(H139&lt;N139,H139,N139))*E139*O139*Q139)/100000000</f>
        <v>12.0628872</v>
      </c>
      <c r="L139" s="39">
        <v>1600</v>
      </c>
      <c r="M139" s="39">
        <v>1216</v>
      </c>
      <c r="N139" s="50">
        <f t="shared" ref="N139" si="24">1-(M139/L139)</f>
        <v>0.24</v>
      </c>
      <c r="O139" s="51">
        <f>+'Trim Rwd'!H101</f>
        <v>266</v>
      </c>
      <c r="P139" s="52">
        <f>O139*(Q139-R139-S139)</f>
        <v>66234</v>
      </c>
      <c r="Q139" s="51">
        <v>270</v>
      </c>
      <c r="R139" s="420">
        <v>0</v>
      </c>
      <c r="S139" s="420">
        <v>21</v>
      </c>
      <c r="T139" s="41">
        <f t="shared" ref="T139" si="25">E139*M139*O139*Q139/100000000</f>
        <v>11.353305600000001</v>
      </c>
      <c r="U139" s="41">
        <f t="shared" ref="U139" si="26">E139*M139*O139*(Q139-R139-S139)/100000000</f>
        <v>10.47027072</v>
      </c>
      <c r="V139" s="41">
        <f t="shared" ref="V139" si="27">E139*G139*(1-N139)*O139/100*(R139+S139)/1000000</f>
        <v>0.9382245600000001</v>
      </c>
      <c r="W139" s="41">
        <f>+'29'!K18/1000</f>
        <v>10.288</v>
      </c>
      <c r="X139" s="42"/>
      <c r="Y139" s="222"/>
      <c r="Z139" s="41"/>
      <c r="AA139" s="41"/>
      <c r="AB139" s="41"/>
      <c r="AC139" s="41"/>
      <c r="AD139" s="41">
        <f>+AM139+BA139</f>
        <v>26</v>
      </c>
      <c r="AE139" s="241" t="s">
        <v>797</v>
      </c>
      <c r="AF139" s="41"/>
      <c r="AG139" s="41">
        <v>26</v>
      </c>
      <c r="AH139" s="41"/>
      <c r="AI139" s="459"/>
      <c r="AJ139" s="41"/>
      <c r="AK139" s="41"/>
      <c r="AL139" s="41"/>
      <c r="AM139" s="41">
        <f>SUM(AF139:AL139)+AT139+AV139+AX139</f>
        <v>26</v>
      </c>
      <c r="AN139" s="91"/>
      <c r="AO139" s="41"/>
      <c r="AP139" s="41"/>
      <c r="AQ139" s="41"/>
      <c r="AR139" s="41">
        <f>SUM(AN139:AQ139)</f>
        <v>0</v>
      </c>
      <c r="AS139" s="41"/>
      <c r="AT139" s="41"/>
      <c r="AU139" s="41"/>
      <c r="AV139" s="41"/>
      <c r="AW139" s="41"/>
      <c r="AX139" s="41"/>
      <c r="AY139" s="41"/>
      <c r="AZ139" s="41"/>
      <c r="BA139" s="41">
        <f>+AR139+AS139+AU139+AW139+AY139+AZ139</f>
        <v>0</v>
      </c>
      <c r="BB139" s="54"/>
      <c r="BC139" s="55">
        <v>23</v>
      </c>
      <c r="BD139" s="55"/>
      <c r="BE139" s="54"/>
      <c r="BF139" s="55"/>
    </row>
    <row r="140" spans="1:58" ht="12.95" customHeight="1">
      <c r="A140" s="44"/>
      <c r="B140" s="45" t="s">
        <v>607</v>
      </c>
      <c r="C140" s="450">
        <f>(M140*E140*O140*Q140)/100000000</f>
        <v>17.236799999999999</v>
      </c>
      <c r="D140" s="45" t="s">
        <v>608</v>
      </c>
      <c r="E140" s="46">
        <v>12</v>
      </c>
      <c r="F140" s="46">
        <v>1</v>
      </c>
      <c r="G140" s="463">
        <v>1700</v>
      </c>
      <c r="H140" s="631">
        <v>0.24</v>
      </c>
      <c r="I140" s="49">
        <v>0.88</v>
      </c>
      <c r="J140" s="90">
        <f>E140*G140*(1-H140)*1440/1000000*2.77</f>
        <v>61.8423552</v>
      </c>
      <c r="K140" s="90">
        <f>(IF(G140&lt;L140,L140,G140)*(1-IF(H140&lt;N140,H140,N140))*E140*O140*Q140)/100000000</f>
        <v>18.3141</v>
      </c>
      <c r="L140" s="39">
        <v>1600</v>
      </c>
      <c r="M140" s="39">
        <v>1216</v>
      </c>
      <c r="N140" s="50">
        <f>1-(M140/L140)</f>
        <v>0.24</v>
      </c>
      <c r="O140" s="51">
        <f>+'Trim Rwd'!H102</f>
        <v>262.5</v>
      </c>
      <c r="P140" s="52">
        <f>O140*(Q140-R140-S140)</f>
        <v>112612.5</v>
      </c>
      <c r="Q140" s="51">
        <v>450</v>
      </c>
      <c r="R140" s="420">
        <v>0</v>
      </c>
      <c r="S140" s="420">
        <v>21</v>
      </c>
      <c r="T140" s="41">
        <f>E140*M140*O140*Q140/100000000</f>
        <v>17.236799999999999</v>
      </c>
      <c r="U140" s="41">
        <f>E140*M140*O140*(Q140-R140-S140)/100000000</f>
        <v>16.432416</v>
      </c>
      <c r="V140" s="41">
        <f>E140*G140*(1-N140)*O140/100*(R140+S140)/1000000</f>
        <v>0.85465800000000003</v>
      </c>
      <c r="W140" s="41">
        <f>+'29'!K13/1000</f>
        <v>11.789</v>
      </c>
      <c r="X140" s="42"/>
      <c r="Y140" s="222"/>
      <c r="Z140" s="41"/>
      <c r="AA140" s="41"/>
      <c r="AB140" s="41"/>
      <c r="AC140" s="41"/>
      <c r="AD140" s="41">
        <f>+AM140+BA140</f>
        <v>25</v>
      </c>
      <c r="AE140" s="241" t="s">
        <v>490</v>
      </c>
      <c r="AF140" s="37"/>
      <c r="AG140" s="37"/>
      <c r="AH140" s="37">
        <v>25</v>
      </c>
      <c r="AI140" s="459"/>
      <c r="AJ140" s="41"/>
      <c r="AK140" s="41"/>
      <c r="AL140" s="41"/>
      <c r="AM140" s="41">
        <f>SUM(AF140:AL140)+AT140+AV140+AX140</f>
        <v>25</v>
      </c>
      <c r="AN140" s="41"/>
      <c r="AO140" s="41"/>
      <c r="AP140" s="41"/>
      <c r="AQ140" s="41"/>
      <c r="AR140" s="41">
        <f>SUM(AN140:AQ140)</f>
        <v>0</v>
      </c>
      <c r="AS140" s="41"/>
      <c r="AT140" s="41"/>
      <c r="AU140" s="41"/>
      <c r="AV140" s="41"/>
      <c r="AW140" s="41"/>
      <c r="AX140" s="41"/>
      <c r="AY140" s="41"/>
      <c r="AZ140" s="41"/>
      <c r="BA140" s="41">
        <f>+AR140+AS140+AU140+AW140+AY140+AZ140</f>
        <v>0</v>
      </c>
      <c r="BB140" s="37"/>
      <c r="BC140" s="57"/>
      <c r="BD140" s="57"/>
      <c r="BE140" s="37"/>
      <c r="BF140" s="57"/>
    </row>
    <row r="141" spans="1:58" ht="12.95" customHeight="1">
      <c r="A141" s="346"/>
      <c r="B141" s="45"/>
      <c r="C141" s="450"/>
      <c r="D141" s="45"/>
      <c r="E141" s="46"/>
      <c r="F141" s="46"/>
      <c r="G141" s="463"/>
      <c r="H141" s="48"/>
      <c r="I141" s="49"/>
      <c r="J141" s="90"/>
      <c r="K141" s="90"/>
      <c r="L141" s="39"/>
      <c r="M141" s="39"/>
      <c r="N141" s="50"/>
      <c r="O141" s="51"/>
      <c r="P141" s="52"/>
      <c r="Q141" s="51"/>
      <c r="R141" s="420"/>
      <c r="S141" s="420"/>
      <c r="T141" s="41"/>
      <c r="U141" s="41"/>
      <c r="V141" s="41"/>
      <c r="W141" s="41"/>
      <c r="X141" s="417"/>
      <c r="Y141" s="222"/>
      <c r="Z141" s="41"/>
      <c r="AA141" s="53"/>
      <c r="AB141" s="53"/>
      <c r="AC141" s="41"/>
      <c r="AD141" s="41">
        <f>+AM141+BA141</f>
        <v>8</v>
      </c>
      <c r="AE141" s="241" t="s">
        <v>540</v>
      </c>
      <c r="AF141" s="41"/>
      <c r="AG141" s="41"/>
      <c r="AH141" s="41"/>
      <c r="AI141" s="459">
        <v>8</v>
      </c>
      <c r="AJ141" s="41"/>
      <c r="AK141" s="41"/>
      <c r="AL141" s="41"/>
      <c r="AM141" s="41">
        <f>SUM(AF141:AL141)+AT141+AV141+AX141</f>
        <v>8</v>
      </c>
      <c r="AN141" s="41"/>
      <c r="AO141" s="41"/>
      <c r="AP141" s="41"/>
      <c r="AQ141" s="41"/>
      <c r="AR141" s="41">
        <f>SUM(AN141:AQ141)</f>
        <v>0</v>
      </c>
      <c r="AS141" s="41"/>
      <c r="AT141" s="41"/>
      <c r="AU141" s="41"/>
      <c r="AV141" s="41"/>
      <c r="AW141" s="41"/>
      <c r="AX141" s="41"/>
      <c r="AY141" s="41"/>
      <c r="AZ141" s="41"/>
      <c r="BA141" s="41">
        <f>+AR141+AS141+AU141+AW141+AY141+AZ141</f>
        <v>0</v>
      </c>
      <c r="BB141" s="37"/>
      <c r="BC141" s="57"/>
      <c r="BD141" s="57"/>
      <c r="BE141" s="37"/>
      <c r="BF141" s="57"/>
    </row>
    <row r="142" spans="1:58" ht="12.95" customHeight="1">
      <c r="A142" s="44"/>
      <c r="B142" s="3"/>
      <c r="C142" s="450"/>
      <c r="D142" s="45"/>
      <c r="E142" s="258"/>
      <c r="F142" s="46"/>
      <c r="G142" s="47"/>
      <c r="H142" s="48"/>
      <c r="I142" s="49"/>
      <c r="J142" s="90"/>
      <c r="K142" s="90"/>
      <c r="L142" s="39"/>
      <c r="M142" s="39"/>
      <c r="N142" s="50"/>
      <c r="O142" s="51"/>
      <c r="P142" s="52"/>
      <c r="Q142" s="351"/>
      <c r="R142" s="54"/>
      <c r="S142" s="54"/>
      <c r="T142" s="41"/>
      <c r="U142" s="41"/>
      <c r="V142" s="41"/>
      <c r="W142" s="37"/>
      <c r="X142" s="42"/>
      <c r="Y142" s="42"/>
      <c r="Z142" s="633"/>
      <c r="AA142" s="53"/>
      <c r="AB142" s="53"/>
      <c r="AC142" s="41"/>
      <c r="AD142" s="41"/>
      <c r="AE142" s="22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37"/>
      <c r="BC142" s="55"/>
      <c r="BD142" s="55"/>
      <c r="BE142" s="55"/>
      <c r="BF142" s="55"/>
    </row>
    <row r="143" spans="1:58" ht="12.75" customHeight="1">
      <c r="A143" s="346">
        <v>45868</v>
      </c>
      <c r="B143" s="45" t="s">
        <v>607</v>
      </c>
      <c r="C143" s="450">
        <f>(M143*E143*O143*Q143)/100000000</f>
        <v>55.38456</v>
      </c>
      <c r="D143" s="45" t="s">
        <v>608</v>
      </c>
      <c r="E143" s="46">
        <v>12</v>
      </c>
      <c r="F143" s="46">
        <v>1</v>
      </c>
      <c r="G143" s="463">
        <v>1700</v>
      </c>
      <c r="H143" s="631">
        <v>0.24</v>
      </c>
      <c r="I143" s="49">
        <v>0.88</v>
      </c>
      <c r="J143" s="90">
        <f>E143*G143*(1-H143)*1440/1000000*2.77</f>
        <v>61.8423552</v>
      </c>
      <c r="K143" s="90">
        <f>(IF(G143&lt;L143,L143,G143)*(1-IF(H143&lt;N143,H143,N143))*E143*O143*Q143)/100000000</f>
        <v>58.626246575342464</v>
      </c>
      <c r="L143" s="39">
        <v>1606</v>
      </c>
      <c r="M143" s="39">
        <v>1221</v>
      </c>
      <c r="N143" s="50">
        <f>1-(M143/L143)</f>
        <v>0.23972602739726023</v>
      </c>
      <c r="O143" s="51">
        <f>+'Trim Rwd'!H104</f>
        <v>262.5</v>
      </c>
      <c r="P143" s="52">
        <f>O143*(Q143-R143-S143)</f>
        <v>357000</v>
      </c>
      <c r="Q143" s="51">
        <v>1440</v>
      </c>
      <c r="R143" s="420">
        <v>0</v>
      </c>
      <c r="S143" s="420">
        <v>80</v>
      </c>
      <c r="T143" s="41">
        <f>E143*M143*O143*Q143/100000000</f>
        <v>55.38456</v>
      </c>
      <c r="U143" s="41">
        <f>E143*M143*O143*(Q143-R143-S143)/100000000</f>
        <v>52.307639999999999</v>
      </c>
      <c r="V143" s="41">
        <f>E143*G143*(1-N143)*O143/100*(R143+S143)/1000000</f>
        <v>3.257013698630137</v>
      </c>
      <c r="W143" s="41">
        <f>+'30'!K34/1000</f>
        <v>52.741999999999997</v>
      </c>
      <c r="X143" s="417">
        <f>SUM(W143:W146)/SUM(K143:K146)</f>
        <v>0.89963119048086371</v>
      </c>
      <c r="Y143" s="222">
        <v>0</v>
      </c>
      <c r="Z143" s="41">
        <f>+'30'!D7/1000</f>
        <v>0.20699999999999999</v>
      </c>
      <c r="AA143" s="53">
        <f>SUM(U143:U146)-SUM(W143:W146)-SUM(Z143:Z146)-SUM(Y143:Y146)</f>
        <v>-0.64135999999999804</v>
      </c>
      <c r="AB143" s="53">
        <f>(SUM(K143:K146)-SUM(W143:W146)-SUM(Y143:Y146)-SUM(Z143:Z146)-SUM(AC143:AC146)-SUM(V143:V146))-AA143</f>
        <v>-0.18009369863013569</v>
      </c>
      <c r="AC143" s="41">
        <f>K143-T143</f>
        <v>3.2416865753424631</v>
      </c>
      <c r="AD143" s="41">
        <f>+AM143+BA143</f>
        <v>30</v>
      </c>
      <c r="AE143" s="241" t="s">
        <v>459</v>
      </c>
      <c r="AF143" s="41">
        <v>30</v>
      </c>
      <c r="AG143" s="41"/>
      <c r="AH143" s="41"/>
      <c r="AI143" s="459"/>
      <c r="AJ143" s="41"/>
      <c r="AK143" s="41"/>
      <c r="AL143" s="41"/>
      <c r="AM143" s="41">
        <f>SUM(AF143:AL143)+AT143+AV143+AX143</f>
        <v>30</v>
      </c>
      <c r="AN143" s="41"/>
      <c r="AO143" s="41"/>
      <c r="AP143" s="41"/>
      <c r="AQ143" s="41"/>
      <c r="AR143" s="41">
        <f>SUM(AN143:AQ143)</f>
        <v>0</v>
      </c>
      <c r="AS143" s="41"/>
      <c r="AT143" s="41"/>
      <c r="AU143" s="41"/>
      <c r="AV143" s="41"/>
      <c r="AW143" s="41"/>
      <c r="AX143" s="41"/>
      <c r="AY143" s="41"/>
      <c r="AZ143" s="41"/>
      <c r="BA143" s="41">
        <f>+AR143+AS143+AU143+AW143+AY143+AZ143</f>
        <v>0</v>
      </c>
      <c r="BB143" s="37">
        <v>6</v>
      </c>
      <c r="BC143" s="55"/>
      <c r="BD143" s="55"/>
      <c r="BE143" s="37"/>
      <c r="BF143" s="55"/>
    </row>
    <row r="144" spans="1:58" ht="12.95" customHeight="1">
      <c r="A144" s="346"/>
      <c r="B144" s="45"/>
      <c r="C144" s="450"/>
      <c r="D144" s="45"/>
      <c r="E144" s="46"/>
      <c r="F144" s="46"/>
      <c r="G144" s="463"/>
      <c r="H144" s="48"/>
      <c r="I144" s="49"/>
      <c r="J144" s="90"/>
      <c r="K144" s="90"/>
      <c r="L144" s="39"/>
      <c r="M144" s="39"/>
      <c r="N144" s="50"/>
      <c r="O144" s="51"/>
      <c r="P144" s="52"/>
      <c r="Q144" s="51"/>
      <c r="R144" s="420"/>
      <c r="S144" s="420"/>
      <c r="T144" s="41"/>
      <c r="U144" s="41"/>
      <c r="V144" s="41"/>
      <c r="W144" s="41"/>
      <c r="X144" s="42"/>
      <c r="Y144" s="222"/>
      <c r="Z144" s="41"/>
      <c r="AA144" s="41"/>
      <c r="AB144" s="41"/>
      <c r="AC144" s="41"/>
      <c r="AD144" s="41">
        <f>+AM144+BA144</f>
        <v>22</v>
      </c>
      <c r="AE144" s="241" t="s">
        <v>796</v>
      </c>
      <c r="AF144" s="41"/>
      <c r="AG144" s="41">
        <v>22</v>
      </c>
      <c r="AH144" s="41"/>
      <c r="AI144" s="459"/>
      <c r="AJ144" s="41"/>
      <c r="AK144" s="41"/>
      <c r="AL144" s="41"/>
      <c r="AM144" s="41">
        <f>SUM(AF144:AL144)+AT144+AV144+AX144</f>
        <v>22</v>
      </c>
      <c r="AN144" s="91"/>
      <c r="AO144" s="41"/>
      <c r="AP144" s="41"/>
      <c r="AQ144" s="41"/>
      <c r="AR144" s="41">
        <f>SUM(AN144:AQ144)</f>
        <v>0</v>
      </c>
      <c r="AS144" s="41"/>
      <c r="AT144" s="41"/>
      <c r="AU144" s="41"/>
      <c r="AV144" s="41"/>
      <c r="AW144" s="41"/>
      <c r="AX144" s="41"/>
      <c r="AY144" s="41"/>
      <c r="AZ144" s="41"/>
      <c r="BA144" s="41">
        <f>+AR144+AS144+AU144+AW144+AY144+AZ144</f>
        <v>0</v>
      </c>
      <c r="BB144" s="54"/>
      <c r="BC144" s="55">
        <v>22</v>
      </c>
      <c r="BD144" s="55"/>
      <c r="BE144" s="54"/>
      <c r="BF144" s="55"/>
    </row>
    <row r="145" spans="1:58" ht="12.95" customHeight="1">
      <c r="A145" s="44"/>
      <c r="B145" s="45"/>
      <c r="C145" s="450"/>
      <c r="D145" s="45"/>
      <c r="E145" s="46"/>
      <c r="F145" s="46"/>
      <c r="G145" s="463"/>
      <c r="H145" s="48"/>
      <c r="I145" s="49"/>
      <c r="J145" s="90"/>
      <c r="K145" s="90"/>
      <c r="L145" s="39"/>
      <c r="M145" s="39"/>
      <c r="N145" s="50"/>
      <c r="O145" s="51"/>
      <c r="P145" s="52"/>
      <c r="Q145" s="51"/>
      <c r="R145" s="420"/>
      <c r="S145" s="420"/>
      <c r="T145" s="41"/>
      <c r="U145" s="41"/>
      <c r="V145" s="41"/>
      <c r="W145" s="41"/>
      <c r="X145" s="42"/>
      <c r="Y145" s="222"/>
      <c r="Z145" s="41"/>
      <c r="AA145" s="41"/>
      <c r="AB145" s="41"/>
      <c r="AC145" s="41"/>
      <c r="AD145" s="41">
        <f>+AM145+BA145</f>
        <v>28</v>
      </c>
      <c r="AE145" s="241" t="s">
        <v>626</v>
      </c>
      <c r="AF145" s="37"/>
      <c r="AG145" s="37"/>
      <c r="AH145" s="37">
        <v>28</v>
      </c>
      <c r="AI145" s="459"/>
      <c r="AJ145" s="41"/>
      <c r="AK145" s="41"/>
      <c r="AL145" s="41"/>
      <c r="AM145" s="41">
        <f>SUM(AF145:AL145)+AT145+AV145+AX145</f>
        <v>28</v>
      </c>
      <c r="AN145" s="41"/>
      <c r="AO145" s="41"/>
      <c r="AP145" s="41"/>
      <c r="AQ145" s="41"/>
      <c r="AR145" s="41">
        <f>SUM(AN145:AQ145)</f>
        <v>0</v>
      </c>
      <c r="AS145" s="41"/>
      <c r="AT145" s="41"/>
      <c r="AU145" s="41"/>
      <c r="AV145" s="41"/>
      <c r="AW145" s="41"/>
      <c r="AX145" s="41"/>
      <c r="AY145" s="41"/>
      <c r="AZ145" s="41"/>
      <c r="BA145" s="41">
        <f>+AR145+AS145+AU145+AW145+AY145+AZ145</f>
        <v>0</v>
      </c>
      <c r="BB145" s="37"/>
      <c r="BC145" s="57"/>
      <c r="BD145" s="57"/>
      <c r="BE145" s="37"/>
      <c r="BF145" s="57"/>
    </row>
    <row r="146" spans="1:58" ht="12.95" customHeight="1">
      <c r="A146" s="346"/>
      <c r="B146" s="45"/>
      <c r="C146" s="450"/>
      <c r="D146" s="45"/>
      <c r="E146" s="46"/>
      <c r="F146" s="46"/>
      <c r="G146" s="463"/>
      <c r="H146" s="48"/>
      <c r="I146" s="49"/>
      <c r="J146" s="90"/>
      <c r="K146" s="90"/>
      <c r="L146" s="39"/>
      <c r="M146" s="39"/>
      <c r="N146" s="50"/>
      <c r="O146" s="51"/>
      <c r="P146" s="52"/>
      <c r="Q146" s="51"/>
      <c r="R146" s="420"/>
      <c r="S146" s="420"/>
      <c r="T146" s="41"/>
      <c r="U146" s="41"/>
      <c r="V146" s="41"/>
      <c r="W146" s="41"/>
      <c r="X146" s="417"/>
      <c r="Y146" s="222"/>
      <c r="Z146" s="41"/>
      <c r="AA146" s="53"/>
      <c r="AB146" s="53"/>
      <c r="AC146" s="41"/>
      <c r="AD146" s="41"/>
      <c r="AE146" s="241"/>
      <c r="AF146" s="41"/>
      <c r="AG146" s="41"/>
      <c r="AH146" s="41"/>
      <c r="AI146" s="459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37"/>
      <c r="BC146" s="57"/>
      <c r="BD146" s="57"/>
      <c r="BE146" s="37"/>
      <c r="BF146" s="57"/>
    </row>
    <row r="147" spans="1:58" ht="12.75" customHeight="1">
      <c r="A147" s="346">
        <v>45869</v>
      </c>
      <c r="B147" s="45" t="s">
        <v>607</v>
      </c>
      <c r="C147" s="450">
        <f>(M147*E147*O147*Q147)/100000000</f>
        <v>44.688420000000001</v>
      </c>
      <c r="D147" s="45" t="s">
        <v>608</v>
      </c>
      <c r="E147" s="46">
        <v>12</v>
      </c>
      <c r="F147" s="46">
        <v>1</v>
      </c>
      <c r="G147" s="463">
        <v>1700</v>
      </c>
      <c r="H147" s="631">
        <v>0.24</v>
      </c>
      <c r="I147" s="49">
        <v>0.88</v>
      </c>
      <c r="J147" s="90">
        <f>E147*G147*(1-H147)*1440/1000000*2.77</f>
        <v>61.8423552</v>
      </c>
      <c r="K147" s="90">
        <f>(IF(G147&lt;L147,L147,G147)*(1-IF(H147&lt;N147,H147,N147))*E147*O147*Q147)/100000000</f>
        <v>47.209679999999999</v>
      </c>
      <c r="L147" s="39">
        <v>1610</v>
      </c>
      <c r="M147" s="39">
        <v>1223</v>
      </c>
      <c r="N147" s="50">
        <f>1-(M147/L147)</f>
        <v>0.24037267080745339</v>
      </c>
      <c r="O147" s="51">
        <f>+'Trim Rwd'!H106</f>
        <v>262.5</v>
      </c>
      <c r="P147" s="52">
        <f>O147*(Q147-R147-S147)</f>
        <v>279562.5</v>
      </c>
      <c r="Q147" s="51">
        <v>1160</v>
      </c>
      <c r="R147" s="420">
        <v>35</v>
      </c>
      <c r="S147" s="420">
        <v>60</v>
      </c>
      <c r="T147" s="41">
        <f>E147*M147*O147*Q147/100000000</f>
        <v>44.688420000000001</v>
      </c>
      <c r="U147" s="41">
        <f>E147*M147*O147*(Q147-R147-S147)/100000000</f>
        <v>41.028592500000002</v>
      </c>
      <c r="V147" s="41">
        <f>E147*G147*(1-N147)*O147/100*(R147+S147)/1000000</f>
        <v>3.8644141304347825</v>
      </c>
      <c r="W147" s="41">
        <f>+'31'!K13/1000</f>
        <v>43.774999999999999</v>
      </c>
      <c r="X147" s="417">
        <f>SUM(W147:W150)/SUM(K147:K150)</f>
        <v>0.84132217307710044</v>
      </c>
      <c r="Y147" s="222">
        <f>+SUM(RBP!$AG$3:$AG$4)</f>
        <v>5.9499999999999993</v>
      </c>
      <c r="Z147" s="41">
        <f>+'31'!D25/1000</f>
        <v>0.34799999999999998</v>
      </c>
      <c r="AA147" s="53">
        <f>SUM(U147:U150)-SUM(W147:W150)-SUM(Z147:Z150)-SUM(Y147:Y150)</f>
        <v>-4.2843629999999964</v>
      </c>
      <c r="AB147" s="53">
        <f>(SUM(K147:K150)-SUM(W147:W150)-SUM(Y147:Y150)-SUM(Z147:Z150)-SUM(AC147:AC150)-SUM(V147:V150))-AA147</f>
        <v>-0.22505533043478287</v>
      </c>
      <c r="AC147" s="41">
        <f>K147-T147</f>
        <v>2.5212599999999981</v>
      </c>
      <c r="AD147" s="41">
        <f>+AM147+BA147</f>
        <v>5</v>
      </c>
      <c r="AE147" s="241" t="s">
        <v>536</v>
      </c>
      <c r="AF147" s="41">
        <v>5</v>
      </c>
      <c r="AG147" s="41"/>
      <c r="AH147" s="41"/>
      <c r="AI147" s="459"/>
      <c r="AJ147" s="41"/>
      <c r="AK147" s="41"/>
      <c r="AL147" s="41"/>
      <c r="AM147" s="41">
        <f>SUM(AF147:AL147)+AT147+AV147+AX147</f>
        <v>5</v>
      </c>
      <c r="AN147" s="41"/>
      <c r="AO147" s="41"/>
      <c r="AP147" s="41"/>
      <c r="AQ147" s="41"/>
      <c r="AR147" s="41">
        <f>SUM(AN147:AQ147)</f>
        <v>0</v>
      </c>
      <c r="AS147" s="41"/>
      <c r="AT147" s="41"/>
      <c r="AU147" s="41"/>
      <c r="AV147" s="41"/>
      <c r="AW147" s="41"/>
      <c r="AX147" s="41"/>
      <c r="AY147" s="41"/>
      <c r="AZ147" s="41"/>
      <c r="BA147" s="41">
        <f>+AR147+AS147+AU147+AW147+AY147+AZ147</f>
        <v>0</v>
      </c>
      <c r="BB147" s="37">
        <v>1</v>
      </c>
      <c r="BC147" s="55"/>
      <c r="BD147" s="55"/>
      <c r="BE147" s="37"/>
      <c r="BF147" s="55"/>
    </row>
    <row r="148" spans="1:58" ht="12.95" customHeight="1">
      <c r="A148" s="346"/>
      <c r="B148" s="45" t="s">
        <v>607</v>
      </c>
      <c r="C148" s="450">
        <f>(M148*E148*O148*Q148)/100000000</f>
        <v>11.8445544</v>
      </c>
      <c r="D148" s="45" t="s">
        <v>608</v>
      </c>
      <c r="E148" s="46">
        <v>13.5</v>
      </c>
      <c r="F148" s="46">
        <v>1</v>
      </c>
      <c r="G148" s="463">
        <v>1700</v>
      </c>
      <c r="H148" s="631">
        <v>0.24</v>
      </c>
      <c r="I148" s="49">
        <v>0.88</v>
      </c>
      <c r="J148" s="90">
        <f>E148*G148*(1-H148)*1440/1000000*2.77</f>
        <v>69.572649600000005</v>
      </c>
      <c r="K148" s="90">
        <f>(IF(G148&lt;L148,L148,G148)*(1-IF(H148&lt;N148,H148,N148))*E148*O148*Q148)/100000000</f>
        <v>12.990801599999999</v>
      </c>
      <c r="L148" s="39">
        <v>1550</v>
      </c>
      <c r="M148" s="39">
        <v>1178</v>
      </c>
      <c r="N148" s="50">
        <f>1-(M148/L148)</f>
        <v>0.24</v>
      </c>
      <c r="O148" s="51">
        <f>+'Trim Rwd'!H107</f>
        <v>266</v>
      </c>
      <c r="P148" s="52">
        <f>O148*(Q148-R148-S148)</f>
        <v>73150</v>
      </c>
      <c r="Q148" s="51">
        <v>280</v>
      </c>
      <c r="R148" s="420">
        <v>5</v>
      </c>
      <c r="S148" s="420">
        <v>0</v>
      </c>
      <c r="T148" s="41">
        <f>E148*M148*O148*Q148/100000000</f>
        <v>11.8445544</v>
      </c>
      <c r="U148" s="41">
        <f>E148*M148*O148*(Q148-R148-S148)/100000000</f>
        <v>11.6330445</v>
      </c>
      <c r="V148" s="41">
        <f>E148*G148*(1-N148)*O148/100*(R148+S148)/1000000</f>
        <v>0.23197860000000001</v>
      </c>
      <c r="W148" s="41">
        <f>+'31'!K19/1000</f>
        <v>6.8730000000000002</v>
      </c>
      <c r="X148" s="42"/>
      <c r="Y148" s="222"/>
      <c r="Z148" s="41"/>
      <c r="AA148" s="41"/>
      <c r="AB148" s="41"/>
      <c r="AC148" s="41">
        <f>K148-T148</f>
        <v>1.1462471999999995</v>
      </c>
      <c r="AD148" s="41">
        <f>+AM148+BA148</f>
        <v>23</v>
      </c>
      <c r="AE148" s="241" t="s">
        <v>625</v>
      </c>
      <c r="AF148" s="41"/>
      <c r="AG148" s="41">
        <v>23</v>
      </c>
      <c r="AH148" s="41"/>
      <c r="AI148" s="459"/>
      <c r="AJ148" s="41"/>
      <c r="AK148" s="41"/>
      <c r="AL148" s="41"/>
      <c r="AM148" s="41">
        <f>SUM(AF148:AL148)+AT148+AV148+AX148</f>
        <v>23</v>
      </c>
      <c r="AN148" s="91"/>
      <c r="AO148" s="41"/>
      <c r="AP148" s="41"/>
      <c r="AQ148" s="41"/>
      <c r="AR148" s="41">
        <f>SUM(AN148:AQ148)</f>
        <v>0</v>
      </c>
      <c r="AS148" s="41"/>
      <c r="AT148" s="41"/>
      <c r="AU148" s="41"/>
      <c r="AV148" s="41"/>
      <c r="AW148" s="41"/>
      <c r="AX148" s="41"/>
      <c r="AY148" s="41"/>
      <c r="AZ148" s="41"/>
      <c r="BA148" s="41">
        <f>+AR148+AS148+AU148+AW148+AY148+AZ148</f>
        <v>0</v>
      </c>
      <c r="BB148" s="54"/>
      <c r="BC148" s="55">
        <v>18</v>
      </c>
      <c r="BD148" s="55"/>
      <c r="BE148" s="54"/>
      <c r="BF148" s="55"/>
    </row>
    <row r="149" spans="1:58" ht="12.95" customHeight="1">
      <c r="A149" s="44"/>
      <c r="B149" s="45"/>
      <c r="C149" s="450"/>
      <c r="D149" s="45"/>
      <c r="E149" s="46"/>
      <c r="F149" s="46"/>
      <c r="G149" s="463"/>
      <c r="H149" s="48"/>
      <c r="I149" s="49"/>
      <c r="J149" s="90"/>
      <c r="K149" s="90"/>
      <c r="L149" s="39"/>
      <c r="M149" s="39"/>
      <c r="N149" s="50"/>
      <c r="O149" s="51"/>
      <c r="P149" s="52"/>
      <c r="Q149" s="51"/>
      <c r="R149" s="420"/>
      <c r="S149" s="420"/>
      <c r="T149" s="41"/>
      <c r="U149" s="41"/>
      <c r="V149" s="41"/>
      <c r="W149" s="41"/>
      <c r="X149" s="42"/>
      <c r="Y149" s="222"/>
      <c r="Z149" s="41"/>
      <c r="AA149" s="41"/>
      <c r="AB149" s="41"/>
      <c r="AC149" s="41"/>
      <c r="AD149" s="41">
        <f>+AM149+BA149</f>
        <v>32</v>
      </c>
      <c r="AE149" s="241" t="s">
        <v>742</v>
      </c>
      <c r="AF149" s="37"/>
      <c r="AG149" s="37"/>
      <c r="AH149" s="37">
        <v>32</v>
      </c>
      <c r="AI149" s="459"/>
      <c r="AJ149" s="41"/>
      <c r="AK149" s="41"/>
      <c r="AL149" s="41"/>
      <c r="AM149" s="41">
        <f>SUM(AF149:AL149)+AT149+AV149+AX149</f>
        <v>32</v>
      </c>
      <c r="AN149" s="41"/>
      <c r="AO149" s="41"/>
      <c r="AP149" s="41"/>
      <c r="AQ149" s="41"/>
      <c r="AR149" s="41">
        <f>SUM(AN149:AQ149)</f>
        <v>0</v>
      </c>
      <c r="AS149" s="41"/>
      <c r="AT149" s="41"/>
      <c r="AU149" s="41"/>
      <c r="AV149" s="41"/>
      <c r="AW149" s="41"/>
      <c r="AX149" s="41"/>
      <c r="AY149" s="41"/>
      <c r="AZ149" s="41"/>
      <c r="BA149" s="41">
        <f>+AR149+AS149+AU149+AW149+AY149+AZ149</f>
        <v>0</v>
      </c>
      <c r="BB149" s="37"/>
      <c r="BC149" s="57"/>
      <c r="BD149" s="57"/>
      <c r="BE149" s="37"/>
      <c r="BF149" s="57"/>
    </row>
    <row r="150" spans="1:58" ht="12.95" customHeight="1">
      <c r="A150" s="44"/>
      <c r="B150" s="3"/>
      <c r="C150" s="450"/>
      <c r="D150" s="45"/>
      <c r="E150" s="46"/>
      <c r="F150" s="46"/>
      <c r="G150" s="47"/>
      <c r="H150" s="48"/>
      <c r="I150" s="49"/>
      <c r="J150" s="90"/>
      <c r="K150" s="90"/>
      <c r="L150" s="39"/>
      <c r="M150" s="39"/>
      <c r="N150" s="50"/>
      <c r="O150" s="51"/>
      <c r="P150" s="52"/>
      <c r="Q150" s="38"/>
      <c r="R150" s="420"/>
      <c r="S150" s="420"/>
      <c r="T150" s="41"/>
      <c r="U150" s="41"/>
      <c r="V150" s="41"/>
      <c r="W150" s="41"/>
      <c r="X150" s="42"/>
      <c r="Y150" s="42"/>
      <c r="Z150" s="41"/>
      <c r="AA150" s="53"/>
      <c r="AB150" s="53"/>
      <c r="AC150" s="41"/>
      <c r="AD150" s="41">
        <f>+AM150+BA150</f>
        <v>35</v>
      </c>
      <c r="AE150" s="244" t="s">
        <v>830</v>
      </c>
      <c r="AF150" s="41"/>
      <c r="AG150" s="41"/>
      <c r="AH150" s="41"/>
      <c r="AI150" s="41"/>
      <c r="AJ150" s="41"/>
      <c r="AK150" s="41"/>
      <c r="AL150" s="41"/>
      <c r="AM150" s="41">
        <f t="shared" ref="AM150:AM151" si="28">SUM(AF150:AL150)+AT150+AV150+AX150</f>
        <v>0</v>
      </c>
      <c r="AN150" s="41"/>
      <c r="AO150" s="41"/>
      <c r="AP150" s="41">
        <v>35</v>
      </c>
      <c r="AQ150" s="41"/>
      <c r="AR150" s="41">
        <f t="shared" ref="AR150:AR151" si="29">SUM(AN150:AQ150)</f>
        <v>35</v>
      </c>
      <c r="AS150" s="41"/>
      <c r="AT150" s="41"/>
      <c r="AU150" s="41"/>
      <c r="AV150" s="41"/>
      <c r="AW150" s="41"/>
      <c r="AX150" s="41"/>
      <c r="AY150" s="41"/>
      <c r="AZ150" s="41"/>
      <c r="BA150" s="41">
        <f t="shared" ref="BA150:BA151" si="30">+AR150+AS150+AU150+AW150+AY150+AZ150</f>
        <v>35</v>
      </c>
      <c r="BB150" s="37"/>
      <c r="BC150" s="57"/>
      <c r="BD150" s="57"/>
      <c r="BE150" s="37"/>
      <c r="BF150" s="57"/>
    </row>
    <row r="151" spans="1:58" ht="12.95" customHeight="1">
      <c r="A151" s="44"/>
      <c r="B151" s="45"/>
      <c r="C151" s="450"/>
      <c r="D151" s="45"/>
      <c r="E151" s="46"/>
      <c r="F151" s="46"/>
      <c r="G151" s="58"/>
      <c r="H151" s="59"/>
      <c r="I151" s="49"/>
      <c r="J151" s="90"/>
      <c r="K151" s="90"/>
      <c r="L151" s="39"/>
      <c r="M151" s="39"/>
      <c r="N151" s="50"/>
      <c r="O151" s="51"/>
      <c r="P151" s="52"/>
      <c r="Q151" s="351"/>
      <c r="R151" s="54"/>
      <c r="S151" s="54"/>
      <c r="T151" s="41"/>
      <c r="U151" s="41"/>
      <c r="V151" s="41"/>
      <c r="W151" s="37"/>
      <c r="X151" s="42"/>
      <c r="Y151" s="42"/>
      <c r="Z151" s="633"/>
      <c r="AA151" s="53"/>
      <c r="AB151" s="53"/>
      <c r="AC151" s="41"/>
      <c r="AD151" s="41">
        <f>+AM151+BA151</f>
        <v>5</v>
      </c>
      <c r="AE151" s="244" t="s">
        <v>837</v>
      </c>
      <c r="AF151" s="41"/>
      <c r="AG151" s="41"/>
      <c r="AH151" s="41"/>
      <c r="AI151" s="41"/>
      <c r="AJ151" s="41"/>
      <c r="AK151" s="41"/>
      <c r="AL151" s="41"/>
      <c r="AM151" s="41">
        <f t="shared" si="28"/>
        <v>0</v>
      </c>
      <c r="AN151" s="41"/>
      <c r="AO151" s="41"/>
      <c r="AP151" s="41"/>
      <c r="AQ151" s="41"/>
      <c r="AR151" s="41">
        <f t="shared" si="29"/>
        <v>0</v>
      </c>
      <c r="AS151" s="41">
        <v>5</v>
      </c>
      <c r="AT151" s="41"/>
      <c r="AU151" s="41"/>
      <c r="AV151" s="41"/>
      <c r="AW151" s="41"/>
      <c r="AX151" s="41"/>
      <c r="AY151" s="41"/>
      <c r="AZ151" s="41"/>
      <c r="BA151" s="41">
        <f t="shared" si="30"/>
        <v>5</v>
      </c>
      <c r="BB151" s="37"/>
      <c r="BC151" s="57"/>
      <c r="BD151" s="57"/>
      <c r="BE151" s="37"/>
      <c r="BF151" s="57"/>
    </row>
    <row r="152" spans="1:58" ht="12.95" customHeight="1">
      <c r="A152" s="44"/>
      <c r="B152" s="45"/>
      <c r="C152" s="450"/>
      <c r="D152" s="45"/>
      <c r="E152" s="46"/>
      <c r="F152" s="46"/>
      <c r="G152" s="58"/>
      <c r="H152" s="59"/>
      <c r="I152" s="49"/>
      <c r="J152" s="90"/>
      <c r="K152" s="90"/>
      <c r="L152" s="39"/>
      <c r="M152" s="39"/>
      <c r="N152" s="50"/>
      <c r="O152" s="51"/>
      <c r="P152" s="52"/>
      <c r="Q152" s="351"/>
      <c r="R152" s="54"/>
      <c r="S152" s="54"/>
      <c r="T152" s="41"/>
      <c r="U152" s="41"/>
      <c r="V152" s="41"/>
      <c r="W152" s="37"/>
      <c r="X152" s="42"/>
      <c r="Y152" s="42"/>
      <c r="Z152" s="633"/>
      <c r="AA152" s="53">
        <f>U152-W152-Z152</f>
        <v>0</v>
      </c>
      <c r="AB152" s="53"/>
      <c r="AC152" s="41">
        <f>K152-T152</f>
        <v>0</v>
      </c>
      <c r="AD152" s="41"/>
      <c r="AE152" s="60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37"/>
      <c r="BC152" s="55"/>
      <c r="BD152" s="55"/>
      <c r="BE152" s="55"/>
      <c r="BF152" s="55"/>
    </row>
    <row r="153" spans="1:58">
      <c r="R153" s="421"/>
      <c r="S153" s="421"/>
      <c r="AA153" s="259">
        <f>U153-W153-Z153</f>
        <v>0</v>
      </c>
      <c r="AB153" s="259"/>
      <c r="AC153" s="260">
        <f>K153-T153</f>
        <v>0</v>
      </c>
      <c r="AD153" s="41"/>
      <c r="AF153" s="56"/>
      <c r="AG153" s="56"/>
      <c r="AH153" s="56"/>
      <c r="AI153" s="56"/>
      <c r="AJ153" s="56"/>
      <c r="AK153" s="56"/>
      <c r="AL153" s="56"/>
      <c r="AM153" s="41"/>
      <c r="AN153" s="56"/>
      <c r="AO153" s="56"/>
      <c r="AP153" s="56"/>
      <c r="AQ153" s="56"/>
      <c r="AR153" s="41"/>
      <c r="AS153" s="56"/>
      <c r="AT153" s="56"/>
      <c r="AU153" s="56"/>
      <c r="AV153" s="56"/>
      <c r="AW153" s="56"/>
      <c r="AX153" s="56"/>
      <c r="AY153" s="56"/>
      <c r="AZ153" s="56"/>
      <c r="BA153" s="41"/>
      <c r="BB153" s="37"/>
      <c r="BC153" s="55"/>
      <c r="BD153" s="55"/>
      <c r="BE153" s="55"/>
      <c r="BF153" s="55"/>
    </row>
    <row r="154" spans="1:58" s="29" customFormat="1" ht="12.95" customHeight="1">
      <c r="A154" s="64"/>
      <c r="B154" s="65"/>
      <c r="C154" s="451">
        <f>SUM(C6:C152)</f>
        <v>1907.8461114892564</v>
      </c>
      <c r="D154" s="65"/>
      <c r="E154" s="66"/>
      <c r="F154" s="66"/>
      <c r="G154" s="67"/>
      <c r="H154" s="67"/>
      <c r="I154" s="68">
        <v>0.85</v>
      </c>
      <c r="J154" s="90"/>
      <c r="K154" s="92">
        <f>SUM(K6:K152)</f>
        <v>1988.3664431135019</v>
      </c>
      <c r="L154" s="70"/>
      <c r="M154" s="70"/>
      <c r="N154" s="71"/>
      <c r="O154" s="72">
        <f>P154/(Q154-R154-S154)</f>
        <v>265.64121513097228</v>
      </c>
      <c r="P154" s="69">
        <f>SUM(P6:P152)</f>
        <v>10857553.386048231</v>
      </c>
      <c r="Q154" s="353">
        <f>SUM(Q6:Q153)</f>
        <v>44640</v>
      </c>
      <c r="R154" s="69">
        <f t="shared" ref="R154:W154" si="31">SUM(R6:R152)</f>
        <v>825</v>
      </c>
      <c r="S154" s="69">
        <f t="shared" si="31"/>
        <v>2942</v>
      </c>
      <c r="T154" s="69">
        <f t="shared" si="31"/>
        <v>1907.8461114892564</v>
      </c>
      <c r="U154" s="69">
        <f t="shared" si="31"/>
        <v>1745.8616301821753</v>
      </c>
      <c r="V154" s="378">
        <f t="shared" si="31"/>
        <v>169.74850152710297</v>
      </c>
      <c r="W154" s="462">
        <f t="shared" si="31"/>
        <v>1669.0299999999995</v>
      </c>
      <c r="X154" s="382">
        <f>W154/K154</f>
        <v>0.83939758980569679</v>
      </c>
      <c r="Y154" s="379">
        <f>SUM(Y6:Y152)</f>
        <v>5.9499999999999993</v>
      </c>
      <c r="Z154" s="69">
        <f>SUM(Z6:Z152)</f>
        <v>22.895</v>
      </c>
      <c r="AA154" s="69">
        <f>SUM(AA6:AA152)</f>
        <v>47.986630182175425</v>
      </c>
      <c r="AB154" s="69">
        <f>SUM(AB6:AB152)</f>
        <v>-4.5432144600222575</v>
      </c>
      <c r="AC154" s="69">
        <f>SUM(AC6:AC152)</f>
        <v>77.299525864246348</v>
      </c>
      <c r="AD154" s="41">
        <f>SUM(AD6:AD153)</f>
        <v>3767</v>
      </c>
      <c r="AE154" s="73"/>
      <c r="AF154" s="69">
        <f t="shared" ref="AF154:AS154" si="32">SUM(AF6:AF153)</f>
        <v>1164</v>
      </c>
      <c r="AG154" s="69">
        <f t="shared" si="32"/>
        <v>427</v>
      </c>
      <c r="AH154" s="69">
        <f t="shared" si="32"/>
        <v>855</v>
      </c>
      <c r="AI154" s="69">
        <f t="shared" si="32"/>
        <v>145</v>
      </c>
      <c r="AJ154" s="69">
        <f t="shared" si="32"/>
        <v>0</v>
      </c>
      <c r="AK154" s="69">
        <f t="shared" si="32"/>
        <v>223</v>
      </c>
      <c r="AL154" s="69">
        <f>SUM(AL6:AL153)</f>
        <v>0</v>
      </c>
      <c r="AM154" s="69">
        <f t="shared" si="32"/>
        <v>2942</v>
      </c>
      <c r="AN154" s="56">
        <f t="shared" si="32"/>
        <v>428</v>
      </c>
      <c r="AO154" s="56">
        <f t="shared" si="32"/>
        <v>0</v>
      </c>
      <c r="AP154" s="56">
        <f t="shared" si="32"/>
        <v>249</v>
      </c>
      <c r="AQ154" s="56">
        <f>SUM(AQ6:AQ153)</f>
        <v>0</v>
      </c>
      <c r="AR154" s="69">
        <f t="shared" si="32"/>
        <v>677</v>
      </c>
      <c r="AS154" s="69">
        <f t="shared" si="32"/>
        <v>5</v>
      </c>
      <c r="AT154" s="69">
        <f t="shared" ref="AT154:BA154" si="33">SUM(AT6:AT153)</f>
        <v>0</v>
      </c>
      <c r="AU154" s="69">
        <f t="shared" si="33"/>
        <v>0</v>
      </c>
      <c r="AV154" s="69">
        <f t="shared" si="33"/>
        <v>128</v>
      </c>
      <c r="AW154" s="69">
        <f>SUM(AW6:AW153)</f>
        <v>105</v>
      </c>
      <c r="AX154" s="69">
        <f>SUM(AX6:AX153)</f>
        <v>0</v>
      </c>
      <c r="AY154" s="69">
        <f>SUM(AY6:AY153)</f>
        <v>38</v>
      </c>
      <c r="AZ154" s="69">
        <f>SUM(AZ6:AZ153)</f>
        <v>0</v>
      </c>
      <c r="BA154" s="69">
        <f t="shared" si="33"/>
        <v>825</v>
      </c>
      <c r="BB154" s="56">
        <f>SUM(BB6:BB153)</f>
        <v>235</v>
      </c>
      <c r="BC154" s="56">
        <f>SUM(BC6:BC153)</f>
        <v>376</v>
      </c>
      <c r="BD154" s="56">
        <f>SUM(BD6:BD153)</f>
        <v>5</v>
      </c>
      <c r="BE154" s="56">
        <f>SUM(BE6:BE153)</f>
        <v>1</v>
      </c>
      <c r="BF154" s="56">
        <f>SUM(BF6:BF153)</f>
        <v>5</v>
      </c>
    </row>
    <row r="155" spans="1:58" s="29" customFormat="1" ht="12.95" customHeight="1">
      <c r="A155" s="64"/>
      <c r="B155" s="65"/>
      <c r="C155" s="65"/>
      <c r="D155" s="65"/>
      <c r="E155" s="66"/>
      <c r="F155" s="66"/>
      <c r="G155" s="67"/>
      <c r="H155" s="67"/>
      <c r="I155" s="67"/>
      <c r="J155" s="93"/>
      <c r="K155" s="93"/>
      <c r="L155" s="70"/>
      <c r="M155" s="70"/>
      <c r="N155" s="71"/>
      <c r="O155" s="934"/>
      <c r="P155" s="935"/>
      <c r="Q155" s="67">
        <f>31*1440-Q154</f>
        <v>0</v>
      </c>
      <c r="R155" s="74">
        <f>R154/Q154</f>
        <v>1.8481182795698926E-2</v>
      </c>
      <c r="S155" s="74">
        <f>S154/Q154</f>
        <v>6.5905017921146947E-2</v>
      </c>
      <c r="T155" s="364"/>
      <c r="U155" s="364"/>
      <c r="V155" s="366">
        <f>V154/K154</f>
        <v>8.5370833990388972E-2</v>
      </c>
      <c r="W155" s="383" t="s">
        <v>173</v>
      </c>
      <c r="X155" s="384">
        <v>0.85</v>
      </c>
      <c r="Y155" s="380">
        <f>Y154/K154</f>
        <v>2.9924061636662593E-3</v>
      </c>
      <c r="Z155" s="635">
        <f>Z154/K154</f>
        <v>1.1514477162544371E-2</v>
      </c>
      <c r="AA155" s="75">
        <f>AA154/K154</f>
        <v>2.4133695450540355E-2</v>
      </c>
      <c r="AB155" s="75">
        <f>AB154/K154</f>
        <v>-2.2848979752988705E-3</v>
      </c>
      <c r="AC155" s="98">
        <f>AC154/K154</f>
        <v>3.8875895402462224E-2</v>
      </c>
      <c r="AD155" s="367"/>
      <c r="AE155" s="43"/>
      <c r="AF155" s="75">
        <f>AF154/$AD$154*$V$155</f>
        <v>2.6379519714577322E-2</v>
      </c>
      <c r="AG155" s="75">
        <f>AG154/$AD$154*$V$155</f>
        <v>9.6770231255365255E-3</v>
      </c>
      <c r="AH155" s="75">
        <f>AH154/$AD$154*$V$155</f>
        <v>1.9376709068697259E-2</v>
      </c>
      <c r="AI155" s="75">
        <f>AI154/$AD$154*$V$155</f>
        <v>3.2861085555100614E-3</v>
      </c>
      <c r="AJ155" s="75">
        <f t="shared" ref="AJ155:AS155" si="34">AJ154/$AD$154*$V$155</f>
        <v>0</v>
      </c>
      <c r="AK155" s="75">
        <f t="shared" si="34"/>
        <v>5.0538083301982315E-3</v>
      </c>
      <c r="AL155" s="75">
        <f>AL154/$AD$154*$V$155</f>
        <v>0</v>
      </c>
      <c r="AM155" s="75">
        <f t="shared" si="34"/>
        <v>6.6674009450417931E-2</v>
      </c>
      <c r="AN155" s="75">
        <f t="shared" si="34"/>
        <v>9.6996859431607331E-3</v>
      </c>
      <c r="AO155" s="75">
        <f t="shared" si="34"/>
        <v>0</v>
      </c>
      <c r="AP155" s="75">
        <f t="shared" si="34"/>
        <v>5.6430415884276231E-3</v>
      </c>
      <c r="AQ155" s="75">
        <f>AQ154/$AD$154*$V$155</f>
        <v>0</v>
      </c>
      <c r="AR155" s="75">
        <f t="shared" si="34"/>
        <v>1.5342727531588355E-2</v>
      </c>
      <c r="AS155" s="75">
        <f t="shared" si="34"/>
        <v>1.133140881210366E-4</v>
      </c>
      <c r="AT155" s="75">
        <f t="shared" ref="AT155:BA155" si="35">AT154/$AD$154*$V$155</f>
        <v>0</v>
      </c>
      <c r="AU155" s="75">
        <f t="shared" si="35"/>
        <v>0</v>
      </c>
      <c r="AV155" s="75">
        <f t="shared" si="35"/>
        <v>2.9008406558985369E-3</v>
      </c>
      <c r="AW155" s="75">
        <f t="shared" si="35"/>
        <v>2.3795958505417685E-3</v>
      </c>
      <c r="AX155" s="75">
        <f t="shared" si="35"/>
        <v>0</v>
      </c>
      <c r="AY155" s="75">
        <f t="shared" si="35"/>
        <v>8.6118706971987811E-4</v>
      </c>
      <c r="AZ155" s="75">
        <f t="shared" si="35"/>
        <v>0</v>
      </c>
      <c r="BA155" s="75">
        <f t="shared" si="35"/>
        <v>1.8696824539971037E-2</v>
      </c>
      <c r="BB155" s="38" t="s">
        <v>172</v>
      </c>
      <c r="BC155" s="38" t="s">
        <v>172</v>
      </c>
      <c r="BD155" s="38" t="s">
        <v>413</v>
      </c>
      <c r="BE155" s="38" t="s">
        <v>413</v>
      </c>
      <c r="BF155" s="38" t="s">
        <v>413</v>
      </c>
    </row>
    <row r="156" spans="1:58" ht="12.95" customHeight="1">
      <c r="A156" s="64"/>
      <c r="B156" s="65"/>
      <c r="C156" s="65"/>
      <c r="D156" s="65"/>
      <c r="E156" s="66"/>
      <c r="F156" s="66"/>
      <c r="G156" s="38"/>
      <c r="H156" s="38"/>
      <c r="I156" s="38"/>
      <c r="J156" s="90"/>
      <c r="K156" s="90"/>
      <c r="L156" s="39"/>
      <c r="M156" s="39"/>
      <c r="N156" s="37"/>
      <c r="O156" s="40"/>
      <c r="P156" s="32"/>
      <c r="Q156" s="38"/>
      <c r="R156" s="97">
        <f>R154-(BA154)</f>
        <v>0</v>
      </c>
      <c r="S156" s="97">
        <f>+S154-AM154</f>
        <v>0</v>
      </c>
      <c r="T156" s="37"/>
      <c r="U156" s="37"/>
      <c r="V156" s="37"/>
      <c r="W156" s="41">
        <f>+W154-'31'!$M$34/1000</f>
        <v>0</v>
      </c>
      <c r="X156" s="381"/>
      <c r="Y156" s="76">
        <f>+Y154-SUM(RBP!AG3:AG4)</f>
        <v>0</v>
      </c>
      <c r="Z156" s="41">
        <f>+Z154-'31'!J56/1000</f>
        <v>0</v>
      </c>
      <c r="AA156" s="37"/>
      <c r="AB156" s="37"/>
      <c r="AC156" s="37"/>
      <c r="AD156" s="37"/>
      <c r="AE156" s="43"/>
      <c r="AF156" s="354"/>
      <c r="AG156" s="354"/>
      <c r="AH156" s="354"/>
      <c r="AI156" s="354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95">
        <f>BB154/($Q$154/1440)/2</f>
        <v>3.7903225806451615</v>
      </c>
      <c r="BC156" s="95">
        <f>BC154/($Q$154/1440)/2</f>
        <v>6.064516129032258</v>
      </c>
      <c r="BD156" s="95">
        <f>BD154/($Q$154/1440)</f>
        <v>0.16129032258064516</v>
      </c>
      <c r="BE156" s="95">
        <f>BE154/($Q$154/1440)</f>
        <v>3.2258064516129031E-2</v>
      </c>
      <c r="BF156" s="95">
        <f>BF154/($Q$154/1440)</f>
        <v>0.16129032258064516</v>
      </c>
    </row>
    <row r="157" spans="1:58">
      <c r="A157" s="77"/>
      <c r="B157" s="78"/>
      <c r="C157" s="78"/>
      <c r="D157" s="78"/>
      <c r="E157" s="79"/>
      <c r="F157" s="79"/>
      <c r="G157" s="80"/>
      <c r="H157" s="80"/>
      <c r="I157" s="80"/>
      <c r="J157" s="94"/>
      <c r="K157" s="94"/>
      <c r="O157" s="81"/>
      <c r="P157" s="82"/>
      <c r="Q157" s="80"/>
      <c r="R157" s="61"/>
      <c r="S157" s="61"/>
      <c r="U157" s="83"/>
      <c r="V157" s="83"/>
      <c r="W157" s="84" t="s">
        <v>119</v>
      </c>
      <c r="X157" s="96">
        <f>W154/U154</f>
        <v>0.95599214230158747</v>
      </c>
      <c r="Y157" s="96"/>
      <c r="Z157" s="61"/>
      <c r="AD157" s="91"/>
      <c r="AE157" s="86"/>
      <c r="AF157" s="87"/>
      <c r="AG157" s="87"/>
      <c r="AH157" s="87"/>
      <c r="AI157" s="87"/>
      <c r="AJ157" s="87"/>
      <c r="AK157" s="87"/>
      <c r="AL157" s="87"/>
      <c r="AM157" s="87"/>
      <c r="AN157" s="85"/>
      <c r="AO157" s="85"/>
      <c r="AP157" s="85"/>
      <c r="AQ157" s="85"/>
      <c r="AR157" s="85"/>
      <c r="AS157" s="87"/>
      <c r="AT157" s="87"/>
      <c r="AU157" s="87"/>
      <c r="AV157" s="87"/>
      <c r="AW157" s="87"/>
      <c r="AX157" s="87"/>
      <c r="AY157" s="87"/>
      <c r="AZ157" s="87"/>
      <c r="BA157" s="85"/>
      <c r="BB157" s="29"/>
      <c r="BC157" s="85"/>
      <c r="BD157" s="85"/>
      <c r="BE157" s="29"/>
      <c r="BF157" s="85"/>
    </row>
    <row r="158" spans="1:58">
      <c r="A158" s="77"/>
      <c r="B158" s="78"/>
      <c r="C158" s="78"/>
      <c r="D158" s="78"/>
      <c r="E158" s="79"/>
      <c r="F158" s="79"/>
      <c r="G158" s="80"/>
      <c r="H158" s="80"/>
      <c r="I158" s="80"/>
      <c r="J158" s="94"/>
      <c r="K158" s="94"/>
      <c r="O158" s="81"/>
      <c r="P158" s="82"/>
      <c r="Q158" s="80"/>
      <c r="R158" s="61"/>
      <c r="S158" s="61"/>
      <c r="U158" s="83"/>
      <c r="V158" s="83"/>
      <c r="W158" s="84"/>
      <c r="X158" s="85"/>
      <c r="Y158" s="85"/>
      <c r="Z158" s="61"/>
      <c r="AA158" s="101"/>
      <c r="AB158" s="101"/>
      <c r="AD158" s="91"/>
      <c r="AE158" s="86"/>
      <c r="AF158" s="87"/>
      <c r="AG158" s="87"/>
      <c r="AH158" s="87"/>
      <c r="AI158" s="87"/>
      <c r="AJ158" s="87"/>
      <c r="AK158" s="87"/>
      <c r="AL158" s="87"/>
      <c r="AM158" s="87"/>
      <c r="AN158" s="87"/>
      <c r="AO158" s="85"/>
      <c r="AP158" s="85"/>
      <c r="AQ158" s="85"/>
      <c r="AR158" s="87"/>
      <c r="AS158" s="85"/>
      <c r="AT158" s="85"/>
      <c r="AU158" s="85"/>
      <c r="AV158" s="85"/>
      <c r="AW158" s="85"/>
      <c r="AX158" s="85"/>
      <c r="AY158" s="85"/>
      <c r="AZ158" s="85"/>
      <c r="BA158" s="85"/>
      <c r="BB158" s="29"/>
      <c r="BC158" s="85"/>
      <c r="BD158" s="85"/>
      <c r="BE158" s="29"/>
      <c r="BF158" s="85"/>
    </row>
    <row r="159" spans="1:58">
      <c r="A159" s="77"/>
      <c r="B159" s="78"/>
      <c r="C159" s="78"/>
      <c r="D159" s="78"/>
      <c r="E159" s="79"/>
      <c r="F159" s="79"/>
      <c r="G159" s="80"/>
      <c r="H159" s="80"/>
      <c r="I159" s="80"/>
      <c r="J159" s="94"/>
      <c r="K159" s="94"/>
      <c r="O159" s="81"/>
      <c r="P159" s="82"/>
      <c r="Q159" s="80"/>
      <c r="R159" s="365"/>
      <c r="S159" s="61"/>
      <c r="U159" s="83"/>
      <c r="V159" s="83"/>
      <c r="W159" s="84" t="s">
        <v>142</v>
      </c>
      <c r="X159" s="354">
        <f>+W154+Y154</f>
        <v>1674.9799999999996</v>
      </c>
      <c r="Y159" s="85"/>
      <c r="Z159" s="61"/>
      <c r="AD159" s="91"/>
      <c r="AE159" s="86"/>
      <c r="AF159" s="91"/>
      <c r="AG159" s="91"/>
      <c r="AH159" s="91"/>
      <c r="AI159" s="91"/>
      <c r="AJ159" s="85"/>
      <c r="AK159" s="85"/>
      <c r="AL159" s="85"/>
      <c r="AM159" s="87"/>
      <c r="AN159" s="85"/>
      <c r="AO159" s="85"/>
      <c r="AP159" s="85"/>
      <c r="AQ159" s="85"/>
      <c r="AR159" s="87"/>
      <c r="AS159" s="85"/>
      <c r="AT159" s="85"/>
      <c r="AU159" s="85"/>
      <c r="AV159" s="85"/>
      <c r="AW159" s="85"/>
      <c r="AX159" s="85"/>
      <c r="AY159" s="85"/>
      <c r="AZ159" s="85"/>
      <c r="BA159" s="85"/>
      <c r="BB159" s="29"/>
      <c r="BC159" s="85"/>
      <c r="BD159" s="85"/>
      <c r="BE159" s="29"/>
      <c r="BF159" s="85"/>
    </row>
    <row r="160" spans="1:58">
      <c r="A160" s="77"/>
      <c r="C160" s="78" t="s">
        <v>232</v>
      </c>
      <c r="D160" s="78"/>
      <c r="E160" s="79"/>
      <c r="F160" s="79"/>
      <c r="G160" s="80"/>
      <c r="H160" s="80"/>
      <c r="I160" s="80"/>
      <c r="J160" s="94"/>
      <c r="K160" s="94"/>
      <c r="O160" s="81"/>
      <c r="P160" s="82"/>
      <c r="Q160" s="80"/>
      <c r="R160" s="365"/>
      <c r="S160" s="61"/>
      <c r="U160" s="83"/>
      <c r="V160" s="376"/>
      <c r="W160" s="377"/>
      <c r="X160" s="370"/>
      <c r="Y160" s="377"/>
      <c r="Z160" s="370"/>
      <c r="AD160" s="363"/>
      <c r="AE160" s="86"/>
      <c r="AF160" s="363"/>
      <c r="AG160" s="363"/>
      <c r="AH160" s="363"/>
      <c r="AI160" s="363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29"/>
      <c r="BC160" s="85"/>
      <c r="BD160" s="85"/>
      <c r="BE160" s="29"/>
      <c r="BF160" s="85"/>
    </row>
    <row r="161" spans="1:57">
      <c r="A161" s="77"/>
      <c r="B161" s="78"/>
      <c r="C161" s="78" t="s">
        <v>235</v>
      </c>
      <c r="D161" s="78"/>
      <c r="E161" s="79"/>
      <c r="F161" s="79"/>
      <c r="G161" s="80"/>
      <c r="H161" s="80"/>
      <c r="I161" s="80"/>
      <c r="J161" s="94"/>
      <c r="K161" s="94"/>
      <c r="O161" s="81"/>
      <c r="P161" s="82"/>
      <c r="Q161" s="80"/>
      <c r="R161" s="365"/>
      <c r="S161" s="61"/>
      <c r="V161" s="368"/>
      <c r="W161" s="369" t="s">
        <v>230</v>
      </c>
      <c r="X161" s="368"/>
      <c r="Y161" s="368"/>
      <c r="Z161" s="370"/>
      <c r="AE161" s="86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29"/>
      <c r="BE161" s="29"/>
    </row>
    <row r="162" spans="1:57">
      <c r="A162" s="77"/>
      <c r="B162" s="78"/>
      <c r="C162" s="78"/>
      <c r="D162" s="78"/>
      <c r="E162" s="79"/>
      <c r="F162" s="79"/>
      <c r="G162" s="80"/>
      <c r="H162" s="80"/>
      <c r="I162" s="80"/>
      <c r="J162" s="94"/>
      <c r="K162" s="94"/>
      <c r="O162" s="81"/>
      <c r="P162" s="82"/>
      <c r="Q162" s="80"/>
      <c r="R162" s="365"/>
      <c r="S162" s="61"/>
      <c r="V162" s="368"/>
      <c r="W162" s="371" t="s">
        <v>328</v>
      </c>
      <c r="X162" s="375">
        <f>Y155</f>
        <v>2.9924061636662593E-3</v>
      </c>
      <c r="Y162" s="372"/>
      <c r="Z162" s="370"/>
      <c r="AE162" s="86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29"/>
      <c r="BE162" s="29"/>
    </row>
    <row r="163" spans="1:57">
      <c r="R163" s="101"/>
      <c r="V163" s="368"/>
      <c r="W163" s="371" t="s">
        <v>152</v>
      </c>
      <c r="X163" s="374">
        <f>Z155</f>
        <v>1.1514477162544371E-2</v>
      </c>
      <c r="Y163" s="373"/>
      <c r="Z163" s="636"/>
    </row>
    <row r="164" spans="1:57">
      <c r="R164" s="101"/>
      <c r="V164" s="368"/>
      <c r="W164" s="371" t="s">
        <v>153</v>
      </c>
      <c r="X164" s="374">
        <f>AC155</f>
        <v>3.8875895402462224E-2</v>
      </c>
      <c r="Y164" s="374"/>
      <c r="Z164" s="636"/>
    </row>
    <row r="165" spans="1:57">
      <c r="R165" s="101"/>
      <c r="V165" s="368"/>
      <c r="W165" s="371" t="s">
        <v>154</v>
      </c>
      <c r="X165" s="374">
        <f>AA155</f>
        <v>2.4133695450540355E-2</v>
      </c>
      <c r="Y165" s="373"/>
      <c r="Z165" s="636"/>
    </row>
    <row r="166" spans="1:57">
      <c r="V166" s="368"/>
      <c r="W166" s="371" t="s">
        <v>170</v>
      </c>
      <c r="X166" s="374">
        <f>AB155</f>
        <v>-2.2848979752988705E-3</v>
      </c>
      <c r="Y166" s="373" t="s">
        <v>168</v>
      </c>
      <c r="Z166" s="636"/>
    </row>
    <row r="167" spans="1:57">
      <c r="V167" s="368"/>
      <c r="W167" s="371" t="s">
        <v>206</v>
      </c>
      <c r="X167" s="374">
        <f>AF155</f>
        <v>2.6379519714577322E-2</v>
      </c>
      <c r="Y167" s="373"/>
      <c r="Z167" s="636"/>
    </row>
    <row r="168" spans="1:57">
      <c r="V168" s="368"/>
      <c r="W168" s="371" t="s">
        <v>207</v>
      </c>
      <c r="X168" s="374">
        <f>+AG155</f>
        <v>9.6770231255365255E-3</v>
      </c>
      <c r="Y168" s="373"/>
      <c r="Z168" s="636"/>
    </row>
    <row r="169" spans="1:57">
      <c r="V169" s="368"/>
      <c r="W169" s="371" t="s">
        <v>208</v>
      </c>
      <c r="X169" s="374">
        <f>+AH155</f>
        <v>1.9376709068697259E-2</v>
      </c>
      <c r="Y169" s="373"/>
      <c r="Z169" s="636"/>
    </row>
    <row r="170" spans="1:57">
      <c r="V170" s="368"/>
      <c r="W170" s="371" t="s">
        <v>209</v>
      </c>
      <c r="X170" s="374">
        <f>+AI155</f>
        <v>3.2861085555100614E-3</v>
      </c>
      <c r="Y170" s="373"/>
      <c r="Z170" s="636"/>
    </row>
    <row r="171" spans="1:57">
      <c r="V171" s="368"/>
      <c r="W171" s="371" t="s">
        <v>161</v>
      </c>
      <c r="X171" s="374">
        <f>+AJ155</f>
        <v>0</v>
      </c>
      <c r="Y171" s="373"/>
      <c r="Z171" s="636"/>
    </row>
    <row r="172" spans="1:57">
      <c r="V172" s="368"/>
      <c r="W172" s="371" t="s">
        <v>163</v>
      </c>
      <c r="X172" s="374">
        <f>+AK155</f>
        <v>5.0538083301982315E-3</v>
      </c>
      <c r="Y172" s="373"/>
      <c r="Z172" s="636"/>
    </row>
    <row r="173" spans="1:57">
      <c r="V173" s="368"/>
      <c r="W173" s="371" t="s">
        <v>162</v>
      </c>
      <c r="X173" s="374">
        <f>+AL155</f>
        <v>0</v>
      </c>
      <c r="Y173" s="373"/>
      <c r="Z173" s="636"/>
    </row>
    <row r="174" spans="1:57">
      <c r="V174" s="368"/>
      <c r="W174" s="371" t="s">
        <v>155</v>
      </c>
      <c r="X174" s="374">
        <f>+AN155</f>
        <v>9.6996859431607331E-3</v>
      </c>
      <c r="Y174" s="373"/>
      <c r="Z174" s="636"/>
    </row>
    <row r="175" spans="1:57">
      <c r="V175" s="368"/>
      <c r="W175" s="371" t="s">
        <v>165</v>
      </c>
      <c r="X175" s="374">
        <f>+AO155</f>
        <v>0</v>
      </c>
      <c r="Y175" s="373"/>
      <c r="Z175" s="636"/>
    </row>
    <row r="176" spans="1:57">
      <c r="V176" s="368"/>
      <c r="W176" s="371" t="s">
        <v>156</v>
      </c>
      <c r="X176" s="374">
        <f>+AP155</f>
        <v>5.6430415884276231E-3</v>
      </c>
      <c r="Y176" s="373"/>
      <c r="Z176" s="636"/>
    </row>
    <row r="177" spans="22:26">
      <c r="V177" s="368"/>
      <c r="W177" s="371" t="s">
        <v>164</v>
      </c>
      <c r="X177" s="374">
        <f>+AQ155</f>
        <v>0</v>
      </c>
      <c r="Y177" s="373"/>
      <c r="Z177" s="636"/>
    </row>
    <row r="178" spans="22:26">
      <c r="V178" s="368"/>
      <c r="W178" s="371" t="s">
        <v>167</v>
      </c>
      <c r="X178" s="374">
        <f>+AS155</f>
        <v>1.133140881210366E-4</v>
      </c>
      <c r="Y178" s="373"/>
      <c r="Z178" s="636"/>
    </row>
    <row r="179" spans="22:26">
      <c r="V179" s="368"/>
      <c r="W179" s="371" t="s">
        <v>329</v>
      </c>
      <c r="X179" s="374">
        <f>+AT155</f>
        <v>0</v>
      </c>
      <c r="Y179" s="373"/>
      <c r="Z179" s="636"/>
    </row>
    <row r="180" spans="22:26">
      <c r="V180" s="368"/>
      <c r="W180" s="371" t="s">
        <v>247</v>
      </c>
      <c r="X180" s="374">
        <f>+AU155</f>
        <v>0</v>
      </c>
      <c r="Y180" s="373"/>
      <c r="Z180" s="636"/>
    </row>
    <row r="181" spans="22:26">
      <c r="V181" s="368"/>
      <c r="W181" s="371" t="s">
        <v>335</v>
      </c>
      <c r="X181" s="374">
        <f>AV155</f>
        <v>2.9008406558985369E-3</v>
      </c>
      <c r="Y181" s="373"/>
      <c r="Z181" s="636"/>
    </row>
    <row r="182" spans="22:26">
      <c r="V182" s="368"/>
      <c r="W182" s="371" t="s">
        <v>336</v>
      </c>
      <c r="X182" s="374">
        <f>AW155</f>
        <v>2.3795958505417685E-3</v>
      </c>
      <c r="Y182" s="373"/>
      <c r="Z182" s="636"/>
    </row>
    <row r="183" spans="22:26">
      <c r="V183" s="368"/>
      <c r="W183" s="368" t="s">
        <v>166</v>
      </c>
      <c r="X183" s="374">
        <f>AX155+AY155</f>
        <v>8.6118706971987811E-4</v>
      </c>
      <c r="Y183" s="374"/>
      <c r="Z183" s="636"/>
    </row>
    <row r="184" spans="22:26">
      <c r="V184" s="368"/>
      <c r="W184" s="368" t="s">
        <v>334</v>
      </c>
      <c r="X184" s="374">
        <f>AZ155</f>
        <v>0</v>
      </c>
      <c r="Y184" s="368"/>
      <c r="Z184" s="636"/>
    </row>
    <row r="185" spans="22:26">
      <c r="V185" s="368"/>
      <c r="W185" s="368"/>
      <c r="X185" s="531">
        <f>SUM(X162:X184)</f>
        <v>0.1606024101943033</v>
      </c>
      <c r="Y185" s="368"/>
      <c r="Z185" s="636"/>
    </row>
    <row r="187" spans="22:26">
      <c r="X187" s="101">
        <f>+X185+X154</f>
        <v>1</v>
      </c>
    </row>
  </sheetData>
  <mergeCells count="50">
    <mergeCell ref="BB3:BB5"/>
    <mergeCell ref="BC3:BC5"/>
    <mergeCell ref="AN4:AN5"/>
    <mergeCell ref="AO4:AO5"/>
    <mergeCell ref="AP4:AP5"/>
    <mergeCell ref="AR4:AR5"/>
    <mergeCell ref="AN3:AR3"/>
    <mergeCell ref="AS3:AS5"/>
    <mergeCell ref="AQ4:AQ5"/>
    <mergeCell ref="AT3:AU4"/>
    <mergeCell ref="AV3:AW3"/>
    <mergeCell ref="AX3:AY3"/>
    <mergeCell ref="AZ3:AZ5"/>
    <mergeCell ref="O155:P155"/>
    <mergeCell ref="AC3:AC5"/>
    <mergeCell ref="AE3:AE5"/>
    <mergeCell ref="AD3:AD5"/>
    <mergeCell ref="AF3:AL3"/>
    <mergeCell ref="AJ4:AJ5"/>
    <mergeCell ref="V3:V5"/>
    <mergeCell ref="AK4:AK5"/>
    <mergeCell ref="AL4:AL5"/>
    <mergeCell ref="U3:U5"/>
    <mergeCell ref="W3:W5"/>
    <mergeCell ref="X3:X5"/>
    <mergeCell ref="Z3:Z5"/>
    <mergeCell ref="S3:S5"/>
    <mergeCell ref="T3:T5"/>
    <mergeCell ref="P3:P5"/>
    <mergeCell ref="C3:C5"/>
    <mergeCell ref="A3:A5"/>
    <mergeCell ref="B3:B5"/>
    <mergeCell ref="D3:D5"/>
    <mergeCell ref="E3:E5"/>
    <mergeCell ref="BD3:BD5"/>
    <mergeCell ref="BE3:BE5"/>
    <mergeCell ref="BF3:BF5"/>
    <mergeCell ref="F3:F5"/>
    <mergeCell ref="Y3:Y5"/>
    <mergeCell ref="AA3:AA5"/>
    <mergeCell ref="AB3:AB5"/>
    <mergeCell ref="L3:N4"/>
    <mergeCell ref="O3:O5"/>
    <mergeCell ref="Q3:Q5"/>
    <mergeCell ref="R3:R5"/>
    <mergeCell ref="AM3:AM5"/>
    <mergeCell ref="BA3:BA5"/>
    <mergeCell ref="AF4:AH4"/>
    <mergeCell ref="AI4:AI5"/>
    <mergeCell ref="G3:K4"/>
  </mergeCells>
  <phoneticPr fontId="31" type="noConversion"/>
  <conditionalFormatting sqref="B8:C9 B25:C26 B39:C39 B123:C123 C155 B34:C34 B47:C47 B142:C142 B62:C64 C150:C153 B150:B155">
    <cfRule type="cellIs" dxfId="18845" priority="15215" stopIfTrue="1" operator="equal">
      <formula>"Napkin Hs"</formula>
    </cfRule>
  </conditionalFormatting>
  <conditionalFormatting sqref="B8:C9 B25:C26 B39:C39 B123:C123 C155 B34:C34 B47:C47 B142:C142 B62:C64 B150:B155 C150:C153">
    <cfRule type="cellIs" dxfId="18844" priority="15214" stopIfTrue="1" operator="equal">
      <formula>"Towel"</formula>
    </cfRule>
  </conditionalFormatting>
  <conditionalFormatting sqref="B41:C41">
    <cfRule type="cellIs" dxfId="18843" priority="15051" stopIfTrue="1" operator="equal">
      <formula>"Towel"</formula>
    </cfRule>
    <cfRule type="cellIs" dxfId="18842" priority="15052" stopIfTrue="1" operator="equal">
      <formula>"Napkin Hs"</formula>
    </cfRule>
  </conditionalFormatting>
  <conditionalFormatting sqref="B47:C47">
    <cfRule type="cellIs" dxfId="18841" priority="15045" stopIfTrue="1" operator="equal">
      <formula>"Towel"</formula>
    </cfRule>
    <cfRule type="cellIs" dxfId="18840" priority="15046" stopIfTrue="1" operator="equal">
      <formula>"Napkin Hs"</formula>
    </cfRule>
  </conditionalFormatting>
  <conditionalFormatting sqref="B51:C51">
    <cfRule type="cellIs" dxfId="18839" priority="15033" stopIfTrue="1" operator="equal">
      <formula>"Towel"</formula>
    </cfRule>
    <cfRule type="cellIs" dxfId="18838" priority="15034" stopIfTrue="1" operator="equal">
      <formula>"Napkin Hs"</formula>
    </cfRule>
  </conditionalFormatting>
  <conditionalFormatting sqref="B61:C61">
    <cfRule type="cellIs" dxfId="18837" priority="14997" stopIfTrue="1" operator="equal">
      <formula>"Towel"</formula>
    </cfRule>
    <cfRule type="cellIs" dxfId="18836" priority="14998" stopIfTrue="1" operator="equal">
      <formula>"Napkin Hs"</formula>
    </cfRule>
  </conditionalFormatting>
  <conditionalFormatting sqref="B66:C66">
    <cfRule type="cellIs" dxfId="18835" priority="14971" stopIfTrue="1" operator="equal">
      <formula>"Towel"</formula>
    </cfRule>
    <cfRule type="cellIs" dxfId="18834" priority="14972" stopIfTrue="1" operator="equal">
      <formula>"Napkin Hs"</formula>
    </cfRule>
  </conditionalFormatting>
  <conditionalFormatting sqref="B70:C71">
    <cfRule type="cellIs" dxfId="18833" priority="14959" stopIfTrue="1" operator="equal">
      <formula>"Towel"</formula>
    </cfRule>
    <cfRule type="cellIs" dxfId="18832" priority="14960" stopIfTrue="1" operator="equal">
      <formula>"Napkin Hs"</formula>
    </cfRule>
  </conditionalFormatting>
  <conditionalFormatting sqref="B75:C75">
    <cfRule type="cellIs" dxfId="18831" priority="14947" stopIfTrue="1" operator="equal">
      <formula>"Towel"</formula>
    </cfRule>
    <cfRule type="cellIs" dxfId="18830" priority="14948" stopIfTrue="1" operator="equal">
      <formula>"Napkin Hs"</formula>
    </cfRule>
  </conditionalFormatting>
  <conditionalFormatting sqref="C115">
    <cfRule type="cellIs" dxfId="18829" priority="14751" stopIfTrue="1" operator="equal">
      <formula>"Towel"</formula>
    </cfRule>
    <cfRule type="cellIs" dxfId="18828" priority="14752" stopIfTrue="1" operator="equal">
      <formula>"Napkin Hs"</formula>
    </cfRule>
  </conditionalFormatting>
  <conditionalFormatting sqref="C41">
    <cfRule type="cellIs" dxfId="18827" priority="14433" stopIfTrue="1" operator="equal">
      <formula>"Towel"</formula>
    </cfRule>
    <cfRule type="cellIs" dxfId="18826" priority="14434" stopIfTrue="1" operator="equal">
      <formula>"Napkin Hs"</formula>
    </cfRule>
  </conditionalFormatting>
  <conditionalFormatting sqref="B102:C102">
    <cfRule type="cellIs" dxfId="18825" priority="14815" stopIfTrue="1" operator="equal">
      <formula>"Towel"</formula>
    </cfRule>
    <cfRule type="cellIs" dxfId="18824" priority="14816" stopIfTrue="1" operator="equal">
      <formula>"Napkin Hs"</formula>
    </cfRule>
  </conditionalFormatting>
  <conditionalFormatting sqref="B103:C103">
    <cfRule type="cellIs" dxfId="18823" priority="14807" stopIfTrue="1" operator="equal">
      <formula>"Towel"</formula>
    </cfRule>
    <cfRule type="cellIs" dxfId="18822" priority="14808" stopIfTrue="1" operator="equal">
      <formula>"Napkin Hs"</formula>
    </cfRule>
  </conditionalFormatting>
  <conditionalFormatting sqref="B115:C115">
    <cfRule type="cellIs" dxfId="18821" priority="14753" stopIfTrue="1" operator="equal">
      <formula>"Towel"</formula>
    </cfRule>
    <cfRule type="cellIs" dxfId="18820" priority="14754" stopIfTrue="1" operator="equal">
      <formula>"Napkin Hs"</formula>
    </cfRule>
  </conditionalFormatting>
  <conditionalFormatting sqref="B124:C124">
    <cfRule type="cellIs" dxfId="18819" priority="14695" stopIfTrue="1" operator="equal">
      <formula>"Towel"</formula>
    </cfRule>
    <cfRule type="cellIs" dxfId="18818" priority="14696" stopIfTrue="1" operator="equal">
      <formula>"Napkin Hs"</formula>
    </cfRule>
  </conditionalFormatting>
  <conditionalFormatting sqref="C8:C9 C25:C26 C39 C123 C34 C47 C142 C62:C64 C150:C152">
    <cfRule type="cellIs" dxfId="18817" priority="15202" stopIfTrue="1" operator="equal">
      <formula>"Napkin Hs"</formula>
    </cfRule>
  </conditionalFormatting>
  <conditionalFormatting sqref="C8:C9">
    <cfRule type="cellIs" dxfId="18816" priority="14663" stopIfTrue="1" operator="equal">
      <formula>"Towel"</formula>
    </cfRule>
    <cfRule type="cellIs" dxfId="18815" priority="14664" stopIfTrue="1" operator="equal">
      <formula>"Napkin Hs"</formula>
    </cfRule>
  </conditionalFormatting>
  <conditionalFormatting sqref="C25:C26 C39 C123 C8:C9 C34 C47 C142 C62:C64 C150:C152">
    <cfRule type="cellIs" dxfId="18814" priority="15201" stopIfTrue="1" operator="equal">
      <formula>"Towel"</formula>
    </cfRule>
  </conditionalFormatting>
  <conditionalFormatting sqref="C25:C26">
    <cfRule type="cellIs" dxfId="18813" priority="15121" stopIfTrue="1" operator="equal">
      <formula>"Towel"</formula>
    </cfRule>
    <cfRule type="cellIs" dxfId="18812" priority="15122" stopIfTrue="1" operator="equal">
      <formula>"Napkin Hs"</formula>
    </cfRule>
  </conditionalFormatting>
  <conditionalFormatting sqref="C34">
    <cfRule type="cellIs" dxfId="18811" priority="15091" stopIfTrue="1" operator="equal">
      <formula>"Towel"</formula>
    </cfRule>
    <cfRule type="cellIs" dxfId="18810" priority="15092" stopIfTrue="1" operator="equal">
      <formula>"Napkin Hs"</formula>
    </cfRule>
  </conditionalFormatting>
  <conditionalFormatting sqref="C39">
    <cfRule type="cellIs" dxfId="18809" priority="15067" stopIfTrue="1" operator="equal">
      <formula>"Towel"</formula>
    </cfRule>
    <cfRule type="cellIs" dxfId="18808" priority="15068" stopIfTrue="1" operator="equal">
      <formula>"Napkin Hs"</formula>
    </cfRule>
  </conditionalFormatting>
  <conditionalFormatting sqref="C41">
    <cfRule type="cellIs" dxfId="18807" priority="15049" stopIfTrue="1" operator="equal">
      <formula>"Towel"</formula>
    </cfRule>
    <cfRule type="cellIs" dxfId="18806" priority="15050" stopIfTrue="1" operator="equal">
      <formula>"Napkin Hs"</formula>
    </cfRule>
  </conditionalFormatting>
  <conditionalFormatting sqref="C41">
    <cfRule type="cellIs" dxfId="18805" priority="15047" stopIfTrue="1" operator="equal">
      <formula>"Towel"</formula>
    </cfRule>
    <cfRule type="cellIs" dxfId="18804" priority="15048" stopIfTrue="1" operator="equal">
      <formula>"Napkin Hs"</formula>
    </cfRule>
  </conditionalFormatting>
  <conditionalFormatting sqref="C47">
    <cfRule type="cellIs" dxfId="18803" priority="15037" stopIfTrue="1" operator="equal">
      <formula>"Towel"</formula>
    </cfRule>
    <cfRule type="cellIs" dxfId="18802" priority="15038" stopIfTrue="1" operator="equal">
      <formula>"Napkin Hs"</formula>
    </cfRule>
  </conditionalFormatting>
  <conditionalFormatting sqref="C47">
    <cfRule type="cellIs" dxfId="18801" priority="15043" stopIfTrue="1" operator="equal">
      <formula>"Towel"</formula>
    </cfRule>
    <cfRule type="cellIs" dxfId="18800" priority="15044" stopIfTrue="1" operator="equal">
      <formula>"Napkin Hs"</formula>
    </cfRule>
  </conditionalFormatting>
  <conditionalFormatting sqref="C51">
    <cfRule type="cellIs" dxfId="18799" priority="15025" stopIfTrue="1" operator="equal">
      <formula>"Towel"</formula>
    </cfRule>
    <cfRule type="cellIs" dxfId="18798" priority="15026" stopIfTrue="1" operator="equal">
      <formula>"Napkin Hs"</formula>
    </cfRule>
  </conditionalFormatting>
  <conditionalFormatting sqref="C51">
    <cfRule type="cellIs" dxfId="18797" priority="15031" stopIfTrue="1" operator="equal">
      <formula>"Towel"</formula>
    </cfRule>
    <cfRule type="cellIs" dxfId="18796" priority="15032" stopIfTrue="1" operator="equal">
      <formula>"Napkin Hs"</formula>
    </cfRule>
  </conditionalFormatting>
  <conditionalFormatting sqref="C102">
    <cfRule type="cellIs" dxfId="18795" priority="14817" stopIfTrue="1" operator="equal">
      <formula>"Towel"</formula>
    </cfRule>
    <cfRule type="cellIs" dxfId="18794" priority="14818" stopIfTrue="1" operator="equal">
      <formula>"Napkin Hs"</formula>
    </cfRule>
  </conditionalFormatting>
  <conditionalFormatting sqref="C61">
    <cfRule type="cellIs" dxfId="18793" priority="14989" stopIfTrue="1" operator="equal">
      <formula>"Towel"</formula>
    </cfRule>
    <cfRule type="cellIs" dxfId="18792" priority="14990" stopIfTrue="1" operator="equal">
      <formula>"Napkin Hs"</formula>
    </cfRule>
  </conditionalFormatting>
  <conditionalFormatting sqref="C61:C64">
    <cfRule type="cellIs" dxfId="18791" priority="14995" stopIfTrue="1" operator="equal">
      <formula>"Towel"</formula>
    </cfRule>
    <cfRule type="cellIs" dxfId="18790" priority="14996" stopIfTrue="1" operator="equal">
      <formula>"Napkin Hs"</formula>
    </cfRule>
  </conditionalFormatting>
  <conditionalFormatting sqref="C66">
    <cfRule type="cellIs" dxfId="18789" priority="14973" stopIfTrue="1" operator="equal">
      <formula>"Towel"</formula>
    </cfRule>
    <cfRule type="cellIs" dxfId="18788" priority="14974" stopIfTrue="1" operator="equal">
      <formula>"Napkin Hs"</formula>
    </cfRule>
  </conditionalFormatting>
  <conditionalFormatting sqref="C66">
    <cfRule type="cellIs" dxfId="18787" priority="14965" stopIfTrue="1" operator="equal">
      <formula>"Towel"</formula>
    </cfRule>
    <cfRule type="cellIs" dxfId="18786" priority="14966" stopIfTrue="1" operator="equal">
      <formula>"Napkin Hs"</formula>
    </cfRule>
  </conditionalFormatting>
  <conditionalFormatting sqref="C70:C71">
    <cfRule type="cellIs" dxfId="18785" priority="14951" stopIfTrue="1" operator="equal">
      <formula>"Towel"</formula>
    </cfRule>
    <cfRule type="cellIs" dxfId="18784" priority="14952" stopIfTrue="1" operator="equal">
      <formula>"Napkin Hs"</formula>
    </cfRule>
  </conditionalFormatting>
  <conditionalFormatting sqref="C70:C71">
    <cfRule type="cellIs" dxfId="18783" priority="14957" stopIfTrue="1" operator="equal">
      <formula>"Towel"</formula>
    </cfRule>
    <cfRule type="cellIs" dxfId="18782" priority="14958" stopIfTrue="1" operator="equal">
      <formula>"Napkin Hs"</formula>
    </cfRule>
  </conditionalFormatting>
  <conditionalFormatting sqref="C75">
    <cfRule type="cellIs" dxfId="18781" priority="14939" stopIfTrue="1" operator="equal">
      <formula>"Towel"</formula>
    </cfRule>
    <cfRule type="cellIs" dxfId="18780" priority="14940" stopIfTrue="1" operator="equal">
      <formula>"Napkin Hs"</formula>
    </cfRule>
  </conditionalFormatting>
  <conditionalFormatting sqref="C75">
    <cfRule type="cellIs" dxfId="18779" priority="14945" stopIfTrue="1" operator="equal">
      <formula>"Towel"</formula>
    </cfRule>
    <cfRule type="cellIs" dxfId="18778" priority="14946" stopIfTrue="1" operator="equal">
      <formula>"Napkin Hs"</formula>
    </cfRule>
  </conditionalFormatting>
  <conditionalFormatting sqref="C102:C103">
    <cfRule type="cellIs" dxfId="18777" priority="14809" stopIfTrue="1" operator="equal">
      <formula>"Towel"</formula>
    </cfRule>
    <cfRule type="cellIs" dxfId="18776" priority="14810" stopIfTrue="1" operator="equal">
      <formula>"Napkin Hs"</formula>
    </cfRule>
  </conditionalFormatting>
  <conditionalFormatting sqref="C103">
    <cfRule type="cellIs" dxfId="18775" priority="14805" stopIfTrue="1" operator="equal">
      <formula>"Towel"</formula>
    </cfRule>
    <cfRule type="cellIs" dxfId="18774" priority="14806" stopIfTrue="1" operator="equal">
      <formula>"Napkin Hs"</formula>
    </cfRule>
  </conditionalFormatting>
  <conditionalFormatting sqref="C115">
    <cfRule type="cellIs" dxfId="18773" priority="14747" stopIfTrue="1" operator="equal">
      <formula>"Towel"</formula>
    </cfRule>
    <cfRule type="cellIs" dxfId="18772" priority="14748" stopIfTrue="1" operator="equal">
      <formula>"Napkin Hs"</formula>
    </cfRule>
  </conditionalFormatting>
  <conditionalFormatting sqref="C123">
    <cfRule type="cellIs" dxfId="18771" priority="14707" stopIfTrue="1" operator="equal">
      <formula>"Towel"</formula>
    </cfRule>
    <cfRule type="cellIs" dxfId="18770" priority="14708" stopIfTrue="1" operator="equal">
      <formula>"Napkin Hs"</formula>
    </cfRule>
  </conditionalFormatting>
  <conditionalFormatting sqref="B39:C39">
    <cfRule type="cellIs" dxfId="18769" priority="14517" stopIfTrue="1" operator="equal">
      <formula>"Towel"</formula>
    </cfRule>
    <cfRule type="cellIs" dxfId="18768" priority="14518" stopIfTrue="1" operator="equal">
      <formula>"Napkin Hs"</formula>
    </cfRule>
  </conditionalFormatting>
  <conditionalFormatting sqref="C124">
    <cfRule type="cellIs" dxfId="18767" priority="14691" stopIfTrue="1" operator="equal">
      <formula>"Towel"</formula>
    </cfRule>
    <cfRule type="cellIs" dxfId="18766" priority="14692" stopIfTrue="1" operator="equal">
      <formula>"Napkin Hs"</formula>
    </cfRule>
  </conditionalFormatting>
  <conditionalFormatting sqref="C124">
    <cfRule type="cellIs" dxfId="18765" priority="14693" stopIfTrue="1" operator="equal">
      <formula>"Towel"</formula>
    </cfRule>
    <cfRule type="cellIs" dxfId="18764" priority="14694" stopIfTrue="1" operator="equal">
      <formula>"Napkin Hs"</formula>
    </cfRule>
  </conditionalFormatting>
  <conditionalFormatting sqref="C142 C150:C152">
    <cfRule type="cellIs" dxfId="18763" priority="14699" stopIfTrue="1" operator="equal">
      <formula>"Towel"</formula>
    </cfRule>
    <cfRule type="cellIs" dxfId="18762" priority="14700" stopIfTrue="1" operator="equal">
      <formula>"Napkin Hs"</formula>
    </cfRule>
  </conditionalFormatting>
  <conditionalFormatting sqref="B10:C10">
    <cfRule type="cellIs" dxfId="18761" priority="14642" stopIfTrue="1" operator="equal">
      <formula>"Napkin Hs"</formula>
    </cfRule>
  </conditionalFormatting>
  <conditionalFormatting sqref="B10:C10">
    <cfRule type="cellIs" dxfId="18760" priority="14641" stopIfTrue="1" operator="equal">
      <formula>"Towel"</formula>
    </cfRule>
  </conditionalFormatting>
  <conditionalFormatting sqref="C10">
    <cfRule type="cellIs" dxfId="18759" priority="14640" stopIfTrue="1" operator="equal">
      <formula>"Napkin Hs"</formula>
    </cfRule>
  </conditionalFormatting>
  <conditionalFormatting sqref="C10">
    <cfRule type="cellIs" dxfId="18758" priority="14635" stopIfTrue="1" operator="equal">
      <formula>"Towel"</formula>
    </cfRule>
    <cfRule type="cellIs" dxfId="18757" priority="14636" stopIfTrue="1" operator="equal">
      <formula>"Napkin Hs"</formula>
    </cfRule>
  </conditionalFormatting>
  <conditionalFormatting sqref="C10">
    <cfRule type="cellIs" dxfId="18756" priority="14639" stopIfTrue="1" operator="equal">
      <formula>"Towel"</formula>
    </cfRule>
  </conditionalFormatting>
  <conditionalFormatting sqref="B29:C29">
    <cfRule type="cellIs" dxfId="18755" priority="14592" stopIfTrue="1" operator="equal">
      <formula>"Napkin Hs"</formula>
    </cfRule>
  </conditionalFormatting>
  <conditionalFormatting sqref="B29:C29">
    <cfRule type="cellIs" dxfId="18754" priority="14591" stopIfTrue="1" operator="equal">
      <formula>"Towel"</formula>
    </cfRule>
  </conditionalFormatting>
  <conditionalFormatting sqref="C29">
    <cfRule type="cellIs" dxfId="18753" priority="14590" stopIfTrue="1" operator="equal">
      <formula>"Napkin Hs"</formula>
    </cfRule>
  </conditionalFormatting>
  <conditionalFormatting sqref="C29">
    <cfRule type="cellIs" dxfId="18752" priority="14587" stopIfTrue="1" operator="equal">
      <formula>"Towel"</formula>
    </cfRule>
    <cfRule type="cellIs" dxfId="18751" priority="14588" stopIfTrue="1" operator="equal">
      <formula>"Napkin Hs"</formula>
    </cfRule>
  </conditionalFormatting>
  <conditionalFormatting sqref="C29">
    <cfRule type="cellIs" dxfId="18750" priority="14589" stopIfTrue="1" operator="equal">
      <formula>"Towel"</formula>
    </cfRule>
  </conditionalFormatting>
  <conditionalFormatting sqref="B27:C27">
    <cfRule type="cellIs" dxfId="18749" priority="14580" stopIfTrue="1" operator="equal">
      <formula>"Napkin Hs"</formula>
    </cfRule>
  </conditionalFormatting>
  <conditionalFormatting sqref="B27:C27">
    <cfRule type="cellIs" dxfId="18748" priority="14579" stopIfTrue="1" operator="equal">
      <formula>"Towel"</formula>
    </cfRule>
  </conditionalFormatting>
  <conditionalFormatting sqref="C27">
    <cfRule type="cellIs" dxfId="18747" priority="14578" stopIfTrue="1" operator="equal">
      <formula>"Napkin Hs"</formula>
    </cfRule>
  </conditionalFormatting>
  <conditionalFormatting sqref="C27">
    <cfRule type="cellIs" dxfId="18746" priority="14575" stopIfTrue="1" operator="equal">
      <formula>"Towel"</formula>
    </cfRule>
    <cfRule type="cellIs" dxfId="18745" priority="14576" stopIfTrue="1" operator="equal">
      <formula>"Napkin Hs"</formula>
    </cfRule>
  </conditionalFormatting>
  <conditionalFormatting sqref="C27">
    <cfRule type="cellIs" dxfId="18744" priority="14577" stopIfTrue="1" operator="equal">
      <formula>"Towel"</formula>
    </cfRule>
  </conditionalFormatting>
  <conditionalFormatting sqref="C34">
    <cfRule type="cellIs" dxfId="18743" priority="14573" stopIfTrue="1" operator="equal">
      <formula>"Towel"</formula>
    </cfRule>
    <cfRule type="cellIs" dxfId="18742" priority="14574" stopIfTrue="1" operator="equal">
      <formula>"Napkin Hs"</formula>
    </cfRule>
  </conditionalFormatting>
  <conditionalFormatting sqref="B39:C39">
    <cfRule type="cellIs" dxfId="18741" priority="14529" stopIfTrue="1" operator="equal">
      <formula>"Towel"</formula>
    </cfRule>
    <cfRule type="cellIs" dxfId="18740" priority="14530" stopIfTrue="1" operator="equal">
      <formula>"Napkin Hs"</formula>
    </cfRule>
  </conditionalFormatting>
  <conditionalFormatting sqref="C39">
    <cfRule type="cellIs" dxfId="18739" priority="14527" stopIfTrue="1" operator="equal">
      <formula>"Towel"</formula>
    </cfRule>
    <cfRule type="cellIs" dxfId="18738" priority="14528" stopIfTrue="1" operator="equal">
      <formula>"Napkin Hs"</formula>
    </cfRule>
  </conditionalFormatting>
  <conditionalFormatting sqref="C39">
    <cfRule type="cellIs" dxfId="18737" priority="14523" stopIfTrue="1" operator="equal">
      <formula>"Towel"</formula>
    </cfRule>
    <cfRule type="cellIs" dxfId="18736" priority="14524" stopIfTrue="1" operator="equal">
      <formula>"Napkin Hs"</formula>
    </cfRule>
  </conditionalFormatting>
  <conditionalFormatting sqref="C39">
    <cfRule type="cellIs" dxfId="18735" priority="14515" stopIfTrue="1" operator="equal">
      <formula>"Towel"</formula>
    </cfRule>
    <cfRule type="cellIs" dxfId="18734" priority="14516" stopIfTrue="1" operator="equal">
      <formula>"Napkin Hs"</formula>
    </cfRule>
  </conditionalFormatting>
  <conditionalFormatting sqref="C39">
    <cfRule type="cellIs" dxfId="18733" priority="14513" stopIfTrue="1" operator="equal">
      <formula>"Towel"</formula>
    </cfRule>
    <cfRule type="cellIs" dxfId="18732" priority="14514" stopIfTrue="1" operator="equal">
      <formula>"Napkin Hs"</formula>
    </cfRule>
  </conditionalFormatting>
  <conditionalFormatting sqref="B39:C39">
    <cfRule type="cellIs" dxfId="18731" priority="14493" stopIfTrue="1" operator="equal">
      <formula>"Towel"</formula>
    </cfRule>
    <cfRule type="cellIs" dxfId="18730" priority="14494" stopIfTrue="1" operator="equal">
      <formula>"Napkin Hs"</formula>
    </cfRule>
  </conditionalFormatting>
  <conditionalFormatting sqref="B41:C41">
    <cfRule type="cellIs" dxfId="18729" priority="14485" stopIfTrue="1" operator="equal">
      <formula>"Towel"</formula>
    </cfRule>
    <cfRule type="cellIs" dxfId="18728" priority="14486" stopIfTrue="1" operator="equal">
      <formula>"Napkin Hs"</formula>
    </cfRule>
  </conditionalFormatting>
  <conditionalFormatting sqref="C39">
    <cfRule type="cellIs" dxfId="18727" priority="14491" stopIfTrue="1" operator="equal">
      <formula>"Towel"</formula>
    </cfRule>
    <cfRule type="cellIs" dxfId="18726" priority="14492" stopIfTrue="1" operator="equal">
      <formula>"Napkin Hs"</formula>
    </cfRule>
  </conditionalFormatting>
  <conditionalFormatting sqref="C39">
    <cfRule type="cellIs" dxfId="18725" priority="14487" stopIfTrue="1" operator="equal">
      <formula>"Towel"</formula>
    </cfRule>
    <cfRule type="cellIs" dxfId="18724" priority="14488" stopIfTrue="1" operator="equal">
      <formula>"Napkin Hs"</formula>
    </cfRule>
  </conditionalFormatting>
  <conditionalFormatting sqref="C41">
    <cfRule type="cellIs" dxfId="18723" priority="14483" stopIfTrue="1" operator="equal">
      <formula>"Towel"</formula>
    </cfRule>
    <cfRule type="cellIs" dxfId="18722" priority="14484" stopIfTrue="1" operator="equal">
      <formula>"Napkin Hs"</formula>
    </cfRule>
  </conditionalFormatting>
  <conditionalFormatting sqref="C41">
    <cfRule type="cellIs" dxfId="18721" priority="14479" stopIfTrue="1" operator="equal">
      <formula>"Towel"</formula>
    </cfRule>
    <cfRule type="cellIs" dxfId="18720" priority="14480" stopIfTrue="1" operator="equal">
      <formula>"Napkin Hs"</formula>
    </cfRule>
  </conditionalFormatting>
  <conditionalFormatting sqref="B39:C39">
    <cfRule type="cellIs" dxfId="18719" priority="14475" stopIfTrue="1" operator="equal">
      <formula>"Towel"</formula>
    </cfRule>
    <cfRule type="cellIs" dxfId="18718" priority="14476" stopIfTrue="1" operator="equal">
      <formula>"Napkin Hs"</formula>
    </cfRule>
  </conditionalFormatting>
  <conditionalFormatting sqref="C39">
    <cfRule type="cellIs" dxfId="18717" priority="14473" stopIfTrue="1" operator="equal">
      <formula>"Towel"</formula>
    </cfRule>
    <cfRule type="cellIs" dxfId="18716" priority="14474" stopIfTrue="1" operator="equal">
      <formula>"Napkin Hs"</formula>
    </cfRule>
  </conditionalFormatting>
  <conditionalFormatting sqref="C39">
    <cfRule type="cellIs" dxfId="18715" priority="14471" stopIfTrue="1" operator="equal">
      <formula>"Towel"</formula>
    </cfRule>
    <cfRule type="cellIs" dxfId="18714" priority="14472" stopIfTrue="1" operator="equal">
      <formula>"Napkin Hs"</formula>
    </cfRule>
  </conditionalFormatting>
  <conditionalFormatting sqref="B39:C39">
    <cfRule type="cellIs" dxfId="18713" priority="14465" stopIfTrue="1" operator="equal">
      <formula>"Towel"</formula>
    </cfRule>
    <cfRule type="cellIs" dxfId="18712" priority="14466" stopIfTrue="1" operator="equal">
      <formula>"Napkin Hs"</formula>
    </cfRule>
  </conditionalFormatting>
  <conditionalFormatting sqref="B41:C41">
    <cfRule type="cellIs" dxfId="18711" priority="14457" stopIfTrue="1" operator="equal">
      <formula>"Towel"</formula>
    </cfRule>
    <cfRule type="cellIs" dxfId="18710" priority="14458" stopIfTrue="1" operator="equal">
      <formula>"Napkin Hs"</formula>
    </cfRule>
  </conditionalFormatting>
  <conditionalFormatting sqref="C39">
    <cfRule type="cellIs" dxfId="18709" priority="14463" stopIfTrue="1" operator="equal">
      <formula>"Towel"</formula>
    </cfRule>
    <cfRule type="cellIs" dxfId="18708" priority="14464" stopIfTrue="1" operator="equal">
      <formula>"Napkin Hs"</formula>
    </cfRule>
  </conditionalFormatting>
  <conditionalFormatting sqref="C39">
    <cfRule type="cellIs" dxfId="18707" priority="14459" stopIfTrue="1" operator="equal">
      <formula>"Towel"</formula>
    </cfRule>
    <cfRule type="cellIs" dxfId="18706" priority="14460" stopIfTrue="1" operator="equal">
      <formula>"Napkin Hs"</formula>
    </cfRule>
  </conditionalFormatting>
  <conditionalFormatting sqref="C41">
    <cfRule type="cellIs" dxfId="18705" priority="14455" stopIfTrue="1" operator="equal">
      <formula>"Towel"</formula>
    </cfRule>
    <cfRule type="cellIs" dxfId="18704" priority="14456" stopIfTrue="1" operator="equal">
      <formula>"Napkin Hs"</formula>
    </cfRule>
  </conditionalFormatting>
  <conditionalFormatting sqref="C41">
    <cfRule type="cellIs" dxfId="18703" priority="14453" stopIfTrue="1" operator="equal">
      <formula>"Towel"</formula>
    </cfRule>
    <cfRule type="cellIs" dxfId="18702" priority="14454" stopIfTrue="1" operator="equal">
      <formula>"Napkin Hs"</formula>
    </cfRule>
  </conditionalFormatting>
  <conditionalFormatting sqref="B41:C41">
    <cfRule type="cellIs" dxfId="18701" priority="14438" stopIfTrue="1" operator="equal">
      <formula>"Napkin Hs"</formula>
    </cfRule>
  </conditionalFormatting>
  <conditionalFormatting sqref="B41:C41">
    <cfRule type="cellIs" dxfId="18700" priority="14437" stopIfTrue="1" operator="equal">
      <formula>"Towel"</formula>
    </cfRule>
  </conditionalFormatting>
  <conditionalFormatting sqref="C41">
    <cfRule type="cellIs" dxfId="18699" priority="14436" stopIfTrue="1" operator="equal">
      <formula>"Napkin Hs"</formula>
    </cfRule>
  </conditionalFormatting>
  <conditionalFormatting sqref="C41">
    <cfRule type="cellIs" dxfId="18698" priority="14435" stopIfTrue="1" operator="equal">
      <formula>"Towel"</formula>
    </cfRule>
  </conditionalFormatting>
  <conditionalFormatting sqref="B39:C39">
    <cfRule type="cellIs" dxfId="18697" priority="14426" stopIfTrue="1" operator="equal">
      <formula>"Napkin Hs"</formula>
    </cfRule>
  </conditionalFormatting>
  <conditionalFormatting sqref="B39:C39">
    <cfRule type="cellIs" dxfId="18696" priority="14425" stopIfTrue="1" operator="equal">
      <formula>"Towel"</formula>
    </cfRule>
  </conditionalFormatting>
  <conditionalFormatting sqref="C39">
    <cfRule type="cellIs" dxfId="18695" priority="14424" stopIfTrue="1" operator="equal">
      <formula>"Napkin Hs"</formula>
    </cfRule>
  </conditionalFormatting>
  <conditionalFormatting sqref="C39">
    <cfRule type="cellIs" dxfId="18694" priority="14421" stopIfTrue="1" operator="equal">
      <formula>"Towel"</formula>
    </cfRule>
    <cfRule type="cellIs" dxfId="18693" priority="14422" stopIfTrue="1" operator="equal">
      <formula>"Napkin Hs"</formula>
    </cfRule>
  </conditionalFormatting>
  <conditionalFormatting sqref="C39">
    <cfRule type="cellIs" dxfId="18692" priority="14423" stopIfTrue="1" operator="equal">
      <formula>"Towel"</formula>
    </cfRule>
  </conditionalFormatting>
  <conditionalFormatting sqref="C47">
    <cfRule type="cellIs" dxfId="18691" priority="14415" stopIfTrue="1" operator="equal">
      <formula>"Towel"</formula>
    </cfRule>
    <cfRule type="cellIs" dxfId="18690" priority="14416" stopIfTrue="1" operator="equal">
      <formula>"Napkin Hs"</formula>
    </cfRule>
  </conditionalFormatting>
  <conditionalFormatting sqref="C47">
    <cfRule type="cellIs" dxfId="18689" priority="14373" stopIfTrue="1" operator="equal">
      <formula>"Towel"</formula>
    </cfRule>
    <cfRule type="cellIs" dxfId="18688" priority="14374" stopIfTrue="1" operator="equal">
      <formula>"Napkin Hs"</formula>
    </cfRule>
  </conditionalFormatting>
  <conditionalFormatting sqref="B47:C47">
    <cfRule type="cellIs" dxfId="18687" priority="14345" stopIfTrue="1" operator="equal">
      <formula>"Towel"</formula>
    </cfRule>
    <cfRule type="cellIs" dxfId="18686" priority="14346" stopIfTrue="1" operator="equal">
      <formula>"Napkin Hs"</formula>
    </cfRule>
  </conditionalFormatting>
  <conditionalFormatting sqref="C47">
    <cfRule type="cellIs" dxfId="18685" priority="14343" stopIfTrue="1" operator="equal">
      <formula>"Towel"</formula>
    </cfRule>
    <cfRule type="cellIs" dxfId="18684" priority="14344" stopIfTrue="1" operator="equal">
      <formula>"Napkin Hs"</formula>
    </cfRule>
  </conditionalFormatting>
  <conditionalFormatting sqref="C47">
    <cfRule type="cellIs" dxfId="18683" priority="14341" stopIfTrue="1" operator="equal">
      <formula>"Towel"</formula>
    </cfRule>
    <cfRule type="cellIs" dxfId="18682" priority="14342" stopIfTrue="1" operator="equal">
      <formula>"Napkin Hs"</formula>
    </cfRule>
  </conditionalFormatting>
  <conditionalFormatting sqref="B47:C47">
    <cfRule type="cellIs" dxfId="18681" priority="14337" stopIfTrue="1" operator="equal">
      <formula>"Towel"</formula>
    </cfRule>
    <cfRule type="cellIs" dxfId="18680" priority="14338" stopIfTrue="1" operator="equal">
      <formula>"Napkin Hs"</formula>
    </cfRule>
  </conditionalFormatting>
  <conditionalFormatting sqref="C47">
    <cfRule type="cellIs" dxfId="18679" priority="14335" stopIfTrue="1" operator="equal">
      <formula>"Towel"</formula>
    </cfRule>
    <cfRule type="cellIs" dxfId="18678" priority="14336" stopIfTrue="1" operator="equal">
      <formula>"Napkin Hs"</formula>
    </cfRule>
  </conditionalFormatting>
  <conditionalFormatting sqref="C47">
    <cfRule type="cellIs" dxfId="18677" priority="14333" stopIfTrue="1" operator="equal">
      <formula>"Towel"</formula>
    </cfRule>
    <cfRule type="cellIs" dxfId="18676" priority="14334" stopIfTrue="1" operator="equal">
      <formula>"Napkin Hs"</formula>
    </cfRule>
  </conditionalFormatting>
  <conditionalFormatting sqref="B40:C40">
    <cfRule type="cellIs" dxfId="18675" priority="14314" stopIfTrue="1" operator="equal">
      <formula>"Napkin Hs"</formula>
    </cfRule>
  </conditionalFormatting>
  <conditionalFormatting sqref="B40:C40">
    <cfRule type="cellIs" dxfId="18674" priority="14313" stopIfTrue="1" operator="equal">
      <formula>"Towel"</formula>
    </cfRule>
  </conditionalFormatting>
  <conditionalFormatting sqref="C40">
    <cfRule type="cellIs" dxfId="18673" priority="14312" stopIfTrue="1" operator="equal">
      <formula>"Napkin Hs"</formula>
    </cfRule>
  </conditionalFormatting>
  <conditionalFormatting sqref="C40">
    <cfRule type="cellIs" dxfId="18672" priority="14311" stopIfTrue="1" operator="equal">
      <formula>"Towel"</formula>
    </cfRule>
  </conditionalFormatting>
  <conditionalFormatting sqref="C40">
    <cfRule type="cellIs" dxfId="18671" priority="14309" stopIfTrue="1" operator="equal">
      <formula>"Towel"</formula>
    </cfRule>
    <cfRule type="cellIs" dxfId="18670" priority="14310" stopIfTrue="1" operator="equal">
      <formula>"Napkin Hs"</formula>
    </cfRule>
  </conditionalFormatting>
  <conditionalFormatting sqref="B40:C40">
    <cfRule type="cellIs" dxfId="18669" priority="14307" stopIfTrue="1" operator="equal">
      <formula>"Towel"</formula>
    </cfRule>
    <cfRule type="cellIs" dxfId="18668" priority="14308" stopIfTrue="1" operator="equal">
      <formula>"Napkin Hs"</formula>
    </cfRule>
  </conditionalFormatting>
  <conditionalFormatting sqref="C40">
    <cfRule type="cellIs" dxfId="18667" priority="14305" stopIfTrue="1" operator="equal">
      <formula>"Towel"</formula>
    </cfRule>
    <cfRule type="cellIs" dxfId="18666" priority="14306" stopIfTrue="1" operator="equal">
      <formula>"Napkin Hs"</formula>
    </cfRule>
  </conditionalFormatting>
  <conditionalFormatting sqref="C40">
    <cfRule type="cellIs" dxfId="18665" priority="14303" stopIfTrue="1" operator="equal">
      <formula>"Towel"</formula>
    </cfRule>
    <cfRule type="cellIs" dxfId="18664" priority="14304" stopIfTrue="1" operator="equal">
      <formula>"Napkin Hs"</formula>
    </cfRule>
  </conditionalFormatting>
  <conditionalFormatting sqref="B40:C40">
    <cfRule type="cellIs" dxfId="18663" priority="14301" stopIfTrue="1" operator="equal">
      <formula>"Towel"</formula>
    </cfRule>
    <cfRule type="cellIs" dxfId="18662" priority="14302" stopIfTrue="1" operator="equal">
      <formula>"Napkin Hs"</formula>
    </cfRule>
  </conditionalFormatting>
  <conditionalFormatting sqref="C40">
    <cfRule type="cellIs" dxfId="18661" priority="14299" stopIfTrue="1" operator="equal">
      <formula>"Towel"</formula>
    </cfRule>
    <cfRule type="cellIs" dxfId="18660" priority="14300" stopIfTrue="1" operator="equal">
      <formula>"Napkin Hs"</formula>
    </cfRule>
  </conditionalFormatting>
  <conditionalFormatting sqref="C40">
    <cfRule type="cellIs" dxfId="18659" priority="14297" stopIfTrue="1" operator="equal">
      <formula>"Towel"</formula>
    </cfRule>
    <cfRule type="cellIs" dxfId="18658" priority="14298" stopIfTrue="1" operator="equal">
      <formula>"Napkin Hs"</formula>
    </cfRule>
  </conditionalFormatting>
  <conditionalFormatting sqref="B40:C40">
    <cfRule type="cellIs" dxfId="18657" priority="14295" stopIfTrue="1" operator="equal">
      <formula>"Towel"</formula>
    </cfRule>
    <cfRule type="cellIs" dxfId="18656" priority="14296" stopIfTrue="1" operator="equal">
      <formula>"Napkin Hs"</formula>
    </cfRule>
  </conditionalFormatting>
  <conditionalFormatting sqref="C40">
    <cfRule type="cellIs" dxfId="18655" priority="14293" stopIfTrue="1" operator="equal">
      <formula>"Towel"</formula>
    </cfRule>
    <cfRule type="cellIs" dxfId="18654" priority="14294" stopIfTrue="1" operator="equal">
      <formula>"Napkin Hs"</formula>
    </cfRule>
  </conditionalFormatting>
  <conditionalFormatting sqref="C40">
    <cfRule type="cellIs" dxfId="18653" priority="14291" stopIfTrue="1" operator="equal">
      <formula>"Towel"</formula>
    </cfRule>
    <cfRule type="cellIs" dxfId="18652" priority="14292" stopIfTrue="1" operator="equal">
      <formula>"Napkin Hs"</formula>
    </cfRule>
  </conditionalFormatting>
  <conditionalFormatting sqref="B40:C40">
    <cfRule type="cellIs" dxfId="18651" priority="14289" stopIfTrue="1" operator="equal">
      <formula>"Towel"</formula>
    </cfRule>
    <cfRule type="cellIs" dxfId="18650" priority="14290" stopIfTrue="1" operator="equal">
      <formula>"Napkin Hs"</formula>
    </cfRule>
  </conditionalFormatting>
  <conditionalFormatting sqref="C40">
    <cfRule type="cellIs" dxfId="18649" priority="14287" stopIfTrue="1" operator="equal">
      <formula>"Towel"</formula>
    </cfRule>
    <cfRule type="cellIs" dxfId="18648" priority="14288" stopIfTrue="1" operator="equal">
      <formula>"Napkin Hs"</formula>
    </cfRule>
  </conditionalFormatting>
  <conditionalFormatting sqref="C40">
    <cfRule type="cellIs" dxfId="18647" priority="14285" stopIfTrue="1" operator="equal">
      <formula>"Towel"</formula>
    </cfRule>
    <cfRule type="cellIs" dxfId="18646" priority="14286" stopIfTrue="1" operator="equal">
      <formula>"Napkin Hs"</formula>
    </cfRule>
  </conditionalFormatting>
  <conditionalFormatting sqref="B40:C40">
    <cfRule type="cellIs" dxfId="18645" priority="14283" stopIfTrue="1" operator="equal">
      <formula>"Towel"</formula>
    </cfRule>
    <cfRule type="cellIs" dxfId="18644" priority="14284" stopIfTrue="1" operator="equal">
      <formula>"Napkin Hs"</formula>
    </cfRule>
  </conditionalFormatting>
  <conditionalFormatting sqref="C40">
    <cfRule type="cellIs" dxfId="18643" priority="14281" stopIfTrue="1" operator="equal">
      <formula>"Towel"</formula>
    </cfRule>
    <cfRule type="cellIs" dxfId="18642" priority="14282" stopIfTrue="1" operator="equal">
      <formula>"Napkin Hs"</formula>
    </cfRule>
  </conditionalFormatting>
  <conditionalFormatting sqref="C40">
    <cfRule type="cellIs" dxfId="18641" priority="14279" stopIfTrue="1" operator="equal">
      <formula>"Towel"</formula>
    </cfRule>
    <cfRule type="cellIs" dxfId="18640" priority="14280" stopIfTrue="1" operator="equal">
      <formula>"Napkin Hs"</formula>
    </cfRule>
  </conditionalFormatting>
  <conditionalFormatting sqref="B40:C40">
    <cfRule type="cellIs" dxfId="18639" priority="14278" stopIfTrue="1" operator="equal">
      <formula>"Napkin Hs"</formula>
    </cfRule>
  </conditionalFormatting>
  <conditionalFormatting sqref="B40:C40">
    <cfRule type="cellIs" dxfId="18638" priority="14277" stopIfTrue="1" operator="equal">
      <formula>"Towel"</formula>
    </cfRule>
  </conditionalFormatting>
  <conditionalFormatting sqref="C40">
    <cfRule type="cellIs" dxfId="18637" priority="14276" stopIfTrue="1" operator="equal">
      <formula>"Napkin Hs"</formula>
    </cfRule>
  </conditionalFormatting>
  <conditionalFormatting sqref="C40">
    <cfRule type="cellIs" dxfId="18636" priority="14273" stopIfTrue="1" operator="equal">
      <formula>"Towel"</formula>
    </cfRule>
    <cfRule type="cellIs" dxfId="18635" priority="14274" stopIfTrue="1" operator="equal">
      <formula>"Napkin Hs"</formula>
    </cfRule>
  </conditionalFormatting>
  <conditionalFormatting sqref="C40">
    <cfRule type="cellIs" dxfId="18634" priority="14275" stopIfTrue="1" operator="equal">
      <formula>"Towel"</formula>
    </cfRule>
  </conditionalFormatting>
  <conditionalFormatting sqref="B51:C51">
    <cfRule type="cellIs" dxfId="18633" priority="14229" stopIfTrue="1" operator="equal">
      <formula>"Towel"</formula>
    </cfRule>
    <cfRule type="cellIs" dxfId="18632" priority="14230" stopIfTrue="1" operator="equal">
      <formula>"Napkin Hs"</formula>
    </cfRule>
  </conditionalFormatting>
  <conditionalFormatting sqref="C51">
    <cfRule type="cellIs" dxfId="18631" priority="14223" stopIfTrue="1" operator="equal">
      <formula>"Towel"</formula>
    </cfRule>
    <cfRule type="cellIs" dxfId="18630" priority="14224" stopIfTrue="1" operator="equal">
      <formula>"Napkin Hs"</formula>
    </cfRule>
  </conditionalFormatting>
  <conditionalFormatting sqref="C51">
    <cfRule type="cellIs" dxfId="18629" priority="14227" stopIfTrue="1" operator="equal">
      <formula>"Towel"</formula>
    </cfRule>
    <cfRule type="cellIs" dxfId="18628" priority="14228" stopIfTrue="1" operator="equal">
      <formula>"Napkin Hs"</formula>
    </cfRule>
  </conditionalFormatting>
  <conditionalFormatting sqref="B51:C51">
    <cfRule type="cellIs" dxfId="18627" priority="14219" stopIfTrue="1" operator="equal">
      <formula>"Towel"</formula>
    </cfRule>
    <cfRule type="cellIs" dxfId="18626" priority="14220" stopIfTrue="1" operator="equal">
      <formula>"Napkin Hs"</formula>
    </cfRule>
  </conditionalFormatting>
  <conditionalFormatting sqref="C51">
    <cfRule type="cellIs" dxfId="18625" priority="14213" stopIfTrue="1" operator="equal">
      <formula>"Towel"</formula>
    </cfRule>
    <cfRule type="cellIs" dxfId="18624" priority="14214" stopIfTrue="1" operator="equal">
      <formula>"Napkin Hs"</formula>
    </cfRule>
  </conditionalFormatting>
  <conditionalFormatting sqref="C51">
    <cfRule type="cellIs" dxfId="18623" priority="14217" stopIfTrue="1" operator="equal">
      <formula>"Towel"</formula>
    </cfRule>
    <cfRule type="cellIs" dxfId="18622" priority="14218" stopIfTrue="1" operator="equal">
      <formula>"Napkin Hs"</formula>
    </cfRule>
  </conditionalFormatting>
  <conditionalFormatting sqref="B51:C51">
    <cfRule type="cellIs" dxfId="18621" priority="14205" stopIfTrue="1" operator="equal">
      <formula>"Towel"</formula>
    </cfRule>
    <cfRule type="cellIs" dxfId="18620" priority="14206" stopIfTrue="1" operator="equal">
      <formula>"Napkin Hs"</formula>
    </cfRule>
  </conditionalFormatting>
  <conditionalFormatting sqref="C51">
    <cfRule type="cellIs" dxfId="18619" priority="14203" stopIfTrue="1" operator="equal">
      <formula>"Towel"</formula>
    </cfRule>
    <cfRule type="cellIs" dxfId="18618" priority="14204" stopIfTrue="1" operator="equal">
      <formula>"Napkin Hs"</formula>
    </cfRule>
  </conditionalFormatting>
  <conditionalFormatting sqref="C51">
    <cfRule type="cellIs" dxfId="18617" priority="14201" stopIfTrue="1" operator="equal">
      <formula>"Towel"</formula>
    </cfRule>
    <cfRule type="cellIs" dxfId="18616" priority="14202" stopIfTrue="1" operator="equal">
      <formula>"Napkin Hs"</formula>
    </cfRule>
  </conditionalFormatting>
  <conditionalFormatting sqref="B51:C51">
    <cfRule type="cellIs" dxfId="18615" priority="14200" stopIfTrue="1" operator="equal">
      <formula>"Napkin Hs"</formula>
    </cfRule>
  </conditionalFormatting>
  <conditionalFormatting sqref="B51:C51">
    <cfRule type="cellIs" dxfId="18614" priority="14199" stopIfTrue="1" operator="equal">
      <formula>"Towel"</formula>
    </cfRule>
  </conditionalFormatting>
  <conditionalFormatting sqref="C51">
    <cfRule type="cellIs" dxfId="18613" priority="14198" stopIfTrue="1" operator="equal">
      <formula>"Napkin Hs"</formula>
    </cfRule>
  </conditionalFormatting>
  <conditionalFormatting sqref="C51">
    <cfRule type="cellIs" dxfId="18612" priority="14197" stopIfTrue="1" operator="equal">
      <formula>"Towel"</formula>
    </cfRule>
  </conditionalFormatting>
  <conditionalFormatting sqref="C51">
    <cfRule type="cellIs" dxfId="18611" priority="14193" stopIfTrue="1" operator="equal">
      <formula>"Towel"</formula>
    </cfRule>
    <cfRule type="cellIs" dxfId="18610" priority="14194" stopIfTrue="1" operator="equal">
      <formula>"Napkin Hs"</formula>
    </cfRule>
  </conditionalFormatting>
  <conditionalFormatting sqref="C51">
    <cfRule type="cellIs" dxfId="18609" priority="14183" stopIfTrue="1" operator="equal">
      <formula>"Towel"</formula>
    </cfRule>
    <cfRule type="cellIs" dxfId="18608" priority="14184" stopIfTrue="1" operator="equal">
      <formula>"Napkin Hs"</formula>
    </cfRule>
  </conditionalFormatting>
  <conditionalFormatting sqref="B54:C55">
    <cfRule type="cellIs" dxfId="18607" priority="14079" stopIfTrue="1" operator="equal">
      <formula>"Towel"</formula>
    </cfRule>
    <cfRule type="cellIs" dxfId="18606" priority="14080" stopIfTrue="1" operator="equal">
      <formula>"Napkin Hs"</formula>
    </cfRule>
  </conditionalFormatting>
  <conditionalFormatting sqref="C54:C55">
    <cfRule type="cellIs" dxfId="18605" priority="14073" stopIfTrue="1" operator="equal">
      <formula>"Towel"</formula>
    </cfRule>
    <cfRule type="cellIs" dxfId="18604" priority="14074" stopIfTrue="1" operator="equal">
      <formula>"Napkin Hs"</formula>
    </cfRule>
  </conditionalFormatting>
  <conditionalFormatting sqref="C54:C55">
    <cfRule type="cellIs" dxfId="18603" priority="14077" stopIfTrue="1" operator="equal">
      <formula>"Towel"</formula>
    </cfRule>
    <cfRule type="cellIs" dxfId="18602" priority="14078" stopIfTrue="1" operator="equal">
      <formula>"Napkin Hs"</formula>
    </cfRule>
  </conditionalFormatting>
  <conditionalFormatting sqref="B54:C54">
    <cfRule type="cellIs" dxfId="18601" priority="14065" stopIfTrue="1" operator="equal">
      <formula>"Towel"</formula>
    </cfRule>
    <cfRule type="cellIs" dxfId="18600" priority="14066" stopIfTrue="1" operator="equal">
      <formula>"Napkin Hs"</formula>
    </cfRule>
  </conditionalFormatting>
  <conditionalFormatting sqref="B55:C55">
    <cfRule type="cellIs" dxfId="18599" priority="14069" stopIfTrue="1" operator="equal">
      <formula>"Towel"</formula>
    </cfRule>
    <cfRule type="cellIs" dxfId="18598" priority="14070" stopIfTrue="1" operator="equal">
      <formula>"Napkin Hs"</formula>
    </cfRule>
  </conditionalFormatting>
  <conditionalFormatting sqref="C54">
    <cfRule type="cellIs" dxfId="18597" priority="14061" stopIfTrue="1" operator="equal">
      <formula>"Towel"</formula>
    </cfRule>
    <cfRule type="cellIs" dxfId="18596" priority="14062" stopIfTrue="1" operator="equal">
      <formula>"Napkin Hs"</formula>
    </cfRule>
  </conditionalFormatting>
  <conditionalFormatting sqref="C54:C55">
    <cfRule type="cellIs" dxfId="18595" priority="14063" stopIfTrue="1" operator="equal">
      <formula>"Towel"</formula>
    </cfRule>
    <cfRule type="cellIs" dxfId="18594" priority="14064" stopIfTrue="1" operator="equal">
      <formula>"Napkin Hs"</formula>
    </cfRule>
  </conditionalFormatting>
  <conditionalFormatting sqref="C55">
    <cfRule type="cellIs" dxfId="18593" priority="14067" stopIfTrue="1" operator="equal">
      <formula>"Towel"</formula>
    </cfRule>
    <cfRule type="cellIs" dxfId="18592" priority="14068" stopIfTrue="1" operator="equal">
      <formula>"Napkin Hs"</formula>
    </cfRule>
  </conditionalFormatting>
  <conditionalFormatting sqref="B54:C54">
    <cfRule type="cellIs" dxfId="18591" priority="14055" stopIfTrue="1" operator="equal">
      <formula>"Towel"</formula>
    </cfRule>
    <cfRule type="cellIs" dxfId="18590" priority="14056" stopIfTrue="1" operator="equal">
      <formula>"Napkin Hs"</formula>
    </cfRule>
  </conditionalFormatting>
  <conditionalFormatting sqref="B55:C55">
    <cfRule type="cellIs" dxfId="18589" priority="14059" stopIfTrue="1" operator="equal">
      <formula>"Towel"</formula>
    </cfRule>
    <cfRule type="cellIs" dxfId="18588" priority="14060" stopIfTrue="1" operator="equal">
      <formula>"Napkin Hs"</formula>
    </cfRule>
  </conditionalFormatting>
  <conditionalFormatting sqref="C54:C55">
    <cfRule type="cellIs" dxfId="18587" priority="14053" stopIfTrue="1" operator="equal">
      <formula>"Towel"</formula>
    </cfRule>
    <cfRule type="cellIs" dxfId="18586" priority="14054" stopIfTrue="1" operator="equal">
      <formula>"Napkin Hs"</formula>
    </cfRule>
  </conditionalFormatting>
  <conditionalFormatting sqref="C54">
    <cfRule type="cellIs" dxfId="18585" priority="14051" stopIfTrue="1" operator="equal">
      <formula>"Towel"</formula>
    </cfRule>
    <cfRule type="cellIs" dxfId="18584" priority="14052" stopIfTrue="1" operator="equal">
      <formula>"Napkin Hs"</formula>
    </cfRule>
  </conditionalFormatting>
  <conditionalFormatting sqref="C55">
    <cfRule type="cellIs" dxfId="18583" priority="14057" stopIfTrue="1" operator="equal">
      <formula>"Towel"</formula>
    </cfRule>
    <cfRule type="cellIs" dxfId="18582" priority="14058" stopIfTrue="1" operator="equal">
      <formula>"Napkin Hs"</formula>
    </cfRule>
  </conditionalFormatting>
  <conditionalFormatting sqref="B54:C54">
    <cfRule type="cellIs" dxfId="18581" priority="14049" stopIfTrue="1" operator="equal">
      <formula>"Towel"</formula>
    </cfRule>
    <cfRule type="cellIs" dxfId="18580" priority="14050" stopIfTrue="1" operator="equal">
      <formula>"Napkin Hs"</formula>
    </cfRule>
  </conditionalFormatting>
  <conditionalFormatting sqref="B55:C55">
    <cfRule type="cellIs" dxfId="18579" priority="14045" stopIfTrue="1" operator="equal">
      <formula>"Towel"</formula>
    </cfRule>
    <cfRule type="cellIs" dxfId="18578" priority="14046" stopIfTrue="1" operator="equal">
      <formula>"Napkin Hs"</formula>
    </cfRule>
  </conditionalFormatting>
  <conditionalFormatting sqref="C54">
    <cfRule type="cellIs" dxfId="18577" priority="14047" stopIfTrue="1" operator="equal">
      <formula>"Towel"</formula>
    </cfRule>
    <cfRule type="cellIs" dxfId="18576" priority="14048" stopIfTrue="1" operator="equal">
      <formula>"Napkin Hs"</formula>
    </cfRule>
  </conditionalFormatting>
  <conditionalFormatting sqref="C54:C55">
    <cfRule type="cellIs" dxfId="18575" priority="14043" stopIfTrue="1" operator="equal">
      <formula>"Towel"</formula>
    </cfRule>
    <cfRule type="cellIs" dxfId="18574" priority="14044" stopIfTrue="1" operator="equal">
      <formula>"Napkin Hs"</formula>
    </cfRule>
  </conditionalFormatting>
  <conditionalFormatting sqref="C55">
    <cfRule type="cellIs" dxfId="18573" priority="14041" stopIfTrue="1" operator="equal">
      <formula>"Towel"</formula>
    </cfRule>
    <cfRule type="cellIs" dxfId="18572" priority="14042" stopIfTrue="1" operator="equal">
      <formula>"Napkin Hs"</formula>
    </cfRule>
  </conditionalFormatting>
  <conditionalFormatting sqref="B55:C55">
    <cfRule type="cellIs" dxfId="18571" priority="14040" stopIfTrue="1" operator="equal">
      <formula>"Napkin Hs"</formula>
    </cfRule>
  </conditionalFormatting>
  <conditionalFormatting sqref="B55:C55">
    <cfRule type="cellIs" dxfId="18570" priority="14039" stopIfTrue="1" operator="equal">
      <formula>"Towel"</formula>
    </cfRule>
  </conditionalFormatting>
  <conditionalFormatting sqref="B54:C54">
    <cfRule type="cellIs" dxfId="18569" priority="14035" stopIfTrue="1" operator="equal">
      <formula>"Towel"</formula>
    </cfRule>
    <cfRule type="cellIs" dxfId="18568" priority="14036" stopIfTrue="1" operator="equal">
      <formula>"Napkin Hs"</formula>
    </cfRule>
  </conditionalFormatting>
  <conditionalFormatting sqref="C55">
    <cfRule type="cellIs" dxfId="18567" priority="14038" stopIfTrue="1" operator="equal">
      <formula>"Napkin Hs"</formula>
    </cfRule>
  </conditionalFormatting>
  <conditionalFormatting sqref="C55">
    <cfRule type="cellIs" dxfId="18566" priority="14037" stopIfTrue="1" operator="equal">
      <formula>"Towel"</formula>
    </cfRule>
  </conditionalFormatting>
  <conditionalFormatting sqref="C54:C55">
    <cfRule type="cellIs" dxfId="18565" priority="14033" stopIfTrue="1" operator="equal">
      <formula>"Towel"</formula>
    </cfRule>
    <cfRule type="cellIs" dxfId="18564" priority="14034" stopIfTrue="1" operator="equal">
      <formula>"Napkin Hs"</formula>
    </cfRule>
  </conditionalFormatting>
  <conditionalFormatting sqref="C54">
    <cfRule type="cellIs" dxfId="18563" priority="14031" stopIfTrue="1" operator="equal">
      <formula>"Towel"</formula>
    </cfRule>
    <cfRule type="cellIs" dxfId="18562" priority="14032" stopIfTrue="1" operator="equal">
      <formula>"Napkin Hs"</formula>
    </cfRule>
  </conditionalFormatting>
  <conditionalFormatting sqref="C55">
    <cfRule type="cellIs" dxfId="18561" priority="14029" stopIfTrue="1" operator="equal">
      <formula>"Towel"</formula>
    </cfRule>
    <cfRule type="cellIs" dxfId="18560" priority="14030" stopIfTrue="1" operator="equal">
      <formula>"Napkin Hs"</formula>
    </cfRule>
  </conditionalFormatting>
  <conditionalFormatting sqref="B54:C54">
    <cfRule type="cellIs" dxfId="18559" priority="14028" stopIfTrue="1" operator="equal">
      <formula>"Napkin Hs"</formula>
    </cfRule>
  </conditionalFormatting>
  <conditionalFormatting sqref="B54:C54">
    <cfRule type="cellIs" dxfId="18558" priority="14027" stopIfTrue="1" operator="equal">
      <formula>"Towel"</formula>
    </cfRule>
  </conditionalFormatting>
  <conditionalFormatting sqref="C54">
    <cfRule type="cellIs" dxfId="18557" priority="14026" stopIfTrue="1" operator="equal">
      <formula>"Napkin Hs"</formula>
    </cfRule>
  </conditionalFormatting>
  <conditionalFormatting sqref="C54">
    <cfRule type="cellIs" dxfId="18556" priority="14023" stopIfTrue="1" operator="equal">
      <formula>"Towel"</formula>
    </cfRule>
    <cfRule type="cellIs" dxfId="18555" priority="14024" stopIfTrue="1" operator="equal">
      <formula>"Napkin Hs"</formula>
    </cfRule>
  </conditionalFormatting>
  <conditionalFormatting sqref="C54">
    <cfRule type="cellIs" dxfId="18554" priority="14025" stopIfTrue="1" operator="equal">
      <formula>"Towel"</formula>
    </cfRule>
  </conditionalFormatting>
  <conditionalFormatting sqref="B52:C52">
    <cfRule type="cellIs" dxfId="18553" priority="13931" stopIfTrue="1" operator="equal">
      <formula>"Towel"</formula>
    </cfRule>
    <cfRule type="cellIs" dxfId="18552" priority="13932" stopIfTrue="1" operator="equal">
      <formula>"Napkin Hs"</formula>
    </cfRule>
  </conditionalFormatting>
  <conditionalFormatting sqref="C52">
    <cfRule type="cellIs" dxfId="18551" priority="13927" stopIfTrue="1" operator="equal">
      <formula>"Towel"</formula>
    </cfRule>
    <cfRule type="cellIs" dxfId="18550" priority="13928" stopIfTrue="1" operator="equal">
      <formula>"Napkin Hs"</formula>
    </cfRule>
  </conditionalFormatting>
  <conditionalFormatting sqref="C52">
    <cfRule type="cellIs" dxfId="18549" priority="13929" stopIfTrue="1" operator="equal">
      <formula>"Towel"</formula>
    </cfRule>
    <cfRule type="cellIs" dxfId="18548" priority="13930" stopIfTrue="1" operator="equal">
      <formula>"Napkin Hs"</formula>
    </cfRule>
  </conditionalFormatting>
  <conditionalFormatting sqref="B52:C52">
    <cfRule type="cellIs" dxfId="18547" priority="13926" stopIfTrue="1" operator="equal">
      <formula>"Napkin Hs"</formula>
    </cfRule>
  </conditionalFormatting>
  <conditionalFormatting sqref="B52:C52">
    <cfRule type="cellIs" dxfId="18546" priority="13925" stopIfTrue="1" operator="equal">
      <formula>"Towel"</formula>
    </cfRule>
  </conditionalFormatting>
  <conditionalFormatting sqref="C52">
    <cfRule type="cellIs" dxfId="18545" priority="13924" stopIfTrue="1" operator="equal">
      <formula>"Napkin Hs"</formula>
    </cfRule>
  </conditionalFormatting>
  <conditionalFormatting sqref="C52">
    <cfRule type="cellIs" dxfId="18544" priority="13923" stopIfTrue="1" operator="equal">
      <formula>"Towel"</formula>
    </cfRule>
  </conditionalFormatting>
  <conditionalFormatting sqref="C52">
    <cfRule type="cellIs" dxfId="18543" priority="13921" stopIfTrue="1" operator="equal">
      <formula>"Towel"</formula>
    </cfRule>
    <cfRule type="cellIs" dxfId="18542" priority="13922" stopIfTrue="1" operator="equal">
      <formula>"Napkin Hs"</formula>
    </cfRule>
  </conditionalFormatting>
  <conditionalFormatting sqref="B52:C52">
    <cfRule type="cellIs" dxfId="18541" priority="13919" stopIfTrue="1" operator="equal">
      <formula>"Towel"</formula>
    </cfRule>
    <cfRule type="cellIs" dxfId="18540" priority="13920" stopIfTrue="1" operator="equal">
      <formula>"Napkin Hs"</formula>
    </cfRule>
  </conditionalFormatting>
  <conditionalFormatting sqref="C52">
    <cfRule type="cellIs" dxfId="18539" priority="13917" stopIfTrue="1" operator="equal">
      <formula>"Towel"</formula>
    </cfRule>
    <cfRule type="cellIs" dxfId="18538" priority="13918" stopIfTrue="1" operator="equal">
      <formula>"Napkin Hs"</formula>
    </cfRule>
  </conditionalFormatting>
  <conditionalFormatting sqref="C52">
    <cfRule type="cellIs" dxfId="18537" priority="13915" stopIfTrue="1" operator="equal">
      <formula>"Towel"</formula>
    </cfRule>
    <cfRule type="cellIs" dxfId="18536" priority="13916" stopIfTrue="1" operator="equal">
      <formula>"Napkin Hs"</formula>
    </cfRule>
  </conditionalFormatting>
  <conditionalFormatting sqref="B52:C52">
    <cfRule type="cellIs" dxfId="18535" priority="13913" stopIfTrue="1" operator="equal">
      <formula>"Towel"</formula>
    </cfRule>
    <cfRule type="cellIs" dxfId="18534" priority="13914" stopIfTrue="1" operator="equal">
      <formula>"Napkin Hs"</formula>
    </cfRule>
  </conditionalFormatting>
  <conditionalFormatting sqref="C52">
    <cfRule type="cellIs" dxfId="18533" priority="13911" stopIfTrue="1" operator="equal">
      <formula>"Towel"</formula>
    </cfRule>
    <cfRule type="cellIs" dxfId="18532" priority="13912" stopIfTrue="1" operator="equal">
      <formula>"Napkin Hs"</formula>
    </cfRule>
  </conditionalFormatting>
  <conditionalFormatting sqref="C52">
    <cfRule type="cellIs" dxfId="18531" priority="13909" stopIfTrue="1" operator="equal">
      <formula>"Towel"</formula>
    </cfRule>
    <cfRule type="cellIs" dxfId="18530" priority="13910" stopIfTrue="1" operator="equal">
      <formula>"Napkin Hs"</formula>
    </cfRule>
  </conditionalFormatting>
  <conditionalFormatting sqref="B52:C52">
    <cfRule type="cellIs" dxfId="18529" priority="13907" stopIfTrue="1" operator="equal">
      <formula>"Towel"</formula>
    </cfRule>
    <cfRule type="cellIs" dxfId="18528" priority="13908" stopIfTrue="1" operator="equal">
      <formula>"Napkin Hs"</formula>
    </cfRule>
  </conditionalFormatting>
  <conditionalFormatting sqref="C52">
    <cfRule type="cellIs" dxfId="18527" priority="13905" stopIfTrue="1" operator="equal">
      <formula>"Towel"</formula>
    </cfRule>
    <cfRule type="cellIs" dxfId="18526" priority="13906" stopIfTrue="1" operator="equal">
      <formula>"Napkin Hs"</formula>
    </cfRule>
  </conditionalFormatting>
  <conditionalFormatting sqref="C52">
    <cfRule type="cellIs" dxfId="18525" priority="13903" stopIfTrue="1" operator="equal">
      <formula>"Towel"</formula>
    </cfRule>
    <cfRule type="cellIs" dxfId="18524" priority="13904" stopIfTrue="1" operator="equal">
      <formula>"Napkin Hs"</formula>
    </cfRule>
  </conditionalFormatting>
  <conditionalFormatting sqref="B52:C52">
    <cfRule type="cellIs" dxfId="18523" priority="13901" stopIfTrue="1" operator="equal">
      <formula>"Towel"</formula>
    </cfRule>
    <cfRule type="cellIs" dxfId="18522" priority="13902" stopIfTrue="1" operator="equal">
      <formula>"Napkin Hs"</formula>
    </cfRule>
  </conditionalFormatting>
  <conditionalFormatting sqref="C52">
    <cfRule type="cellIs" dxfId="18521" priority="13899" stopIfTrue="1" operator="equal">
      <formula>"Towel"</formula>
    </cfRule>
    <cfRule type="cellIs" dxfId="18520" priority="13900" stopIfTrue="1" operator="equal">
      <formula>"Napkin Hs"</formula>
    </cfRule>
  </conditionalFormatting>
  <conditionalFormatting sqref="C52">
    <cfRule type="cellIs" dxfId="18519" priority="13897" stopIfTrue="1" operator="equal">
      <formula>"Towel"</formula>
    </cfRule>
    <cfRule type="cellIs" dxfId="18518" priority="13898" stopIfTrue="1" operator="equal">
      <formula>"Napkin Hs"</formula>
    </cfRule>
  </conditionalFormatting>
  <conditionalFormatting sqref="B52:C52">
    <cfRule type="cellIs" dxfId="18517" priority="13895" stopIfTrue="1" operator="equal">
      <formula>"Towel"</formula>
    </cfRule>
    <cfRule type="cellIs" dxfId="18516" priority="13896" stopIfTrue="1" operator="equal">
      <formula>"Napkin Hs"</formula>
    </cfRule>
  </conditionalFormatting>
  <conditionalFormatting sqref="C52">
    <cfRule type="cellIs" dxfId="18515" priority="13893" stopIfTrue="1" operator="equal">
      <formula>"Towel"</formula>
    </cfRule>
    <cfRule type="cellIs" dxfId="18514" priority="13894" stopIfTrue="1" operator="equal">
      <formula>"Napkin Hs"</formula>
    </cfRule>
  </conditionalFormatting>
  <conditionalFormatting sqref="C52">
    <cfRule type="cellIs" dxfId="18513" priority="13891" stopIfTrue="1" operator="equal">
      <formula>"Towel"</formula>
    </cfRule>
    <cfRule type="cellIs" dxfId="18512" priority="13892" stopIfTrue="1" operator="equal">
      <formula>"Napkin Hs"</formula>
    </cfRule>
  </conditionalFormatting>
  <conditionalFormatting sqref="B52:C52">
    <cfRule type="cellIs" dxfId="18511" priority="13890" stopIfTrue="1" operator="equal">
      <formula>"Napkin Hs"</formula>
    </cfRule>
  </conditionalFormatting>
  <conditionalFormatting sqref="B52:C52">
    <cfRule type="cellIs" dxfId="18510" priority="13889" stopIfTrue="1" operator="equal">
      <formula>"Towel"</formula>
    </cfRule>
  </conditionalFormatting>
  <conditionalFormatting sqref="C52">
    <cfRule type="cellIs" dxfId="18509" priority="13888" stopIfTrue="1" operator="equal">
      <formula>"Napkin Hs"</formula>
    </cfRule>
  </conditionalFormatting>
  <conditionalFormatting sqref="C52">
    <cfRule type="cellIs" dxfId="18508" priority="13885" stopIfTrue="1" operator="equal">
      <formula>"Towel"</formula>
    </cfRule>
    <cfRule type="cellIs" dxfId="18507" priority="13886" stopIfTrue="1" operator="equal">
      <formula>"Napkin Hs"</formula>
    </cfRule>
  </conditionalFormatting>
  <conditionalFormatting sqref="C52">
    <cfRule type="cellIs" dxfId="18506" priority="13887" stopIfTrue="1" operator="equal">
      <formula>"Towel"</formula>
    </cfRule>
  </conditionalFormatting>
  <conditionalFormatting sqref="B56:C56">
    <cfRule type="cellIs" dxfId="18505" priority="13783" stopIfTrue="1" operator="equal">
      <formula>"Towel"</formula>
    </cfRule>
    <cfRule type="cellIs" dxfId="18504" priority="13784" stopIfTrue="1" operator="equal">
      <formula>"Napkin Hs"</formula>
    </cfRule>
  </conditionalFormatting>
  <conditionalFormatting sqref="C56">
    <cfRule type="cellIs" dxfId="18503" priority="13779" stopIfTrue="1" operator="equal">
      <formula>"Towel"</formula>
    </cfRule>
    <cfRule type="cellIs" dxfId="18502" priority="13780" stopIfTrue="1" operator="equal">
      <formula>"Napkin Hs"</formula>
    </cfRule>
  </conditionalFormatting>
  <conditionalFormatting sqref="C56">
    <cfRule type="cellIs" dxfId="18501" priority="13781" stopIfTrue="1" operator="equal">
      <formula>"Towel"</formula>
    </cfRule>
    <cfRule type="cellIs" dxfId="18500" priority="13782" stopIfTrue="1" operator="equal">
      <formula>"Napkin Hs"</formula>
    </cfRule>
  </conditionalFormatting>
  <conditionalFormatting sqref="B56:C56">
    <cfRule type="cellIs" dxfId="18499" priority="13778" stopIfTrue="1" operator="equal">
      <formula>"Napkin Hs"</formula>
    </cfRule>
  </conditionalFormatting>
  <conditionalFormatting sqref="B56:C56">
    <cfRule type="cellIs" dxfId="18498" priority="13777" stopIfTrue="1" operator="equal">
      <formula>"Towel"</formula>
    </cfRule>
  </conditionalFormatting>
  <conditionalFormatting sqref="C56">
    <cfRule type="cellIs" dxfId="18497" priority="13776" stopIfTrue="1" operator="equal">
      <formula>"Napkin Hs"</formula>
    </cfRule>
  </conditionalFormatting>
  <conditionalFormatting sqref="C56">
    <cfRule type="cellIs" dxfId="18496" priority="13775" stopIfTrue="1" operator="equal">
      <formula>"Towel"</formula>
    </cfRule>
  </conditionalFormatting>
  <conditionalFormatting sqref="C56">
    <cfRule type="cellIs" dxfId="18495" priority="13773" stopIfTrue="1" operator="equal">
      <formula>"Towel"</formula>
    </cfRule>
    <cfRule type="cellIs" dxfId="18494" priority="13774" stopIfTrue="1" operator="equal">
      <formula>"Napkin Hs"</formula>
    </cfRule>
  </conditionalFormatting>
  <conditionalFormatting sqref="B56:C56">
    <cfRule type="cellIs" dxfId="18493" priority="13771" stopIfTrue="1" operator="equal">
      <formula>"Towel"</formula>
    </cfRule>
    <cfRule type="cellIs" dxfId="18492" priority="13772" stopIfTrue="1" operator="equal">
      <formula>"Napkin Hs"</formula>
    </cfRule>
  </conditionalFormatting>
  <conditionalFormatting sqref="C56">
    <cfRule type="cellIs" dxfId="18491" priority="13769" stopIfTrue="1" operator="equal">
      <formula>"Towel"</formula>
    </cfRule>
    <cfRule type="cellIs" dxfId="18490" priority="13770" stopIfTrue="1" operator="equal">
      <formula>"Napkin Hs"</formula>
    </cfRule>
  </conditionalFormatting>
  <conditionalFormatting sqref="C56">
    <cfRule type="cellIs" dxfId="18489" priority="13767" stopIfTrue="1" operator="equal">
      <formula>"Towel"</formula>
    </cfRule>
    <cfRule type="cellIs" dxfId="18488" priority="13768" stopIfTrue="1" operator="equal">
      <formula>"Napkin Hs"</formula>
    </cfRule>
  </conditionalFormatting>
  <conditionalFormatting sqref="B56:C56">
    <cfRule type="cellIs" dxfId="18487" priority="13765" stopIfTrue="1" operator="equal">
      <formula>"Towel"</formula>
    </cfRule>
    <cfRule type="cellIs" dxfId="18486" priority="13766" stopIfTrue="1" operator="equal">
      <formula>"Napkin Hs"</formula>
    </cfRule>
  </conditionalFormatting>
  <conditionalFormatting sqref="C56">
    <cfRule type="cellIs" dxfId="18485" priority="13763" stopIfTrue="1" operator="equal">
      <formula>"Towel"</formula>
    </cfRule>
    <cfRule type="cellIs" dxfId="18484" priority="13764" stopIfTrue="1" operator="equal">
      <formula>"Napkin Hs"</formula>
    </cfRule>
  </conditionalFormatting>
  <conditionalFormatting sqref="C56">
    <cfRule type="cellIs" dxfId="18483" priority="13761" stopIfTrue="1" operator="equal">
      <formula>"Towel"</formula>
    </cfRule>
    <cfRule type="cellIs" dxfId="18482" priority="13762" stopIfTrue="1" operator="equal">
      <formula>"Napkin Hs"</formula>
    </cfRule>
  </conditionalFormatting>
  <conditionalFormatting sqref="B56:C56">
    <cfRule type="cellIs" dxfId="18481" priority="13759" stopIfTrue="1" operator="equal">
      <formula>"Towel"</formula>
    </cfRule>
    <cfRule type="cellIs" dxfId="18480" priority="13760" stopIfTrue="1" operator="equal">
      <formula>"Napkin Hs"</formula>
    </cfRule>
  </conditionalFormatting>
  <conditionalFormatting sqref="C56">
    <cfRule type="cellIs" dxfId="18479" priority="13757" stopIfTrue="1" operator="equal">
      <formula>"Towel"</formula>
    </cfRule>
    <cfRule type="cellIs" dxfId="18478" priority="13758" stopIfTrue="1" operator="equal">
      <formula>"Napkin Hs"</formula>
    </cfRule>
  </conditionalFormatting>
  <conditionalFormatting sqref="C56">
    <cfRule type="cellIs" dxfId="18477" priority="13755" stopIfTrue="1" operator="equal">
      <formula>"Towel"</formula>
    </cfRule>
    <cfRule type="cellIs" dxfId="18476" priority="13756" stopIfTrue="1" operator="equal">
      <formula>"Napkin Hs"</formula>
    </cfRule>
  </conditionalFormatting>
  <conditionalFormatting sqref="B56:C56">
    <cfRule type="cellIs" dxfId="18475" priority="13753" stopIfTrue="1" operator="equal">
      <formula>"Towel"</formula>
    </cfRule>
    <cfRule type="cellIs" dxfId="18474" priority="13754" stopIfTrue="1" operator="equal">
      <formula>"Napkin Hs"</formula>
    </cfRule>
  </conditionalFormatting>
  <conditionalFormatting sqref="C56">
    <cfRule type="cellIs" dxfId="18473" priority="13751" stopIfTrue="1" operator="equal">
      <formula>"Towel"</formula>
    </cfRule>
    <cfRule type="cellIs" dxfId="18472" priority="13752" stopIfTrue="1" operator="equal">
      <formula>"Napkin Hs"</formula>
    </cfRule>
  </conditionalFormatting>
  <conditionalFormatting sqref="C56">
    <cfRule type="cellIs" dxfId="18471" priority="13749" stopIfTrue="1" operator="equal">
      <formula>"Towel"</formula>
    </cfRule>
    <cfRule type="cellIs" dxfId="18470" priority="13750" stopIfTrue="1" operator="equal">
      <formula>"Napkin Hs"</formula>
    </cfRule>
  </conditionalFormatting>
  <conditionalFormatting sqref="B56:C56">
    <cfRule type="cellIs" dxfId="18469" priority="13747" stopIfTrue="1" operator="equal">
      <formula>"Towel"</formula>
    </cfRule>
    <cfRule type="cellIs" dxfId="18468" priority="13748" stopIfTrue="1" operator="equal">
      <formula>"Napkin Hs"</formula>
    </cfRule>
  </conditionalFormatting>
  <conditionalFormatting sqref="C56">
    <cfRule type="cellIs" dxfId="18467" priority="13745" stopIfTrue="1" operator="equal">
      <formula>"Towel"</formula>
    </cfRule>
    <cfRule type="cellIs" dxfId="18466" priority="13746" stopIfTrue="1" operator="equal">
      <formula>"Napkin Hs"</formula>
    </cfRule>
  </conditionalFormatting>
  <conditionalFormatting sqref="C56">
    <cfRule type="cellIs" dxfId="18465" priority="13743" stopIfTrue="1" operator="equal">
      <formula>"Towel"</formula>
    </cfRule>
    <cfRule type="cellIs" dxfId="18464" priority="13744" stopIfTrue="1" operator="equal">
      <formula>"Napkin Hs"</formula>
    </cfRule>
  </conditionalFormatting>
  <conditionalFormatting sqref="B56:C56">
    <cfRule type="cellIs" dxfId="18463" priority="13742" stopIfTrue="1" operator="equal">
      <formula>"Napkin Hs"</formula>
    </cfRule>
  </conditionalFormatting>
  <conditionalFormatting sqref="B56:C56">
    <cfRule type="cellIs" dxfId="18462" priority="13741" stopIfTrue="1" operator="equal">
      <formula>"Towel"</formula>
    </cfRule>
  </conditionalFormatting>
  <conditionalFormatting sqref="C56">
    <cfRule type="cellIs" dxfId="18461" priority="13740" stopIfTrue="1" operator="equal">
      <formula>"Napkin Hs"</formula>
    </cfRule>
  </conditionalFormatting>
  <conditionalFormatting sqref="C56">
    <cfRule type="cellIs" dxfId="18460" priority="13737" stopIfTrue="1" operator="equal">
      <formula>"Towel"</formula>
    </cfRule>
    <cfRule type="cellIs" dxfId="18459" priority="13738" stopIfTrue="1" operator="equal">
      <formula>"Napkin Hs"</formula>
    </cfRule>
  </conditionalFormatting>
  <conditionalFormatting sqref="C56">
    <cfRule type="cellIs" dxfId="18458" priority="13739" stopIfTrue="1" operator="equal">
      <formula>"Towel"</formula>
    </cfRule>
  </conditionalFormatting>
  <conditionalFormatting sqref="C64">
    <cfRule type="cellIs" dxfId="18457" priority="13667" stopIfTrue="1" operator="equal">
      <formula>"Towel"</formula>
    </cfRule>
    <cfRule type="cellIs" dxfId="18456" priority="13668" stopIfTrue="1" operator="equal">
      <formula>"Napkin Hs"</formula>
    </cfRule>
  </conditionalFormatting>
  <conditionalFormatting sqref="B64:C64">
    <cfRule type="cellIs" dxfId="18455" priority="13665" stopIfTrue="1" operator="equal">
      <formula>"Towel"</formula>
    </cfRule>
    <cfRule type="cellIs" dxfId="18454" priority="13666" stopIfTrue="1" operator="equal">
      <formula>"Napkin Hs"</formula>
    </cfRule>
  </conditionalFormatting>
  <conditionalFormatting sqref="C64">
    <cfRule type="cellIs" dxfId="18453" priority="13663" stopIfTrue="1" operator="equal">
      <formula>"Towel"</formula>
    </cfRule>
    <cfRule type="cellIs" dxfId="18452" priority="13664" stopIfTrue="1" operator="equal">
      <formula>"Napkin Hs"</formula>
    </cfRule>
  </conditionalFormatting>
  <conditionalFormatting sqref="C64">
    <cfRule type="cellIs" dxfId="18451" priority="13655" stopIfTrue="1" operator="equal">
      <formula>"Towel"</formula>
    </cfRule>
    <cfRule type="cellIs" dxfId="18450" priority="13656" stopIfTrue="1" operator="equal">
      <formula>"Napkin Hs"</formula>
    </cfRule>
  </conditionalFormatting>
  <conditionalFormatting sqref="B64:C64">
    <cfRule type="cellIs" dxfId="18449" priority="13731" stopIfTrue="1" operator="equal">
      <formula>"Towel"</formula>
    </cfRule>
    <cfRule type="cellIs" dxfId="18448" priority="13732" stopIfTrue="1" operator="equal">
      <formula>"Napkin Hs"</formula>
    </cfRule>
  </conditionalFormatting>
  <conditionalFormatting sqref="B65:C65">
    <cfRule type="cellIs" dxfId="18447" priority="13735" stopIfTrue="1" operator="equal">
      <formula>"Towel"</formula>
    </cfRule>
    <cfRule type="cellIs" dxfId="18446" priority="13736" stopIfTrue="1" operator="equal">
      <formula>"Napkin Hs"</formula>
    </cfRule>
  </conditionalFormatting>
  <conditionalFormatting sqref="C64">
    <cfRule type="cellIs" dxfId="18445" priority="13727" stopIfTrue="1" operator="equal">
      <formula>"Towel"</formula>
    </cfRule>
    <cfRule type="cellIs" dxfId="18444" priority="13728" stopIfTrue="1" operator="equal">
      <formula>"Napkin Hs"</formula>
    </cfRule>
  </conditionalFormatting>
  <conditionalFormatting sqref="C64:C65">
    <cfRule type="cellIs" dxfId="18443" priority="13729" stopIfTrue="1" operator="equal">
      <formula>"Towel"</formula>
    </cfRule>
    <cfRule type="cellIs" dxfId="18442" priority="13730" stopIfTrue="1" operator="equal">
      <formula>"Napkin Hs"</formula>
    </cfRule>
  </conditionalFormatting>
  <conditionalFormatting sqref="C65">
    <cfRule type="cellIs" dxfId="18441" priority="13733" stopIfTrue="1" operator="equal">
      <formula>"Towel"</formula>
    </cfRule>
    <cfRule type="cellIs" dxfId="18440" priority="13734" stopIfTrue="1" operator="equal">
      <formula>"Napkin Hs"</formula>
    </cfRule>
  </conditionalFormatting>
  <conditionalFormatting sqref="B65:C65">
    <cfRule type="cellIs" dxfId="18439" priority="13725" stopIfTrue="1" operator="equal">
      <formula>"Towel"</formula>
    </cfRule>
    <cfRule type="cellIs" dxfId="18438" priority="13726" stopIfTrue="1" operator="equal">
      <formula>"Napkin Hs"</formula>
    </cfRule>
  </conditionalFormatting>
  <conditionalFormatting sqref="C65">
    <cfRule type="cellIs" dxfId="18437" priority="13721" stopIfTrue="1" operator="equal">
      <formula>"Towel"</formula>
    </cfRule>
    <cfRule type="cellIs" dxfId="18436" priority="13722" stopIfTrue="1" operator="equal">
      <formula>"Napkin Hs"</formula>
    </cfRule>
  </conditionalFormatting>
  <conditionalFormatting sqref="C65">
    <cfRule type="cellIs" dxfId="18435" priority="13723" stopIfTrue="1" operator="equal">
      <formula>"Towel"</formula>
    </cfRule>
    <cfRule type="cellIs" dxfId="18434" priority="13724" stopIfTrue="1" operator="equal">
      <formula>"Napkin Hs"</formula>
    </cfRule>
  </conditionalFormatting>
  <conditionalFormatting sqref="B65:C65">
    <cfRule type="cellIs" dxfId="18433" priority="13719" stopIfTrue="1" operator="equal">
      <formula>"Towel"</formula>
    </cfRule>
    <cfRule type="cellIs" dxfId="18432" priority="13720" stopIfTrue="1" operator="equal">
      <formula>"Napkin Hs"</formula>
    </cfRule>
  </conditionalFormatting>
  <conditionalFormatting sqref="C65">
    <cfRule type="cellIs" dxfId="18431" priority="13717" stopIfTrue="1" operator="equal">
      <formula>"Towel"</formula>
    </cfRule>
    <cfRule type="cellIs" dxfId="18430" priority="13718" stopIfTrue="1" operator="equal">
      <formula>"Napkin Hs"</formula>
    </cfRule>
  </conditionalFormatting>
  <conditionalFormatting sqref="C65">
    <cfRule type="cellIs" dxfId="18429" priority="13715" stopIfTrue="1" operator="equal">
      <formula>"Towel"</formula>
    </cfRule>
    <cfRule type="cellIs" dxfId="18428" priority="13716" stopIfTrue="1" operator="equal">
      <formula>"Napkin Hs"</formula>
    </cfRule>
  </conditionalFormatting>
  <conditionalFormatting sqref="B65:C65">
    <cfRule type="cellIs" dxfId="18427" priority="13713" stopIfTrue="1" operator="equal">
      <formula>"Towel"</formula>
    </cfRule>
    <cfRule type="cellIs" dxfId="18426" priority="13714" stopIfTrue="1" operator="equal">
      <formula>"Napkin Hs"</formula>
    </cfRule>
  </conditionalFormatting>
  <conditionalFormatting sqref="C65">
    <cfRule type="cellIs" dxfId="18425" priority="13711" stopIfTrue="1" operator="equal">
      <formula>"Towel"</formula>
    </cfRule>
    <cfRule type="cellIs" dxfId="18424" priority="13712" stopIfTrue="1" operator="equal">
      <formula>"Napkin Hs"</formula>
    </cfRule>
  </conditionalFormatting>
  <conditionalFormatting sqref="C65">
    <cfRule type="cellIs" dxfId="18423" priority="13709" stopIfTrue="1" operator="equal">
      <formula>"Towel"</formula>
    </cfRule>
    <cfRule type="cellIs" dxfId="18422" priority="13710" stopIfTrue="1" operator="equal">
      <formula>"Napkin Hs"</formula>
    </cfRule>
  </conditionalFormatting>
  <conditionalFormatting sqref="B65:C65">
    <cfRule type="cellIs" dxfId="18421" priority="13707" stopIfTrue="1" operator="equal">
      <formula>"Towel"</formula>
    </cfRule>
    <cfRule type="cellIs" dxfId="18420" priority="13708" stopIfTrue="1" operator="equal">
      <formula>"Napkin Hs"</formula>
    </cfRule>
  </conditionalFormatting>
  <conditionalFormatting sqref="C65">
    <cfRule type="cellIs" dxfId="18419" priority="13705" stopIfTrue="1" operator="equal">
      <formula>"Towel"</formula>
    </cfRule>
    <cfRule type="cellIs" dxfId="18418" priority="13706" stopIfTrue="1" operator="equal">
      <formula>"Napkin Hs"</formula>
    </cfRule>
  </conditionalFormatting>
  <conditionalFormatting sqref="C65">
    <cfRule type="cellIs" dxfId="18417" priority="13703" stopIfTrue="1" operator="equal">
      <formula>"Towel"</formula>
    </cfRule>
    <cfRule type="cellIs" dxfId="18416" priority="13704" stopIfTrue="1" operator="equal">
      <formula>"Napkin Hs"</formula>
    </cfRule>
  </conditionalFormatting>
  <conditionalFormatting sqref="B65:C65">
    <cfRule type="cellIs" dxfId="18415" priority="13702" stopIfTrue="1" operator="equal">
      <formula>"Napkin Hs"</formula>
    </cfRule>
  </conditionalFormatting>
  <conditionalFormatting sqref="B65:C65">
    <cfRule type="cellIs" dxfId="18414" priority="13701" stopIfTrue="1" operator="equal">
      <formula>"Towel"</formula>
    </cfRule>
  </conditionalFormatting>
  <conditionalFormatting sqref="C65">
    <cfRule type="cellIs" dxfId="18413" priority="13700" stopIfTrue="1" operator="equal">
      <formula>"Napkin Hs"</formula>
    </cfRule>
  </conditionalFormatting>
  <conditionalFormatting sqref="C65">
    <cfRule type="cellIs" dxfId="18412" priority="13697" stopIfTrue="1" operator="equal">
      <formula>"Towel"</formula>
    </cfRule>
    <cfRule type="cellIs" dxfId="18411" priority="13698" stopIfTrue="1" operator="equal">
      <formula>"Napkin Hs"</formula>
    </cfRule>
  </conditionalFormatting>
  <conditionalFormatting sqref="C65">
    <cfRule type="cellIs" dxfId="18410" priority="13699" stopIfTrue="1" operator="equal">
      <formula>"Towel"</formula>
    </cfRule>
  </conditionalFormatting>
  <conditionalFormatting sqref="B64:C64">
    <cfRule type="cellIs" dxfId="18409" priority="13696" stopIfTrue="1" operator="equal">
      <formula>"Napkin Hs"</formula>
    </cfRule>
  </conditionalFormatting>
  <conditionalFormatting sqref="B64:C64">
    <cfRule type="cellIs" dxfId="18408" priority="13695" stopIfTrue="1" operator="equal">
      <formula>"Towel"</formula>
    </cfRule>
  </conditionalFormatting>
  <conditionalFormatting sqref="C64">
    <cfRule type="cellIs" dxfId="18407" priority="13694" stopIfTrue="1" operator="equal">
      <formula>"Napkin Hs"</formula>
    </cfRule>
  </conditionalFormatting>
  <conditionalFormatting sqref="C64">
    <cfRule type="cellIs" dxfId="18406" priority="13693" stopIfTrue="1" operator="equal">
      <formula>"Towel"</formula>
    </cfRule>
  </conditionalFormatting>
  <conditionalFormatting sqref="C64">
    <cfRule type="cellIs" dxfId="18405" priority="13691" stopIfTrue="1" operator="equal">
      <formula>"Towel"</formula>
    </cfRule>
    <cfRule type="cellIs" dxfId="18404" priority="13692" stopIfTrue="1" operator="equal">
      <formula>"Napkin Hs"</formula>
    </cfRule>
  </conditionalFormatting>
  <conditionalFormatting sqref="B64:C64">
    <cfRule type="cellIs" dxfId="18403" priority="13689" stopIfTrue="1" operator="equal">
      <formula>"Towel"</formula>
    </cfRule>
    <cfRule type="cellIs" dxfId="18402" priority="13690" stopIfTrue="1" operator="equal">
      <formula>"Napkin Hs"</formula>
    </cfRule>
  </conditionalFormatting>
  <conditionalFormatting sqref="C64">
    <cfRule type="cellIs" dxfId="18401" priority="13687" stopIfTrue="1" operator="equal">
      <formula>"Towel"</formula>
    </cfRule>
    <cfRule type="cellIs" dxfId="18400" priority="13688" stopIfTrue="1" operator="equal">
      <formula>"Napkin Hs"</formula>
    </cfRule>
  </conditionalFormatting>
  <conditionalFormatting sqref="C64">
    <cfRule type="cellIs" dxfId="18399" priority="13685" stopIfTrue="1" operator="equal">
      <formula>"Towel"</formula>
    </cfRule>
    <cfRule type="cellIs" dxfId="18398" priority="13686" stopIfTrue="1" operator="equal">
      <formula>"Napkin Hs"</formula>
    </cfRule>
  </conditionalFormatting>
  <conditionalFormatting sqref="B64:C64">
    <cfRule type="cellIs" dxfId="18397" priority="13683" stopIfTrue="1" operator="equal">
      <formula>"Towel"</formula>
    </cfRule>
    <cfRule type="cellIs" dxfId="18396" priority="13684" stopIfTrue="1" operator="equal">
      <formula>"Napkin Hs"</formula>
    </cfRule>
  </conditionalFormatting>
  <conditionalFormatting sqref="C64">
    <cfRule type="cellIs" dxfId="18395" priority="13681" stopIfTrue="1" operator="equal">
      <formula>"Towel"</formula>
    </cfRule>
    <cfRule type="cellIs" dxfId="18394" priority="13682" stopIfTrue="1" operator="equal">
      <formula>"Napkin Hs"</formula>
    </cfRule>
  </conditionalFormatting>
  <conditionalFormatting sqref="C64">
    <cfRule type="cellIs" dxfId="18393" priority="13679" stopIfTrue="1" operator="equal">
      <formula>"Towel"</formula>
    </cfRule>
    <cfRule type="cellIs" dxfId="18392" priority="13680" stopIfTrue="1" operator="equal">
      <formula>"Napkin Hs"</formula>
    </cfRule>
  </conditionalFormatting>
  <conditionalFormatting sqref="B64:C64">
    <cfRule type="cellIs" dxfId="18391" priority="13677" stopIfTrue="1" operator="equal">
      <formula>"Towel"</formula>
    </cfRule>
    <cfRule type="cellIs" dxfId="18390" priority="13678" stopIfTrue="1" operator="equal">
      <formula>"Napkin Hs"</formula>
    </cfRule>
  </conditionalFormatting>
  <conditionalFormatting sqref="C64">
    <cfRule type="cellIs" dxfId="18389" priority="13675" stopIfTrue="1" operator="equal">
      <formula>"Towel"</formula>
    </cfRule>
    <cfRule type="cellIs" dxfId="18388" priority="13676" stopIfTrue="1" operator="equal">
      <formula>"Napkin Hs"</formula>
    </cfRule>
  </conditionalFormatting>
  <conditionalFormatting sqref="C64">
    <cfRule type="cellIs" dxfId="18387" priority="13673" stopIfTrue="1" operator="equal">
      <formula>"Towel"</formula>
    </cfRule>
    <cfRule type="cellIs" dxfId="18386" priority="13674" stopIfTrue="1" operator="equal">
      <formula>"Napkin Hs"</formula>
    </cfRule>
  </conditionalFormatting>
  <conditionalFormatting sqref="B64:C64">
    <cfRule type="cellIs" dxfId="18385" priority="13671" stopIfTrue="1" operator="equal">
      <formula>"Towel"</formula>
    </cfRule>
    <cfRule type="cellIs" dxfId="18384" priority="13672" stopIfTrue="1" operator="equal">
      <formula>"Napkin Hs"</formula>
    </cfRule>
  </conditionalFormatting>
  <conditionalFormatting sqref="C64">
    <cfRule type="cellIs" dxfId="18383" priority="13669" stopIfTrue="1" operator="equal">
      <formula>"Towel"</formula>
    </cfRule>
    <cfRule type="cellIs" dxfId="18382" priority="13670" stopIfTrue="1" operator="equal">
      <formula>"Napkin Hs"</formula>
    </cfRule>
  </conditionalFormatting>
  <conditionalFormatting sqref="C64">
    <cfRule type="cellIs" dxfId="18381" priority="13661" stopIfTrue="1" operator="equal">
      <formula>"Towel"</formula>
    </cfRule>
    <cfRule type="cellIs" dxfId="18380" priority="13662" stopIfTrue="1" operator="equal">
      <formula>"Napkin Hs"</formula>
    </cfRule>
  </conditionalFormatting>
  <conditionalFormatting sqref="B64:C64">
    <cfRule type="cellIs" dxfId="18379" priority="13660" stopIfTrue="1" operator="equal">
      <formula>"Napkin Hs"</formula>
    </cfRule>
  </conditionalFormatting>
  <conditionalFormatting sqref="B64:C64">
    <cfRule type="cellIs" dxfId="18378" priority="13659" stopIfTrue="1" operator="equal">
      <formula>"Towel"</formula>
    </cfRule>
  </conditionalFormatting>
  <conditionalFormatting sqref="C64">
    <cfRule type="cellIs" dxfId="18377" priority="13658" stopIfTrue="1" operator="equal">
      <formula>"Napkin Hs"</formula>
    </cfRule>
  </conditionalFormatting>
  <conditionalFormatting sqref="C64">
    <cfRule type="cellIs" dxfId="18376" priority="13657" stopIfTrue="1" operator="equal">
      <formula>"Towel"</formula>
    </cfRule>
  </conditionalFormatting>
  <conditionalFormatting sqref="B63:C63">
    <cfRule type="cellIs" dxfId="18375" priority="13653" stopIfTrue="1" operator="equal">
      <formula>"Towel"</formula>
    </cfRule>
    <cfRule type="cellIs" dxfId="18374" priority="13654" stopIfTrue="1" operator="equal">
      <formula>"Napkin Hs"</formula>
    </cfRule>
  </conditionalFormatting>
  <conditionalFormatting sqref="C63">
    <cfRule type="cellIs" dxfId="18373" priority="13649" stopIfTrue="1" operator="equal">
      <formula>"Towel"</formula>
    </cfRule>
    <cfRule type="cellIs" dxfId="18372" priority="13650" stopIfTrue="1" operator="equal">
      <formula>"Napkin Hs"</formula>
    </cfRule>
  </conditionalFormatting>
  <conditionalFormatting sqref="C63">
    <cfRule type="cellIs" dxfId="18371" priority="13651" stopIfTrue="1" operator="equal">
      <formula>"Towel"</formula>
    </cfRule>
    <cfRule type="cellIs" dxfId="18370" priority="13652" stopIfTrue="1" operator="equal">
      <formula>"Napkin Hs"</formula>
    </cfRule>
  </conditionalFormatting>
  <conditionalFormatting sqref="B63:C63">
    <cfRule type="cellIs" dxfId="18369" priority="13648" stopIfTrue="1" operator="equal">
      <formula>"Napkin Hs"</formula>
    </cfRule>
  </conditionalFormatting>
  <conditionalFormatting sqref="B63:C63">
    <cfRule type="cellIs" dxfId="18368" priority="13647" stopIfTrue="1" operator="equal">
      <formula>"Towel"</formula>
    </cfRule>
  </conditionalFormatting>
  <conditionalFormatting sqref="C63">
    <cfRule type="cellIs" dxfId="18367" priority="13646" stopIfTrue="1" operator="equal">
      <formula>"Napkin Hs"</formula>
    </cfRule>
  </conditionalFormatting>
  <conditionalFormatting sqref="C63">
    <cfRule type="cellIs" dxfId="18366" priority="13645" stopIfTrue="1" operator="equal">
      <formula>"Towel"</formula>
    </cfRule>
  </conditionalFormatting>
  <conditionalFormatting sqref="C63">
    <cfRule type="cellIs" dxfId="18365" priority="13643" stopIfTrue="1" operator="equal">
      <formula>"Towel"</formula>
    </cfRule>
    <cfRule type="cellIs" dxfId="18364" priority="13644" stopIfTrue="1" operator="equal">
      <formula>"Napkin Hs"</formula>
    </cfRule>
  </conditionalFormatting>
  <conditionalFormatting sqref="B63:C63">
    <cfRule type="cellIs" dxfId="18363" priority="13641" stopIfTrue="1" operator="equal">
      <formula>"Towel"</formula>
    </cfRule>
    <cfRule type="cellIs" dxfId="18362" priority="13642" stopIfTrue="1" operator="equal">
      <formula>"Napkin Hs"</formula>
    </cfRule>
  </conditionalFormatting>
  <conditionalFormatting sqref="C63">
    <cfRule type="cellIs" dxfId="18361" priority="13639" stopIfTrue="1" operator="equal">
      <formula>"Towel"</formula>
    </cfRule>
    <cfRule type="cellIs" dxfId="18360" priority="13640" stopIfTrue="1" operator="equal">
      <formula>"Napkin Hs"</formula>
    </cfRule>
  </conditionalFormatting>
  <conditionalFormatting sqref="C63">
    <cfRule type="cellIs" dxfId="18359" priority="13637" stopIfTrue="1" operator="equal">
      <formula>"Towel"</formula>
    </cfRule>
    <cfRule type="cellIs" dxfId="18358" priority="13638" stopIfTrue="1" operator="equal">
      <formula>"Napkin Hs"</formula>
    </cfRule>
  </conditionalFormatting>
  <conditionalFormatting sqref="B63:C63">
    <cfRule type="cellIs" dxfId="18357" priority="13635" stopIfTrue="1" operator="equal">
      <formula>"Towel"</formula>
    </cfRule>
    <cfRule type="cellIs" dxfId="18356" priority="13636" stopIfTrue="1" operator="equal">
      <formula>"Napkin Hs"</formula>
    </cfRule>
  </conditionalFormatting>
  <conditionalFormatting sqref="C63">
    <cfRule type="cellIs" dxfId="18355" priority="13633" stopIfTrue="1" operator="equal">
      <formula>"Towel"</formula>
    </cfRule>
    <cfRule type="cellIs" dxfId="18354" priority="13634" stopIfTrue="1" operator="equal">
      <formula>"Napkin Hs"</formula>
    </cfRule>
  </conditionalFormatting>
  <conditionalFormatting sqref="C63">
    <cfRule type="cellIs" dxfId="18353" priority="13631" stopIfTrue="1" operator="equal">
      <formula>"Towel"</formula>
    </cfRule>
    <cfRule type="cellIs" dxfId="18352" priority="13632" stopIfTrue="1" operator="equal">
      <formula>"Napkin Hs"</formula>
    </cfRule>
  </conditionalFormatting>
  <conditionalFormatting sqref="B63:C63">
    <cfRule type="cellIs" dxfId="18351" priority="13629" stopIfTrue="1" operator="equal">
      <formula>"Towel"</formula>
    </cfRule>
    <cfRule type="cellIs" dxfId="18350" priority="13630" stopIfTrue="1" operator="equal">
      <formula>"Napkin Hs"</formula>
    </cfRule>
  </conditionalFormatting>
  <conditionalFormatting sqref="C63">
    <cfRule type="cellIs" dxfId="18349" priority="13627" stopIfTrue="1" operator="equal">
      <formula>"Towel"</formula>
    </cfRule>
    <cfRule type="cellIs" dxfId="18348" priority="13628" stopIfTrue="1" operator="equal">
      <formula>"Napkin Hs"</formula>
    </cfRule>
  </conditionalFormatting>
  <conditionalFormatting sqref="C63">
    <cfRule type="cellIs" dxfId="18347" priority="13625" stopIfTrue="1" operator="equal">
      <formula>"Towel"</formula>
    </cfRule>
    <cfRule type="cellIs" dxfId="18346" priority="13626" stopIfTrue="1" operator="equal">
      <formula>"Napkin Hs"</formula>
    </cfRule>
  </conditionalFormatting>
  <conditionalFormatting sqref="B63:C63">
    <cfRule type="cellIs" dxfId="18345" priority="13623" stopIfTrue="1" operator="equal">
      <formula>"Towel"</formula>
    </cfRule>
    <cfRule type="cellIs" dxfId="18344" priority="13624" stopIfTrue="1" operator="equal">
      <formula>"Napkin Hs"</formula>
    </cfRule>
  </conditionalFormatting>
  <conditionalFormatting sqref="C63">
    <cfRule type="cellIs" dxfId="18343" priority="13621" stopIfTrue="1" operator="equal">
      <formula>"Towel"</formula>
    </cfRule>
    <cfRule type="cellIs" dxfId="18342" priority="13622" stopIfTrue="1" operator="equal">
      <formula>"Napkin Hs"</formula>
    </cfRule>
  </conditionalFormatting>
  <conditionalFormatting sqref="C63">
    <cfRule type="cellIs" dxfId="18341" priority="13619" stopIfTrue="1" operator="equal">
      <formula>"Towel"</formula>
    </cfRule>
    <cfRule type="cellIs" dxfId="18340" priority="13620" stopIfTrue="1" operator="equal">
      <formula>"Napkin Hs"</formula>
    </cfRule>
  </conditionalFormatting>
  <conditionalFormatting sqref="B63:C63">
    <cfRule type="cellIs" dxfId="18339" priority="13617" stopIfTrue="1" operator="equal">
      <formula>"Towel"</formula>
    </cfRule>
    <cfRule type="cellIs" dxfId="18338" priority="13618" stopIfTrue="1" operator="equal">
      <formula>"Napkin Hs"</formula>
    </cfRule>
  </conditionalFormatting>
  <conditionalFormatting sqref="C63">
    <cfRule type="cellIs" dxfId="18337" priority="13615" stopIfTrue="1" operator="equal">
      <formula>"Towel"</formula>
    </cfRule>
    <cfRule type="cellIs" dxfId="18336" priority="13616" stopIfTrue="1" operator="equal">
      <formula>"Napkin Hs"</formula>
    </cfRule>
  </conditionalFormatting>
  <conditionalFormatting sqref="C63">
    <cfRule type="cellIs" dxfId="18335" priority="13613" stopIfTrue="1" operator="equal">
      <formula>"Towel"</formula>
    </cfRule>
    <cfRule type="cellIs" dxfId="18334" priority="13614" stopIfTrue="1" operator="equal">
      <formula>"Napkin Hs"</formula>
    </cfRule>
  </conditionalFormatting>
  <conditionalFormatting sqref="B63:C63">
    <cfRule type="cellIs" dxfId="18333" priority="13612" stopIfTrue="1" operator="equal">
      <formula>"Napkin Hs"</formula>
    </cfRule>
  </conditionalFormatting>
  <conditionalFormatting sqref="B63:C63">
    <cfRule type="cellIs" dxfId="18332" priority="13611" stopIfTrue="1" operator="equal">
      <formula>"Towel"</formula>
    </cfRule>
  </conditionalFormatting>
  <conditionalFormatting sqref="C63">
    <cfRule type="cellIs" dxfId="18331" priority="13610" stopIfTrue="1" operator="equal">
      <formula>"Napkin Hs"</formula>
    </cfRule>
  </conditionalFormatting>
  <conditionalFormatting sqref="C63">
    <cfRule type="cellIs" dxfId="18330" priority="13607" stopIfTrue="1" operator="equal">
      <formula>"Towel"</formula>
    </cfRule>
    <cfRule type="cellIs" dxfId="18329" priority="13608" stopIfTrue="1" operator="equal">
      <formula>"Napkin Hs"</formula>
    </cfRule>
  </conditionalFormatting>
  <conditionalFormatting sqref="C63">
    <cfRule type="cellIs" dxfId="18328" priority="13609" stopIfTrue="1" operator="equal">
      <formula>"Towel"</formula>
    </cfRule>
  </conditionalFormatting>
  <conditionalFormatting sqref="C76">
    <cfRule type="cellIs" dxfId="18327" priority="13229" stopIfTrue="1" operator="equal">
      <formula>"Towel"</formula>
    </cfRule>
    <cfRule type="cellIs" dxfId="18326" priority="13230" stopIfTrue="1" operator="equal">
      <formula>"Napkin Hs"</formula>
    </cfRule>
  </conditionalFormatting>
  <conditionalFormatting sqref="B76:C76">
    <cfRule type="cellIs" dxfId="18325" priority="13227" stopIfTrue="1" operator="equal">
      <formula>"Towel"</formula>
    </cfRule>
    <cfRule type="cellIs" dxfId="18324" priority="13228" stopIfTrue="1" operator="equal">
      <formula>"Napkin Hs"</formula>
    </cfRule>
  </conditionalFormatting>
  <conditionalFormatting sqref="C76">
    <cfRule type="cellIs" dxfId="18323" priority="13225" stopIfTrue="1" operator="equal">
      <formula>"Towel"</formula>
    </cfRule>
    <cfRule type="cellIs" dxfId="18322" priority="13226" stopIfTrue="1" operator="equal">
      <formula>"Napkin Hs"</formula>
    </cfRule>
  </conditionalFormatting>
  <conditionalFormatting sqref="C76">
    <cfRule type="cellIs" dxfId="18321" priority="13217" stopIfTrue="1" operator="equal">
      <formula>"Towel"</formula>
    </cfRule>
    <cfRule type="cellIs" dxfId="18320" priority="13218" stopIfTrue="1" operator="equal">
      <formula>"Napkin Hs"</formula>
    </cfRule>
  </conditionalFormatting>
  <conditionalFormatting sqref="B76:C76">
    <cfRule type="cellIs" dxfId="18319" priority="13258" stopIfTrue="1" operator="equal">
      <formula>"Napkin Hs"</formula>
    </cfRule>
  </conditionalFormatting>
  <conditionalFormatting sqref="B76:C76">
    <cfRule type="cellIs" dxfId="18318" priority="13257" stopIfTrue="1" operator="equal">
      <formula>"Towel"</formula>
    </cfRule>
  </conditionalFormatting>
  <conditionalFormatting sqref="C76">
    <cfRule type="cellIs" dxfId="18317" priority="13256" stopIfTrue="1" operator="equal">
      <formula>"Napkin Hs"</formula>
    </cfRule>
  </conditionalFormatting>
  <conditionalFormatting sqref="C76">
    <cfRule type="cellIs" dxfId="18316" priority="13255" stopIfTrue="1" operator="equal">
      <formula>"Towel"</formula>
    </cfRule>
  </conditionalFormatting>
  <conditionalFormatting sqref="C76">
    <cfRule type="cellIs" dxfId="18315" priority="13253" stopIfTrue="1" operator="equal">
      <formula>"Towel"</formula>
    </cfRule>
    <cfRule type="cellIs" dxfId="18314" priority="13254" stopIfTrue="1" operator="equal">
      <formula>"Napkin Hs"</formula>
    </cfRule>
  </conditionalFormatting>
  <conditionalFormatting sqref="B76:C76">
    <cfRule type="cellIs" dxfId="18313" priority="13251" stopIfTrue="1" operator="equal">
      <formula>"Towel"</formula>
    </cfRule>
    <cfRule type="cellIs" dxfId="18312" priority="13252" stopIfTrue="1" operator="equal">
      <formula>"Napkin Hs"</formula>
    </cfRule>
  </conditionalFormatting>
  <conditionalFormatting sqref="C76">
    <cfRule type="cellIs" dxfId="18311" priority="13249" stopIfTrue="1" operator="equal">
      <formula>"Towel"</formula>
    </cfRule>
    <cfRule type="cellIs" dxfId="18310" priority="13250" stopIfTrue="1" operator="equal">
      <formula>"Napkin Hs"</formula>
    </cfRule>
  </conditionalFormatting>
  <conditionalFormatting sqref="C76">
    <cfRule type="cellIs" dxfId="18309" priority="13247" stopIfTrue="1" operator="equal">
      <formula>"Towel"</formula>
    </cfRule>
    <cfRule type="cellIs" dxfId="18308" priority="13248" stopIfTrue="1" operator="equal">
      <formula>"Napkin Hs"</formula>
    </cfRule>
  </conditionalFormatting>
  <conditionalFormatting sqref="B76:C76">
    <cfRule type="cellIs" dxfId="18307" priority="13245" stopIfTrue="1" operator="equal">
      <formula>"Towel"</formula>
    </cfRule>
    <cfRule type="cellIs" dxfId="18306" priority="13246" stopIfTrue="1" operator="equal">
      <formula>"Napkin Hs"</formula>
    </cfRule>
  </conditionalFormatting>
  <conditionalFormatting sqref="C76">
    <cfRule type="cellIs" dxfId="18305" priority="13243" stopIfTrue="1" operator="equal">
      <formula>"Towel"</formula>
    </cfRule>
    <cfRule type="cellIs" dxfId="18304" priority="13244" stopIfTrue="1" operator="equal">
      <formula>"Napkin Hs"</formula>
    </cfRule>
  </conditionalFormatting>
  <conditionalFormatting sqref="C76">
    <cfRule type="cellIs" dxfId="18303" priority="13241" stopIfTrue="1" operator="equal">
      <formula>"Towel"</formula>
    </cfRule>
    <cfRule type="cellIs" dxfId="18302" priority="13242" stopIfTrue="1" operator="equal">
      <formula>"Napkin Hs"</formula>
    </cfRule>
  </conditionalFormatting>
  <conditionalFormatting sqref="B76:C76">
    <cfRule type="cellIs" dxfId="18301" priority="13239" stopIfTrue="1" operator="equal">
      <formula>"Towel"</formula>
    </cfRule>
    <cfRule type="cellIs" dxfId="18300" priority="13240" stopIfTrue="1" operator="equal">
      <formula>"Napkin Hs"</formula>
    </cfRule>
  </conditionalFormatting>
  <conditionalFormatting sqref="C76">
    <cfRule type="cellIs" dxfId="18299" priority="13237" stopIfTrue="1" operator="equal">
      <formula>"Towel"</formula>
    </cfRule>
    <cfRule type="cellIs" dxfId="18298" priority="13238" stopIfTrue="1" operator="equal">
      <formula>"Napkin Hs"</formula>
    </cfRule>
  </conditionalFormatting>
  <conditionalFormatting sqref="C76">
    <cfRule type="cellIs" dxfId="18297" priority="13235" stopIfTrue="1" operator="equal">
      <formula>"Towel"</formula>
    </cfRule>
    <cfRule type="cellIs" dxfId="18296" priority="13236" stopIfTrue="1" operator="equal">
      <formula>"Napkin Hs"</formula>
    </cfRule>
  </conditionalFormatting>
  <conditionalFormatting sqref="B76:C76">
    <cfRule type="cellIs" dxfId="18295" priority="13233" stopIfTrue="1" operator="equal">
      <formula>"Towel"</formula>
    </cfRule>
    <cfRule type="cellIs" dxfId="18294" priority="13234" stopIfTrue="1" operator="equal">
      <formula>"Napkin Hs"</formula>
    </cfRule>
  </conditionalFormatting>
  <conditionalFormatting sqref="C76">
    <cfRule type="cellIs" dxfId="18293" priority="13231" stopIfTrue="1" operator="equal">
      <formula>"Towel"</formula>
    </cfRule>
    <cfRule type="cellIs" dxfId="18292" priority="13232" stopIfTrue="1" operator="equal">
      <formula>"Napkin Hs"</formula>
    </cfRule>
  </conditionalFormatting>
  <conditionalFormatting sqref="C76">
    <cfRule type="cellIs" dxfId="18291" priority="13223" stopIfTrue="1" operator="equal">
      <formula>"Towel"</formula>
    </cfRule>
    <cfRule type="cellIs" dxfId="18290" priority="13224" stopIfTrue="1" operator="equal">
      <formula>"Napkin Hs"</formula>
    </cfRule>
  </conditionalFormatting>
  <conditionalFormatting sqref="B76:C76">
    <cfRule type="cellIs" dxfId="18289" priority="13222" stopIfTrue="1" operator="equal">
      <formula>"Napkin Hs"</formula>
    </cfRule>
  </conditionalFormatting>
  <conditionalFormatting sqref="B76:C76">
    <cfRule type="cellIs" dxfId="18288" priority="13221" stopIfTrue="1" operator="equal">
      <formula>"Towel"</formula>
    </cfRule>
  </conditionalFormatting>
  <conditionalFormatting sqref="C76">
    <cfRule type="cellIs" dxfId="18287" priority="13220" stopIfTrue="1" operator="equal">
      <formula>"Napkin Hs"</formula>
    </cfRule>
  </conditionalFormatting>
  <conditionalFormatting sqref="C76">
    <cfRule type="cellIs" dxfId="18286" priority="13219" stopIfTrue="1" operator="equal">
      <formula>"Towel"</formula>
    </cfRule>
  </conditionalFormatting>
  <conditionalFormatting sqref="B76:C76">
    <cfRule type="cellIs" dxfId="18285" priority="13263" stopIfTrue="1" operator="equal">
      <formula>"Towel"</formula>
    </cfRule>
    <cfRule type="cellIs" dxfId="18284" priority="13264" stopIfTrue="1" operator="equal">
      <formula>"Napkin Hs"</formula>
    </cfRule>
  </conditionalFormatting>
  <conditionalFormatting sqref="C76">
    <cfRule type="cellIs" dxfId="18283" priority="13259" stopIfTrue="1" operator="equal">
      <formula>"Towel"</formula>
    </cfRule>
    <cfRule type="cellIs" dxfId="18282" priority="13260" stopIfTrue="1" operator="equal">
      <formula>"Napkin Hs"</formula>
    </cfRule>
  </conditionalFormatting>
  <conditionalFormatting sqref="C76">
    <cfRule type="cellIs" dxfId="18281" priority="13261" stopIfTrue="1" operator="equal">
      <formula>"Towel"</formula>
    </cfRule>
    <cfRule type="cellIs" dxfId="18280" priority="13262" stopIfTrue="1" operator="equal">
      <formula>"Napkin Hs"</formula>
    </cfRule>
  </conditionalFormatting>
  <conditionalFormatting sqref="B81:C81">
    <cfRule type="cellIs" dxfId="18279" priority="13083" stopIfTrue="1" operator="equal">
      <formula>"Towel"</formula>
    </cfRule>
    <cfRule type="cellIs" dxfId="18278" priority="13084" stopIfTrue="1" operator="equal">
      <formula>"Napkin Hs"</formula>
    </cfRule>
  </conditionalFormatting>
  <conditionalFormatting sqref="C81">
    <cfRule type="cellIs" dxfId="18277" priority="13079" stopIfTrue="1" operator="equal">
      <formula>"Towel"</formula>
    </cfRule>
    <cfRule type="cellIs" dxfId="18276" priority="13080" stopIfTrue="1" operator="equal">
      <formula>"Napkin Hs"</formula>
    </cfRule>
  </conditionalFormatting>
  <conditionalFormatting sqref="C81">
    <cfRule type="cellIs" dxfId="18275" priority="13081" stopIfTrue="1" operator="equal">
      <formula>"Towel"</formula>
    </cfRule>
    <cfRule type="cellIs" dxfId="18274" priority="13082" stopIfTrue="1" operator="equal">
      <formula>"Napkin Hs"</formula>
    </cfRule>
  </conditionalFormatting>
  <conditionalFormatting sqref="B81:C81">
    <cfRule type="cellIs" dxfId="18273" priority="13078" stopIfTrue="1" operator="equal">
      <formula>"Napkin Hs"</formula>
    </cfRule>
  </conditionalFormatting>
  <conditionalFormatting sqref="B81:C81">
    <cfRule type="cellIs" dxfId="18272" priority="13077" stopIfTrue="1" operator="equal">
      <formula>"Towel"</formula>
    </cfRule>
  </conditionalFormatting>
  <conditionalFormatting sqref="C81">
    <cfRule type="cellIs" dxfId="18271" priority="13076" stopIfTrue="1" operator="equal">
      <formula>"Napkin Hs"</formula>
    </cfRule>
  </conditionalFormatting>
  <conditionalFormatting sqref="C81">
    <cfRule type="cellIs" dxfId="18270" priority="13075" stopIfTrue="1" operator="equal">
      <formula>"Towel"</formula>
    </cfRule>
  </conditionalFormatting>
  <conditionalFormatting sqref="C81">
    <cfRule type="cellIs" dxfId="18269" priority="13073" stopIfTrue="1" operator="equal">
      <formula>"Towel"</formula>
    </cfRule>
    <cfRule type="cellIs" dxfId="18268" priority="13074" stopIfTrue="1" operator="equal">
      <formula>"Napkin Hs"</formula>
    </cfRule>
  </conditionalFormatting>
  <conditionalFormatting sqref="B81:C81">
    <cfRule type="cellIs" dxfId="18267" priority="13071" stopIfTrue="1" operator="equal">
      <formula>"Towel"</formula>
    </cfRule>
    <cfRule type="cellIs" dxfId="18266" priority="13072" stopIfTrue="1" operator="equal">
      <formula>"Napkin Hs"</formula>
    </cfRule>
  </conditionalFormatting>
  <conditionalFormatting sqref="C81">
    <cfRule type="cellIs" dxfId="18265" priority="13069" stopIfTrue="1" operator="equal">
      <formula>"Towel"</formula>
    </cfRule>
    <cfRule type="cellIs" dxfId="18264" priority="13070" stopIfTrue="1" operator="equal">
      <formula>"Napkin Hs"</formula>
    </cfRule>
  </conditionalFormatting>
  <conditionalFormatting sqref="C81">
    <cfRule type="cellIs" dxfId="18263" priority="13067" stopIfTrue="1" operator="equal">
      <formula>"Towel"</formula>
    </cfRule>
    <cfRule type="cellIs" dxfId="18262" priority="13068" stopIfTrue="1" operator="equal">
      <formula>"Napkin Hs"</formula>
    </cfRule>
  </conditionalFormatting>
  <conditionalFormatting sqref="B81:C81">
    <cfRule type="cellIs" dxfId="18261" priority="13065" stopIfTrue="1" operator="equal">
      <formula>"Towel"</formula>
    </cfRule>
    <cfRule type="cellIs" dxfId="18260" priority="13066" stopIfTrue="1" operator="equal">
      <formula>"Napkin Hs"</formula>
    </cfRule>
  </conditionalFormatting>
  <conditionalFormatting sqref="C81">
    <cfRule type="cellIs" dxfId="18259" priority="13063" stopIfTrue="1" operator="equal">
      <formula>"Towel"</formula>
    </cfRule>
    <cfRule type="cellIs" dxfId="18258" priority="13064" stopIfTrue="1" operator="equal">
      <formula>"Napkin Hs"</formula>
    </cfRule>
  </conditionalFormatting>
  <conditionalFormatting sqref="C81">
    <cfRule type="cellIs" dxfId="18257" priority="13061" stopIfTrue="1" operator="equal">
      <formula>"Towel"</formula>
    </cfRule>
    <cfRule type="cellIs" dxfId="18256" priority="13062" stopIfTrue="1" operator="equal">
      <formula>"Napkin Hs"</formula>
    </cfRule>
  </conditionalFormatting>
  <conditionalFormatting sqref="B81:C81">
    <cfRule type="cellIs" dxfId="18255" priority="13059" stopIfTrue="1" operator="equal">
      <formula>"Towel"</formula>
    </cfRule>
    <cfRule type="cellIs" dxfId="18254" priority="13060" stopIfTrue="1" operator="equal">
      <formula>"Napkin Hs"</formula>
    </cfRule>
  </conditionalFormatting>
  <conditionalFormatting sqref="C81">
    <cfRule type="cellIs" dxfId="18253" priority="13057" stopIfTrue="1" operator="equal">
      <formula>"Towel"</formula>
    </cfRule>
    <cfRule type="cellIs" dxfId="18252" priority="13058" stopIfTrue="1" operator="equal">
      <formula>"Napkin Hs"</formula>
    </cfRule>
  </conditionalFormatting>
  <conditionalFormatting sqref="C81">
    <cfRule type="cellIs" dxfId="18251" priority="13055" stopIfTrue="1" operator="equal">
      <formula>"Towel"</formula>
    </cfRule>
    <cfRule type="cellIs" dxfId="18250" priority="13056" stopIfTrue="1" operator="equal">
      <formula>"Napkin Hs"</formula>
    </cfRule>
  </conditionalFormatting>
  <conditionalFormatting sqref="B81:C81">
    <cfRule type="cellIs" dxfId="18249" priority="13053" stopIfTrue="1" operator="equal">
      <formula>"Towel"</formula>
    </cfRule>
    <cfRule type="cellIs" dxfId="18248" priority="13054" stopIfTrue="1" operator="equal">
      <formula>"Napkin Hs"</formula>
    </cfRule>
  </conditionalFormatting>
  <conditionalFormatting sqref="C81">
    <cfRule type="cellIs" dxfId="18247" priority="13051" stopIfTrue="1" operator="equal">
      <formula>"Towel"</formula>
    </cfRule>
    <cfRule type="cellIs" dxfId="18246" priority="13052" stopIfTrue="1" operator="equal">
      <formula>"Napkin Hs"</formula>
    </cfRule>
  </conditionalFormatting>
  <conditionalFormatting sqref="C81">
    <cfRule type="cellIs" dxfId="18245" priority="13049" stopIfTrue="1" operator="equal">
      <formula>"Towel"</formula>
    </cfRule>
    <cfRule type="cellIs" dxfId="18244" priority="13050" stopIfTrue="1" operator="equal">
      <formula>"Napkin Hs"</formula>
    </cfRule>
  </conditionalFormatting>
  <conditionalFormatting sqref="B81:C81">
    <cfRule type="cellIs" dxfId="18243" priority="13047" stopIfTrue="1" operator="equal">
      <formula>"Towel"</formula>
    </cfRule>
    <cfRule type="cellIs" dxfId="18242" priority="13048" stopIfTrue="1" operator="equal">
      <formula>"Napkin Hs"</formula>
    </cfRule>
  </conditionalFormatting>
  <conditionalFormatting sqref="C81">
    <cfRule type="cellIs" dxfId="18241" priority="13045" stopIfTrue="1" operator="equal">
      <formula>"Towel"</formula>
    </cfRule>
    <cfRule type="cellIs" dxfId="18240" priority="13046" stopIfTrue="1" operator="equal">
      <formula>"Napkin Hs"</formula>
    </cfRule>
  </conditionalFormatting>
  <conditionalFormatting sqref="C81">
    <cfRule type="cellIs" dxfId="18239" priority="13043" stopIfTrue="1" operator="equal">
      <formula>"Towel"</formula>
    </cfRule>
    <cfRule type="cellIs" dxfId="18238" priority="13044" stopIfTrue="1" operator="equal">
      <formula>"Napkin Hs"</formula>
    </cfRule>
  </conditionalFormatting>
  <conditionalFormatting sqref="B81:C81">
    <cfRule type="cellIs" dxfId="18237" priority="13042" stopIfTrue="1" operator="equal">
      <formula>"Napkin Hs"</formula>
    </cfRule>
  </conditionalFormatting>
  <conditionalFormatting sqref="B81:C81">
    <cfRule type="cellIs" dxfId="18236" priority="13041" stopIfTrue="1" operator="equal">
      <formula>"Towel"</formula>
    </cfRule>
  </conditionalFormatting>
  <conditionalFormatting sqref="C81">
    <cfRule type="cellIs" dxfId="18235" priority="13040" stopIfTrue="1" operator="equal">
      <formula>"Napkin Hs"</formula>
    </cfRule>
  </conditionalFormatting>
  <conditionalFormatting sqref="C81">
    <cfRule type="cellIs" dxfId="18234" priority="13037" stopIfTrue="1" operator="equal">
      <formula>"Towel"</formula>
    </cfRule>
    <cfRule type="cellIs" dxfId="18233" priority="13038" stopIfTrue="1" operator="equal">
      <formula>"Napkin Hs"</formula>
    </cfRule>
  </conditionalFormatting>
  <conditionalFormatting sqref="C81">
    <cfRule type="cellIs" dxfId="18232" priority="13039" stopIfTrue="1" operator="equal">
      <formula>"Towel"</formula>
    </cfRule>
  </conditionalFormatting>
  <conditionalFormatting sqref="B88:C88">
    <cfRule type="cellIs" dxfId="18231" priority="12987" stopIfTrue="1" operator="equal">
      <formula>"Towel"</formula>
    </cfRule>
    <cfRule type="cellIs" dxfId="18230" priority="12988" stopIfTrue="1" operator="equal">
      <formula>"Napkin Hs"</formula>
    </cfRule>
  </conditionalFormatting>
  <conditionalFormatting sqref="C88">
    <cfRule type="cellIs" dxfId="18229" priority="12985" stopIfTrue="1" operator="equal">
      <formula>"Towel"</formula>
    </cfRule>
    <cfRule type="cellIs" dxfId="18228" priority="12986" stopIfTrue="1" operator="equal">
      <formula>"Napkin Hs"</formula>
    </cfRule>
  </conditionalFormatting>
  <conditionalFormatting sqref="C88">
    <cfRule type="cellIs" dxfId="18227" priority="12983" stopIfTrue="1" operator="equal">
      <formula>"Towel"</formula>
    </cfRule>
    <cfRule type="cellIs" dxfId="18226" priority="12984" stopIfTrue="1" operator="equal">
      <formula>"Napkin Hs"</formula>
    </cfRule>
  </conditionalFormatting>
  <conditionalFormatting sqref="B89:C89">
    <cfRule type="cellIs" dxfId="18225" priority="12759" stopIfTrue="1" operator="equal">
      <formula>"Towel"</formula>
    </cfRule>
    <cfRule type="cellIs" dxfId="18224" priority="12760" stopIfTrue="1" operator="equal">
      <formula>"Napkin Hs"</formula>
    </cfRule>
  </conditionalFormatting>
  <conditionalFormatting sqref="C89">
    <cfRule type="cellIs" dxfId="18223" priority="12755" stopIfTrue="1" operator="equal">
      <formula>"Towel"</formula>
    </cfRule>
    <cfRule type="cellIs" dxfId="18222" priority="12756" stopIfTrue="1" operator="equal">
      <formula>"Napkin Hs"</formula>
    </cfRule>
  </conditionalFormatting>
  <conditionalFormatting sqref="C89">
    <cfRule type="cellIs" dxfId="18221" priority="12757" stopIfTrue="1" operator="equal">
      <formula>"Towel"</formula>
    </cfRule>
    <cfRule type="cellIs" dxfId="18220" priority="12758" stopIfTrue="1" operator="equal">
      <formula>"Napkin Hs"</formula>
    </cfRule>
  </conditionalFormatting>
  <conditionalFormatting sqref="B89:C89">
    <cfRule type="cellIs" dxfId="18219" priority="12754" stopIfTrue="1" operator="equal">
      <formula>"Napkin Hs"</formula>
    </cfRule>
  </conditionalFormatting>
  <conditionalFormatting sqref="B89:C89">
    <cfRule type="cellIs" dxfId="18218" priority="12753" stopIfTrue="1" operator="equal">
      <formula>"Towel"</formula>
    </cfRule>
  </conditionalFormatting>
  <conditionalFormatting sqref="C89">
    <cfRule type="cellIs" dxfId="18217" priority="12752" stopIfTrue="1" operator="equal">
      <formula>"Napkin Hs"</formula>
    </cfRule>
  </conditionalFormatting>
  <conditionalFormatting sqref="C89">
    <cfRule type="cellIs" dxfId="18216" priority="12751" stopIfTrue="1" operator="equal">
      <formula>"Towel"</formula>
    </cfRule>
  </conditionalFormatting>
  <conditionalFormatting sqref="C89">
    <cfRule type="cellIs" dxfId="18215" priority="12749" stopIfTrue="1" operator="equal">
      <formula>"Towel"</formula>
    </cfRule>
    <cfRule type="cellIs" dxfId="18214" priority="12750" stopIfTrue="1" operator="equal">
      <formula>"Napkin Hs"</formula>
    </cfRule>
  </conditionalFormatting>
  <conditionalFormatting sqref="B89:C89">
    <cfRule type="cellIs" dxfId="18213" priority="12747" stopIfTrue="1" operator="equal">
      <formula>"Towel"</formula>
    </cfRule>
    <cfRule type="cellIs" dxfId="18212" priority="12748" stopIfTrue="1" operator="equal">
      <formula>"Napkin Hs"</formula>
    </cfRule>
  </conditionalFormatting>
  <conditionalFormatting sqref="C89">
    <cfRule type="cellIs" dxfId="18211" priority="12745" stopIfTrue="1" operator="equal">
      <formula>"Towel"</formula>
    </cfRule>
    <cfRule type="cellIs" dxfId="18210" priority="12746" stopIfTrue="1" operator="equal">
      <formula>"Napkin Hs"</formula>
    </cfRule>
  </conditionalFormatting>
  <conditionalFormatting sqref="C89">
    <cfRule type="cellIs" dxfId="18209" priority="12743" stopIfTrue="1" operator="equal">
      <formula>"Towel"</formula>
    </cfRule>
    <cfRule type="cellIs" dxfId="18208" priority="12744" stopIfTrue="1" operator="equal">
      <formula>"Napkin Hs"</formula>
    </cfRule>
  </conditionalFormatting>
  <conditionalFormatting sqref="B89:C89">
    <cfRule type="cellIs" dxfId="18207" priority="12741" stopIfTrue="1" operator="equal">
      <formula>"Towel"</formula>
    </cfRule>
    <cfRule type="cellIs" dxfId="18206" priority="12742" stopIfTrue="1" operator="equal">
      <formula>"Napkin Hs"</formula>
    </cfRule>
  </conditionalFormatting>
  <conditionalFormatting sqref="C89">
    <cfRule type="cellIs" dxfId="18205" priority="12739" stopIfTrue="1" operator="equal">
      <formula>"Towel"</formula>
    </cfRule>
    <cfRule type="cellIs" dxfId="18204" priority="12740" stopIfTrue="1" operator="equal">
      <formula>"Napkin Hs"</formula>
    </cfRule>
  </conditionalFormatting>
  <conditionalFormatting sqref="C89">
    <cfRule type="cellIs" dxfId="18203" priority="12737" stopIfTrue="1" operator="equal">
      <formula>"Towel"</formula>
    </cfRule>
    <cfRule type="cellIs" dxfId="18202" priority="12738" stopIfTrue="1" operator="equal">
      <formula>"Napkin Hs"</formula>
    </cfRule>
  </conditionalFormatting>
  <conditionalFormatting sqref="B89:C89">
    <cfRule type="cellIs" dxfId="18201" priority="12735" stopIfTrue="1" operator="equal">
      <formula>"Towel"</formula>
    </cfRule>
    <cfRule type="cellIs" dxfId="18200" priority="12736" stopIfTrue="1" operator="equal">
      <formula>"Napkin Hs"</formula>
    </cfRule>
  </conditionalFormatting>
  <conditionalFormatting sqref="C89">
    <cfRule type="cellIs" dxfId="18199" priority="12733" stopIfTrue="1" operator="equal">
      <formula>"Towel"</formula>
    </cfRule>
    <cfRule type="cellIs" dxfId="18198" priority="12734" stopIfTrue="1" operator="equal">
      <formula>"Napkin Hs"</formula>
    </cfRule>
  </conditionalFormatting>
  <conditionalFormatting sqref="C89">
    <cfRule type="cellIs" dxfId="18197" priority="12731" stopIfTrue="1" operator="equal">
      <formula>"Towel"</formula>
    </cfRule>
    <cfRule type="cellIs" dxfId="18196" priority="12732" stopIfTrue="1" operator="equal">
      <formula>"Napkin Hs"</formula>
    </cfRule>
  </conditionalFormatting>
  <conditionalFormatting sqref="B89:C89">
    <cfRule type="cellIs" dxfId="18195" priority="12729" stopIfTrue="1" operator="equal">
      <formula>"Towel"</formula>
    </cfRule>
    <cfRule type="cellIs" dxfId="18194" priority="12730" stopIfTrue="1" operator="equal">
      <formula>"Napkin Hs"</formula>
    </cfRule>
  </conditionalFormatting>
  <conditionalFormatting sqref="C89">
    <cfRule type="cellIs" dxfId="18193" priority="12727" stopIfTrue="1" operator="equal">
      <formula>"Towel"</formula>
    </cfRule>
    <cfRule type="cellIs" dxfId="18192" priority="12728" stopIfTrue="1" operator="equal">
      <formula>"Napkin Hs"</formula>
    </cfRule>
  </conditionalFormatting>
  <conditionalFormatting sqref="C89">
    <cfRule type="cellIs" dxfId="18191" priority="12725" stopIfTrue="1" operator="equal">
      <formula>"Towel"</formula>
    </cfRule>
    <cfRule type="cellIs" dxfId="18190" priority="12726" stopIfTrue="1" operator="equal">
      <formula>"Napkin Hs"</formula>
    </cfRule>
  </conditionalFormatting>
  <conditionalFormatting sqref="B89:C89">
    <cfRule type="cellIs" dxfId="18189" priority="12723" stopIfTrue="1" operator="equal">
      <formula>"Towel"</formula>
    </cfRule>
    <cfRule type="cellIs" dxfId="18188" priority="12724" stopIfTrue="1" operator="equal">
      <formula>"Napkin Hs"</formula>
    </cfRule>
  </conditionalFormatting>
  <conditionalFormatting sqref="C89">
    <cfRule type="cellIs" dxfId="18187" priority="12721" stopIfTrue="1" operator="equal">
      <formula>"Towel"</formula>
    </cfRule>
    <cfRule type="cellIs" dxfId="18186" priority="12722" stopIfTrue="1" operator="equal">
      <formula>"Napkin Hs"</formula>
    </cfRule>
  </conditionalFormatting>
  <conditionalFormatting sqref="C89">
    <cfRule type="cellIs" dxfId="18185" priority="12719" stopIfTrue="1" operator="equal">
      <formula>"Towel"</formula>
    </cfRule>
    <cfRule type="cellIs" dxfId="18184" priority="12720" stopIfTrue="1" operator="equal">
      <formula>"Napkin Hs"</formula>
    </cfRule>
  </conditionalFormatting>
  <conditionalFormatting sqref="B89:C89">
    <cfRule type="cellIs" dxfId="18183" priority="12718" stopIfTrue="1" operator="equal">
      <formula>"Napkin Hs"</formula>
    </cfRule>
  </conditionalFormatting>
  <conditionalFormatting sqref="B89:C89">
    <cfRule type="cellIs" dxfId="18182" priority="12717" stopIfTrue="1" operator="equal">
      <formula>"Towel"</formula>
    </cfRule>
  </conditionalFormatting>
  <conditionalFormatting sqref="C89">
    <cfRule type="cellIs" dxfId="18181" priority="12716" stopIfTrue="1" operator="equal">
      <formula>"Napkin Hs"</formula>
    </cfRule>
  </conditionalFormatting>
  <conditionalFormatting sqref="C89">
    <cfRule type="cellIs" dxfId="18180" priority="12713" stopIfTrue="1" operator="equal">
      <formula>"Towel"</formula>
    </cfRule>
    <cfRule type="cellIs" dxfId="18179" priority="12714" stopIfTrue="1" operator="equal">
      <formula>"Napkin Hs"</formula>
    </cfRule>
  </conditionalFormatting>
  <conditionalFormatting sqref="C89">
    <cfRule type="cellIs" dxfId="18178" priority="12715" stopIfTrue="1" operator="equal">
      <formula>"Towel"</formula>
    </cfRule>
  </conditionalFormatting>
  <conditionalFormatting sqref="B90:C90">
    <cfRule type="cellIs" dxfId="18177" priority="12711" stopIfTrue="1" operator="equal">
      <formula>"Towel"</formula>
    </cfRule>
    <cfRule type="cellIs" dxfId="18176" priority="12712" stopIfTrue="1" operator="equal">
      <formula>"Napkin Hs"</formula>
    </cfRule>
  </conditionalFormatting>
  <conditionalFormatting sqref="C90">
    <cfRule type="cellIs" dxfId="18175" priority="12707" stopIfTrue="1" operator="equal">
      <formula>"Towel"</formula>
    </cfRule>
    <cfRule type="cellIs" dxfId="18174" priority="12708" stopIfTrue="1" operator="equal">
      <formula>"Napkin Hs"</formula>
    </cfRule>
  </conditionalFormatting>
  <conditionalFormatting sqref="C90">
    <cfRule type="cellIs" dxfId="18173" priority="12709" stopIfTrue="1" operator="equal">
      <formula>"Towel"</formula>
    </cfRule>
    <cfRule type="cellIs" dxfId="18172" priority="12710" stopIfTrue="1" operator="equal">
      <formula>"Napkin Hs"</formula>
    </cfRule>
  </conditionalFormatting>
  <conditionalFormatting sqref="B90:C90">
    <cfRule type="cellIs" dxfId="18171" priority="12706" stopIfTrue="1" operator="equal">
      <formula>"Napkin Hs"</formula>
    </cfRule>
  </conditionalFormatting>
  <conditionalFormatting sqref="B90:C90">
    <cfRule type="cellIs" dxfId="18170" priority="12705" stopIfTrue="1" operator="equal">
      <formula>"Towel"</formula>
    </cfRule>
  </conditionalFormatting>
  <conditionalFormatting sqref="C90">
    <cfRule type="cellIs" dxfId="18169" priority="12704" stopIfTrue="1" operator="equal">
      <formula>"Napkin Hs"</formula>
    </cfRule>
  </conditionalFormatting>
  <conditionalFormatting sqref="C90">
    <cfRule type="cellIs" dxfId="18168" priority="12703" stopIfTrue="1" operator="equal">
      <formula>"Towel"</formula>
    </cfRule>
  </conditionalFormatting>
  <conditionalFormatting sqref="C90">
    <cfRule type="cellIs" dxfId="18167" priority="12701" stopIfTrue="1" operator="equal">
      <formula>"Towel"</formula>
    </cfRule>
    <cfRule type="cellIs" dxfId="18166" priority="12702" stopIfTrue="1" operator="equal">
      <formula>"Napkin Hs"</formula>
    </cfRule>
  </conditionalFormatting>
  <conditionalFormatting sqref="B90:C90">
    <cfRule type="cellIs" dxfId="18165" priority="12699" stopIfTrue="1" operator="equal">
      <formula>"Towel"</formula>
    </cfRule>
    <cfRule type="cellIs" dxfId="18164" priority="12700" stopIfTrue="1" operator="equal">
      <formula>"Napkin Hs"</formula>
    </cfRule>
  </conditionalFormatting>
  <conditionalFormatting sqref="C90">
    <cfRule type="cellIs" dxfId="18163" priority="12697" stopIfTrue="1" operator="equal">
      <formula>"Towel"</formula>
    </cfRule>
    <cfRule type="cellIs" dxfId="18162" priority="12698" stopIfTrue="1" operator="equal">
      <formula>"Napkin Hs"</formula>
    </cfRule>
  </conditionalFormatting>
  <conditionalFormatting sqref="C90">
    <cfRule type="cellIs" dxfId="18161" priority="12695" stopIfTrue="1" operator="equal">
      <formula>"Towel"</formula>
    </cfRule>
    <cfRule type="cellIs" dxfId="18160" priority="12696" stopIfTrue="1" operator="equal">
      <formula>"Napkin Hs"</formula>
    </cfRule>
  </conditionalFormatting>
  <conditionalFormatting sqref="B90:C90">
    <cfRule type="cellIs" dxfId="18159" priority="12693" stopIfTrue="1" operator="equal">
      <formula>"Towel"</formula>
    </cfRule>
    <cfRule type="cellIs" dxfId="18158" priority="12694" stopIfTrue="1" operator="equal">
      <formula>"Napkin Hs"</formula>
    </cfRule>
  </conditionalFormatting>
  <conditionalFormatting sqref="C90">
    <cfRule type="cellIs" dxfId="18157" priority="12691" stopIfTrue="1" operator="equal">
      <formula>"Towel"</formula>
    </cfRule>
    <cfRule type="cellIs" dxfId="18156" priority="12692" stopIfTrue="1" operator="equal">
      <formula>"Napkin Hs"</formula>
    </cfRule>
  </conditionalFormatting>
  <conditionalFormatting sqref="C90">
    <cfRule type="cellIs" dxfId="18155" priority="12689" stopIfTrue="1" operator="equal">
      <formula>"Towel"</formula>
    </cfRule>
    <cfRule type="cellIs" dxfId="18154" priority="12690" stopIfTrue="1" operator="equal">
      <formula>"Napkin Hs"</formula>
    </cfRule>
  </conditionalFormatting>
  <conditionalFormatting sqref="B90:C90">
    <cfRule type="cellIs" dxfId="18153" priority="12687" stopIfTrue="1" operator="equal">
      <formula>"Towel"</formula>
    </cfRule>
    <cfRule type="cellIs" dxfId="18152" priority="12688" stopIfTrue="1" operator="equal">
      <formula>"Napkin Hs"</formula>
    </cfRule>
  </conditionalFormatting>
  <conditionalFormatting sqref="C90">
    <cfRule type="cellIs" dxfId="18151" priority="12685" stopIfTrue="1" operator="equal">
      <formula>"Towel"</formula>
    </cfRule>
    <cfRule type="cellIs" dxfId="18150" priority="12686" stopIfTrue="1" operator="equal">
      <formula>"Napkin Hs"</formula>
    </cfRule>
  </conditionalFormatting>
  <conditionalFormatting sqref="C90">
    <cfRule type="cellIs" dxfId="18149" priority="12683" stopIfTrue="1" operator="equal">
      <formula>"Towel"</formula>
    </cfRule>
    <cfRule type="cellIs" dxfId="18148" priority="12684" stopIfTrue="1" operator="equal">
      <formula>"Napkin Hs"</formula>
    </cfRule>
  </conditionalFormatting>
  <conditionalFormatting sqref="B90:C90">
    <cfRule type="cellIs" dxfId="18147" priority="12681" stopIfTrue="1" operator="equal">
      <formula>"Towel"</formula>
    </cfRule>
    <cfRule type="cellIs" dxfId="18146" priority="12682" stopIfTrue="1" operator="equal">
      <formula>"Napkin Hs"</formula>
    </cfRule>
  </conditionalFormatting>
  <conditionalFormatting sqref="C90">
    <cfRule type="cellIs" dxfId="18145" priority="12679" stopIfTrue="1" operator="equal">
      <formula>"Towel"</formula>
    </cfRule>
    <cfRule type="cellIs" dxfId="18144" priority="12680" stopIfTrue="1" operator="equal">
      <formula>"Napkin Hs"</formula>
    </cfRule>
  </conditionalFormatting>
  <conditionalFormatting sqref="C90">
    <cfRule type="cellIs" dxfId="18143" priority="12677" stopIfTrue="1" operator="equal">
      <formula>"Towel"</formula>
    </cfRule>
    <cfRule type="cellIs" dxfId="18142" priority="12678" stopIfTrue="1" operator="equal">
      <formula>"Napkin Hs"</formula>
    </cfRule>
  </conditionalFormatting>
  <conditionalFormatting sqref="B90:C90">
    <cfRule type="cellIs" dxfId="18141" priority="12675" stopIfTrue="1" operator="equal">
      <formula>"Towel"</formula>
    </cfRule>
    <cfRule type="cellIs" dxfId="18140" priority="12676" stopIfTrue="1" operator="equal">
      <formula>"Napkin Hs"</formula>
    </cfRule>
  </conditionalFormatting>
  <conditionalFormatting sqref="C90">
    <cfRule type="cellIs" dxfId="18139" priority="12673" stopIfTrue="1" operator="equal">
      <formula>"Towel"</formula>
    </cfRule>
    <cfRule type="cellIs" dxfId="18138" priority="12674" stopIfTrue="1" operator="equal">
      <formula>"Napkin Hs"</formula>
    </cfRule>
  </conditionalFormatting>
  <conditionalFormatting sqref="C90">
    <cfRule type="cellIs" dxfId="18137" priority="12671" stopIfTrue="1" operator="equal">
      <formula>"Towel"</formula>
    </cfRule>
    <cfRule type="cellIs" dxfId="18136" priority="12672" stopIfTrue="1" operator="equal">
      <formula>"Napkin Hs"</formula>
    </cfRule>
  </conditionalFormatting>
  <conditionalFormatting sqref="B90:C90">
    <cfRule type="cellIs" dxfId="18135" priority="12670" stopIfTrue="1" operator="equal">
      <formula>"Napkin Hs"</formula>
    </cfRule>
  </conditionalFormatting>
  <conditionalFormatting sqref="B90:C90">
    <cfRule type="cellIs" dxfId="18134" priority="12669" stopIfTrue="1" operator="equal">
      <formula>"Towel"</formula>
    </cfRule>
  </conditionalFormatting>
  <conditionalFormatting sqref="C90">
    <cfRule type="cellIs" dxfId="18133" priority="12668" stopIfTrue="1" operator="equal">
      <formula>"Napkin Hs"</formula>
    </cfRule>
  </conditionalFormatting>
  <conditionalFormatting sqref="C90">
    <cfRule type="cellIs" dxfId="18132" priority="12665" stopIfTrue="1" operator="equal">
      <formula>"Towel"</formula>
    </cfRule>
    <cfRule type="cellIs" dxfId="18131" priority="12666" stopIfTrue="1" operator="equal">
      <formula>"Napkin Hs"</formula>
    </cfRule>
  </conditionalFormatting>
  <conditionalFormatting sqref="C90">
    <cfRule type="cellIs" dxfId="18130" priority="12667" stopIfTrue="1" operator="equal">
      <formula>"Towel"</formula>
    </cfRule>
  </conditionalFormatting>
  <conditionalFormatting sqref="B102:C103">
    <cfRule type="cellIs" dxfId="18129" priority="12484" stopIfTrue="1" operator="equal">
      <formula>"Napkin Hs"</formula>
    </cfRule>
  </conditionalFormatting>
  <conditionalFormatting sqref="B102:C103">
    <cfRule type="cellIs" dxfId="18128" priority="12483" stopIfTrue="1" operator="equal">
      <formula>"Towel"</formula>
    </cfRule>
  </conditionalFormatting>
  <conditionalFormatting sqref="C102:C103">
    <cfRule type="cellIs" dxfId="18127" priority="12482" stopIfTrue="1" operator="equal">
      <formula>"Napkin Hs"</formula>
    </cfRule>
  </conditionalFormatting>
  <conditionalFormatting sqref="C102:C103">
    <cfRule type="cellIs" dxfId="18126" priority="12481" stopIfTrue="1" operator="equal">
      <formula>"Towel"</formula>
    </cfRule>
  </conditionalFormatting>
  <conditionalFormatting sqref="C102:C103">
    <cfRule type="cellIs" dxfId="18125" priority="12479" stopIfTrue="1" operator="equal">
      <formula>"Towel"</formula>
    </cfRule>
    <cfRule type="cellIs" dxfId="18124" priority="12480" stopIfTrue="1" operator="equal">
      <formula>"Napkin Hs"</formula>
    </cfRule>
  </conditionalFormatting>
  <conditionalFormatting sqref="B104:C104 B105">
    <cfRule type="cellIs" dxfId="18123" priority="12278" stopIfTrue="1" operator="equal">
      <formula>"Napkin Hs"</formula>
    </cfRule>
  </conditionalFormatting>
  <conditionalFormatting sqref="B104:C104 B105">
    <cfRule type="cellIs" dxfId="18122" priority="12277" stopIfTrue="1" operator="equal">
      <formula>"Towel"</formula>
    </cfRule>
  </conditionalFormatting>
  <conditionalFormatting sqref="C104">
    <cfRule type="cellIs" dxfId="18121" priority="12276" stopIfTrue="1" operator="equal">
      <formula>"Napkin Hs"</formula>
    </cfRule>
  </conditionalFormatting>
  <conditionalFormatting sqref="C104">
    <cfRule type="cellIs" dxfId="18120" priority="12275" stopIfTrue="1" operator="equal">
      <formula>"Towel"</formula>
    </cfRule>
  </conditionalFormatting>
  <conditionalFormatting sqref="C104">
    <cfRule type="cellIs" dxfId="18119" priority="12273" stopIfTrue="1" operator="equal">
      <formula>"Towel"</formula>
    </cfRule>
    <cfRule type="cellIs" dxfId="18118" priority="12274" stopIfTrue="1" operator="equal">
      <formula>"Napkin Hs"</formula>
    </cfRule>
  </conditionalFormatting>
  <conditionalFormatting sqref="B104:C104 B105">
    <cfRule type="cellIs" dxfId="18117" priority="12271" stopIfTrue="1" operator="equal">
      <formula>"Towel"</formula>
    </cfRule>
    <cfRule type="cellIs" dxfId="18116" priority="12272" stopIfTrue="1" operator="equal">
      <formula>"Napkin Hs"</formula>
    </cfRule>
  </conditionalFormatting>
  <conditionalFormatting sqref="C104">
    <cfRule type="cellIs" dxfId="18115" priority="12267" stopIfTrue="1" operator="equal">
      <formula>"Towel"</formula>
    </cfRule>
    <cfRule type="cellIs" dxfId="18114" priority="12268" stopIfTrue="1" operator="equal">
      <formula>"Napkin Hs"</formula>
    </cfRule>
  </conditionalFormatting>
  <conditionalFormatting sqref="C104">
    <cfRule type="cellIs" dxfId="18113" priority="12269" stopIfTrue="1" operator="equal">
      <formula>"Towel"</formula>
    </cfRule>
    <cfRule type="cellIs" dxfId="18112" priority="12270" stopIfTrue="1" operator="equal">
      <formula>"Napkin Hs"</formula>
    </cfRule>
  </conditionalFormatting>
  <conditionalFormatting sqref="B104:C104 B105">
    <cfRule type="cellIs" dxfId="18111" priority="12266" stopIfTrue="1" operator="equal">
      <formula>"Napkin Hs"</formula>
    </cfRule>
  </conditionalFormatting>
  <conditionalFormatting sqref="B104:C104 B105">
    <cfRule type="cellIs" dxfId="18110" priority="12265" stopIfTrue="1" operator="equal">
      <formula>"Towel"</formula>
    </cfRule>
  </conditionalFormatting>
  <conditionalFormatting sqref="C104">
    <cfRule type="cellIs" dxfId="18109" priority="12264" stopIfTrue="1" operator="equal">
      <formula>"Napkin Hs"</formula>
    </cfRule>
  </conditionalFormatting>
  <conditionalFormatting sqref="C104">
    <cfRule type="cellIs" dxfId="18108" priority="12263" stopIfTrue="1" operator="equal">
      <formula>"Towel"</formula>
    </cfRule>
  </conditionalFormatting>
  <conditionalFormatting sqref="C104">
    <cfRule type="cellIs" dxfId="18107" priority="12261" stopIfTrue="1" operator="equal">
      <formula>"Towel"</formula>
    </cfRule>
    <cfRule type="cellIs" dxfId="18106" priority="12262" stopIfTrue="1" operator="equal">
      <formula>"Napkin Hs"</formula>
    </cfRule>
  </conditionalFormatting>
  <conditionalFormatting sqref="B104:C104 B105">
    <cfRule type="cellIs" dxfId="18105" priority="12259" stopIfTrue="1" operator="equal">
      <formula>"Towel"</formula>
    </cfRule>
    <cfRule type="cellIs" dxfId="18104" priority="12260" stopIfTrue="1" operator="equal">
      <formula>"Napkin Hs"</formula>
    </cfRule>
  </conditionalFormatting>
  <conditionalFormatting sqref="C104">
    <cfRule type="cellIs" dxfId="18103" priority="12257" stopIfTrue="1" operator="equal">
      <formula>"Towel"</formula>
    </cfRule>
    <cfRule type="cellIs" dxfId="18102" priority="12258" stopIfTrue="1" operator="equal">
      <formula>"Napkin Hs"</formula>
    </cfRule>
  </conditionalFormatting>
  <conditionalFormatting sqref="C104">
    <cfRule type="cellIs" dxfId="18101" priority="12255" stopIfTrue="1" operator="equal">
      <formula>"Towel"</formula>
    </cfRule>
    <cfRule type="cellIs" dxfId="18100" priority="12256" stopIfTrue="1" operator="equal">
      <formula>"Napkin Hs"</formula>
    </cfRule>
  </conditionalFormatting>
  <conditionalFormatting sqref="B104:C104 B105">
    <cfRule type="cellIs" dxfId="18099" priority="12253" stopIfTrue="1" operator="equal">
      <formula>"Towel"</formula>
    </cfRule>
    <cfRule type="cellIs" dxfId="18098" priority="12254" stopIfTrue="1" operator="equal">
      <formula>"Napkin Hs"</formula>
    </cfRule>
  </conditionalFormatting>
  <conditionalFormatting sqref="C104">
    <cfRule type="cellIs" dxfId="18097" priority="12251" stopIfTrue="1" operator="equal">
      <formula>"Towel"</formula>
    </cfRule>
    <cfRule type="cellIs" dxfId="18096" priority="12252" stopIfTrue="1" operator="equal">
      <formula>"Napkin Hs"</formula>
    </cfRule>
  </conditionalFormatting>
  <conditionalFormatting sqref="C104">
    <cfRule type="cellIs" dxfId="18095" priority="12249" stopIfTrue="1" operator="equal">
      <formula>"Towel"</formula>
    </cfRule>
    <cfRule type="cellIs" dxfId="18094" priority="12250" stopIfTrue="1" operator="equal">
      <formula>"Napkin Hs"</formula>
    </cfRule>
  </conditionalFormatting>
  <conditionalFormatting sqref="B104:C104 B105">
    <cfRule type="cellIs" dxfId="18093" priority="12247" stopIfTrue="1" operator="equal">
      <formula>"Towel"</formula>
    </cfRule>
    <cfRule type="cellIs" dxfId="18092" priority="12248" stopIfTrue="1" operator="equal">
      <formula>"Napkin Hs"</formula>
    </cfRule>
  </conditionalFormatting>
  <conditionalFormatting sqref="C104">
    <cfRule type="cellIs" dxfId="18091" priority="12245" stopIfTrue="1" operator="equal">
      <formula>"Towel"</formula>
    </cfRule>
    <cfRule type="cellIs" dxfId="18090" priority="12246" stopIfTrue="1" operator="equal">
      <formula>"Napkin Hs"</formula>
    </cfRule>
  </conditionalFormatting>
  <conditionalFormatting sqref="C104">
    <cfRule type="cellIs" dxfId="18089" priority="12243" stopIfTrue="1" operator="equal">
      <formula>"Towel"</formula>
    </cfRule>
    <cfRule type="cellIs" dxfId="18088" priority="12244" stopIfTrue="1" operator="equal">
      <formula>"Napkin Hs"</formula>
    </cfRule>
  </conditionalFormatting>
  <conditionalFormatting sqref="B104:C104 B105">
    <cfRule type="cellIs" dxfId="18087" priority="12241" stopIfTrue="1" operator="equal">
      <formula>"Towel"</formula>
    </cfRule>
    <cfRule type="cellIs" dxfId="18086" priority="12242" stopIfTrue="1" operator="equal">
      <formula>"Napkin Hs"</formula>
    </cfRule>
  </conditionalFormatting>
  <conditionalFormatting sqref="C104">
    <cfRule type="cellIs" dxfId="18085" priority="12239" stopIfTrue="1" operator="equal">
      <formula>"Towel"</formula>
    </cfRule>
    <cfRule type="cellIs" dxfId="18084" priority="12240" stopIfTrue="1" operator="equal">
      <formula>"Napkin Hs"</formula>
    </cfRule>
  </conditionalFormatting>
  <conditionalFormatting sqref="C104">
    <cfRule type="cellIs" dxfId="18083" priority="12237" stopIfTrue="1" operator="equal">
      <formula>"Towel"</formula>
    </cfRule>
    <cfRule type="cellIs" dxfId="18082" priority="12238" stopIfTrue="1" operator="equal">
      <formula>"Napkin Hs"</formula>
    </cfRule>
  </conditionalFormatting>
  <conditionalFormatting sqref="B104:C104 B105">
    <cfRule type="cellIs" dxfId="18081" priority="12235" stopIfTrue="1" operator="equal">
      <formula>"Towel"</formula>
    </cfRule>
    <cfRule type="cellIs" dxfId="18080" priority="12236" stopIfTrue="1" operator="equal">
      <formula>"Napkin Hs"</formula>
    </cfRule>
  </conditionalFormatting>
  <conditionalFormatting sqref="C104">
    <cfRule type="cellIs" dxfId="18079" priority="12233" stopIfTrue="1" operator="equal">
      <formula>"Towel"</formula>
    </cfRule>
    <cfRule type="cellIs" dxfId="18078" priority="12234" stopIfTrue="1" operator="equal">
      <formula>"Napkin Hs"</formula>
    </cfRule>
  </conditionalFormatting>
  <conditionalFormatting sqref="C104">
    <cfRule type="cellIs" dxfId="18077" priority="12231" stopIfTrue="1" operator="equal">
      <formula>"Towel"</formula>
    </cfRule>
    <cfRule type="cellIs" dxfId="18076" priority="12232" stopIfTrue="1" operator="equal">
      <formula>"Napkin Hs"</formula>
    </cfRule>
  </conditionalFormatting>
  <conditionalFormatting sqref="B104:C104 B105">
    <cfRule type="cellIs" dxfId="18075" priority="12230" stopIfTrue="1" operator="equal">
      <formula>"Napkin Hs"</formula>
    </cfRule>
  </conditionalFormatting>
  <conditionalFormatting sqref="B104:C104 B105">
    <cfRule type="cellIs" dxfId="18074" priority="12229" stopIfTrue="1" operator="equal">
      <formula>"Towel"</formula>
    </cfRule>
  </conditionalFormatting>
  <conditionalFormatting sqref="C104">
    <cfRule type="cellIs" dxfId="18073" priority="12228" stopIfTrue="1" operator="equal">
      <formula>"Napkin Hs"</formula>
    </cfRule>
  </conditionalFormatting>
  <conditionalFormatting sqref="C104">
    <cfRule type="cellIs" dxfId="18072" priority="12225" stopIfTrue="1" operator="equal">
      <formula>"Towel"</formula>
    </cfRule>
    <cfRule type="cellIs" dxfId="18071" priority="12226" stopIfTrue="1" operator="equal">
      <formula>"Napkin Hs"</formula>
    </cfRule>
  </conditionalFormatting>
  <conditionalFormatting sqref="C104">
    <cfRule type="cellIs" dxfId="18070" priority="12227" stopIfTrue="1" operator="equal">
      <formula>"Towel"</formula>
    </cfRule>
  </conditionalFormatting>
  <conditionalFormatting sqref="B106:C106 C105">
    <cfRule type="cellIs" dxfId="18069" priority="12224" stopIfTrue="1" operator="equal">
      <formula>"Napkin Hs"</formula>
    </cfRule>
  </conditionalFormatting>
  <conditionalFormatting sqref="B106:C106 C105">
    <cfRule type="cellIs" dxfId="18068" priority="12223" stopIfTrue="1" operator="equal">
      <formula>"Towel"</formula>
    </cfRule>
  </conditionalFormatting>
  <conditionalFormatting sqref="C105:C106">
    <cfRule type="cellIs" dxfId="18067" priority="12222" stopIfTrue="1" operator="equal">
      <formula>"Napkin Hs"</formula>
    </cfRule>
  </conditionalFormatting>
  <conditionalFormatting sqref="C105:C106">
    <cfRule type="cellIs" dxfId="18066" priority="12221" stopIfTrue="1" operator="equal">
      <formula>"Towel"</formula>
    </cfRule>
  </conditionalFormatting>
  <conditionalFormatting sqref="C105:C106">
    <cfRule type="cellIs" dxfId="18065" priority="12219" stopIfTrue="1" operator="equal">
      <formula>"Towel"</formula>
    </cfRule>
    <cfRule type="cellIs" dxfId="18064" priority="12220" stopIfTrue="1" operator="equal">
      <formula>"Napkin Hs"</formula>
    </cfRule>
  </conditionalFormatting>
  <conditionalFormatting sqref="B106:C106 C105">
    <cfRule type="cellIs" dxfId="18063" priority="12217" stopIfTrue="1" operator="equal">
      <formula>"Towel"</formula>
    </cfRule>
    <cfRule type="cellIs" dxfId="18062" priority="12218" stopIfTrue="1" operator="equal">
      <formula>"Napkin Hs"</formula>
    </cfRule>
  </conditionalFormatting>
  <conditionalFormatting sqref="C105:C106">
    <cfRule type="cellIs" dxfId="18061" priority="12213" stopIfTrue="1" operator="equal">
      <formula>"Towel"</formula>
    </cfRule>
    <cfRule type="cellIs" dxfId="18060" priority="12214" stopIfTrue="1" operator="equal">
      <formula>"Napkin Hs"</formula>
    </cfRule>
  </conditionalFormatting>
  <conditionalFormatting sqref="C105:C106">
    <cfRule type="cellIs" dxfId="18059" priority="12215" stopIfTrue="1" operator="equal">
      <formula>"Towel"</formula>
    </cfRule>
    <cfRule type="cellIs" dxfId="18058" priority="12216" stopIfTrue="1" operator="equal">
      <formula>"Napkin Hs"</formula>
    </cfRule>
  </conditionalFormatting>
  <conditionalFormatting sqref="B106:C106 C105">
    <cfRule type="cellIs" dxfId="18057" priority="12212" stopIfTrue="1" operator="equal">
      <formula>"Napkin Hs"</formula>
    </cfRule>
  </conditionalFormatting>
  <conditionalFormatting sqref="B106:C106 C105">
    <cfRule type="cellIs" dxfId="18056" priority="12211" stopIfTrue="1" operator="equal">
      <formula>"Towel"</formula>
    </cfRule>
  </conditionalFormatting>
  <conditionalFormatting sqref="C105:C106">
    <cfRule type="cellIs" dxfId="18055" priority="12210" stopIfTrue="1" operator="equal">
      <formula>"Napkin Hs"</formula>
    </cfRule>
  </conditionalFormatting>
  <conditionalFormatting sqref="C105:C106">
    <cfRule type="cellIs" dxfId="18054" priority="12209" stopIfTrue="1" operator="equal">
      <formula>"Towel"</formula>
    </cfRule>
  </conditionalFormatting>
  <conditionalFormatting sqref="C105:C106">
    <cfRule type="cellIs" dxfId="18053" priority="12207" stopIfTrue="1" operator="equal">
      <formula>"Towel"</formula>
    </cfRule>
    <cfRule type="cellIs" dxfId="18052" priority="12208" stopIfTrue="1" operator="equal">
      <formula>"Napkin Hs"</formula>
    </cfRule>
  </conditionalFormatting>
  <conditionalFormatting sqref="B106:C106 C105">
    <cfRule type="cellIs" dxfId="18051" priority="12205" stopIfTrue="1" operator="equal">
      <formula>"Towel"</formula>
    </cfRule>
    <cfRule type="cellIs" dxfId="18050" priority="12206" stopIfTrue="1" operator="equal">
      <formula>"Napkin Hs"</formula>
    </cfRule>
  </conditionalFormatting>
  <conditionalFormatting sqref="C105:C106">
    <cfRule type="cellIs" dxfId="18049" priority="12203" stopIfTrue="1" operator="equal">
      <formula>"Towel"</formula>
    </cfRule>
    <cfRule type="cellIs" dxfId="18048" priority="12204" stopIfTrue="1" operator="equal">
      <formula>"Napkin Hs"</formula>
    </cfRule>
  </conditionalFormatting>
  <conditionalFormatting sqref="C105:C106">
    <cfRule type="cellIs" dxfId="18047" priority="12201" stopIfTrue="1" operator="equal">
      <formula>"Towel"</formula>
    </cfRule>
    <cfRule type="cellIs" dxfId="18046" priority="12202" stopIfTrue="1" operator="equal">
      <formula>"Napkin Hs"</formula>
    </cfRule>
  </conditionalFormatting>
  <conditionalFormatting sqref="B106:C106 C105">
    <cfRule type="cellIs" dxfId="18045" priority="12199" stopIfTrue="1" operator="equal">
      <formula>"Towel"</formula>
    </cfRule>
    <cfRule type="cellIs" dxfId="18044" priority="12200" stopIfTrue="1" operator="equal">
      <formula>"Napkin Hs"</formula>
    </cfRule>
  </conditionalFormatting>
  <conditionalFormatting sqref="C105:C106">
    <cfRule type="cellIs" dxfId="18043" priority="12197" stopIfTrue="1" operator="equal">
      <formula>"Towel"</formula>
    </cfRule>
    <cfRule type="cellIs" dxfId="18042" priority="12198" stopIfTrue="1" operator="equal">
      <formula>"Napkin Hs"</formula>
    </cfRule>
  </conditionalFormatting>
  <conditionalFormatting sqref="C105:C106">
    <cfRule type="cellIs" dxfId="18041" priority="12195" stopIfTrue="1" operator="equal">
      <formula>"Towel"</formula>
    </cfRule>
    <cfRule type="cellIs" dxfId="18040" priority="12196" stopIfTrue="1" operator="equal">
      <formula>"Napkin Hs"</formula>
    </cfRule>
  </conditionalFormatting>
  <conditionalFormatting sqref="B106:C106 C105">
    <cfRule type="cellIs" dxfId="18039" priority="12193" stopIfTrue="1" operator="equal">
      <formula>"Towel"</formula>
    </cfRule>
    <cfRule type="cellIs" dxfId="18038" priority="12194" stopIfTrue="1" operator="equal">
      <formula>"Napkin Hs"</formula>
    </cfRule>
  </conditionalFormatting>
  <conditionalFormatting sqref="C105:C106">
    <cfRule type="cellIs" dxfId="18037" priority="12191" stopIfTrue="1" operator="equal">
      <formula>"Towel"</formula>
    </cfRule>
    <cfRule type="cellIs" dxfId="18036" priority="12192" stopIfTrue="1" operator="equal">
      <formula>"Napkin Hs"</formula>
    </cfRule>
  </conditionalFormatting>
  <conditionalFormatting sqref="C105:C106">
    <cfRule type="cellIs" dxfId="18035" priority="12189" stopIfTrue="1" operator="equal">
      <formula>"Towel"</formula>
    </cfRule>
    <cfRule type="cellIs" dxfId="18034" priority="12190" stopIfTrue="1" operator="equal">
      <formula>"Napkin Hs"</formula>
    </cfRule>
  </conditionalFormatting>
  <conditionalFormatting sqref="B106:C106 C105">
    <cfRule type="cellIs" dxfId="18033" priority="12187" stopIfTrue="1" operator="equal">
      <formula>"Towel"</formula>
    </cfRule>
    <cfRule type="cellIs" dxfId="18032" priority="12188" stopIfTrue="1" operator="equal">
      <formula>"Napkin Hs"</formula>
    </cfRule>
  </conditionalFormatting>
  <conditionalFormatting sqref="C105:C106">
    <cfRule type="cellIs" dxfId="18031" priority="12185" stopIfTrue="1" operator="equal">
      <formula>"Towel"</formula>
    </cfRule>
    <cfRule type="cellIs" dxfId="18030" priority="12186" stopIfTrue="1" operator="equal">
      <formula>"Napkin Hs"</formula>
    </cfRule>
  </conditionalFormatting>
  <conditionalFormatting sqref="C105:C106">
    <cfRule type="cellIs" dxfId="18029" priority="12183" stopIfTrue="1" operator="equal">
      <formula>"Towel"</formula>
    </cfRule>
    <cfRule type="cellIs" dxfId="18028" priority="12184" stopIfTrue="1" operator="equal">
      <formula>"Napkin Hs"</formula>
    </cfRule>
  </conditionalFormatting>
  <conditionalFormatting sqref="B106:C106 C105">
    <cfRule type="cellIs" dxfId="18027" priority="12181" stopIfTrue="1" operator="equal">
      <formula>"Towel"</formula>
    </cfRule>
    <cfRule type="cellIs" dxfId="18026" priority="12182" stopIfTrue="1" operator="equal">
      <formula>"Napkin Hs"</formula>
    </cfRule>
  </conditionalFormatting>
  <conditionalFormatting sqref="C105:C106">
    <cfRule type="cellIs" dxfId="18025" priority="12179" stopIfTrue="1" operator="equal">
      <formula>"Towel"</formula>
    </cfRule>
    <cfRule type="cellIs" dxfId="18024" priority="12180" stopIfTrue="1" operator="equal">
      <formula>"Napkin Hs"</formula>
    </cfRule>
  </conditionalFormatting>
  <conditionalFormatting sqref="C105:C106">
    <cfRule type="cellIs" dxfId="18023" priority="12177" stopIfTrue="1" operator="equal">
      <formula>"Towel"</formula>
    </cfRule>
    <cfRule type="cellIs" dxfId="18022" priority="12178" stopIfTrue="1" operator="equal">
      <formula>"Napkin Hs"</formula>
    </cfRule>
  </conditionalFormatting>
  <conditionalFormatting sqref="B106:C106 C105">
    <cfRule type="cellIs" dxfId="18021" priority="12176" stopIfTrue="1" operator="equal">
      <formula>"Napkin Hs"</formula>
    </cfRule>
  </conditionalFormatting>
  <conditionalFormatting sqref="B106:C106 C105">
    <cfRule type="cellIs" dxfId="18020" priority="12175" stopIfTrue="1" operator="equal">
      <formula>"Towel"</formula>
    </cfRule>
  </conditionalFormatting>
  <conditionalFormatting sqref="C105:C106">
    <cfRule type="cellIs" dxfId="18019" priority="12174" stopIfTrue="1" operator="equal">
      <formula>"Napkin Hs"</formula>
    </cfRule>
  </conditionalFormatting>
  <conditionalFormatting sqref="C105:C106">
    <cfRule type="cellIs" dxfId="18018" priority="12171" stopIfTrue="1" operator="equal">
      <formula>"Towel"</formula>
    </cfRule>
    <cfRule type="cellIs" dxfId="18017" priority="12172" stopIfTrue="1" operator="equal">
      <formula>"Napkin Hs"</formula>
    </cfRule>
  </conditionalFormatting>
  <conditionalFormatting sqref="C105:C106">
    <cfRule type="cellIs" dxfId="18016" priority="12173" stopIfTrue="1" operator="equal">
      <formula>"Towel"</formula>
    </cfRule>
  </conditionalFormatting>
  <conditionalFormatting sqref="B110:C110">
    <cfRule type="cellIs" dxfId="18015" priority="12116" stopIfTrue="1" operator="equal">
      <formula>"Napkin Hs"</formula>
    </cfRule>
  </conditionalFormatting>
  <conditionalFormatting sqref="B110:C110">
    <cfRule type="cellIs" dxfId="18014" priority="12115" stopIfTrue="1" operator="equal">
      <formula>"Towel"</formula>
    </cfRule>
  </conditionalFormatting>
  <conditionalFormatting sqref="C110">
    <cfRule type="cellIs" dxfId="18013" priority="12114" stopIfTrue="1" operator="equal">
      <formula>"Napkin Hs"</formula>
    </cfRule>
  </conditionalFormatting>
  <conditionalFormatting sqref="C110">
    <cfRule type="cellIs" dxfId="18012" priority="12113" stopIfTrue="1" operator="equal">
      <formula>"Towel"</formula>
    </cfRule>
  </conditionalFormatting>
  <conditionalFormatting sqref="C110">
    <cfRule type="cellIs" dxfId="18011" priority="12111" stopIfTrue="1" operator="equal">
      <formula>"Towel"</formula>
    </cfRule>
    <cfRule type="cellIs" dxfId="18010" priority="12112" stopIfTrue="1" operator="equal">
      <formula>"Napkin Hs"</formula>
    </cfRule>
  </conditionalFormatting>
  <conditionalFormatting sqref="B110:C110">
    <cfRule type="cellIs" dxfId="18009" priority="12109" stopIfTrue="1" operator="equal">
      <formula>"Towel"</formula>
    </cfRule>
    <cfRule type="cellIs" dxfId="18008" priority="12110" stopIfTrue="1" operator="equal">
      <formula>"Napkin Hs"</formula>
    </cfRule>
  </conditionalFormatting>
  <conditionalFormatting sqref="C110">
    <cfRule type="cellIs" dxfId="18007" priority="12105" stopIfTrue="1" operator="equal">
      <formula>"Towel"</formula>
    </cfRule>
    <cfRule type="cellIs" dxfId="18006" priority="12106" stopIfTrue="1" operator="equal">
      <formula>"Napkin Hs"</formula>
    </cfRule>
  </conditionalFormatting>
  <conditionalFormatting sqref="C110">
    <cfRule type="cellIs" dxfId="18005" priority="12107" stopIfTrue="1" operator="equal">
      <formula>"Towel"</formula>
    </cfRule>
    <cfRule type="cellIs" dxfId="18004" priority="12108" stopIfTrue="1" operator="equal">
      <formula>"Napkin Hs"</formula>
    </cfRule>
  </conditionalFormatting>
  <conditionalFormatting sqref="B110:C110">
    <cfRule type="cellIs" dxfId="18003" priority="12104" stopIfTrue="1" operator="equal">
      <formula>"Napkin Hs"</formula>
    </cfRule>
  </conditionalFormatting>
  <conditionalFormatting sqref="B110:C110">
    <cfRule type="cellIs" dxfId="18002" priority="12103" stopIfTrue="1" operator="equal">
      <formula>"Towel"</formula>
    </cfRule>
  </conditionalFormatting>
  <conditionalFormatting sqref="C110">
    <cfRule type="cellIs" dxfId="18001" priority="12102" stopIfTrue="1" operator="equal">
      <formula>"Napkin Hs"</formula>
    </cfRule>
  </conditionalFormatting>
  <conditionalFormatting sqref="C110">
    <cfRule type="cellIs" dxfId="18000" priority="12101" stopIfTrue="1" operator="equal">
      <formula>"Towel"</formula>
    </cfRule>
  </conditionalFormatting>
  <conditionalFormatting sqref="C110">
    <cfRule type="cellIs" dxfId="17999" priority="12099" stopIfTrue="1" operator="equal">
      <formula>"Towel"</formula>
    </cfRule>
    <cfRule type="cellIs" dxfId="17998" priority="12100" stopIfTrue="1" operator="equal">
      <formula>"Napkin Hs"</formula>
    </cfRule>
  </conditionalFormatting>
  <conditionalFormatting sqref="B110:C110">
    <cfRule type="cellIs" dxfId="17997" priority="12097" stopIfTrue="1" operator="equal">
      <formula>"Towel"</formula>
    </cfRule>
    <cfRule type="cellIs" dxfId="17996" priority="12098" stopIfTrue="1" operator="equal">
      <formula>"Napkin Hs"</formula>
    </cfRule>
  </conditionalFormatting>
  <conditionalFormatting sqref="C110">
    <cfRule type="cellIs" dxfId="17995" priority="12095" stopIfTrue="1" operator="equal">
      <formula>"Towel"</formula>
    </cfRule>
    <cfRule type="cellIs" dxfId="17994" priority="12096" stopIfTrue="1" operator="equal">
      <formula>"Napkin Hs"</formula>
    </cfRule>
  </conditionalFormatting>
  <conditionalFormatting sqref="C110">
    <cfRule type="cellIs" dxfId="17993" priority="12093" stopIfTrue="1" operator="equal">
      <formula>"Towel"</formula>
    </cfRule>
    <cfRule type="cellIs" dxfId="17992" priority="12094" stopIfTrue="1" operator="equal">
      <formula>"Napkin Hs"</formula>
    </cfRule>
  </conditionalFormatting>
  <conditionalFormatting sqref="B110:C110">
    <cfRule type="cellIs" dxfId="17991" priority="12091" stopIfTrue="1" operator="equal">
      <formula>"Towel"</formula>
    </cfRule>
    <cfRule type="cellIs" dxfId="17990" priority="12092" stopIfTrue="1" operator="equal">
      <formula>"Napkin Hs"</formula>
    </cfRule>
  </conditionalFormatting>
  <conditionalFormatting sqref="C110">
    <cfRule type="cellIs" dxfId="17989" priority="12089" stopIfTrue="1" operator="equal">
      <formula>"Towel"</formula>
    </cfRule>
    <cfRule type="cellIs" dxfId="17988" priority="12090" stopIfTrue="1" operator="equal">
      <formula>"Napkin Hs"</formula>
    </cfRule>
  </conditionalFormatting>
  <conditionalFormatting sqref="C110">
    <cfRule type="cellIs" dxfId="17987" priority="12087" stopIfTrue="1" operator="equal">
      <formula>"Towel"</formula>
    </cfRule>
    <cfRule type="cellIs" dxfId="17986" priority="12088" stopIfTrue="1" operator="equal">
      <formula>"Napkin Hs"</formula>
    </cfRule>
  </conditionalFormatting>
  <conditionalFormatting sqref="B110:C110">
    <cfRule type="cellIs" dxfId="17985" priority="12085" stopIfTrue="1" operator="equal">
      <formula>"Towel"</formula>
    </cfRule>
    <cfRule type="cellIs" dxfId="17984" priority="12086" stopIfTrue="1" operator="equal">
      <formula>"Napkin Hs"</formula>
    </cfRule>
  </conditionalFormatting>
  <conditionalFormatting sqref="C110">
    <cfRule type="cellIs" dxfId="17983" priority="12083" stopIfTrue="1" operator="equal">
      <formula>"Towel"</formula>
    </cfRule>
    <cfRule type="cellIs" dxfId="17982" priority="12084" stopIfTrue="1" operator="equal">
      <formula>"Napkin Hs"</formula>
    </cfRule>
  </conditionalFormatting>
  <conditionalFormatting sqref="C110">
    <cfRule type="cellIs" dxfId="17981" priority="12081" stopIfTrue="1" operator="equal">
      <formula>"Towel"</formula>
    </cfRule>
    <cfRule type="cellIs" dxfId="17980" priority="12082" stopIfTrue="1" operator="equal">
      <formula>"Napkin Hs"</formula>
    </cfRule>
  </conditionalFormatting>
  <conditionalFormatting sqref="B110:C110">
    <cfRule type="cellIs" dxfId="17979" priority="12079" stopIfTrue="1" operator="equal">
      <formula>"Towel"</formula>
    </cfRule>
    <cfRule type="cellIs" dxfId="17978" priority="12080" stopIfTrue="1" operator="equal">
      <formula>"Napkin Hs"</formula>
    </cfRule>
  </conditionalFormatting>
  <conditionalFormatting sqref="C110">
    <cfRule type="cellIs" dxfId="17977" priority="12077" stopIfTrue="1" operator="equal">
      <formula>"Towel"</formula>
    </cfRule>
    <cfRule type="cellIs" dxfId="17976" priority="12078" stopIfTrue="1" operator="equal">
      <formula>"Napkin Hs"</formula>
    </cfRule>
  </conditionalFormatting>
  <conditionalFormatting sqref="C110">
    <cfRule type="cellIs" dxfId="17975" priority="12075" stopIfTrue="1" operator="equal">
      <formula>"Towel"</formula>
    </cfRule>
    <cfRule type="cellIs" dxfId="17974" priority="12076" stopIfTrue="1" operator="equal">
      <formula>"Napkin Hs"</formula>
    </cfRule>
  </conditionalFormatting>
  <conditionalFormatting sqref="B110:C110">
    <cfRule type="cellIs" dxfId="17973" priority="12073" stopIfTrue="1" operator="equal">
      <formula>"Towel"</formula>
    </cfRule>
    <cfRule type="cellIs" dxfId="17972" priority="12074" stopIfTrue="1" operator="equal">
      <formula>"Napkin Hs"</formula>
    </cfRule>
  </conditionalFormatting>
  <conditionalFormatting sqref="C110">
    <cfRule type="cellIs" dxfId="17971" priority="12071" stopIfTrue="1" operator="equal">
      <formula>"Towel"</formula>
    </cfRule>
    <cfRule type="cellIs" dxfId="17970" priority="12072" stopIfTrue="1" operator="equal">
      <formula>"Napkin Hs"</formula>
    </cfRule>
  </conditionalFormatting>
  <conditionalFormatting sqref="C110">
    <cfRule type="cellIs" dxfId="17969" priority="12069" stopIfTrue="1" operator="equal">
      <formula>"Towel"</formula>
    </cfRule>
    <cfRule type="cellIs" dxfId="17968" priority="12070" stopIfTrue="1" operator="equal">
      <formula>"Napkin Hs"</formula>
    </cfRule>
  </conditionalFormatting>
  <conditionalFormatting sqref="B110:C110">
    <cfRule type="cellIs" dxfId="17967" priority="12068" stopIfTrue="1" operator="equal">
      <formula>"Napkin Hs"</formula>
    </cfRule>
  </conditionalFormatting>
  <conditionalFormatting sqref="B110:C110">
    <cfRule type="cellIs" dxfId="17966" priority="12067" stopIfTrue="1" operator="equal">
      <formula>"Towel"</formula>
    </cfRule>
  </conditionalFormatting>
  <conditionalFormatting sqref="C110">
    <cfRule type="cellIs" dxfId="17965" priority="12066" stopIfTrue="1" operator="equal">
      <formula>"Napkin Hs"</formula>
    </cfRule>
  </conditionalFormatting>
  <conditionalFormatting sqref="C110">
    <cfRule type="cellIs" dxfId="17964" priority="12063" stopIfTrue="1" operator="equal">
      <formula>"Towel"</formula>
    </cfRule>
    <cfRule type="cellIs" dxfId="17963" priority="12064" stopIfTrue="1" operator="equal">
      <formula>"Napkin Hs"</formula>
    </cfRule>
  </conditionalFormatting>
  <conditionalFormatting sqref="C110">
    <cfRule type="cellIs" dxfId="17962" priority="12065" stopIfTrue="1" operator="equal">
      <formula>"Towel"</formula>
    </cfRule>
  </conditionalFormatting>
  <conditionalFormatting sqref="B115:C115">
    <cfRule type="cellIs" dxfId="17961" priority="12057" stopIfTrue="1" operator="equal">
      <formula>"Towel"</formula>
    </cfRule>
    <cfRule type="cellIs" dxfId="17960" priority="12058" stopIfTrue="1" operator="equal">
      <formula>"Napkin Hs"</formula>
    </cfRule>
  </conditionalFormatting>
  <conditionalFormatting sqref="C122">
    <cfRule type="cellIs" dxfId="17959" priority="11749" stopIfTrue="1" operator="equal">
      <formula>"Towel"</formula>
    </cfRule>
    <cfRule type="cellIs" dxfId="17958" priority="11750" stopIfTrue="1" operator="equal">
      <formula>"Napkin Hs"</formula>
    </cfRule>
  </conditionalFormatting>
  <conditionalFormatting sqref="C115">
    <cfRule type="cellIs" dxfId="17957" priority="12055" stopIfTrue="1" operator="equal">
      <formula>"Towel"</formula>
    </cfRule>
    <cfRule type="cellIs" dxfId="17956" priority="12056" stopIfTrue="1" operator="equal">
      <formula>"Napkin Hs"</formula>
    </cfRule>
  </conditionalFormatting>
  <conditionalFormatting sqref="C115">
    <cfRule type="cellIs" dxfId="17955" priority="12053" stopIfTrue="1" operator="equal">
      <formula>"Towel"</formula>
    </cfRule>
    <cfRule type="cellIs" dxfId="17954" priority="12054" stopIfTrue="1" operator="equal">
      <formula>"Napkin Hs"</formula>
    </cfRule>
  </conditionalFormatting>
  <conditionalFormatting sqref="C122">
    <cfRule type="cellIs" dxfId="17953" priority="11747" stopIfTrue="1" operator="equal">
      <formula>"Towel"</formula>
    </cfRule>
    <cfRule type="cellIs" dxfId="17952" priority="11748" stopIfTrue="1" operator="equal">
      <formula>"Napkin Hs"</formula>
    </cfRule>
  </conditionalFormatting>
  <conditionalFormatting sqref="C132">
    <cfRule type="cellIs" dxfId="17951" priority="11195" stopIfTrue="1" operator="equal">
      <formula>"Towel"</formula>
    </cfRule>
    <cfRule type="cellIs" dxfId="17950" priority="11196" stopIfTrue="1" operator="equal">
      <formula>"Napkin Hs"</formula>
    </cfRule>
  </conditionalFormatting>
  <conditionalFormatting sqref="B122:C122">
    <cfRule type="cellIs" dxfId="17949" priority="11698" stopIfTrue="1" operator="equal">
      <formula>"Napkin Hs"</formula>
    </cfRule>
  </conditionalFormatting>
  <conditionalFormatting sqref="B122:C122">
    <cfRule type="cellIs" dxfId="17948" priority="11697" stopIfTrue="1" operator="equal">
      <formula>"Towel"</formula>
    </cfRule>
  </conditionalFormatting>
  <conditionalFormatting sqref="B122:C122">
    <cfRule type="cellIs" dxfId="17947" priority="11751" stopIfTrue="1" operator="equal">
      <formula>"Towel"</formula>
    </cfRule>
    <cfRule type="cellIs" dxfId="17946" priority="11752" stopIfTrue="1" operator="equal">
      <formula>"Napkin Hs"</formula>
    </cfRule>
  </conditionalFormatting>
  <conditionalFormatting sqref="C122">
    <cfRule type="cellIs" dxfId="17945" priority="11696" stopIfTrue="1" operator="equal">
      <formula>"Napkin Hs"</formula>
    </cfRule>
  </conditionalFormatting>
  <conditionalFormatting sqref="C122">
    <cfRule type="cellIs" dxfId="17944" priority="11695" stopIfTrue="1" operator="equal">
      <formula>"Towel"</formula>
    </cfRule>
  </conditionalFormatting>
  <conditionalFormatting sqref="C122">
    <cfRule type="cellIs" dxfId="17943" priority="11693" stopIfTrue="1" operator="equal">
      <formula>"Towel"</formula>
    </cfRule>
    <cfRule type="cellIs" dxfId="17942" priority="11694" stopIfTrue="1" operator="equal">
      <formula>"Napkin Hs"</formula>
    </cfRule>
  </conditionalFormatting>
  <conditionalFormatting sqref="B122:C122">
    <cfRule type="cellIs" dxfId="17941" priority="11746" stopIfTrue="1" operator="equal">
      <formula>"Napkin Hs"</formula>
    </cfRule>
  </conditionalFormatting>
  <conditionalFormatting sqref="B122:C122">
    <cfRule type="cellIs" dxfId="17940" priority="11745" stopIfTrue="1" operator="equal">
      <formula>"Towel"</formula>
    </cfRule>
  </conditionalFormatting>
  <conditionalFormatting sqref="C122">
    <cfRule type="cellIs" dxfId="17939" priority="11744" stopIfTrue="1" operator="equal">
      <formula>"Napkin Hs"</formula>
    </cfRule>
  </conditionalFormatting>
  <conditionalFormatting sqref="C122">
    <cfRule type="cellIs" dxfId="17938" priority="11743" stopIfTrue="1" operator="equal">
      <formula>"Towel"</formula>
    </cfRule>
  </conditionalFormatting>
  <conditionalFormatting sqref="C122">
    <cfRule type="cellIs" dxfId="17937" priority="11741" stopIfTrue="1" operator="equal">
      <formula>"Towel"</formula>
    </cfRule>
    <cfRule type="cellIs" dxfId="17936" priority="11742" stopIfTrue="1" operator="equal">
      <formula>"Napkin Hs"</formula>
    </cfRule>
  </conditionalFormatting>
  <conditionalFormatting sqref="B122:C122">
    <cfRule type="cellIs" dxfId="17935" priority="11739" stopIfTrue="1" operator="equal">
      <formula>"Towel"</formula>
    </cfRule>
    <cfRule type="cellIs" dxfId="17934" priority="11740" stopIfTrue="1" operator="equal">
      <formula>"Napkin Hs"</formula>
    </cfRule>
  </conditionalFormatting>
  <conditionalFormatting sqref="C122">
    <cfRule type="cellIs" dxfId="17933" priority="11735" stopIfTrue="1" operator="equal">
      <formula>"Towel"</formula>
    </cfRule>
    <cfRule type="cellIs" dxfId="17932" priority="11736" stopIfTrue="1" operator="equal">
      <formula>"Napkin Hs"</formula>
    </cfRule>
  </conditionalFormatting>
  <conditionalFormatting sqref="C122">
    <cfRule type="cellIs" dxfId="17931" priority="11737" stopIfTrue="1" operator="equal">
      <formula>"Towel"</formula>
    </cfRule>
    <cfRule type="cellIs" dxfId="17930" priority="11738" stopIfTrue="1" operator="equal">
      <formula>"Napkin Hs"</formula>
    </cfRule>
  </conditionalFormatting>
  <conditionalFormatting sqref="B122:C122">
    <cfRule type="cellIs" dxfId="17929" priority="11734" stopIfTrue="1" operator="equal">
      <formula>"Napkin Hs"</formula>
    </cfRule>
  </conditionalFormatting>
  <conditionalFormatting sqref="B122:C122">
    <cfRule type="cellIs" dxfId="17928" priority="11733" stopIfTrue="1" operator="equal">
      <formula>"Towel"</formula>
    </cfRule>
  </conditionalFormatting>
  <conditionalFormatting sqref="C122">
    <cfRule type="cellIs" dxfId="17927" priority="11732" stopIfTrue="1" operator="equal">
      <formula>"Napkin Hs"</formula>
    </cfRule>
  </conditionalFormatting>
  <conditionalFormatting sqref="C122">
    <cfRule type="cellIs" dxfId="17926" priority="11731" stopIfTrue="1" operator="equal">
      <formula>"Towel"</formula>
    </cfRule>
  </conditionalFormatting>
  <conditionalFormatting sqref="C122">
    <cfRule type="cellIs" dxfId="17925" priority="11729" stopIfTrue="1" operator="equal">
      <formula>"Towel"</formula>
    </cfRule>
    <cfRule type="cellIs" dxfId="17924" priority="11730" stopIfTrue="1" operator="equal">
      <formula>"Napkin Hs"</formula>
    </cfRule>
  </conditionalFormatting>
  <conditionalFormatting sqref="B122:C122">
    <cfRule type="cellIs" dxfId="17923" priority="11727" stopIfTrue="1" operator="equal">
      <formula>"Towel"</formula>
    </cfRule>
    <cfRule type="cellIs" dxfId="17922" priority="11728" stopIfTrue="1" operator="equal">
      <formula>"Napkin Hs"</formula>
    </cfRule>
  </conditionalFormatting>
  <conditionalFormatting sqref="C122">
    <cfRule type="cellIs" dxfId="17921" priority="11725" stopIfTrue="1" operator="equal">
      <formula>"Towel"</formula>
    </cfRule>
    <cfRule type="cellIs" dxfId="17920" priority="11726" stopIfTrue="1" operator="equal">
      <formula>"Napkin Hs"</formula>
    </cfRule>
  </conditionalFormatting>
  <conditionalFormatting sqref="C122">
    <cfRule type="cellIs" dxfId="17919" priority="11723" stopIfTrue="1" operator="equal">
      <formula>"Towel"</formula>
    </cfRule>
    <cfRule type="cellIs" dxfId="17918" priority="11724" stopIfTrue="1" operator="equal">
      <formula>"Napkin Hs"</formula>
    </cfRule>
  </conditionalFormatting>
  <conditionalFormatting sqref="B122:C122">
    <cfRule type="cellIs" dxfId="17917" priority="11721" stopIfTrue="1" operator="equal">
      <formula>"Towel"</formula>
    </cfRule>
    <cfRule type="cellIs" dxfId="17916" priority="11722" stopIfTrue="1" operator="equal">
      <formula>"Napkin Hs"</formula>
    </cfRule>
  </conditionalFormatting>
  <conditionalFormatting sqref="C122">
    <cfRule type="cellIs" dxfId="17915" priority="11719" stopIfTrue="1" operator="equal">
      <formula>"Towel"</formula>
    </cfRule>
    <cfRule type="cellIs" dxfId="17914" priority="11720" stopIfTrue="1" operator="equal">
      <formula>"Napkin Hs"</formula>
    </cfRule>
  </conditionalFormatting>
  <conditionalFormatting sqref="C122">
    <cfRule type="cellIs" dxfId="17913" priority="11717" stopIfTrue="1" operator="equal">
      <formula>"Towel"</formula>
    </cfRule>
    <cfRule type="cellIs" dxfId="17912" priority="11718" stopIfTrue="1" operator="equal">
      <formula>"Napkin Hs"</formula>
    </cfRule>
  </conditionalFormatting>
  <conditionalFormatting sqref="B122:C122">
    <cfRule type="cellIs" dxfId="17911" priority="11715" stopIfTrue="1" operator="equal">
      <formula>"Towel"</formula>
    </cfRule>
    <cfRule type="cellIs" dxfId="17910" priority="11716" stopIfTrue="1" operator="equal">
      <formula>"Napkin Hs"</formula>
    </cfRule>
  </conditionalFormatting>
  <conditionalFormatting sqref="C122">
    <cfRule type="cellIs" dxfId="17909" priority="11713" stopIfTrue="1" operator="equal">
      <formula>"Towel"</formula>
    </cfRule>
    <cfRule type="cellIs" dxfId="17908" priority="11714" stopIfTrue="1" operator="equal">
      <formula>"Napkin Hs"</formula>
    </cfRule>
  </conditionalFormatting>
  <conditionalFormatting sqref="C122">
    <cfRule type="cellIs" dxfId="17907" priority="11711" stopIfTrue="1" operator="equal">
      <formula>"Towel"</formula>
    </cfRule>
    <cfRule type="cellIs" dxfId="17906" priority="11712" stopIfTrue="1" operator="equal">
      <formula>"Napkin Hs"</formula>
    </cfRule>
  </conditionalFormatting>
  <conditionalFormatting sqref="B122:C122">
    <cfRule type="cellIs" dxfId="17905" priority="11709" stopIfTrue="1" operator="equal">
      <formula>"Towel"</formula>
    </cfRule>
    <cfRule type="cellIs" dxfId="17904" priority="11710" stopIfTrue="1" operator="equal">
      <formula>"Napkin Hs"</formula>
    </cfRule>
  </conditionalFormatting>
  <conditionalFormatting sqref="C122">
    <cfRule type="cellIs" dxfId="17903" priority="11707" stopIfTrue="1" operator="equal">
      <formula>"Towel"</formula>
    </cfRule>
    <cfRule type="cellIs" dxfId="17902" priority="11708" stopIfTrue="1" operator="equal">
      <formula>"Napkin Hs"</formula>
    </cfRule>
  </conditionalFormatting>
  <conditionalFormatting sqref="C122">
    <cfRule type="cellIs" dxfId="17901" priority="11705" stopIfTrue="1" operator="equal">
      <formula>"Towel"</formula>
    </cfRule>
    <cfRule type="cellIs" dxfId="17900" priority="11706" stopIfTrue="1" operator="equal">
      <formula>"Napkin Hs"</formula>
    </cfRule>
  </conditionalFormatting>
  <conditionalFormatting sqref="B122:C122">
    <cfRule type="cellIs" dxfId="17899" priority="11703" stopIfTrue="1" operator="equal">
      <formula>"Towel"</formula>
    </cfRule>
    <cfRule type="cellIs" dxfId="17898" priority="11704" stopIfTrue="1" operator="equal">
      <formula>"Napkin Hs"</formula>
    </cfRule>
  </conditionalFormatting>
  <conditionalFormatting sqref="C122">
    <cfRule type="cellIs" dxfId="17897" priority="11701" stopIfTrue="1" operator="equal">
      <formula>"Towel"</formula>
    </cfRule>
    <cfRule type="cellIs" dxfId="17896" priority="11702" stopIfTrue="1" operator="equal">
      <formula>"Napkin Hs"</formula>
    </cfRule>
  </conditionalFormatting>
  <conditionalFormatting sqref="C122">
    <cfRule type="cellIs" dxfId="17895" priority="11699" stopIfTrue="1" operator="equal">
      <formula>"Towel"</formula>
    </cfRule>
    <cfRule type="cellIs" dxfId="17894" priority="11700" stopIfTrue="1" operator="equal">
      <formula>"Napkin Hs"</formula>
    </cfRule>
  </conditionalFormatting>
  <conditionalFormatting sqref="C137">
    <cfRule type="cellIs" dxfId="17893" priority="11051" stopIfTrue="1" operator="equal">
      <formula>"Towel"</formula>
    </cfRule>
    <cfRule type="cellIs" dxfId="17892" priority="11052" stopIfTrue="1" operator="equal">
      <formula>"Napkin Hs"</formula>
    </cfRule>
  </conditionalFormatting>
  <conditionalFormatting sqref="B132:C132">
    <cfRule type="cellIs" dxfId="17891" priority="11200" stopIfTrue="1" operator="equal">
      <formula>"Napkin Hs"</formula>
    </cfRule>
  </conditionalFormatting>
  <conditionalFormatting sqref="B132:C132">
    <cfRule type="cellIs" dxfId="17890" priority="11199" stopIfTrue="1" operator="equal">
      <formula>"Towel"</formula>
    </cfRule>
  </conditionalFormatting>
  <conditionalFormatting sqref="C132">
    <cfRule type="cellIs" dxfId="17889" priority="11198" stopIfTrue="1" operator="equal">
      <formula>"Napkin Hs"</formula>
    </cfRule>
  </conditionalFormatting>
  <conditionalFormatting sqref="C132">
    <cfRule type="cellIs" dxfId="17888" priority="11197" stopIfTrue="1" operator="equal">
      <formula>"Towel"</formula>
    </cfRule>
  </conditionalFormatting>
  <conditionalFormatting sqref="B137:C137">
    <cfRule type="cellIs" dxfId="17887" priority="11056" stopIfTrue="1" operator="equal">
      <formula>"Napkin Hs"</formula>
    </cfRule>
  </conditionalFormatting>
  <conditionalFormatting sqref="B137:C137">
    <cfRule type="cellIs" dxfId="17886" priority="11055" stopIfTrue="1" operator="equal">
      <formula>"Towel"</formula>
    </cfRule>
  </conditionalFormatting>
  <conditionalFormatting sqref="C137">
    <cfRule type="cellIs" dxfId="17885" priority="11054" stopIfTrue="1" operator="equal">
      <formula>"Napkin Hs"</formula>
    </cfRule>
  </conditionalFormatting>
  <conditionalFormatting sqref="C137">
    <cfRule type="cellIs" dxfId="17884" priority="11053" stopIfTrue="1" operator="equal">
      <formula>"Towel"</formula>
    </cfRule>
  </conditionalFormatting>
  <conditionalFormatting sqref="B7:C7">
    <cfRule type="cellIs" dxfId="17883" priority="11044" stopIfTrue="1" operator="equal">
      <formula>"Napkin Hs"</formula>
    </cfRule>
  </conditionalFormatting>
  <conditionalFormatting sqref="B7:C7">
    <cfRule type="cellIs" dxfId="17882" priority="11043" stopIfTrue="1" operator="equal">
      <formula>"Towel"</formula>
    </cfRule>
  </conditionalFormatting>
  <conditionalFormatting sqref="C7">
    <cfRule type="cellIs" dxfId="17881" priority="11042" stopIfTrue="1" operator="equal">
      <formula>"Napkin Hs"</formula>
    </cfRule>
  </conditionalFormatting>
  <conditionalFormatting sqref="C7">
    <cfRule type="cellIs" dxfId="17880" priority="11039" stopIfTrue="1" operator="equal">
      <formula>"Towel"</formula>
    </cfRule>
    <cfRule type="cellIs" dxfId="17879" priority="11040" stopIfTrue="1" operator="equal">
      <formula>"Napkin Hs"</formula>
    </cfRule>
  </conditionalFormatting>
  <conditionalFormatting sqref="C7">
    <cfRule type="cellIs" dxfId="17878" priority="11041" stopIfTrue="1" operator="equal">
      <formula>"Towel"</formula>
    </cfRule>
  </conditionalFormatting>
  <conditionalFormatting sqref="B11:C11">
    <cfRule type="cellIs" dxfId="17877" priority="11026" stopIfTrue="1" operator="equal">
      <formula>"Napkin Hs"</formula>
    </cfRule>
  </conditionalFormatting>
  <conditionalFormatting sqref="B11:C11">
    <cfRule type="cellIs" dxfId="17876" priority="11025" stopIfTrue="1" operator="equal">
      <formula>"Towel"</formula>
    </cfRule>
  </conditionalFormatting>
  <conditionalFormatting sqref="C11">
    <cfRule type="cellIs" dxfId="17875" priority="11024" stopIfTrue="1" operator="equal">
      <formula>"Napkin Hs"</formula>
    </cfRule>
  </conditionalFormatting>
  <conditionalFormatting sqref="C11">
    <cfRule type="cellIs" dxfId="17874" priority="11021" stopIfTrue="1" operator="equal">
      <formula>"Towel"</formula>
    </cfRule>
    <cfRule type="cellIs" dxfId="17873" priority="11022" stopIfTrue="1" operator="equal">
      <formula>"Napkin Hs"</formula>
    </cfRule>
  </conditionalFormatting>
  <conditionalFormatting sqref="C11">
    <cfRule type="cellIs" dxfId="17872" priority="11023" stopIfTrue="1" operator="equal">
      <formula>"Towel"</formula>
    </cfRule>
  </conditionalFormatting>
  <conditionalFormatting sqref="B21:C21">
    <cfRule type="cellIs" dxfId="17871" priority="10978" stopIfTrue="1" operator="equal">
      <formula>"Napkin Hs"</formula>
    </cfRule>
  </conditionalFormatting>
  <conditionalFormatting sqref="B21:C21">
    <cfRule type="cellIs" dxfId="17870" priority="10977" stopIfTrue="1" operator="equal">
      <formula>"Towel"</formula>
    </cfRule>
  </conditionalFormatting>
  <conditionalFormatting sqref="C21">
    <cfRule type="cellIs" dxfId="17869" priority="10976" stopIfTrue="1" operator="equal">
      <formula>"Napkin Hs"</formula>
    </cfRule>
  </conditionalFormatting>
  <conditionalFormatting sqref="C21">
    <cfRule type="cellIs" dxfId="17868" priority="10973" stopIfTrue="1" operator="equal">
      <formula>"Towel"</formula>
    </cfRule>
    <cfRule type="cellIs" dxfId="17867" priority="10974" stopIfTrue="1" operator="equal">
      <formula>"Napkin Hs"</formula>
    </cfRule>
  </conditionalFormatting>
  <conditionalFormatting sqref="C21">
    <cfRule type="cellIs" dxfId="17866" priority="10975" stopIfTrue="1" operator="equal">
      <formula>"Towel"</formula>
    </cfRule>
  </conditionalFormatting>
  <conditionalFormatting sqref="B29:C29">
    <cfRule type="cellIs" dxfId="17865" priority="10972" stopIfTrue="1" operator="equal">
      <formula>"Napkin Hs"</formula>
    </cfRule>
  </conditionalFormatting>
  <conditionalFormatting sqref="B29:C29">
    <cfRule type="cellIs" dxfId="17864" priority="10971" stopIfTrue="1" operator="equal">
      <formula>"Towel"</formula>
    </cfRule>
  </conditionalFormatting>
  <conditionalFormatting sqref="C29">
    <cfRule type="cellIs" dxfId="17863" priority="10970" stopIfTrue="1" operator="equal">
      <formula>"Napkin Hs"</formula>
    </cfRule>
  </conditionalFormatting>
  <conditionalFormatting sqref="C29">
    <cfRule type="cellIs" dxfId="17862" priority="10969" stopIfTrue="1" operator="equal">
      <formula>"Towel"</formula>
    </cfRule>
  </conditionalFormatting>
  <conditionalFormatting sqref="C29">
    <cfRule type="cellIs" dxfId="17861" priority="10967" stopIfTrue="1" operator="equal">
      <formula>"Towel"</formula>
    </cfRule>
    <cfRule type="cellIs" dxfId="17860" priority="10968" stopIfTrue="1" operator="equal">
      <formula>"Napkin Hs"</formula>
    </cfRule>
  </conditionalFormatting>
  <conditionalFormatting sqref="B27:C27">
    <cfRule type="cellIs" dxfId="17859" priority="10960" stopIfTrue="1" operator="equal">
      <formula>"Napkin Hs"</formula>
    </cfRule>
  </conditionalFormatting>
  <conditionalFormatting sqref="B27:C27">
    <cfRule type="cellIs" dxfId="17858" priority="10959" stopIfTrue="1" operator="equal">
      <formula>"Towel"</formula>
    </cfRule>
  </conditionalFormatting>
  <conditionalFormatting sqref="C27">
    <cfRule type="cellIs" dxfId="17857" priority="10958" stopIfTrue="1" operator="equal">
      <formula>"Napkin Hs"</formula>
    </cfRule>
  </conditionalFormatting>
  <conditionalFormatting sqref="C27">
    <cfRule type="cellIs" dxfId="17856" priority="10955" stopIfTrue="1" operator="equal">
      <formula>"Towel"</formula>
    </cfRule>
    <cfRule type="cellIs" dxfId="17855" priority="10956" stopIfTrue="1" operator="equal">
      <formula>"Napkin Hs"</formula>
    </cfRule>
  </conditionalFormatting>
  <conditionalFormatting sqref="C27">
    <cfRule type="cellIs" dxfId="17854" priority="10957" stopIfTrue="1" operator="equal">
      <formula>"Towel"</formula>
    </cfRule>
  </conditionalFormatting>
  <conditionalFormatting sqref="B26:C26">
    <cfRule type="cellIs" dxfId="17853" priority="10954" stopIfTrue="1" operator="equal">
      <formula>"Napkin Hs"</formula>
    </cfRule>
  </conditionalFormatting>
  <conditionalFormatting sqref="B26:C26">
    <cfRule type="cellIs" dxfId="17852" priority="10953" stopIfTrue="1" operator="equal">
      <formula>"Towel"</formula>
    </cfRule>
  </conditionalFormatting>
  <conditionalFormatting sqref="C26">
    <cfRule type="cellIs" dxfId="17851" priority="10952" stopIfTrue="1" operator="equal">
      <formula>"Napkin Hs"</formula>
    </cfRule>
  </conditionalFormatting>
  <conditionalFormatting sqref="C26">
    <cfRule type="cellIs" dxfId="17850" priority="10949" stopIfTrue="1" operator="equal">
      <formula>"Towel"</formula>
    </cfRule>
    <cfRule type="cellIs" dxfId="17849" priority="10950" stopIfTrue="1" operator="equal">
      <formula>"Napkin Hs"</formula>
    </cfRule>
  </conditionalFormatting>
  <conditionalFormatting sqref="C26">
    <cfRule type="cellIs" dxfId="17848" priority="10951" stopIfTrue="1" operator="equal">
      <formula>"Towel"</formula>
    </cfRule>
  </conditionalFormatting>
  <conditionalFormatting sqref="B25:C25">
    <cfRule type="cellIs" dxfId="17847" priority="10948" stopIfTrue="1" operator="equal">
      <formula>"Napkin Hs"</formula>
    </cfRule>
  </conditionalFormatting>
  <conditionalFormatting sqref="B25:C25">
    <cfRule type="cellIs" dxfId="17846" priority="10947" stopIfTrue="1" operator="equal">
      <formula>"Towel"</formula>
    </cfRule>
  </conditionalFormatting>
  <conditionalFormatting sqref="C25">
    <cfRule type="cellIs" dxfId="17845" priority="10946" stopIfTrue="1" operator="equal">
      <formula>"Napkin Hs"</formula>
    </cfRule>
  </conditionalFormatting>
  <conditionalFormatting sqref="C25">
    <cfRule type="cellIs" dxfId="17844" priority="10943" stopIfTrue="1" operator="equal">
      <formula>"Towel"</formula>
    </cfRule>
    <cfRule type="cellIs" dxfId="17843" priority="10944" stopIfTrue="1" operator="equal">
      <formula>"Napkin Hs"</formula>
    </cfRule>
  </conditionalFormatting>
  <conditionalFormatting sqref="C25">
    <cfRule type="cellIs" dxfId="17842" priority="10945" stopIfTrue="1" operator="equal">
      <formula>"Towel"</formula>
    </cfRule>
  </conditionalFormatting>
  <conditionalFormatting sqref="B28:C28">
    <cfRule type="cellIs" dxfId="17841" priority="10942" stopIfTrue="1" operator="equal">
      <formula>"Napkin Hs"</formula>
    </cfRule>
  </conditionalFormatting>
  <conditionalFormatting sqref="B28:C28">
    <cfRule type="cellIs" dxfId="17840" priority="10941" stopIfTrue="1" operator="equal">
      <formula>"Towel"</formula>
    </cfRule>
  </conditionalFormatting>
  <conditionalFormatting sqref="C28">
    <cfRule type="cellIs" dxfId="17839" priority="10940" stopIfTrue="1" operator="equal">
      <formula>"Napkin Hs"</formula>
    </cfRule>
  </conditionalFormatting>
  <conditionalFormatting sqref="C28">
    <cfRule type="cellIs" dxfId="17838" priority="10937" stopIfTrue="1" operator="equal">
      <formula>"Towel"</formula>
    </cfRule>
    <cfRule type="cellIs" dxfId="17837" priority="10938" stopIfTrue="1" operator="equal">
      <formula>"Napkin Hs"</formula>
    </cfRule>
  </conditionalFormatting>
  <conditionalFormatting sqref="C28">
    <cfRule type="cellIs" dxfId="17836" priority="10939" stopIfTrue="1" operator="equal">
      <formula>"Towel"</formula>
    </cfRule>
  </conditionalFormatting>
  <conditionalFormatting sqref="B28:C28">
    <cfRule type="cellIs" dxfId="17835" priority="10936" stopIfTrue="1" operator="equal">
      <formula>"Napkin Hs"</formula>
    </cfRule>
  </conditionalFormatting>
  <conditionalFormatting sqref="B28:C28">
    <cfRule type="cellIs" dxfId="17834" priority="10935" stopIfTrue="1" operator="equal">
      <formula>"Towel"</formula>
    </cfRule>
  </conditionalFormatting>
  <conditionalFormatting sqref="C28">
    <cfRule type="cellIs" dxfId="17833" priority="10934" stopIfTrue="1" operator="equal">
      <formula>"Napkin Hs"</formula>
    </cfRule>
  </conditionalFormatting>
  <conditionalFormatting sqref="C28">
    <cfRule type="cellIs" dxfId="17832" priority="10931" stopIfTrue="1" operator="equal">
      <formula>"Towel"</formula>
    </cfRule>
    <cfRule type="cellIs" dxfId="17831" priority="10932" stopIfTrue="1" operator="equal">
      <formula>"Napkin Hs"</formula>
    </cfRule>
  </conditionalFormatting>
  <conditionalFormatting sqref="C28">
    <cfRule type="cellIs" dxfId="17830" priority="10933" stopIfTrue="1" operator="equal">
      <formula>"Towel"</formula>
    </cfRule>
  </conditionalFormatting>
  <conditionalFormatting sqref="B30:C30">
    <cfRule type="cellIs" dxfId="17829" priority="10930" stopIfTrue="1" operator="equal">
      <formula>"Napkin Hs"</formula>
    </cfRule>
  </conditionalFormatting>
  <conditionalFormatting sqref="B30:C30">
    <cfRule type="cellIs" dxfId="17828" priority="10929" stopIfTrue="1" operator="equal">
      <formula>"Towel"</formula>
    </cfRule>
  </conditionalFormatting>
  <conditionalFormatting sqref="C30">
    <cfRule type="cellIs" dxfId="17827" priority="10928" stopIfTrue="1" operator="equal">
      <formula>"Napkin Hs"</formula>
    </cfRule>
  </conditionalFormatting>
  <conditionalFormatting sqref="C30">
    <cfRule type="cellIs" dxfId="17826" priority="10927" stopIfTrue="1" operator="equal">
      <formula>"Towel"</formula>
    </cfRule>
  </conditionalFormatting>
  <conditionalFormatting sqref="C30">
    <cfRule type="cellIs" dxfId="17825" priority="10925" stopIfTrue="1" operator="equal">
      <formula>"Towel"</formula>
    </cfRule>
    <cfRule type="cellIs" dxfId="17824" priority="10926" stopIfTrue="1" operator="equal">
      <formula>"Napkin Hs"</formula>
    </cfRule>
  </conditionalFormatting>
  <conditionalFormatting sqref="B32:C32">
    <cfRule type="cellIs" dxfId="17823" priority="10924" stopIfTrue="1" operator="equal">
      <formula>"Napkin Hs"</formula>
    </cfRule>
  </conditionalFormatting>
  <conditionalFormatting sqref="B32:C32">
    <cfRule type="cellIs" dxfId="17822" priority="10923" stopIfTrue="1" operator="equal">
      <formula>"Towel"</formula>
    </cfRule>
  </conditionalFormatting>
  <conditionalFormatting sqref="C32">
    <cfRule type="cellIs" dxfId="17821" priority="10922" stopIfTrue="1" operator="equal">
      <formula>"Napkin Hs"</formula>
    </cfRule>
  </conditionalFormatting>
  <conditionalFormatting sqref="C32">
    <cfRule type="cellIs" dxfId="17820" priority="10919" stopIfTrue="1" operator="equal">
      <formula>"Towel"</formula>
    </cfRule>
    <cfRule type="cellIs" dxfId="17819" priority="10920" stopIfTrue="1" operator="equal">
      <formula>"Napkin Hs"</formula>
    </cfRule>
  </conditionalFormatting>
  <conditionalFormatting sqref="C32">
    <cfRule type="cellIs" dxfId="17818" priority="10921" stopIfTrue="1" operator="equal">
      <formula>"Towel"</formula>
    </cfRule>
  </conditionalFormatting>
  <conditionalFormatting sqref="B32:C32">
    <cfRule type="cellIs" dxfId="17817" priority="10918" stopIfTrue="1" operator="equal">
      <formula>"Napkin Hs"</formula>
    </cfRule>
  </conditionalFormatting>
  <conditionalFormatting sqref="B32:C32">
    <cfRule type="cellIs" dxfId="17816" priority="10917" stopIfTrue="1" operator="equal">
      <formula>"Towel"</formula>
    </cfRule>
  </conditionalFormatting>
  <conditionalFormatting sqref="C32">
    <cfRule type="cellIs" dxfId="17815" priority="10916" stopIfTrue="1" operator="equal">
      <formula>"Napkin Hs"</formula>
    </cfRule>
  </conditionalFormatting>
  <conditionalFormatting sqref="C32">
    <cfRule type="cellIs" dxfId="17814" priority="10913" stopIfTrue="1" operator="equal">
      <formula>"Towel"</formula>
    </cfRule>
    <cfRule type="cellIs" dxfId="17813" priority="10914" stopIfTrue="1" operator="equal">
      <formula>"Napkin Hs"</formula>
    </cfRule>
  </conditionalFormatting>
  <conditionalFormatting sqref="C32">
    <cfRule type="cellIs" dxfId="17812" priority="10915" stopIfTrue="1" operator="equal">
      <formula>"Towel"</formula>
    </cfRule>
  </conditionalFormatting>
  <conditionalFormatting sqref="B30:C30">
    <cfRule type="cellIs" dxfId="17811" priority="10906" stopIfTrue="1" operator="equal">
      <formula>"Napkin Hs"</formula>
    </cfRule>
  </conditionalFormatting>
  <conditionalFormatting sqref="B30:C30">
    <cfRule type="cellIs" dxfId="17810" priority="10905" stopIfTrue="1" operator="equal">
      <formula>"Towel"</formula>
    </cfRule>
  </conditionalFormatting>
  <conditionalFormatting sqref="C30">
    <cfRule type="cellIs" dxfId="17809" priority="10904" stopIfTrue="1" operator="equal">
      <formula>"Napkin Hs"</formula>
    </cfRule>
  </conditionalFormatting>
  <conditionalFormatting sqref="C30">
    <cfRule type="cellIs" dxfId="17808" priority="10901" stopIfTrue="1" operator="equal">
      <formula>"Towel"</formula>
    </cfRule>
    <cfRule type="cellIs" dxfId="17807" priority="10902" stopIfTrue="1" operator="equal">
      <formula>"Napkin Hs"</formula>
    </cfRule>
  </conditionalFormatting>
  <conditionalFormatting sqref="C30">
    <cfRule type="cellIs" dxfId="17806" priority="10903" stopIfTrue="1" operator="equal">
      <formula>"Towel"</formula>
    </cfRule>
  </conditionalFormatting>
  <conditionalFormatting sqref="B33:C33">
    <cfRule type="cellIs" dxfId="17805" priority="10900" stopIfTrue="1" operator="equal">
      <formula>"Napkin Hs"</formula>
    </cfRule>
  </conditionalFormatting>
  <conditionalFormatting sqref="B33:C33">
    <cfRule type="cellIs" dxfId="17804" priority="10899" stopIfTrue="1" operator="equal">
      <formula>"Towel"</formula>
    </cfRule>
  </conditionalFormatting>
  <conditionalFormatting sqref="C33">
    <cfRule type="cellIs" dxfId="17803" priority="10898" stopIfTrue="1" operator="equal">
      <formula>"Napkin Hs"</formula>
    </cfRule>
  </conditionalFormatting>
  <conditionalFormatting sqref="C33">
    <cfRule type="cellIs" dxfId="17802" priority="10895" stopIfTrue="1" operator="equal">
      <formula>"Towel"</formula>
    </cfRule>
    <cfRule type="cellIs" dxfId="17801" priority="10896" stopIfTrue="1" operator="equal">
      <formula>"Napkin Hs"</formula>
    </cfRule>
  </conditionalFormatting>
  <conditionalFormatting sqref="C33">
    <cfRule type="cellIs" dxfId="17800" priority="10897" stopIfTrue="1" operator="equal">
      <formula>"Towel"</formula>
    </cfRule>
  </conditionalFormatting>
  <conditionalFormatting sqref="B33:C33">
    <cfRule type="cellIs" dxfId="17799" priority="10894" stopIfTrue="1" operator="equal">
      <formula>"Napkin Hs"</formula>
    </cfRule>
  </conditionalFormatting>
  <conditionalFormatting sqref="B33:C33">
    <cfRule type="cellIs" dxfId="17798" priority="10893" stopIfTrue="1" operator="equal">
      <formula>"Towel"</formula>
    </cfRule>
  </conditionalFormatting>
  <conditionalFormatting sqref="C33">
    <cfRule type="cellIs" dxfId="17797" priority="10892" stopIfTrue="1" operator="equal">
      <formula>"Napkin Hs"</formula>
    </cfRule>
  </conditionalFormatting>
  <conditionalFormatting sqref="C33">
    <cfRule type="cellIs" dxfId="17796" priority="10889" stopIfTrue="1" operator="equal">
      <formula>"Towel"</formula>
    </cfRule>
    <cfRule type="cellIs" dxfId="17795" priority="10890" stopIfTrue="1" operator="equal">
      <formula>"Napkin Hs"</formula>
    </cfRule>
  </conditionalFormatting>
  <conditionalFormatting sqref="C33">
    <cfRule type="cellIs" dxfId="17794" priority="10891" stopIfTrue="1" operator="equal">
      <formula>"Towel"</formula>
    </cfRule>
  </conditionalFormatting>
  <conditionalFormatting sqref="B31:C31">
    <cfRule type="cellIs" dxfId="17793" priority="10888" stopIfTrue="1" operator="equal">
      <formula>"Napkin Hs"</formula>
    </cfRule>
  </conditionalFormatting>
  <conditionalFormatting sqref="B31:C31">
    <cfRule type="cellIs" dxfId="17792" priority="10887" stopIfTrue="1" operator="equal">
      <formula>"Towel"</formula>
    </cfRule>
  </conditionalFormatting>
  <conditionalFormatting sqref="C31">
    <cfRule type="cellIs" dxfId="17791" priority="10886" stopIfTrue="1" operator="equal">
      <formula>"Napkin Hs"</formula>
    </cfRule>
  </conditionalFormatting>
  <conditionalFormatting sqref="C31">
    <cfRule type="cellIs" dxfId="17790" priority="10883" stopIfTrue="1" operator="equal">
      <formula>"Towel"</formula>
    </cfRule>
    <cfRule type="cellIs" dxfId="17789" priority="10884" stopIfTrue="1" operator="equal">
      <formula>"Napkin Hs"</formula>
    </cfRule>
  </conditionalFormatting>
  <conditionalFormatting sqref="C31">
    <cfRule type="cellIs" dxfId="17788" priority="10885" stopIfTrue="1" operator="equal">
      <formula>"Towel"</formula>
    </cfRule>
  </conditionalFormatting>
  <conditionalFormatting sqref="B6:C6">
    <cfRule type="cellIs" dxfId="17787" priority="10882" stopIfTrue="1" operator="equal">
      <formula>"Napkin Hs"</formula>
    </cfRule>
  </conditionalFormatting>
  <conditionalFormatting sqref="B6:C6">
    <cfRule type="cellIs" dxfId="17786" priority="10881" stopIfTrue="1" operator="equal">
      <formula>"Towel"</formula>
    </cfRule>
  </conditionalFormatting>
  <conditionalFormatting sqref="C6">
    <cfRule type="cellIs" dxfId="17785" priority="10880" stopIfTrue="1" operator="equal">
      <formula>"Napkin Hs"</formula>
    </cfRule>
  </conditionalFormatting>
  <conditionalFormatting sqref="C6">
    <cfRule type="cellIs" dxfId="17784" priority="10879" stopIfTrue="1" operator="equal">
      <formula>"Towel"</formula>
    </cfRule>
  </conditionalFormatting>
  <conditionalFormatting sqref="C6">
    <cfRule type="cellIs" dxfId="17783" priority="10877" stopIfTrue="1" operator="equal">
      <formula>"Towel"</formula>
    </cfRule>
    <cfRule type="cellIs" dxfId="17782" priority="10878" stopIfTrue="1" operator="equal">
      <formula>"Napkin Hs"</formula>
    </cfRule>
  </conditionalFormatting>
  <conditionalFormatting sqref="B6:C6">
    <cfRule type="cellIs" dxfId="17781" priority="10876" stopIfTrue="1" operator="equal">
      <formula>"Napkin Hs"</formula>
    </cfRule>
  </conditionalFormatting>
  <conditionalFormatting sqref="B6:C6">
    <cfRule type="cellIs" dxfId="17780" priority="10875" stopIfTrue="1" operator="equal">
      <formula>"Towel"</formula>
    </cfRule>
  </conditionalFormatting>
  <conditionalFormatting sqref="C6">
    <cfRule type="cellIs" dxfId="17779" priority="10874" stopIfTrue="1" operator="equal">
      <formula>"Napkin Hs"</formula>
    </cfRule>
  </conditionalFormatting>
  <conditionalFormatting sqref="C6">
    <cfRule type="cellIs" dxfId="17778" priority="10871" stopIfTrue="1" operator="equal">
      <formula>"Towel"</formula>
    </cfRule>
    <cfRule type="cellIs" dxfId="17777" priority="10872" stopIfTrue="1" operator="equal">
      <formula>"Napkin Hs"</formula>
    </cfRule>
  </conditionalFormatting>
  <conditionalFormatting sqref="C6">
    <cfRule type="cellIs" dxfId="17776" priority="10873" stopIfTrue="1" operator="equal">
      <formula>"Towel"</formula>
    </cfRule>
  </conditionalFormatting>
  <conditionalFormatting sqref="B6:C6">
    <cfRule type="cellIs" dxfId="17775" priority="10870" stopIfTrue="1" operator="equal">
      <formula>"Napkin Hs"</formula>
    </cfRule>
  </conditionalFormatting>
  <conditionalFormatting sqref="B6:C6">
    <cfRule type="cellIs" dxfId="17774" priority="10869" stopIfTrue="1" operator="equal">
      <formula>"Towel"</formula>
    </cfRule>
  </conditionalFormatting>
  <conditionalFormatting sqref="C6">
    <cfRule type="cellIs" dxfId="17773" priority="10868" stopIfTrue="1" operator="equal">
      <formula>"Napkin Hs"</formula>
    </cfRule>
  </conditionalFormatting>
  <conditionalFormatting sqref="C6">
    <cfRule type="cellIs" dxfId="17772" priority="10865" stopIfTrue="1" operator="equal">
      <formula>"Towel"</formula>
    </cfRule>
    <cfRule type="cellIs" dxfId="17771" priority="10866" stopIfTrue="1" operator="equal">
      <formula>"Napkin Hs"</formula>
    </cfRule>
  </conditionalFormatting>
  <conditionalFormatting sqref="C6">
    <cfRule type="cellIs" dxfId="17770" priority="10867" stopIfTrue="1" operator="equal">
      <formula>"Towel"</formula>
    </cfRule>
  </conditionalFormatting>
  <conditionalFormatting sqref="B6:C6">
    <cfRule type="cellIs" dxfId="17769" priority="10864" stopIfTrue="1" operator="equal">
      <formula>"Napkin Hs"</formula>
    </cfRule>
  </conditionalFormatting>
  <conditionalFormatting sqref="B6:C6">
    <cfRule type="cellIs" dxfId="17768" priority="10863" stopIfTrue="1" operator="equal">
      <formula>"Towel"</formula>
    </cfRule>
  </conditionalFormatting>
  <conditionalFormatting sqref="C6">
    <cfRule type="cellIs" dxfId="17767" priority="10862" stopIfTrue="1" operator="equal">
      <formula>"Napkin Hs"</formula>
    </cfRule>
  </conditionalFormatting>
  <conditionalFormatting sqref="C6">
    <cfRule type="cellIs" dxfId="17766" priority="10859" stopIfTrue="1" operator="equal">
      <formula>"Towel"</formula>
    </cfRule>
    <cfRule type="cellIs" dxfId="17765" priority="10860" stopIfTrue="1" operator="equal">
      <formula>"Napkin Hs"</formula>
    </cfRule>
  </conditionalFormatting>
  <conditionalFormatting sqref="C6">
    <cfRule type="cellIs" dxfId="17764" priority="10861" stopIfTrue="1" operator="equal">
      <formula>"Towel"</formula>
    </cfRule>
  </conditionalFormatting>
  <conditionalFormatting sqref="B6:C6">
    <cfRule type="cellIs" dxfId="17763" priority="10858" stopIfTrue="1" operator="equal">
      <formula>"Napkin Hs"</formula>
    </cfRule>
  </conditionalFormatting>
  <conditionalFormatting sqref="B6:C6">
    <cfRule type="cellIs" dxfId="17762" priority="10857" stopIfTrue="1" operator="equal">
      <formula>"Towel"</formula>
    </cfRule>
  </conditionalFormatting>
  <conditionalFormatting sqref="C6">
    <cfRule type="cellIs" dxfId="17761" priority="10856" stopIfTrue="1" operator="equal">
      <formula>"Napkin Hs"</formula>
    </cfRule>
  </conditionalFormatting>
  <conditionalFormatting sqref="C6">
    <cfRule type="cellIs" dxfId="17760" priority="10853" stopIfTrue="1" operator="equal">
      <formula>"Towel"</formula>
    </cfRule>
    <cfRule type="cellIs" dxfId="17759" priority="10854" stopIfTrue="1" operator="equal">
      <formula>"Napkin Hs"</formula>
    </cfRule>
  </conditionalFormatting>
  <conditionalFormatting sqref="C6">
    <cfRule type="cellIs" dxfId="17758" priority="10855" stopIfTrue="1" operator="equal">
      <formula>"Towel"</formula>
    </cfRule>
  </conditionalFormatting>
  <conditionalFormatting sqref="B14:C15">
    <cfRule type="cellIs" dxfId="17757" priority="10852" stopIfTrue="1" operator="equal">
      <formula>"Napkin Hs"</formula>
    </cfRule>
  </conditionalFormatting>
  <conditionalFormatting sqref="B14:C15">
    <cfRule type="cellIs" dxfId="17756" priority="10851" stopIfTrue="1" operator="equal">
      <formula>"Towel"</formula>
    </cfRule>
  </conditionalFormatting>
  <conditionalFormatting sqref="C14:C15">
    <cfRule type="cellIs" dxfId="17755" priority="10850" stopIfTrue="1" operator="equal">
      <formula>"Napkin Hs"</formula>
    </cfRule>
  </conditionalFormatting>
  <conditionalFormatting sqref="C14:C15">
    <cfRule type="cellIs" dxfId="17754" priority="10847" stopIfTrue="1" operator="equal">
      <formula>"Towel"</formula>
    </cfRule>
    <cfRule type="cellIs" dxfId="17753" priority="10848" stopIfTrue="1" operator="equal">
      <formula>"Napkin Hs"</formula>
    </cfRule>
  </conditionalFormatting>
  <conditionalFormatting sqref="C14:C15">
    <cfRule type="cellIs" dxfId="17752" priority="10849" stopIfTrue="1" operator="equal">
      <formula>"Towel"</formula>
    </cfRule>
  </conditionalFormatting>
  <conditionalFormatting sqref="B16:C16">
    <cfRule type="cellIs" dxfId="17751" priority="10846" stopIfTrue="1" operator="equal">
      <formula>"Napkin Hs"</formula>
    </cfRule>
  </conditionalFormatting>
  <conditionalFormatting sqref="B16:C16">
    <cfRule type="cellIs" dxfId="17750" priority="10845" stopIfTrue="1" operator="equal">
      <formula>"Towel"</formula>
    </cfRule>
  </conditionalFormatting>
  <conditionalFormatting sqref="C16">
    <cfRule type="cellIs" dxfId="17749" priority="10844" stopIfTrue="1" operator="equal">
      <formula>"Napkin Hs"</formula>
    </cfRule>
  </conditionalFormatting>
  <conditionalFormatting sqref="C16">
    <cfRule type="cellIs" dxfId="17748" priority="10841" stopIfTrue="1" operator="equal">
      <formula>"Towel"</formula>
    </cfRule>
    <cfRule type="cellIs" dxfId="17747" priority="10842" stopIfTrue="1" operator="equal">
      <formula>"Napkin Hs"</formula>
    </cfRule>
  </conditionalFormatting>
  <conditionalFormatting sqref="C16">
    <cfRule type="cellIs" dxfId="17746" priority="10843" stopIfTrue="1" operator="equal">
      <formula>"Towel"</formula>
    </cfRule>
  </conditionalFormatting>
  <conditionalFormatting sqref="B13:C13">
    <cfRule type="cellIs" dxfId="17745" priority="10840" stopIfTrue="1" operator="equal">
      <formula>"Napkin Hs"</formula>
    </cfRule>
  </conditionalFormatting>
  <conditionalFormatting sqref="B13:C13">
    <cfRule type="cellIs" dxfId="17744" priority="10839" stopIfTrue="1" operator="equal">
      <formula>"Towel"</formula>
    </cfRule>
  </conditionalFormatting>
  <conditionalFormatting sqref="C13">
    <cfRule type="cellIs" dxfId="17743" priority="10838" stopIfTrue="1" operator="equal">
      <formula>"Napkin Hs"</formula>
    </cfRule>
  </conditionalFormatting>
  <conditionalFormatting sqref="C13">
    <cfRule type="cellIs" dxfId="17742" priority="10835" stopIfTrue="1" operator="equal">
      <formula>"Towel"</formula>
    </cfRule>
    <cfRule type="cellIs" dxfId="17741" priority="10836" stopIfTrue="1" operator="equal">
      <formula>"Napkin Hs"</formula>
    </cfRule>
  </conditionalFormatting>
  <conditionalFormatting sqref="C13">
    <cfRule type="cellIs" dxfId="17740" priority="10837" stopIfTrue="1" operator="equal">
      <formula>"Towel"</formula>
    </cfRule>
  </conditionalFormatting>
  <conditionalFormatting sqref="B12:C12">
    <cfRule type="cellIs" dxfId="17739" priority="10834" stopIfTrue="1" operator="equal">
      <formula>"Napkin Hs"</formula>
    </cfRule>
  </conditionalFormatting>
  <conditionalFormatting sqref="B12:C12">
    <cfRule type="cellIs" dxfId="17738" priority="10833" stopIfTrue="1" operator="equal">
      <formula>"Towel"</formula>
    </cfRule>
  </conditionalFormatting>
  <conditionalFormatting sqref="C12">
    <cfRule type="cellIs" dxfId="17737" priority="10832" stopIfTrue="1" operator="equal">
      <formula>"Napkin Hs"</formula>
    </cfRule>
  </conditionalFormatting>
  <conditionalFormatting sqref="C12">
    <cfRule type="cellIs" dxfId="17736" priority="10831" stopIfTrue="1" operator="equal">
      <formula>"Towel"</formula>
    </cfRule>
  </conditionalFormatting>
  <conditionalFormatting sqref="C12">
    <cfRule type="cellIs" dxfId="17735" priority="10829" stopIfTrue="1" operator="equal">
      <formula>"Towel"</formula>
    </cfRule>
    <cfRule type="cellIs" dxfId="17734" priority="10830" stopIfTrue="1" operator="equal">
      <formula>"Napkin Hs"</formula>
    </cfRule>
  </conditionalFormatting>
  <conditionalFormatting sqref="B12:C12">
    <cfRule type="cellIs" dxfId="17733" priority="10828" stopIfTrue="1" operator="equal">
      <formula>"Napkin Hs"</formula>
    </cfRule>
  </conditionalFormatting>
  <conditionalFormatting sqref="B12:C12">
    <cfRule type="cellIs" dxfId="17732" priority="10827" stopIfTrue="1" operator="equal">
      <formula>"Towel"</formula>
    </cfRule>
  </conditionalFormatting>
  <conditionalFormatting sqref="C12">
    <cfRule type="cellIs" dxfId="17731" priority="10826" stopIfTrue="1" operator="equal">
      <formula>"Napkin Hs"</formula>
    </cfRule>
  </conditionalFormatting>
  <conditionalFormatting sqref="C12">
    <cfRule type="cellIs" dxfId="17730" priority="10823" stopIfTrue="1" operator="equal">
      <formula>"Towel"</formula>
    </cfRule>
    <cfRule type="cellIs" dxfId="17729" priority="10824" stopIfTrue="1" operator="equal">
      <formula>"Napkin Hs"</formula>
    </cfRule>
  </conditionalFormatting>
  <conditionalFormatting sqref="C12">
    <cfRule type="cellIs" dxfId="17728" priority="10825" stopIfTrue="1" operator="equal">
      <formula>"Towel"</formula>
    </cfRule>
  </conditionalFormatting>
  <conditionalFormatting sqref="B12:C12">
    <cfRule type="cellIs" dxfId="17727" priority="10822" stopIfTrue="1" operator="equal">
      <formula>"Napkin Hs"</formula>
    </cfRule>
  </conditionalFormatting>
  <conditionalFormatting sqref="B12:C12">
    <cfRule type="cellIs" dxfId="17726" priority="10821" stopIfTrue="1" operator="equal">
      <formula>"Towel"</formula>
    </cfRule>
  </conditionalFormatting>
  <conditionalFormatting sqref="C12">
    <cfRule type="cellIs" dxfId="17725" priority="10820" stopIfTrue="1" operator="equal">
      <formula>"Napkin Hs"</formula>
    </cfRule>
  </conditionalFormatting>
  <conditionalFormatting sqref="C12">
    <cfRule type="cellIs" dxfId="17724" priority="10817" stopIfTrue="1" operator="equal">
      <formula>"Towel"</formula>
    </cfRule>
    <cfRule type="cellIs" dxfId="17723" priority="10818" stopIfTrue="1" operator="equal">
      <formula>"Napkin Hs"</formula>
    </cfRule>
  </conditionalFormatting>
  <conditionalFormatting sqref="C12">
    <cfRule type="cellIs" dxfId="17722" priority="10819" stopIfTrue="1" operator="equal">
      <formula>"Towel"</formula>
    </cfRule>
  </conditionalFormatting>
  <conditionalFormatting sqref="B12:C12">
    <cfRule type="cellIs" dxfId="17721" priority="10816" stopIfTrue="1" operator="equal">
      <formula>"Napkin Hs"</formula>
    </cfRule>
  </conditionalFormatting>
  <conditionalFormatting sqref="B12:C12">
    <cfRule type="cellIs" dxfId="17720" priority="10815" stopIfTrue="1" operator="equal">
      <formula>"Towel"</formula>
    </cfRule>
  </conditionalFormatting>
  <conditionalFormatting sqref="C12">
    <cfRule type="cellIs" dxfId="17719" priority="10814" stopIfTrue="1" operator="equal">
      <formula>"Napkin Hs"</formula>
    </cfRule>
  </conditionalFormatting>
  <conditionalFormatting sqref="C12">
    <cfRule type="cellIs" dxfId="17718" priority="10811" stopIfTrue="1" operator="equal">
      <formula>"Towel"</formula>
    </cfRule>
    <cfRule type="cellIs" dxfId="17717" priority="10812" stopIfTrue="1" operator="equal">
      <formula>"Napkin Hs"</formula>
    </cfRule>
  </conditionalFormatting>
  <conditionalFormatting sqref="C12">
    <cfRule type="cellIs" dxfId="17716" priority="10813" stopIfTrue="1" operator="equal">
      <formula>"Towel"</formula>
    </cfRule>
  </conditionalFormatting>
  <conditionalFormatting sqref="B12:C12">
    <cfRule type="cellIs" dxfId="17715" priority="10810" stopIfTrue="1" operator="equal">
      <formula>"Napkin Hs"</formula>
    </cfRule>
  </conditionalFormatting>
  <conditionalFormatting sqref="B12:C12">
    <cfRule type="cellIs" dxfId="17714" priority="10809" stopIfTrue="1" operator="equal">
      <formula>"Towel"</formula>
    </cfRule>
  </conditionalFormatting>
  <conditionalFormatting sqref="C12">
    <cfRule type="cellIs" dxfId="17713" priority="10808" stopIfTrue="1" operator="equal">
      <formula>"Napkin Hs"</formula>
    </cfRule>
  </conditionalFormatting>
  <conditionalFormatting sqref="C12">
    <cfRule type="cellIs" dxfId="17712" priority="10805" stopIfTrue="1" operator="equal">
      <formula>"Towel"</formula>
    </cfRule>
    <cfRule type="cellIs" dxfId="17711" priority="10806" stopIfTrue="1" operator="equal">
      <formula>"Napkin Hs"</formula>
    </cfRule>
  </conditionalFormatting>
  <conditionalFormatting sqref="C12">
    <cfRule type="cellIs" dxfId="17710" priority="10807" stopIfTrue="1" operator="equal">
      <formula>"Towel"</formula>
    </cfRule>
  </conditionalFormatting>
  <conditionalFormatting sqref="B19:C20">
    <cfRule type="cellIs" dxfId="17709" priority="10804" stopIfTrue="1" operator="equal">
      <formula>"Napkin Hs"</formula>
    </cfRule>
  </conditionalFormatting>
  <conditionalFormatting sqref="B19:C20">
    <cfRule type="cellIs" dxfId="17708" priority="10803" stopIfTrue="1" operator="equal">
      <formula>"Towel"</formula>
    </cfRule>
  </conditionalFormatting>
  <conditionalFormatting sqref="C19:C20">
    <cfRule type="cellIs" dxfId="17707" priority="10802" stopIfTrue="1" operator="equal">
      <formula>"Napkin Hs"</formula>
    </cfRule>
  </conditionalFormatting>
  <conditionalFormatting sqref="C19:C20">
    <cfRule type="cellIs" dxfId="17706" priority="10799" stopIfTrue="1" operator="equal">
      <formula>"Towel"</formula>
    </cfRule>
    <cfRule type="cellIs" dxfId="17705" priority="10800" stopIfTrue="1" operator="equal">
      <formula>"Napkin Hs"</formula>
    </cfRule>
  </conditionalFormatting>
  <conditionalFormatting sqref="C19:C20">
    <cfRule type="cellIs" dxfId="17704" priority="10801" stopIfTrue="1" operator="equal">
      <formula>"Towel"</formula>
    </cfRule>
  </conditionalFormatting>
  <conditionalFormatting sqref="B17:C17">
    <cfRule type="cellIs" dxfId="17703" priority="10792" stopIfTrue="1" operator="equal">
      <formula>"Napkin Hs"</formula>
    </cfRule>
  </conditionalFormatting>
  <conditionalFormatting sqref="B17:C17">
    <cfRule type="cellIs" dxfId="17702" priority="10791" stopIfTrue="1" operator="equal">
      <formula>"Towel"</formula>
    </cfRule>
  </conditionalFormatting>
  <conditionalFormatting sqref="C17">
    <cfRule type="cellIs" dxfId="17701" priority="10790" stopIfTrue="1" operator="equal">
      <formula>"Napkin Hs"</formula>
    </cfRule>
  </conditionalFormatting>
  <conditionalFormatting sqref="C17">
    <cfRule type="cellIs" dxfId="17700" priority="10789" stopIfTrue="1" operator="equal">
      <formula>"Towel"</formula>
    </cfRule>
  </conditionalFormatting>
  <conditionalFormatting sqref="C17">
    <cfRule type="cellIs" dxfId="17699" priority="10787" stopIfTrue="1" operator="equal">
      <formula>"Towel"</formula>
    </cfRule>
    <cfRule type="cellIs" dxfId="17698" priority="10788" stopIfTrue="1" operator="equal">
      <formula>"Napkin Hs"</formula>
    </cfRule>
  </conditionalFormatting>
  <conditionalFormatting sqref="B17:C17">
    <cfRule type="cellIs" dxfId="17697" priority="10786" stopIfTrue="1" operator="equal">
      <formula>"Napkin Hs"</formula>
    </cfRule>
  </conditionalFormatting>
  <conditionalFormatting sqref="B17:C17">
    <cfRule type="cellIs" dxfId="17696" priority="10785" stopIfTrue="1" operator="equal">
      <formula>"Towel"</formula>
    </cfRule>
  </conditionalFormatting>
  <conditionalFormatting sqref="C17">
    <cfRule type="cellIs" dxfId="17695" priority="10784" stopIfTrue="1" operator="equal">
      <formula>"Napkin Hs"</formula>
    </cfRule>
  </conditionalFormatting>
  <conditionalFormatting sqref="C17">
    <cfRule type="cellIs" dxfId="17694" priority="10781" stopIfTrue="1" operator="equal">
      <formula>"Towel"</formula>
    </cfRule>
    <cfRule type="cellIs" dxfId="17693" priority="10782" stopIfTrue="1" operator="equal">
      <formula>"Napkin Hs"</formula>
    </cfRule>
  </conditionalFormatting>
  <conditionalFormatting sqref="C17">
    <cfRule type="cellIs" dxfId="17692" priority="10783" stopIfTrue="1" operator="equal">
      <formula>"Towel"</formula>
    </cfRule>
  </conditionalFormatting>
  <conditionalFormatting sqref="B17:C17">
    <cfRule type="cellIs" dxfId="17691" priority="10780" stopIfTrue="1" operator="equal">
      <formula>"Napkin Hs"</formula>
    </cfRule>
  </conditionalFormatting>
  <conditionalFormatting sqref="B17:C17">
    <cfRule type="cellIs" dxfId="17690" priority="10779" stopIfTrue="1" operator="equal">
      <formula>"Towel"</formula>
    </cfRule>
  </conditionalFormatting>
  <conditionalFormatting sqref="C17">
    <cfRule type="cellIs" dxfId="17689" priority="10778" stopIfTrue="1" operator="equal">
      <formula>"Napkin Hs"</formula>
    </cfRule>
  </conditionalFormatting>
  <conditionalFormatting sqref="C17">
    <cfRule type="cellIs" dxfId="17688" priority="10775" stopIfTrue="1" operator="equal">
      <formula>"Towel"</formula>
    </cfRule>
    <cfRule type="cellIs" dxfId="17687" priority="10776" stopIfTrue="1" operator="equal">
      <formula>"Napkin Hs"</formula>
    </cfRule>
  </conditionalFormatting>
  <conditionalFormatting sqref="C17">
    <cfRule type="cellIs" dxfId="17686" priority="10777" stopIfTrue="1" operator="equal">
      <formula>"Towel"</formula>
    </cfRule>
  </conditionalFormatting>
  <conditionalFormatting sqref="B17:C17">
    <cfRule type="cellIs" dxfId="17685" priority="10774" stopIfTrue="1" operator="equal">
      <formula>"Napkin Hs"</formula>
    </cfRule>
  </conditionalFormatting>
  <conditionalFormatting sqref="B17:C17">
    <cfRule type="cellIs" dxfId="17684" priority="10773" stopIfTrue="1" operator="equal">
      <formula>"Towel"</formula>
    </cfRule>
  </conditionalFormatting>
  <conditionalFormatting sqref="C17">
    <cfRule type="cellIs" dxfId="17683" priority="10772" stopIfTrue="1" operator="equal">
      <formula>"Napkin Hs"</formula>
    </cfRule>
  </conditionalFormatting>
  <conditionalFormatting sqref="C17">
    <cfRule type="cellIs" dxfId="17682" priority="10769" stopIfTrue="1" operator="equal">
      <formula>"Towel"</formula>
    </cfRule>
    <cfRule type="cellIs" dxfId="17681" priority="10770" stopIfTrue="1" operator="equal">
      <formula>"Napkin Hs"</formula>
    </cfRule>
  </conditionalFormatting>
  <conditionalFormatting sqref="C17">
    <cfRule type="cellIs" dxfId="17680" priority="10771" stopIfTrue="1" operator="equal">
      <formula>"Towel"</formula>
    </cfRule>
  </conditionalFormatting>
  <conditionalFormatting sqref="B17:C17">
    <cfRule type="cellIs" dxfId="17679" priority="10768" stopIfTrue="1" operator="equal">
      <formula>"Napkin Hs"</formula>
    </cfRule>
  </conditionalFormatting>
  <conditionalFormatting sqref="B17:C17">
    <cfRule type="cellIs" dxfId="17678" priority="10767" stopIfTrue="1" operator="equal">
      <formula>"Towel"</formula>
    </cfRule>
  </conditionalFormatting>
  <conditionalFormatting sqref="C17">
    <cfRule type="cellIs" dxfId="17677" priority="10766" stopIfTrue="1" operator="equal">
      <formula>"Napkin Hs"</formula>
    </cfRule>
  </conditionalFormatting>
  <conditionalFormatting sqref="C17">
    <cfRule type="cellIs" dxfId="17676" priority="10763" stopIfTrue="1" operator="equal">
      <formula>"Towel"</formula>
    </cfRule>
    <cfRule type="cellIs" dxfId="17675" priority="10764" stopIfTrue="1" operator="equal">
      <formula>"Napkin Hs"</formula>
    </cfRule>
  </conditionalFormatting>
  <conditionalFormatting sqref="C17">
    <cfRule type="cellIs" dxfId="17674" priority="10765" stopIfTrue="1" operator="equal">
      <formula>"Towel"</formula>
    </cfRule>
  </conditionalFormatting>
  <conditionalFormatting sqref="B18:C18">
    <cfRule type="cellIs" dxfId="17673" priority="10762" stopIfTrue="1" operator="equal">
      <formula>"Napkin Hs"</formula>
    </cfRule>
  </conditionalFormatting>
  <conditionalFormatting sqref="B18:C18">
    <cfRule type="cellIs" dxfId="17672" priority="10761" stopIfTrue="1" operator="equal">
      <formula>"Towel"</formula>
    </cfRule>
  </conditionalFormatting>
  <conditionalFormatting sqref="C18">
    <cfRule type="cellIs" dxfId="17671" priority="10760" stopIfTrue="1" operator="equal">
      <formula>"Napkin Hs"</formula>
    </cfRule>
  </conditionalFormatting>
  <conditionalFormatting sqref="C18">
    <cfRule type="cellIs" dxfId="17670" priority="10759" stopIfTrue="1" operator="equal">
      <formula>"Towel"</formula>
    </cfRule>
  </conditionalFormatting>
  <conditionalFormatting sqref="C18">
    <cfRule type="cellIs" dxfId="17669" priority="10757" stopIfTrue="1" operator="equal">
      <formula>"Towel"</formula>
    </cfRule>
    <cfRule type="cellIs" dxfId="17668" priority="10758" stopIfTrue="1" operator="equal">
      <formula>"Napkin Hs"</formula>
    </cfRule>
  </conditionalFormatting>
  <conditionalFormatting sqref="B18:C18">
    <cfRule type="cellIs" dxfId="17667" priority="10756" stopIfTrue="1" operator="equal">
      <formula>"Napkin Hs"</formula>
    </cfRule>
  </conditionalFormatting>
  <conditionalFormatting sqref="B18:C18">
    <cfRule type="cellIs" dxfId="17666" priority="10755" stopIfTrue="1" operator="equal">
      <formula>"Towel"</formula>
    </cfRule>
  </conditionalFormatting>
  <conditionalFormatting sqref="C18">
    <cfRule type="cellIs" dxfId="17665" priority="10754" stopIfTrue="1" operator="equal">
      <formula>"Napkin Hs"</formula>
    </cfRule>
  </conditionalFormatting>
  <conditionalFormatting sqref="C18">
    <cfRule type="cellIs" dxfId="17664" priority="10751" stopIfTrue="1" operator="equal">
      <formula>"Towel"</formula>
    </cfRule>
    <cfRule type="cellIs" dxfId="17663" priority="10752" stopIfTrue="1" operator="equal">
      <formula>"Napkin Hs"</formula>
    </cfRule>
  </conditionalFormatting>
  <conditionalFormatting sqref="C18">
    <cfRule type="cellIs" dxfId="17662" priority="10753" stopIfTrue="1" operator="equal">
      <formula>"Towel"</formula>
    </cfRule>
  </conditionalFormatting>
  <conditionalFormatting sqref="B18:C18">
    <cfRule type="cellIs" dxfId="17661" priority="10750" stopIfTrue="1" operator="equal">
      <formula>"Napkin Hs"</formula>
    </cfRule>
  </conditionalFormatting>
  <conditionalFormatting sqref="B18:C18">
    <cfRule type="cellIs" dxfId="17660" priority="10749" stopIfTrue="1" operator="equal">
      <formula>"Towel"</formula>
    </cfRule>
  </conditionalFormatting>
  <conditionalFormatting sqref="C18">
    <cfRule type="cellIs" dxfId="17659" priority="10748" stopIfTrue="1" operator="equal">
      <formula>"Napkin Hs"</formula>
    </cfRule>
  </conditionalFormatting>
  <conditionalFormatting sqref="C18">
    <cfRule type="cellIs" dxfId="17658" priority="10745" stopIfTrue="1" operator="equal">
      <formula>"Towel"</formula>
    </cfRule>
    <cfRule type="cellIs" dxfId="17657" priority="10746" stopIfTrue="1" operator="equal">
      <formula>"Napkin Hs"</formula>
    </cfRule>
  </conditionalFormatting>
  <conditionalFormatting sqref="C18">
    <cfRule type="cellIs" dxfId="17656" priority="10747" stopIfTrue="1" operator="equal">
      <formula>"Towel"</formula>
    </cfRule>
  </conditionalFormatting>
  <conditionalFormatting sqref="B18:C18">
    <cfRule type="cellIs" dxfId="17655" priority="10744" stopIfTrue="1" operator="equal">
      <formula>"Napkin Hs"</formula>
    </cfRule>
  </conditionalFormatting>
  <conditionalFormatting sqref="B18:C18">
    <cfRule type="cellIs" dxfId="17654" priority="10743" stopIfTrue="1" operator="equal">
      <formula>"Towel"</formula>
    </cfRule>
  </conditionalFormatting>
  <conditionalFormatting sqref="C18">
    <cfRule type="cellIs" dxfId="17653" priority="10742" stopIfTrue="1" operator="equal">
      <formula>"Napkin Hs"</formula>
    </cfRule>
  </conditionalFormatting>
  <conditionalFormatting sqref="C18">
    <cfRule type="cellIs" dxfId="17652" priority="10739" stopIfTrue="1" operator="equal">
      <formula>"Towel"</formula>
    </cfRule>
    <cfRule type="cellIs" dxfId="17651" priority="10740" stopIfTrue="1" operator="equal">
      <formula>"Napkin Hs"</formula>
    </cfRule>
  </conditionalFormatting>
  <conditionalFormatting sqref="C18">
    <cfRule type="cellIs" dxfId="17650" priority="10741" stopIfTrue="1" operator="equal">
      <formula>"Towel"</formula>
    </cfRule>
  </conditionalFormatting>
  <conditionalFormatting sqref="B18:C18">
    <cfRule type="cellIs" dxfId="17649" priority="10738" stopIfTrue="1" operator="equal">
      <formula>"Napkin Hs"</formula>
    </cfRule>
  </conditionalFormatting>
  <conditionalFormatting sqref="B18:C18">
    <cfRule type="cellIs" dxfId="17648" priority="10737" stopIfTrue="1" operator="equal">
      <formula>"Towel"</formula>
    </cfRule>
  </conditionalFormatting>
  <conditionalFormatting sqref="C18">
    <cfRule type="cellIs" dxfId="17647" priority="10736" stopIfTrue="1" operator="equal">
      <formula>"Napkin Hs"</formula>
    </cfRule>
  </conditionalFormatting>
  <conditionalFormatting sqref="C18">
    <cfRule type="cellIs" dxfId="17646" priority="10733" stopIfTrue="1" operator="equal">
      <formula>"Towel"</formula>
    </cfRule>
    <cfRule type="cellIs" dxfId="17645" priority="10734" stopIfTrue="1" operator="equal">
      <formula>"Napkin Hs"</formula>
    </cfRule>
  </conditionalFormatting>
  <conditionalFormatting sqref="C18">
    <cfRule type="cellIs" dxfId="17644" priority="10735" stopIfTrue="1" operator="equal">
      <formula>"Towel"</formula>
    </cfRule>
  </conditionalFormatting>
  <conditionalFormatting sqref="B24:C24">
    <cfRule type="cellIs" dxfId="17643" priority="10732" stopIfTrue="1" operator="equal">
      <formula>"Napkin Hs"</formula>
    </cfRule>
  </conditionalFormatting>
  <conditionalFormatting sqref="B24:C24">
    <cfRule type="cellIs" dxfId="17642" priority="10731" stopIfTrue="1" operator="equal">
      <formula>"Towel"</formula>
    </cfRule>
  </conditionalFormatting>
  <conditionalFormatting sqref="C24">
    <cfRule type="cellIs" dxfId="17641" priority="10730" stopIfTrue="1" operator="equal">
      <formula>"Napkin Hs"</formula>
    </cfRule>
  </conditionalFormatting>
  <conditionalFormatting sqref="C24">
    <cfRule type="cellIs" dxfId="17640" priority="10727" stopIfTrue="1" operator="equal">
      <formula>"Towel"</formula>
    </cfRule>
    <cfRule type="cellIs" dxfId="17639" priority="10728" stopIfTrue="1" operator="equal">
      <formula>"Napkin Hs"</formula>
    </cfRule>
  </conditionalFormatting>
  <conditionalFormatting sqref="C24">
    <cfRule type="cellIs" dxfId="17638" priority="10729" stopIfTrue="1" operator="equal">
      <formula>"Towel"</formula>
    </cfRule>
  </conditionalFormatting>
  <conditionalFormatting sqref="B23:C23">
    <cfRule type="cellIs" dxfId="17637" priority="10696" stopIfTrue="1" operator="equal">
      <formula>"Napkin Hs"</formula>
    </cfRule>
  </conditionalFormatting>
  <conditionalFormatting sqref="B23:C23">
    <cfRule type="cellIs" dxfId="17636" priority="10695" stopIfTrue="1" operator="equal">
      <formula>"Towel"</formula>
    </cfRule>
  </conditionalFormatting>
  <conditionalFormatting sqref="C23">
    <cfRule type="cellIs" dxfId="17635" priority="10694" stopIfTrue="1" operator="equal">
      <formula>"Napkin Hs"</formula>
    </cfRule>
  </conditionalFormatting>
  <conditionalFormatting sqref="C23">
    <cfRule type="cellIs" dxfId="17634" priority="10693" stopIfTrue="1" operator="equal">
      <formula>"Towel"</formula>
    </cfRule>
  </conditionalFormatting>
  <conditionalFormatting sqref="C23">
    <cfRule type="cellIs" dxfId="17633" priority="10691" stopIfTrue="1" operator="equal">
      <formula>"Towel"</formula>
    </cfRule>
    <cfRule type="cellIs" dxfId="17632" priority="10692" stopIfTrue="1" operator="equal">
      <formula>"Napkin Hs"</formula>
    </cfRule>
  </conditionalFormatting>
  <conditionalFormatting sqref="B23:C23">
    <cfRule type="cellIs" dxfId="17631" priority="10690" stopIfTrue="1" operator="equal">
      <formula>"Napkin Hs"</formula>
    </cfRule>
  </conditionalFormatting>
  <conditionalFormatting sqref="B23:C23">
    <cfRule type="cellIs" dxfId="17630" priority="10689" stopIfTrue="1" operator="equal">
      <formula>"Towel"</formula>
    </cfRule>
  </conditionalFormatting>
  <conditionalFormatting sqref="C23">
    <cfRule type="cellIs" dxfId="17629" priority="10688" stopIfTrue="1" operator="equal">
      <formula>"Napkin Hs"</formula>
    </cfRule>
  </conditionalFormatting>
  <conditionalFormatting sqref="C23">
    <cfRule type="cellIs" dxfId="17628" priority="10685" stopIfTrue="1" operator="equal">
      <formula>"Towel"</formula>
    </cfRule>
    <cfRule type="cellIs" dxfId="17627" priority="10686" stopIfTrue="1" operator="equal">
      <formula>"Napkin Hs"</formula>
    </cfRule>
  </conditionalFormatting>
  <conditionalFormatting sqref="C23">
    <cfRule type="cellIs" dxfId="17626" priority="10687" stopIfTrue="1" operator="equal">
      <formula>"Towel"</formula>
    </cfRule>
  </conditionalFormatting>
  <conditionalFormatting sqref="B23:C23">
    <cfRule type="cellIs" dxfId="17625" priority="10684" stopIfTrue="1" operator="equal">
      <formula>"Napkin Hs"</formula>
    </cfRule>
  </conditionalFormatting>
  <conditionalFormatting sqref="B23:C23">
    <cfRule type="cellIs" dxfId="17624" priority="10683" stopIfTrue="1" operator="equal">
      <formula>"Towel"</formula>
    </cfRule>
  </conditionalFormatting>
  <conditionalFormatting sqref="C23">
    <cfRule type="cellIs" dxfId="17623" priority="10682" stopIfTrue="1" operator="equal">
      <formula>"Napkin Hs"</formula>
    </cfRule>
  </conditionalFormatting>
  <conditionalFormatting sqref="C23">
    <cfRule type="cellIs" dxfId="17622" priority="10679" stopIfTrue="1" operator="equal">
      <formula>"Towel"</formula>
    </cfRule>
    <cfRule type="cellIs" dxfId="17621" priority="10680" stopIfTrue="1" operator="equal">
      <formula>"Napkin Hs"</formula>
    </cfRule>
  </conditionalFormatting>
  <conditionalFormatting sqref="C23">
    <cfRule type="cellIs" dxfId="17620" priority="10681" stopIfTrue="1" operator="equal">
      <formula>"Towel"</formula>
    </cfRule>
  </conditionalFormatting>
  <conditionalFormatting sqref="B23:C23">
    <cfRule type="cellIs" dxfId="17619" priority="10678" stopIfTrue="1" operator="equal">
      <formula>"Napkin Hs"</formula>
    </cfRule>
  </conditionalFormatting>
  <conditionalFormatting sqref="B23:C23">
    <cfRule type="cellIs" dxfId="17618" priority="10677" stopIfTrue="1" operator="equal">
      <formula>"Towel"</formula>
    </cfRule>
  </conditionalFormatting>
  <conditionalFormatting sqref="C23">
    <cfRule type="cellIs" dxfId="17617" priority="10676" stopIfTrue="1" operator="equal">
      <formula>"Napkin Hs"</formula>
    </cfRule>
  </conditionalFormatting>
  <conditionalFormatting sqref="C23">
    <cfRule type="cellIs" dxfId="17616" priority="10673" stopIfTrue="1" operator="equal">
      <formula>"Towel"</formula>
    </cfRule>
    <cfRule type="cellIs" dxfId="17615" priority="10674" stopIfTrue="1" operator="equal">
      <formula>"Napkin Hs"</formula>
    </cfRule>
  </conditionalFormatting>
  <conditionalFormatting sqref="C23">
    <cfRule type="cellIs" dxfId="17614" priority="10675" stopIfTrue="1" operator="equal">
      <formula>"Towel"</formula>
    </cfRule>
  </conditionalFormatting>
  <conditionalFormatting sqref="B23:C23">
    <cfRule type="cellIs" dxfId="17613" priority="10672" stopIfTrue="1" operator="equal">
      <formula>"Napkin Hs"</formula>
    </cfRule>
  </conditionalFormatting>
  <conditionalFormatting sqref="B23:C23">
    <cfRule type="cellIs" dxfId="17612" priority="10671" stopIfTrue="1" operator="equal">
      <formula>"Towel"</formula>
    </cfRule>
  </conditionalFormatting>
  <conditionalFormatting sqref="C23">
    <cfRule type="cellIs" dxfId="17611" priority="10670" stopIfTrue="1" operator="equal">
      <formula>"Napkin Hs"</formula>
    </cfRule>
  </conditionalFormatting>
  <conditionalFormatting sqref="C23">
    <cfRule type="cellIs" dxfId="17610" priority="10667" stopIfTrue="1" operator="equal">
      <formula>"Towel"</formula>
    </cfRule>
    <cfRule type="cellIs" dxfId="17609" priority="10668" stopIfTrue="1" operator="equal">
      <formula>"Napkin Hs"</formula>
    </cfRule>
  </conditionalFormatting>
  <conditionalFormatting sqref="C23">
    <cfRule type="cellIs" dxfId="17608" priority="10669" stopIfTrue="1" operator="equal">
      <formula>"Towel"</formula>
    </cfRule>
  </conditionalFormatting>
  <conditionalFormatting sqref="B22:C22">
    <cfRule type="cellIs" dxfId="17607" priority="10666" stopIfTrue="1" operator="equal">
      <formula>"Napkin Hs"</formula>
    </cfRule>
  </conditionalFormatting>
  <conditionalFormatting sqref="B22:C22">
    <cfRule type="cellIs" dxfId="17606" priority="10665" stopIfTrue="1" operator="equal">
      <formula>"Towel"</formula>
    </cfRule>
  </conditionalFormatting>
  <conditionalFormatting sqref="C22">
    <cfRule type="cellIs" dxfId="17605" priority="10664" stopIfTrue="1" operator="equal">
      <formula>"Napkin Hs"</formula>
    </cfRule>
  </conditionalFormatting>
  <conditionalFormatting sqref="C22">
    <cfRule type="cellIs" dxfId="17604" priority="10663" stopIfTrue="1" operator="equal">
      <formula>"Towel"</formula>
    </cfRule>
  </conditionalFormatting>
  <conditionalFormatting sqref="C22">
    <cfRule type="cellIs" dxfId="17603" priority="10661" stopIfTrue="1" operator="equal">
      <formula>"Towel"</formula>
    </cfRule>
    <cfRule type="cellIs" dxfId="17602" priority="10662" stopIfTrue="1" operator="equal">
      <formula>"Napkin Hs"</formula>
    </cfRule>
  </conditionalFormatting>
  <conditionalFormatting sqref="B22:C22">
    <cfRule type="cellIs" dxfId="17601" priority="10660" stopIfTrue="1" operator="equal">
      <formula>"Napkin Hs"</formula>
    </cfRule>
  </conditionalFormatting>
  <conditionalFormatting sqref="B22:C22">
    <cfRule type="cellIs" dxfId="17600" priority="10659" stopIfTrue="1" operator="equal">
      <formula>"Towel"</formula>
    </cfRule>
  </conditionalFormatting>
  <conditionalFormatting sqref="C22">
    <cfRule type="cellIs" dxfId="17599" priority="10658" stopIfTrue="1" operator="equal">
      <formula>"Napkin Hs"</formula>
    </cfRule>
  </conditionalFormatting>
  <conditionalFormatting sqref="C22">
    <cfRule type="cellIs" dxfId="17598" priority="10655" stopIfTrue="1" operator="equal">
      <formula>"Towel"</formula>
    </cfRule>
    <cfRule type="cellIs" dxfId="17597" priority="10656" stopIfTrue="1" operator="equal">
      <formula>"Napkin Hs"</formula>
    </cfRule>
  </conditionalFormatting>
  <conditionalFormatting sqref="C22">
    <cfRule type="cellIs" dxfId="17596" priority="10657" stopIfTrue="1" operator="equal">
      <formula>"Towel"</formula>
    </cfRule>
  </conditionalFormatting>
  <conditionalFormatting sqref="B22:C22">
    <cfRule type="cellIs" dxfId="17595" priority="10654" stopIfTrue="1" operator="equal">
      <formula>"Napkin Hs"</formula>
    </cfRule>
  </conditionalFormatting>
  <conditionalFormatting sqref="B22:C22">
    <cfRule type="cellIs" dxfId="17594" priority="10653" stopIfTrue="1" operator="equal">
      <formula>"Towel"</formula>
    </cfRule>
  </conditionalFormatting>
  <conditionalFormatting sqref="C22">
    <cfRule type="cellIs" dxfId="17593" priority="10652" stopIfTrue="1" operator="equal">
      <formula>"Napkin Hs"</formula>
    </cfRule>
  </conditionalFormatting>
  <conditionalFormatting sqref="C22">
    <cfRule type="cellIs" dxfId="17592" priority="10649" stopIfTrue="1" operator="equal">
      <formula>"Towel"</formula>
    </cfRule>
    <cfRule type="cellIs" dxfId="17591" priority="10650" stopIfTrue="1" operator="equal">
      <formula>"Napkin Hs"</formula>
    </cfRule>
  </conditionalFormatting>
  <conditionalFormatting sqref="C22">
    <cfRule type="cellIs" dxfId="17590" priority="10651" stopIfTrue="1" operator="equal">
      <formula>"Towel"</formula>
    </cfRule>
  </conditionalFormatting>
  <conditionalFormatting sqref="B22:C22">
    <cfRule type="cellIs" dxfId="17589" priority="10648" stopIfTrue="1" operator="equal">
      <formula>"Napkin Hs"</formula>
    </cfRule>
  </conditionalFormatting>
  <conditionalFormatting sqref="B22:C22">
    <cfRule type="cellIs" dxfId="17588" priority="10647" stopIfTrue="1" operator="equal">
      <formula>"Towel"</formula>
    </cfRule>
  </conditionalFormatting>
  <conditionalFormatting sqref="C22">
    <cfRule type="cellIs" dxfId="17587" priority="10646" stopIfTrue="1" operator="equal">
      <formula>"Napkin Hs"</formula>
    </cfRule>
  </conditionalFormatting>
  <conditionalFormatting sqref="C22">
    <cfRule type="cellIs" dxfId="17586" priority="10643" stopIfTrue="1" operator="equal">
      <formula>"Towel"</formula>
    </cfRule>
    <cfRule type="cellIs" dxfId="17585" priority="10644" stopIfTrue="1" operator="equal">
      <formula>"Napkin Hs"</formula>
    </cfRule>
  </conditionalFormatting>
  <conditionalFormatting sqref="C22">
    <cfRule type="cellIs" dxfId="17584" priority="10645" stopIfTrue="1" operator="equal">
      <formula>"Towel"</formula>
    </cfRule>
  </conditionalFormatting>
  <conditionalFormatting sqref="B22:C22">
    <cfRule type="cellIs" dxfId="17583" priority="10642" stopIfTrue="1" operator="equal">
      <formula>"Napkin Hs"</formula>
    </cfRule>
  </conditionalFormatting>
  <conditionalFormatting sqref="B22:C22">
    <cfRule type="cellIs" dxfId="17582" priority="10641" stopIfTrue="1" operator="equal">
      <formula>"Towel"</formula>
    </cfRule>
  </conditionalFormatting>
  <conditionalFormatting sqref="C22">
    <cfRule type="cellIs" dxfId="17581" priority="10640" stopIfTrue="1" operator="equal">
      <formula>"Napkin Hs"</formula>
    </cfRule>
  </conditionalFormatting>
  <conditionalFormatting sqref="C22">
    <cfRule type="cellIs" dxfId="17580" priority="10637" stopIfTrue="1" operator="equal">
      <formula>"Towel"</formula>
    </cfRule>
    <cfRule type="cellIs" dxfId="17579" priority="10638" stopIfTrue="1" operator="equal">
      <formula>"Napkin Hs"</formula>
    </cfRule>
  </conditionalFormatting>
  <conditionalFormatting sqref="C22">
    <cfRule type="cellIs" dxfId="17578" priority="10639" stopIfTrue="1" operator="equal">
      <formula>"Towel"</formula>
    </cfRule>
  </conditionalFormatting>
  <conditionalFormatting sqref="B29:C30">
    <cfRule type="cellIs" dxfId="17577" priority="10636" stopIfTrue="1" operator="equal">
      <formula>"Napkin Hs"</formula>
    </cfRule>
  </conditionalFormatting>
  <conditionalFormatting sqref="B29:C30">
    <cfRule type="cellIs" dxfId="17576" priority="10635" stopIfTrue="1" operator="equal">
      <formula>"Towel"</formula>
    </cfRule>
  </conditionalFormatting>
  <conditionalFormatting sqref="C29:C30">
    <cfRule type="cellIs" dxfId="17575" priority="10634" stopIfTrue="1" operator="equal">
      <formula>"Napkin Hs"</formula>
    </cfRule>
  </conditionalFormatting>
  <conditionalFormatting sqref="C29:C30">
    <cfRule type="cellIs" dxfId="17574" priority="10633" stopIfTrue="1" operator="equal">
      <formula>"Towel"</formula>
    </cfRule>
  </conditionalFormatting>
  <conditionalFormatting sqref="C29:C30">
    <cfRule type="cellIs" dxfId="17573" priority="10631" stopIfTrue="1" operator="equal">
      <formula>"Towel"</formula>
    </cfRule>
    <cfRule type="cellIs" dxfId="17572" priority="10632" stopIfTrue="1" operator="equal">
      <formula>"Napkin Hs"</formula>
    </cfRule>
  </conditionalFormatting>
  <conditionalFormatting sqref="B30:C30">
    <cfRule type="cellIs" dxfId="17571" priority="10630" stopIfTrue="1" operator="equal">
      <formula>"Napkin Hs"</formula>
    </cfRule>
  </conditionalFormatting>
  <conditionalFormatting sqref="B30:C30">
    <cfRule type="cellIs" dxfId="17570" priority="10629" stopIfTrue="1" operator="equal">
      <formula>"Towel"</formula>
    </cfRule>
  </conditionalFormatting>
  <conditionalFormatting sqref="C30">
    <cfRule type="cellIs" dxfId="17569" priority="10628" stopIfTrue="1" operator="equal">
      <formula>"Napkin Hs"</formula>
    </cfRule>
  </conditionalFormatting>
  <conditionalFormatting sqref="C30">
    <cfRule type="cellIs" dxfId="17568" priority="10625" stopIfTrue="1" operator="equal">
      <formula>"Towel"</formula>
    </cfRule>
    <cfRule type="cellIs" dxfId="17567" priority="10626" stopIfTrue="1" operator="equal">
      <formula>"Napkin Hs"</formula>
    </cfRule>
  </conditionalFormatting>
  <conditionalFormatting sqref="C30">
    <cfRule type="cellIs" dxfId="17566" priority="10627" stopIfTrue="1" operator="equal">
      <formula>"Towel"</formula>
    </cfRule>
  </conditionalFormatting>
  <conditionalFormatting sqref="B29:C29">
    <cfRule type="cellIs" dxfId="17565" priority="10624" stopIfTrue="1" operator="equal">
      <formula>"Napkin Hs"</formula>
    </cfRule>
  </conditionalFormatting>
  <conditionalFormatting sqref="B29:C29">
    <cfRule type="cellIs" dxfId="17564" priority="10623" stopIfTrue="1" operator="equal">
      <formula>"Towel"</formula>
    </cfRule>
  </conditionalFormatting>
  <conditionalFormatting sqref="C29">
    <cfRule type="cellIs" dxfId="17563" priority="10622" stopIfTrue="1" operator="equal">
      <formula>"Napkin Hs"</formula>
    </cfRule>
  </conditionalFormatting>
  <conditionalFormatting sqref="C29">
    <cfRule type="cellIs" dxfId="17562" priority="10619" stopIfTrue="1" operator="equal">
      <formula>"Towel"</formula>
    </cfRule>
    <cfRule type="cellIs" dxfId="17561" priority="10620" stopIfTrue="1" operator="equal">
      <formula>"Napkin Hs"</formula>
    </cfRule>
  </conditionalFormatting>
  <conditionalFormatting sqref="C29">
    <cfRule type="cellIs" dxfId="17560" priority="10621" stopIfTrue="1" operator="equal">
      <formula>"Towel"</formula>
    </cfRule>
  </conditionalFormatting>
  <conditionalFormatting sqref="B28:C28">
    <cfRule type="cellIs" dxfId="17559" priority="10618" stopIfTrue="1" operator="equal">
      <formula>"Napkin Hs"</formula>
    </cfRule>
  </conditionalFormatting>
  <conditionalFormatting sqref="B28:C28">
    <cfRule type="cellIs" dxfId="17558" priority="10617" stopIfTrue="1" operator="equal">
      <formula>"Towel"</formula>
    </cfRule>
  </conditionalFormatting>
  <conditionalFormatting sqref="C28">
    <cfRule type="cellIs" dxfId="17557" priority="10616" stopIfTrue="1" operator="equal">
      <formula>"Napkin Hs"</formula>
    </cfRule>
  </conditionalFormatting>
  <conditionalFormatting sqref="C28">
    <cfRule type="cellIs" dxfId="17556" priority="10613" stopIfTrue="1" operator="equal">
      <formula>"Towel"</formula>
    </cfRule>
    <cfRule type="cellIs" dxfId="17555" priority="10614" stopIfTrue="1" operator="equal">
      <formula>"Napkin Hs"</formula>
    </cfRule>
  </conditionalFormatting>
  <conditionalFormatting sqref="C28">
    <cfRule type="cellIs" dxfId="17554" priority="10615" stopIfTrue="1" operator="equal">
      <formula>"Towel"</formula>
    </cfRule>
  </conditionalFormatting>
  <conditionalFormatting sqref="B27:C27">
    <cfRule type="cellIs" dxfId="17553" priority="10612" stopIfTrue="1" operator="equal">
      <formula>"Napkin Hs"</formula>
    </cfRule>
  </conditionalFormatting>
  <conditionalFormatting sqref="B27:C27">
    <cfRule type="cellIs" dxfId="17552" priority="10611" stopIfTrue="1" operator="equal">
      <formula>"Towel"</formula>
    </cfRule>
  </conditionalFormatting>
  <conditionalFormatting sqref="C27">
    <cfRule type="cellIs" dxfId="17551" priority="10610" stopIfTrue="1" operator="equal">
      <formula>"Napkin Hs"</formula>
    </cfRule>
  </conditionalFormatting>
  <conditionalFormatting sqref="C27">
    <cfRule type="cellIs" dxfId="17550" priority="10609" stopIfTrue="1" operator="equal">
      <formula>"Towel"</formula>
    </cfRule>
  </conditionalFormatting>
  <conditionalFormatting sqref="C27">
    <cfRule type="cellIs" dxfId="17549" priority="10607" stopIfTrue="1" operator="equal">
      <formula>"Towel"</formula>
    </cfRule>
    <cfRule type="cellIs" dxfId="17548" priority="10608" stopIfTrue="1" operator="equal">
      <formula>"Napkin Hs"</formula>
    </cfRule>
  </conditionalFormatting>
  <conditionalFormatting sqref="B27:C27">
    <cfRule type="cellIs" dxfId="17547" priority="10606" stopIfTrue="1" operator="equal">
      <formula>"Napkin Hs"</formula>
    </cfRule>
  </conditionalFormatting>
  <conditionalFormatting sqref="B27:C27">
    <cfRule type="cellIs" dxfId="17546" priority="10605" stopIfTrue="1" operator="equal">
      <formula>"Towel"</formula>
    </cfRule>
  </conditionalFormatting>
  <conditionalFormatting sqref="C27">
    <cfRule type="cellIs" dxfId="17545" priority="10604" stopIfTrue="1" operator="equal">
      <formula>"Napkin Hs"</formula>
    </cfRule>
  </conditionalFormatting>
  <conditionalFormatting sqref="C27">
    <cfRule type="cellIs" dxfId="17544" priority="10601" stopIfTrue="1" operator="equal">
      <formula>"Towel"</formula>
    </cfRule>
    <cfRule type="cellIs" dxfId="17543" priority="10602" stopIfTrue="1" operator="equal">
      <formula>"Napkin Hs"</formula>
    </cfRule>
  </conditionalFormatting>
  <conditionalFormatting sqref="C27">
    <cfRule type="cellIs" dxfId="17542" priority="10603" stopIfTrue="1" operator="equal">
      <formula>"Towel"</formula>
    </cfRule>
  </conditionalFormatting>
  <conditionalFormatting sqref="B27:C27">
    <cfRule type="cellIs" dxfId="17541" priority="10600" stopIfTrue="1" operator="equal">
      <formula>"Napkin Hs"</formula>
    </cfRule>
  </conditionalFormatting>
  <conditionalFormatting sqref="B27:C27">
    <cfRule type="cellIs" dxfId="17540" priority="10599" stopIfTrue="1" operator="equal">
      <formula>"Towel"</formula>
    </cfRule>
  </conditionalFormatting>
  <conditionalFormatting sqref="C27">
    <cfRule type="cellIs" dxfId="17539" priority="10598" stopIfTrue="1" operator="equal">
      <formula>"Napkin Hs"</formula>
    </cfRule>
  </conditionalFormatting>
  <conditionalFormatting sqref="C27">
    <cfRule type="cellIs" dxfId="17538" priority="10595" stopIfTrue="1" operator="equal">
      <formula>"Towel"</formula>
    </cfRule>
    <cfRule type="cellIs" dxfId="17537" priority="10596" stopIfTrue="1" operator="equal">
      <formula>"Napkin Hs"</formula>
    </cfRule>
  </conditionalFormatting>
  <conditionalFormatting sqref="C27">
    <cfRule type="cellIs" dxfId="17536" priority="10597" stopIfTrue="1" operator="equal">
      <formula>"Towel"</formula>
    </cfRule>
  </conditionalFormatting>
  <conditionalFormatting sqref="B27:C27">
    <cfRule type="cellIs" dxfId="17535" priority="10594" stopIfTrue="1" operator="equal">
      <formula>"Napkin Hs"</formula>
    </cfRule>
  </conditionalFormatting>
  <conditionalFormatting sqref="B27:C27">
    <cfRule type="cellIs" dxfId="17534" priority="10593" stopIfTrue="1" operator="equal">
      <formula>"Towel"</formula>
    </cfRule>
  </conditionalFormatting>
  <conditionalFormatting sqref="C27">
    <cfRule type="cellIs" dxfId="17533" priority="10592" stopIfTrue="1" operator="equal">
      <formula>"Napkin Hs"</formula>
    </cfRule>
  </conditionalFormatting>
  <conditionalFormatting sqref="C27">
    <cfRule type="cellIs" dxfId="17532" priority="10589" stopIfTrue="1" operator="equal">
      <formula>"Towel"</formula>
    </cfRule>
    <cfRule type="cellIs" dxfId="17531" priority="10590" stopIfTrue="1" operator="equal">
      <formula>"Napkin Hs"</formula>
    </cfRule>
  </conditionalFormatting>
  <conditionalFormatting sqref="C27">
    <cfRule type="cellIs" dxfId="17530" priority="10591" stopIfTrue="1" operator="equal">
      <formula>"Towel"</formula>
    </cfRule>
  </conditionalFormatting>
  <conditionalFormatting sqref="B27:C27">
    <cfRule type="cellIs" dxfId="17529" priority="10588" stopIfTrue="1" operator="equal">
      <formula>"Napkin Hs"</formula>
    </cfRule>
  </conditionalFormatting>
  <conditionalFormatting sqref="B27:C27">
    <cfRule type="cellIs" dxfId="17528" priority="10587" stopIfTrue="1" operator="equal">
      <formula>"Towel"</formula>
    </cfRule>
  </conditionalFormatting>
  <conditionalFormatting sqref="C27">
    <cfRule type="cellIs" dxfId="17527" priority="10586" stopIfTrue="1" operator="equal">
      <formula>"Napkin Hs"</formula>
    </cfRule>
  </conditionalFormatting>
  <conditionalFormatting sqref="C27">
    <cfRule type="cellIs" dxfId="17526" priority="10583" stopIfTrue="1" operator="equal">
      <formula>"Towel"</formula>
    </cfRule>
    <cfRule type="cellIs" dxfId="17525" priority="10584" stopIfTrue="1" operator="equal">
      <formula>"Napkin Hs"</formula>
    </cfRule>
  </conditionalFormatting>
  <conditionalFormatting sqref="C27">
    <cfRule type="cellIs" dxfId="17524" priority="10585" stopIfTrue="1" operator="equal">
      <formula>"Towel"</formula>
    </cfRule>
  </conditionalFormatting>
  <conditionalFormatting sqref="B26:C26">
    <cfRule type="cellIs" dxfId="17523" priority="10582" stopIfTrue="1" operator="equal">
      <formula>"Napkin Hs"</formula>
    </cfRule>
  </conditionalFormatting>
  <conditionalFormatting sqref="B26:C26">
    <cfRule type="cellIs" dxfId="17522" priority="10581" stopIfTrue="1" operator="equal">
      <formula>"Towel"</formula>
    </cfRule>
  </conditionalFormatting>
  <conditionalFormatting sqref="C26">
    <cfRule type="cellIs" dxfId="17521" priority="10580" stopIfTrue="1" operator="equal">
      <formula>"Napkin Hs"</formula>
    </cfRule>
  </conditionalFormatting>
  <conditionalFormatting sqref="C26">
    <cfRule type="cellIs" dxfId="17520" priority="10579" stopIfTrue="1" operator="equal">
      <formula>"Towel"</formula>
    </cfRule>
  </conditionalFormatting>
  <conditionalFormatting sqref="C26">
    <cfRule type="cellIs" dxfId="17519" priority="10577" stopIfTrue="1" operator="equal">
      <formula>"Towel"</formula>
    </cfRule>
    <cfRule type="cellIs" dxfId="17518" priority="10578" stopIfTrue="1" operator="equal">
      <formula>"Napkin Hs"</formula>
    </cfRule>
  </conditionalFormatting>
  <conditionalFormatting sqref="B26:C26">
    <cfRule type="cellIs" dxfId="17517" priority="10576" stopIfTrue="1" operator="equal">
      <formula>"Napkin Hs"</formula>
    </cfRule>
  </conditionalFormatting>
  <conditionalFormatting sqref="B26:C26">
    <cfRule type="cellIs" dxfId="17516" priority="10575" stopIfTrue="1" operator="equal">
      <formula>"Towel"</formula>
    </cfRule>
  </conditionalFormatting>
  <conditionalFormatting sqref="C26">
    <cfRule type="cellIs" dxfId="17515" priority="10574" stopIfTrue="1" operator="equal">
      <formula>"Napkin Hs"</formula>
    </cfRule>
  </conditionalFormatting>
  <conditionalFormatting sqref="C26">
    <cfRule type="cellIs" dxfId="17514" priority="10571" stopIfTrue="1" operator="equal">
      <formula>"Towel"</formula>
    </cfRule>
    <cfRule type="cellIs" dxfId="17513" priority="10572" stopIfTrue="1" operator="equal">
      <formula>"Napkin Hs"</formula>
    </cfRule>
  </conditionalFormatting>
  <conditionalFormatting sqref="C26">
    <cfRule type="cellIs" dxfId="17512" priority="10573" stopIfTrue="1" operator="equal">
      <formula>"Towel"</formula>
    </cfRule>
  </conditionalFormatting>
  <conditionalFormatting sqref="B26:C26">
    <cfRule type="cellIs" dxfId="17511" priority="10570" stopIfTrue="1" operator="equal">
      <formula>"Napkin Hs"</formula>
    </cfRule>
  </conditionalFormatting>
  <conditionalFormatting sqref="B26:C26">
    <cfRule type="cellIs" dxfId="17510" priority="10569" stopIfTrue="1" operator="equal">
      <formula>"Towel"</formula>
    </cfRule>
  </conditionalFormatting>
  <conditionalFormatting sqref="C26">
    <cfRule type="cellIs" dxfId="17509" priority="10568" stopIfTrue="1" operator="equal">
      <formula>"Napkin Hs"</formula>
    </cfRule>
  </conditionalFormatting>
  <conditionalFormatting sqref="C26">
    <cfRule type="cellIs" dxfId="17508" priority="10565" stopIfTrue="1" operator="equal">
      <formula>"Towel"</formula>
    </cfRule>
    <cfRule type="cellIs" dxfId="17507" priority="10566" stopIfTrue="1" operator="equal">
      <formula>"Napkin Hs"</formula>
    </cfRule>
  </conditionalFormatting>
  <conditionalFormatting sqref="C26">
    <cfRule type="cellIs" dxfId="17506" priority="10567" stopIfTrue="1" operator="equal">
      <formula>"Towel"</formula>
    </cfRule>
  </conditionalFormatting>
  <conditionalFormatting sqref="B26:C26">
    <cfRule type="cellIs" dxfId="17505" priority="10564" stopIfTrue="1" operator="equal">
      <formula>"Napkin Hs"</formula>
    </cfRule>
  </conditionalFormatting>
  <conditionalFormatting sqref="B26:C26">
    <cfRule type="cellIs" dxfId="17504" priority="10563" stopIfTrue="1" operator="equal">
      <formula>"Towel"</formula>
    </cfRule>
  </conditionalFormatting>
  <conditionalFormatting sqref="C26">
    <cfRule type="cellIs" dxfId="17503" priority="10562" stopIfTrue="1" operator="equal">
      <formula>"Napkin Hs"</formula>
    </cfRule>
  </conditionalFormatting>
  <conditionalFormatting sqref="C26">
    <cfRule type="cellIs" dxfId="17502" priority="10559" stopIfTrue="1" operator="equal">
      <formula>"Towel"</formula>
    </cfRule>
    <cfRule type="cellIs" dxfId="17501" priority="10560" stopIfTrue="1" operator="equal">
      <formula>"Napkin Hs"</formula>
    </cfRule>
  </conditionalFormatting>
  <conditionalFormatting sqref="C26">
    <cfRule type="cellIs" dxfId="17500" priority="10561" stopIfTrue="1" operator="equal">
      <formula>"Towel"</formula>
    </cfRule>
  </conditionalFormatting>
  <conditionalFormatting sqref="B26:C26">
    <cfRule type="cellIs" dxfId="17499" priority="10558" stopIfTrue="1" operator="equal">
      <formula>"Napkin Hs"</formula>
    </cfRule>
  </conditionalFormatting>
  <conditionalFormatting sqref="B26:C26">
    <cfRule type="cellIs" dxfId="17498" priority="10557" stopIfTrue="1" operator="equal">
      <formula>"Towel"</formula>
    </cfRule>
  </conditionalFormatting>
  <conditionalFormatting sqref="C26">
    <cfRule type="cellIs" dxfId="17497" priority="10556" stopIfTrue="1" operator="equal">
      <formula>"Napkin Hs"</formula>
    </cfRule>
  </conditionalFormatting>
  <conditionalFormatting sqref="C26">
    <cfRule type="cellIs" dxfId="17496" priority="10553" stopIfTrue="1" operator="equal">
      <formula>"Towel"</formula>
    </cfRule>
    <cfRule type="cellIs" dxfId="17495" priority="10554" stopIfTrue="1" operator="equal">
      <formula>"Napkin Hs"</formula>
    </cfRule>
  </conditionalFormatting>
  <conditionalFormatting sqref="C26">
    <cfRule type="cellIs" dxfId="17494" priority="10555" stopIfTrue="1" operator="equal">
      <formula>"Towel"</formula>
    </cfRule>
  </conditionalFormatting>
  <conditionalFormatting sqref="B30:C30">
    <cfRule type="cellIs" dxfId="17493" priority="10552" stopIfTrue="1" operator="equal">
      <formula>"Napkin Hs"</formula>
    </cfRule>
  </conditionalFormatting>
  <conditionalFormatting sqref="B30:C30">
    <cfRule type="cellIs" dxfId="17492" priority="10551" stopIfTrue="1" operator="equal">
      <formula>"Towel"</formula>
    </cfRule>
  </conditionalFormatting>
  <conditionalFormatting sqref="C30">
    <cfRule type="cellIs" dxfId="17491" priority="10550" stopIfTrue="1" operator="equal">
      <formula>"Napkin Hs"</formula>
    </cfRule>
  </conditionalFormatting>
  <conditionalFormatting sqref="C30">
    <cfRule type="cellIs" dxfId="17490" priority="10549" stopIfTrue="1" operator="equal">
      <formula>"Towel"</formula>
    </cfRule>
  </conditionalFormatting>
  <conditionalFormatting sqref="C30">
    <cfRule type="cellIs" dxfId="17489" priority="10547" stopIfTrue="1" operator="equal">
      <formula>"Towel"</formula>
    </cfRule>
    <cfRule type="cellIs" dxfId="17488" priority="10548" stopIfTrue="1" operator="equal">
      <formula>"Napkin Hs"</formula>
    </cfRule>
  </conditionalFormatting>
  <conditionalFormatting sqref="B33:C33">
    <cfRule type="cellIs" dxfId="17487" priority="10546" stopIfTrue="1" operator="equal">
      <formula>"Napkin Hs"</formula>
    </cfRule>
  </conditionalFormatting>
  <conditionalFormatting sqref="B33:C33">
    <cfRule type="cellIs" dxfId="17486" priority="10545" stopIfTrue="1" operator="equal">
      <formula>"Towel"</formula>
    </cfRule>
  </conditionalFormatting>
  <conditionalFormatting sqref="C33">
    <cfRule type="cellIs" dxfId="17485" priority="10544" stopIfTrue="1" operator="equal">
      <formula>"Napkin Hs"</formula>
    </cfRule>
  </conditionalFormatting>
  <conditionalFormatting sqref="C33">
    <cfRule type="cellIs" dxfId="17484" priority="10541" stopIfTrue="1" operator="equal">
      <formula>"Towel"</formula>
    </cfRule>
    <cfRule type="cellIs" dxfId="17483" priority="10542" stopIfTrue="1" operator="equal">
      <formula>"Napkin Hs"</formula>
    </cfRule>
  </conditionalFormatting>
  <conditionalFormatting sqref="C33">
    <cfRule type="cellIs" dxfId="17482" priority="10543" stopIfTrue="1" operator="equal">
      <formula>"Towel"</formula>
    </cfRule>
  </conditionalFormatting>
  <conditionalFormatting sqref="B31:C31">
    <cfRule type="cellIs" dxfId="17481" priority="10540" stopIfTrue="1" operator="equal">
      <formula>"Napkin Hs"</formula>
    </cfRule>
  </conditionalFormatting>
  <conditionalFormatting sqref="B31:C31">
    <cfRule type="cellIs" dxfId="17480" priority="10539" stopIfTrue="1" operator="equal">
      <formula>"Towel"</formula>
    </cfRule>
  </conditionalFormatting>
  <conditionalFormatting sqref="C31">
    <cfRule type="cellIs" dxfId="17479" priority="10538" stopIfTrue="1" operator="equal">
      <formula>"Napkin Hs"</formula>
    </cfRule>
  </conditionalFormatting>
  <conditionalFormatting sqref="C31">
    <cfRule type="cellIs" dxfId="17478" priority="10535" stopIfTrue="1" operator="equal">
      <formula>"Towel"</formula>
    </cfRule>
    <cfRule type="cellIs" dxfId="17477" priority="10536" stopIfTrue="1" operator="equal">
      <formula>"Napkin Hs"</formula>
    </cfRule>
  </conditionalFormatting>
  <conditionalFormatting sqref="C31">
    <cfRule type="cellIs" dxfId="17476" priority="10537" stopIfTrue="1" operator="equal">
      <formula>"Towel"</formula>
    </cfRule>
  </conditionalFormatting>
  <conditionalFormatting sqref="B33:C33">
    <cfRule type="cellIs" dxfId="17475" priority="10534" stopIfTrue="1" operator="equal">
      <formula>"Napkin Hs"</formula>
    </cfRule>
  </conditionalFormatting>
  <conditionalFormatting sqref="B33:C33">
    <cfRule type="cellIs" dxfId="17474" priority="10533" stopIfTrue="1" operator="equal">
      <formula>"Towel"</formula>
    </cfRule>
  </conditionalFormatting>
  <conditionalFormatting sqref="C33">
    <cfRule type="cellIs" dxfId="17473" priority="10532" stopIfTrue="1" operator="equal">
      <formula>"Napkin Hs"</formula>
    </cfRule>
  </conditionalFormatting>
  <conditionalFormatting sqref="C33">
    <cfRule type="cellIs" dxfId="17472" priority="10531" stopIfTrue="1" operator="equal">
      <formula>"Towel"</formula>
    </cfRule>
  </conditionalFormatting>
  <conditionalFormatting sqref="C33">
    <cfRule type="cellIs" dxfId="17471" priority="10529" stopIfTrue="1" operator="equal">
      <formula>"Towel"</formula>
    </cfRule>
    <cfRule type="cellIs" dxfId="17470" priority="10530" stopIfTrue="1" operator="equal">
      <formula>"Napkin Hs"</formula>
    </cfRule>
  </conditionalFormatting>
  <conditionalFormatting sqref="B31:C31">
    <cfRule type="cellIs" dxfId="17469" priority="10528" stopIfTrue="1" operator="equal">
      <formula>"Napkin Hs"</formula>
    </cfRule>
  </conditionalFormatting>
  <conditionalFormatting sqref="B31:C31">
    <cfRule type="cellIs" dxfId="17468" priority="10527" stopIfTrue="1" operator="equal">
      <formula>"Towel"</formula>
    </cfRule>
  </conditionalFormatting>
  <conditionalFormatting sqref="C31">
    <cfRule type="cellIs" dxfId="17467" priority="10526" stopIfTrue="1" operator="equal">
      <formula>"Napkin Hs"</formula>
    </cfRule>
  </conditionalFormatting>
  <conditionalFormatting sqref="C31">
    <cfRule type="cellIs" dxfId="17466" priority="10523" stopIfTrue="1" operator="equal">
      <formula>"Towel"</formula>
    </cfRule>
    <cfRule type="cellIs" dxfId="17465" priority="10524" stopIfTrue="1" operator="equal">
      <formula>"Napkin Hs"</formula>
    </cfRule>
  </conditionalFormatting>
  <conditionalFormatting sqref="C31">
    <cfRule type="cellIs" dxfId="17464" priority="10525" stopIfTrue="1" operator="equal">
      <formula>"Towel"</formula>
    </cfRule>
  </conditionalFormatting>
  <conditionalFormatting sqref="B30:C30">
    <cfRule type="cellIs" dxfId="17463" priority="10522" stopIfTrue="1" operator="equal">
      <formula>"Napkin Hs"</formula>
    </cfRule>
  </conditionalFormatting>
  <conditionalFormatting sqref="B30:C30">
    <cfRule type="cellIs" dxfId="17462" priority="10521" stopIfTrue="1" operator="equal">
      <formula>"Towel"</formula>
    </cfRule>
  </conditionalFormatting>
  <conditionalFormatting sqref="C30">
    <cfRule type="cellIs" dxfId="17461" priority="10520" stopIfTrue="1" operator="equal">
      <formula>"Napkin Hs"</formula>
    </cfRule>
  </conditionalFormatting>
  <conditionalFormatting sqref="C30">
    <cfRule type="cellIs" dxfId="17460" priority="10517" stopIfTrue="1" operator="equal">
      <formula>"Towel"</formula>
    </cfRule>
    <cfRule type="cellIs" dxfId="17459" priority="10518" stopIfTrue="1" operator="equal">
      <formula>"Napkin Hs"</formula>
    </cfRule>
  </conditionalFormatting>
  <conditionalFormatting sqref="C30">
    <cfRule type="cellIs" dxfId="17458" priority="10519" stopIfTrue="1" operator="equal">
      <formula>"Towel"</formula>
    </cfRule>
  </conditionalFormatting>
  <conditionalFormatting sqref="B32:C32">
    <cfRule type="cellIs" dxfId="17457" priority="10516" stopIfTrue="1" operator="equal">
      <formula>"Napkin Hs"</formula>
    </cfRule>
  </conditionalFormatting>
  <conditionalFormatting sqref="B32:C32">
    <cfRule type="cellIs" dxfId="17456" priority="10515" stopIfTrue="1" operator="equal">
      <formula>"Towel"</formula>
    </cfRule>
  </conditionalFormatting>
  <conditionalFormatting sqref="C32">
    <cfRule type="cellIs" dxfId="17455" priority="10514" stopIfTrue="1" operator="equal">
      <formula>"Napkin Hs"</formula>
    </cfRule>
  </conditionalFormatting>
  <conditionalFormatting sqref="C32">
    <cfRule type="cellIs" dxfId="17454" priority="10511" stopIfTrue="1" operator="equal">
      <formula>"Towel"</formula>
    </cfRule>
    <cfRule type="cellIs" dxfId="17453" priority="10512" stopIfTrue="1" operator="equal">
      <formula>"Napkin Hs"</formula>
    </cfRule>
  </conditionalFormatting>
  <conditionalFormatting sqref="C32">
    <cfRule type="cellIs" dxfId="17452" priority="10513" stopIfTrue="1" operator="equal">
      <formula>"Towel"</formula>
    </cfRule>
  </conditionalFormatting>
  <conditionalFormatting sqref="B32:C32">
    <cfRule type="cellIs" dxfId="17451" priority="10510" stopIfTrue="1" operator="equal">
      <formula>"Napkin Hs"</formula>
    </cfRule>
  </conditionalFormatting>
  <conditionalFormatting sqref="B32:C32">
    <cfRule type="cellIs" dxfId="17450" priority="10509" stopIfTrue="1" operator="equal">
      <formula>"Towel"</formula>
    </cfRule>
  </conditionalFormatting>
  <conditionalFormatting sqref="C32">
    <cfRule type="cellIs" dxfId="17449" priority="10508" stopIfTrue="1" operator="equal">
      <formula>"Napkin Hs"</formula>
    </cfRule>
  </conditionalFormatting>
  <conditionalFormatting sqref="C32">
    <cfRule type="cellIs" dxfId="17448" priority="10505" stopIfTrue="1" operator="equal">
      <formula>"Towel"</formula>
    </cfRule>
    <cfRule type="cellIs" dxfId="17447" priority="10506" stopIfTrue="1" operator="equal">
      <formula>"Napkin Hs"</formula>
    </cfRule>
  </conditionalFormatting>
  <conditionalFormatting sqref="C32">
    <cfRule type="cellIs" dxfId="17446" priority="10507" stopIfTrue="1" operator="equal">
      <formula>"Towel"</formula>
    </cfRule>
  </conditionalFormatting>
  <conditionalFormatting sqref="B34:C34">
    <cfRule type="cellIs" dxfId="17445" priority="10504" stopIfTrue="1" operator="equal">
      <formula>"Napkin Hs"</formula>
    </cfRule>
  </conditionalFormatting>
  <conditionalFormatting sqref="B34:C34">
    <cfRule type="cellIs" dxfId="17444" priority="10503" stopIfTrue="1" operator="equal">
      <formula>"Towel"</formula>
    </cfRule>
  </conditionalFormatting>
  <conditionalFormatting sqref="C34">
    <cfRule type="cellIs" dxfId="17443" priority="10502" stopIfTrue="1" operator="equal">
      <formula>"Napkin Hs"</formula>
    </cfRule>
  </conditionalFormatting>
  <conditionalFormatting sqref="C34">
    <cfRule type="cellIs" dxfId="17442" priority="10501" stopIfTrue="1" operator="equal">
      <formula>"Towel"</formula>
    </cfRule>
  </conditionalFormatting>
  <conditionalFormatting sqref="C34">
    <cfRule type="cellIs" dxfId="17441" priority="10499" stopIfTrue="1" operator="equal">
      <formula>"Towel"</formula>
    </cfRule>
    <cfRule type="cellIs" dxfId="17440" priority="10500" stopIfTrue="1" operator="equal">
      <formula>"Napkin Hs"</formula>
    </cfRule>
  </conditionalFormatting>
  <conditionalFormatting sqref="B34:C34">
    <cfRule type="cellIs" dxfId="17439" priority="10498" stopIfTrue="1" operator="equal">
      <formula>"Napkin Hs"</formula>
    </cfRule>
  </conditionalFormatting>
  <conditionalFormatting sqref="B34:C34">
    <cfRule type="cellIs" dxfId="17438" priority="10497" stopIfTrue="1" operator="equal">
      <formula>"Towel"</formula>
    </cfRule>
  </conditionalFormatting>
  <conditionalFormatting sqref="C34">
    <cfRule type="cellIs" dxfId="17437" priority="10496" stopIfTrue="1" operator="equal">
      <formula>"Napkin Hs"</formula>
    </cfRule>
  </conditionalFormatting>
  <conditionalFormatting sqref="C34">
    <cfRule type="cellIs" dxfId="17436" priority="10493" stopIfTrue="1" operator="equal">
      <formula>"Towel"</formula>
    </cfRule>
    <cfRule type="cellIs" dxfId="17435" priority="10494" stopIfTrue="1" operator="equal">
      <formula>"Napkin Hs"</formula>
    </cfRule>
  </conditionalFormatting>
  <conditionalFormatting sqref="C34">
    <cfRule type="cellIs" dxfId="17434" priority="10495" stopIfTrue="1" operator="equal">
      <formula>"Towel"</formula>
    </cfRule>
  </conditionalFormatting>
  <conditionalFormatting sqref="B33:C34">
    <cfRule type="cellIs" dxfId="17433" priority="10492" stopIfTrue="1" operator="equal">
      <formula>"Napkin Hs"</formula>
    </cfRule>
  </conditionalFormatting>
  <conditionalFormatting sqref="B33:C34">
    <cfRule type="cellIs" dxfId="17432" priority="10491" stopIfTrue="1" operator="equal">
      <formula>"Towel"</formula>
    </cfRule>
  </conditionalFormatting>
  <conditionalFormatting sqref="C33:C34">
    <cfRule type="cellIs" dxfId="17431" priority="10490" stopIfTrue="1" operator="equal">
      <formula>"Napkin Hs"</formula>
    </cfRule>
  </conditionalFormatting>
  <conditionalFormatting sqref="C33:C34">
    <cfRule type="cellIs" dxfId="17430" priority="10489" stopIfTrue="1" operator="equal">
      <formula>"Towel"</formula>
    </cfRule>
  </conditionalFormatting>
  <conditionalFormatting sqref="C33:C34">
    <cfRule type="cellIs" dxfId="17429" priority="10487" stopIfTrue="1" operator="equal">
      <formula>"Towel"</formula>
    </cfRule>
    <cfRule type="cellIs" dxfId="17428" priority="10488" stopIfTrue="1" operator="equal">
      <formula>"Napkin Hs"</formula>
    </cfRule>
  </conditionalFormatting>
  <conditionalFormatting sqref="B34:C34">
    <cfRule type="cellIs" dxfId="17427" priority="10486" stopIfTrue="1" operator="equal">
      <formula>"Napkin Hs"</formula>
    </cfRule>
  </conditionalFormatting>
  <conditionalFormatting sqref="B34:C34">
    <cfRule type="cellIs" dxfId="17426" priority="10485" stopIfTrue="1" operator="equal">
      <formula>"Towel"</formula>
    </cfRule>
  </conditionalFormatting>
  <conditionalFormatting sqref="C34">
    <cfRule type="cellIs" dxfId="17425" priority="10484" stopIfTrue="1" operator="equal">
      <formula>"Napkin Hs"</formula>
    </cfRule>
  </conditionalFormatting>
  <conditionalFormatting sqref="C34">
    <cfRule type="cellIs" dxfId="17424" priority="10481" stopIfTrue="1" operator="equal">
      <formula>"Towel"</formula>
    </cfRule>
    <cfRule type="cellIs" dxfId="17423" priority="10482" stopIfTrue="1" operator="equal">
      <formula>"Napkin Hs"</formula>
    </cfRule>
  </conditionalFormatting>
  <conditionalFormatting sqref="C34">
    <cfRule type="cellIs" dxfId="17422" priority="10483" stopIfTrue="1" operator="equal">
      <formula>"Towel"</formula>
    </cfRule>
  </conditionalFormatting>
  <conditionalFormatting sqref="B33:C33">
    <cfRule type="cellIs" dxfId="17421" priority="10480" stopIfTrue="1" operator="equal">
      <formula>"Napkin Hs"</formula>
    </cfRule>
  </conditionalFormatting>
  <conditionalFormatting sqref="B33:C33">
    <cfRule type="cellIs" dxfId="17420" priority="10479" stopIfTrue="1" operator="equal">
      <formula>"Towel"</formula>
    </cfRule>
  </conditionalFormatting>
  <conditionalFormatting sqref="C33">
    <cfRule type="cellIs" dxfId="17419" priority="10478" stopIfTrue="1" operator="equal">
      <formula>"Napkin Hs"</formula>
    </cfRule>
  </conditionalFormatting>
  <conditionalFormatting sqref="C33">
    <cfRule type="cellIs" dxfId="17418" priority="10475" stopIfTrue="1" operator="equal">
      <formula>"Towel"</formula>
    </cfRule>
    <cfRule type="cellIs" dxfId="17417" priority="10476" stopIfTrue="1" operator="equal">
      <formula>"Napkin Hs"</formula>
    </cfRule>
  </conditionalFormatting>
  <conditionalFormatting sqref="C33">
    <cfRule type="cellIs" dxfId="17416" priority="10477" stopIfTrue="1" operator="equal">
      <formula>"Towel"</formula>
    </cfRule>
  </conditionalFormatting>
  <conditionalFormatting sqref="B32:C32">
    <cfRule type="cellIs" dxfId="17415" priority="10474" stopIfTrue="1" operator="equal">
      <formula>"Napkin Hs"</formula>
    </cfRule>
  </conditionalFormatting>
  <conditionalFormatting sqref="B32:C32">
    <cfRule type="cellIs" dxfId="17414" priority="10473" stopIfTrue="1" operator="equal">
      <formula>"Towel"</formula>
    </cfRule>
  </conditionalFormatting>
  <conditionalFormatting sqref="C32">
    <cfRule type="cellIs" dxfId="17413" priority="10472" stopIfTrue="1" operator="equal">
      <formula>"Napkin Hs"</formula>
    </cfRule>
  </conditionalFormatting>
  <conditionalFormatting sqref="C32">
    <cfRule type="cellIs" dxfId="17412" priority="10469" stopIfTrue="1" operator="equal">
      <formula>"Towel"</formula>
    </cfRule>
    <cfRule type="cellIs" dxfId="17411" priority="10470" stopIfTrue="1" operator="equal">
      <formula>"Napkin Hs"</formula>
    </cfRule>
  </conditionalFormatting>
  <conditionalFormatting sqref="C32">
    <cfRule type="cellIs" dxfId="17410" priority="10471" stopIfTrue="1" operator="equal">
      <formula>"Towel"</formula>
    </cfRule>
  </conditionalFormatting>
  <conditionalFormatting sqref="B31:C31">
    <cfRule type="cellIs" dxfId="17409" priority="10468" stopIfTrue="1" operator="equal">
      <formula>"Napkin Hs"</formula>
    </cfRule>
  </conditionalFormatting>
  <conditionalFormatting sqref="B31:C31">
    <cfRule type="cellIs" dxfId="17408" priority="10467" stopIfTrue="1" operator="equal">
      <formula>"Towel"</formula>
    </cfRule>
  </conditionalFormatting>
  <conditionalFormatting sqref="C31">
    <cfRule type="cellIs" dxfId="17407" priority="10466" stopIfTrue="1" operator="equal">
      <formula>"Napkin Hs"</formula>
    </cfRule>
  </conditionalFormatting>
  <conditionalFormatting sqref="C31">
    <cfRule type="cellIs" dxfId="17406" priority="10465" stopIfTrue="1" operator="equal">
      <formula>"Towel"</formula>
    </cfRule>
  </conditionalFormatting>
  <conditionalFormatting sqref="C31">
    <cfRule type="cellIs" dxfId="17405" priority="10463" stopIfTrue="1" operator="equal">
      <formula>"Towel"</formula>
    </cfRule>
    <cfRule type="cellIs" dxfId="17404" priority="10464" stopIfTrue="1" operator="equal">
      <formula>"Napkin Hs"</formula>
    </cfRule>
  </conditionalFormatting>
  <conditionalFormatting sqref="B31:C31">
    <cfRule type="cellIs" dxfId="17403" priority="10462" stopIfTrue="1" operator="equal">
      <formula>"Napkin Hs"</formula>
    </cfRule>
  </conditionalFormatting>
  <conditionalFormatting sqref="B31:C31">
    <cfRule type="cellIs" dxfId="17402" priority="10461" stopIfTrue="1" operator="equal">
      <formula>"Towel"</formula>
    </cfRule>
  </conditionalFormatting>
  <conditionalFormatting sqref="C31">
    <cfRule type="cellIs" dxfId="17401" priority="10460" stopIfTrue="1" operator="equal">
      <formula>"Napkin Hs"</formula>
    </cfRule>
  </conditionalFormatting>
  <conditionalFormatting sqref="C31">
    <cfRule type="cellIs" dxfId="17400" priority="10457" stopIfTrue="1" operator="equal">
      <formula>"Towel"</formula>
    </cfRule>
    <cfRule type="cellIs" dxfId="17399" priority="10458" stopIfTrue="1" operator="equal">
      <formula>"Napkin Hs"</formula>
    </cfRule>
  </conditionalFormatting>
  <conditionalFormatting sqref="C31">
    <cfRule type="cellIs" dxfId="17398" priority="10459" stopIfTrue="1" operator="equal">
      <formula>"Towel"</formula>
    </cfRule>
  </conditionalFormatting>
  <conditionalFormatting sqref="B31:C31">
    <cfRule type="cellIs" dxfId="17397" priority="10456" stopIfTrue="1" operator="equal">
      <formula>"Napkin Hs"</formula>
    </cfRule>
  </conditionalFormatting>
  <conditionalFormatting sqref="B31:C31">
    <cfRule type="cellIs" dxfId="17396" priority="10455" stopIfTrue="1" operator="equal">
      <formula>"Towel"</formula>
    </cfRule>
  </conditionalFormatting>
  <conditionalFormatting sqref="C31">
    <cfRule type="cellIs" dxfId="17395" priority="10454" stopIfTrue="1" operator="equal">
      <formula>"Napkin Hs"</formula>
    </cfRule>
  </conditionalFormatting>
  <conditionalFormatting sqref="C31">
    <cfRule type="cellIs" dxfId="17394" priority="10451" stopIfTrue="1" operator="equal">
      <formula>"Towel"</formula>
    </cfRule>
    <cfRule type="cellIs" dxfId="17393" priority="10452" stopIfTrue="1" operator="equal">
      <formula>"Napkin Hs"</formula>
    </cfRule>
  </conditionalFormatting>
  <conditionalFormatting sqref="C31">
    <cfRule type="cellIs" dxfId="17392" priority="10453" stopIfTrue="1" operator="equal">
      <formula>"Towel"</formula>
    </cfRule>
  </conditionalFormatting>
  <conditionalFormatting sqref="B31:C31">
    <cfRule type="cellIs" dxfId="17391" priority="10450" stopIfTrue="1" operator="equal">
      <formula>"Napkin Hs"</formula>
    </cfRule>
  </conditionalFormatting>
  <conditionalFormatting sqref="B31:C31">
    <cfRule type="cellIs" dxfId="17390" priority="10449" stopIfTrue="1" operator="equal">
      <formula>"Towel"</formula>
    </cfRule>
  </conditionalFormatting>
  <conditionalFormatting sqref="C31">
    <cfRule type="cellIs" dxfId="17389" priority="10448" stopIfTrue="1" operator="equal">
      <formula>"Napkin Hs"</formula>
    </cfRule>
  </conditionalFormatting>
  <conditionalFormatting sqref="C31">
    <cfRule type="cellIs" dxfId="17388" priority="10445" stopIfTrue="1" operator="equal">
      <formula>"Towel"</formula>
    </cfRule>
    <cfRule type="cellIs" dxfId="17387" priority="10446" stopIfTrue="1" operator="equal">
      <formula>"Napkin Hs"</formula>
    </cfRule>
  </conditionalFormatting>
  <conditionalFormatting sqref="C31">
    <cfRule type="cellIs" dxfId="17386" priority="10447" stopIfTrue="1" operator="equal">
      <formula>"Towel"</formula>
    </cfRule>
  </conditionalFormatting>
  <conditionalFormatting sqref="B31:C31">
    <cfRule type="cellIs" dxfId="17385" priority="10444" stopIfTrue="1" operator="equal">
      <formula>"Napkin Hs"</formula>
    </cfRule>
  </conditionalFormatting>
  <conditionalFormatting sqref="B31:C31">
    <cfRule type="cellIs" dxfId="17384" priority="10443" stopIfTrue="1" operator="equal">
      <formula>"Towel"</formula>
    </cfRule>
  </conditionalFormatting>
  <conditionalFormatting sqref="C31">
    <cfRule type="cellIs" dxfId="17383" priority="10442" stopIfTrue="1" operator="equal">
      <formula>"Napkin Hs"</formula>
    </cfRule>
  </conditionalFormatting>
  <conditionalFormatting sqref="C31">
    <cfRule type="cellIs" dxfId="17382" priority="10439" stopIfTrue="1" operator="equal">
      <formula>"Towel"</formula>
    </cfRule>
    <cfRule type="cellIs" dxfId="17381" priority="10440" stopIfTrue="1" operator="equal">
      <formula>"Napkin Hs"</formula>
    </cfRule>
  </conditionalFormatting>
  <conditionalFormatting sqref="C31">
    <cfRule type="cellIs" dxfId="17380" priority="10441" stopIfTrue="1" operator="equal">
      <formula>"Towel"</formula>
    </cfRule>
  </conditionalFormatting>
  <conditionalFormatting sqref="B30:C30">
    <cfRule type="cellIs" dxfId="17379" priority="10438" stopIfTrue="1" operator="equal">
      <formula>"Napkin Hs"</formula>
    </cfRule>
  </conditionalFormatting>
  <conditionalFormatting sqref="B30:C30">
    <cfRule type="cellIs" dxfId="17378" priority="10437" stopIfTrue="1" operator="equal">
      <formula>"Towel"</formula>
    </cfRule>
  </conditionalFormatting>
  <conditionalFormatting sqref="C30">
    <cfRule type="cellIs" dxfId="17377" priority="10436" stopIfTrue="1" operator="equal">
      <formula>"Napkin Hs"</formula>
    </cfRule>
  </conditionalFormatting>
  <conditionalFormatting sqref="C30">
    <cfRule type="cellIs" dxfId="17376" priority="10435" stopIfTrue="1" operator="equal">
      <formula>"Towel"</formula>
    </cfRule>
  </conditionalFormatting>
  <conditionalFormatting sqref="C30">
    <cfRule type="cellIs" dxfId="17375" priority="10433" stopIfTrue="1" operator="equal">
      <formula>"Towel"</formula>
    </cfRule>
    <cfRule type="cellIs" dxfId="17374" priority="10434" stopIfTrue="1" operator="equal">
      <formula>"Napkin Hs"</formula>
    </cfRule>
  </conditionalFormatting>
  <conditionalFormatting sqref="B30:C30">
    <cfRule type="cellIs" dxfId="17373" priority="10432" stopIfTrue="1" operator="equal">
      <formula>"Napkin Hs"</formula>
    </cfRule>
  </conditionalFormatting>
  <conditionalFormatting sqref="B30:C30">
    <cfRule type="cellIs" dxfId="17372" priority="10431" stopIfTrue="1" operator="equal">
      <formula>"Towel"</formula>
    </cfRule>
  </conditionalFormatting>
  <conditionalFormatting sqref="C30">
    <cfRule type="cellIs" dxfId="17371" priority="10430" stopIfTrue="1" operator="equal">
      <formula>"Napkin Hs"</formula>
    </cfRule>
  </conditionalFormatting>
  <conditionalFormatting sqref="C30">
    <cfRule type="cellIs" dxfId="17370" priority="10427" stopIfTrue="1" operator="equal">
      <formula>"Towel"</formula>
    </cfRule>
    <cfRule type="cellIs" dxfId="17369" priority="10428" stopIfTrue="1" operator="equal">
      <formula>"Napkin Hs"</formula>
    </cfRule>
  </conditionalFormatting>
  <conditionalFormatting sqref="C30">
    <cfRule type="cellIs" dxfId="17368" priority="10429" stopIfTrue="1" operator="equal">
      <formula>"Towel"</formula>
    </cfRule>
  </conditionalFormatting>
  <conditionalFormatting sqref="B30:C30">
    <cfRule type="cellIs" dxfId="17367" priority="10426" stopIfTrue="1" operator="equal">
      <formula>"Napkin Hs"</formula>
    </cfRule>
  </conditionalFormatting>
  <conditionalFormatting sqref="B30:C30">
    <cfRule type="cellIs" dxfId="17366" priority="10425" stopIfTrue="1" operator="equal">
      <formula>"Towel"</formula>
    </cfRule>
  </conditionalFormatting>
  <conditionalFormatting sqref="C30">
    <cfRule type="cellIs" dxfId="17365" priority="10424" stopIfTrue="1" operator="equal">
      <formula>"Napkin Hs"</formula>
    </cfRule>
  </conditionalFormatting>
  <conditionalFormatting sqref="C30">
    <cfRule type="cellIs" dxfId="17364" priority="10421" stopIfTrue="1" operator="equal">
      <formula>"Towel"</formula>
    </cfRule>
    <cfRule type="cellIs" dxfId="17363" priority="10422" stopIfTrue="1" operator="equal">
      <formula>"Napkin Hs"</formula>
    </cfRule>
  </conditionalFormatting>
  <conditionalFormatting sqref="C30">
    <cfRule type="cellIs" dxfId="17362" priority="10423" stopIfTrue="1" operator="equal">
      <formula>"Towel"</formula>
    </cfRule>
  </conditionalFormatting>
  <conditionalFormatting sqref="B30:C30">
    <cfRule type="cellIs" dxfId="17361" priority="10420" stopIfTrue="1" operator="equal">
      <formula>"Napkin Hs"</formula>
    </cfRule>
  </conditionalFormatting>
  <conditionalFormatting sqref="B30:C30">
    <cfRule type="cellIs" dxfId="17360" priority="10419" stopIfTrue="1" operator="equal">
      <formula>"Towel"</formula>
    </cfRule>
  </conditionalFormatting>
  <conditionalFormatting sqref="C30">
    <cfRule type="cellIs" dxfId="17359" priority="10418" stopIfTrue="1" operator="equal">
      <formula>"Napkin Hs"</formula>
    </cfRule>
  </conditionalFormatting>
  <conditionalFormatting sqref="C30">
    <cfRule type="cellIs" dxfId="17358" priority="10415" stopIfTrue="1" operator="equal">
      <formula>"Towel"</formula>
    </cfRule>
    <cfRule type="cellIs" dxfId="17357" priority="10416" stopIfTrue="1" operator="equal">
      <formula>"Napkin Hs"</formula>
    </cfRule>
  </conditionalFormatting>
  <conditionalFormatting sqref="C30">
    <cfRule type="cellIs" dxfId="17356" priority="10417" stopIfTrue="1" operator="equal">
      <formula>"Towel"</formula>
    </cfRule>
  </conditionalFormatting>
  <conditionalFormatting sqref="B30:C30">
    <cfRule type="cellIs" dxfId="17355" priority="10414" stopIfTrue="1" operator="equal">
      <formula>"Napkin Hs"</formula>
    </cfRule>
  </conditionalFormatting>
  <conditionalFormatting sqref="B30:C30">
    <cfRule type="cellIs" dxfId="17354" priority="10413" stopIfTrue="1" operator="equal">
      <formula>"Towel"</formula>
    </cfRule>
  </conditionalFormatting>
  <conditionalFormatting sqref="C30">
    <cfRule type="cellIs" dxfId="17353" priority="10412" stopIfTrue="1" operator="equal">
      <formula>"Napkin Hs"</formula>
    </cfRule>
  </conditionalFormatting>
  <conditionalFormatting sqref="C30">
    <cfRule type="cellIs" dxfId="17352" priority="10409" stopIfTrue="1" operator="equal">
      <formula>"Towel"</formula>
    </cfRule>
    <cfRule type="cellIs" dxfId="17351" priority="10410" stopIfTrue="1" operator="equal">
      <formula>"Napkin Hs"</formula>
    </cfRule>
  </conditionalFormatting>
  <conditionalFormatting sqref="C30">
    <cfRule type="cellIs" dxfId="17350" priority="10411" stopIfTrue="1" operator="equal">
      <formula>"Towel"</formula>
    </cfRule>
  </conditionalFormatting>
  <conditionalFormatting sqref="B35:C35">
    <cfRule type="cellIs" dxfId="17349" priority="10408" stopIfTrue="1" operator="equal">
      <formula>"Napkin Hs"</formula>
    </cfRule>
  </conditionalFormatting>
  <conditionalFormatting sqref="B35:C35">
    <cfRule type="cellIs" dxfId="17348" priority="10407" stopIfTrue="1" operator="equal">
      <formula>"Towel"</formula>
    </cfRule>
  </conditionalFormatting>
  <conditionalFormatting sqref="C35">
    <cfRule type="cellIs" dxfId="17347" priority="10406" stopIfTrue="1" operator="equal">
      <formula>"Napkin Hs"</formula>
    </cfRule>
  </conditionalFormatting>
  <conditionalFormatting sqref="C35">
    <cfRule type="cellIs" dxfId="17346" priority="10405" stopIfTrue="1" operator="equal">
      <formula>"Towel"</formula>
    </cfRule>
  </conditionalFormatting>
  <conditionalFormatting sqref="C35">
    <cfRule type="cellIs" dxfId="17345" priority="10403" stopIfTrue="1" operator="equal">
      <formula>"Towel"</formula>
    </cfRule>
    <cfRule type="cellIs" dxfId="17344" priority="10404" stopIfTrue="1" operator="equal">
      <formula>"Napkin Hs"</formula>
    </cfRule>
  </conditionalFormatting>
  <conditionalFormatting sqref="B35:C35">
    <cfRule type="cellIs" dxfId="17343" priority="10390" stopIfTrue="1" operator="equal">
      <formula>"Napkin Hs"</formula>
    </cfRule>
  </conditionalFormatting>
  <conditionalFormatting sqref="B35:C35">
    <cfRule type="cellIs" dxfId="17342" priority="10389" stopIfTrue="1" operator="equal">
      <formula>"Towel"</formula>
    </cfRule>
  </conditionalFormatting>
  <conditionalFormatting sqref="C35">
    <cfRule type="cellIs" dxfId="17341" priority="10388" stopIfTrue="1" operator="equal">
      <formula>"Napkin Hs"</formula>
    </cfRule>
  </conditionalFormatting>
  <conditionalFormatting sqref="C35">
    <cfRule type="cellIs" dxfId="17340" priority="10385" stopIfTrue="1" operator="equal">
      <formula>"Towel"</formula>
    </cfRule>
    <cfRule type="cellIs" dxfId="17339" priority="10386" stopIfTrue="1" operator="equal">
      <formula>"Napkin Hs"</formula>
    </cfRule>
  </conditionalFormatting>
  <conditionalFormatting sqref="C35">
    <cfRule type="cellIs" dxfId="17338" priority="10387" stopIfTrue="1" operator="equal">
      <formula>"Towel"</formula>
    </cfRule>
  </conditionalFormatting>
  <conditionalFormatting sqref="B35:C35">
    <cfRule type="cellIs" dxfId="17337" priority="10366" stopIfTrue="1" operator="equal">
      <formula>"Napkin Hs"</formula>
    </cfRule>
  </conditionalFormatting>
  <conditionalFormatting sqref="B35:C35">
    <cfRule type="cellIs" dxfId="17336" priority="10365" stopIfTrue="1" operator="equal">
      <formula>"Towel"</formula>
    </cfRule>
  </conditionalFormatting>
  <conditionalFormatting sqref="C35">
    <cfRule type="cellIs" dxfId="17335" priority="10364" stopIfTrue="1" operator="equal">
      <formula>"Napkin Hs"</formula>
    </cfRule>
  </conditionalFormatting>
  <conditionalFormatting sqref="C35">
    <cfRule type="cellIs" dxfId="17334" priority="10363" stopIfTrue="1" operator="equal">
      <formula>"Towel"</formula>
    </cfRule>
  </conditionalFormatting>
  <conditionalFormatting sqref="C35">
    <cfRule type="cellIs" dxfId="17333" priority="10361" stopIfTrue="1" operator="equal">
      <formula>"Towel"</formula>
    </cfRule>
    <cfRule type="cellIs" dxfId="17332" priority="10362" stopIfTrue="1" operator="equal">
      <formula>"Napkin Hs"</formula>
    </cfRule>
  </conditionalFormatting>
  <conditionalFormatting sqref="B35:C35">
    <cfRule type="cellIs" dxfId="17331" priority="10360" stopIfTrue="1" operator="equal">
      <formula>"Napkin Hs"</formula>
    </cfRule>
  </conditionalFormatting>
  <conditionalFormatting sqref="B35:C35">
    <cfRule type="cellIs" dxfId="17330" priority="10359" stopIfTrue="1" operator="equal">
      <formula>"Towel"</formula>
    </cfRule>
  </conditionalFormatting>
  <conditionalFormatting sqref="C35">
    <cfRule type="cellIs" dxfId="17329" priority="10358" stopIfTrue="1" operator="equal">
      <formula>"Napkin Hs"</formula>
    </cfRule>
  </conditionalFormatting>
  <conditionalFormatting sqref="C35">
    <cfRule type="cellIs" dxfId="17328" priority="10355" stopIfTrue="1" operator="equal">
      <formula>"Towel"</formula>
    </cfRule>
    <cfRule type="cellIs" dxfId="17327" priority="10356" stopIfTrue="1" operator="equal">
      <formula>"Napkin Hs"</formula>
    </cfRule>
  </conditionalFormatting>
  <conditionalFormatting sqref="C35">
    <cfRule type="cellIs" dxfId="17326" priority="10357" stopIfTrue="1" operator="equal">
      <formula>"Towel"</formula>
    </cfRule>
  </conditionalFormatting>
  <conditionalFormatting sqref="B35:C35">
    <cfRule type="cellIs" dxfId="17325" priority="10354" stopIfTrue="1" operator="equal">
      <formula>"Napkin Hs"</formula>
    </cfRule>
  </conditionalFormatting>
  <conditionalFormatting sqref="B35:C35">
    <cfRule type="cellIs" dxfId="17324" priority="10353" stopIfTrue="1" operator="equal">
      <formula>"Towel"</formula>
    </cfRule>
  </conditionalFormatting>
  <conditionalFormatting sqref="C35">
    <cfRule type="cellIs" dxfId="17323" priority="10352" stopIfTrue="1" operator="equal">
      <formula>"Napkin Hs"</formula>
    </cfRule>
  </conditionalFormatting>
  <conditionalFormatting sqref="C35">
    <cfRule type="cellIs" dxfId="17322" priority="10351" stopIfTrue="1" operator="equal">
      <formula>"Towel"</formula>
    </cfRule>
  </conditionalFormatting>
  <conditionalFormatting sqref="C35">
    <cfRule type="cellIs" dxfId="17321" priority="10349" stopIfTrue="1" operator="equal">
      <formula>"Towel"</formula>
    </cfRule>
    <cfRule type="cellIs" dxfId="17320" priority="10350" stopIfTrue="1" operator="equal">
      <formula>"Napkin Hs"</formula>
    </cfRule>
  </conditionalFormatting>
  <conditionalFormatting sqref="B35:C35">
    <cfRule type="cellIs" dxfId="17319" priority="10324" stopIfTrue="1" operator="equal">
      <formula>"Napkin Hs"</formula>
    </cfRule>
  </conditionalFormatting>
  <conditionalFormatting sqref="B35:C35">
    <cfRule type="cellIs" dxfId="17318" priority="10323" stopIfTrue="1" operator="equal">
      <formula>"Towel"</formula>
    </cfRule>
  </conditionalFormatting>
  <conditionalFormatting sqref="C35">
    <cfRule type="cellIs" dxfId="17317" priority="10322" stopIfTrue="1" operator="equal">
      <formula>"Napkin Hs"</formula>
    </cfRule>
  </conditionalFormatting>
  <conditionalFormatting sqref="C35">
    <cfRule type="cellIs" dxfId="17316" priority="10319" stopIfTrue="1" operator="equal">
      <formula>"Towel"</formula>
    </cfRule>
    <cfRule type="cellIs" dxfId="17315" priority="10320" stopIfTrue="1" operator="equal">
      <formula>"Napkin Hs"</formula>
    </cfRule>
  </conditionalFormatting>
  <conditionalFormatting sqref="C35">
    <cfRule type="cellIs" dxfId="17314" priority="10321" stopIfTrue="1" operator="equal">
      <formula>"Towel"</formula>
    </cfRule>
  </conditionalFormatting>
  <conditionalFormatting sqref="B35:C35">
    <cfRule type="cellIs" dxfId="17313" priority="10258" stopIfTrue="1" operator="equal">
      <formula>"Napkin Hs"</formula>
    </cfRule>
  </conditionalFormatting>
  <conditionalFormatting sqref="B35:C35">
    <cfRule type="cellIs" dxfId="17312" priority="10257" stopIfTrue="1" operator="equal">
      <formula>"Towel"</formula>
    </cfRule>
  </conditionalFormatting>
  <conditionalFormatting sqref="C35">
    <cfRule type="cellIs" dxfId="17311" priority="10256" stopIfTrue="1" operator="equal">
      <formula>"Napkin Hs"</formula>
    </cfRule>
  </conditionalFormatting>
  <conditionalFormatting sqref="C35">
    <cfRule type="cellIs" dxfId="17310" priority="10255" stopIfTrue="1" operator="equal">
      <formula>"Towel"</formula>
    </cfRule>
  </conditionalFormatting>
  <conditionalFormatting sqref="C35">
    <cfRule type="cellIs" dxfId="17309" priority="10253" stopIfTrue="1" operator="equal">
      <formula>"Towel"</formula>
    </cfRule>
    <cfRule type="cellIs" dxfId="17308" priority="10254" stopIfTrue="1" operator="equal">
      <formula>"Napkin Hs"</formula>
    </cfRule>
  </conditionalFormatting>
  <conditionalFormatting sqref="B35:C35">
    <cfRule type="cellIs" dxfId="17307" priority="10252" stopIfTrue="1" operator="equal">
      <formula>"Napkin Hs"</formula>
    </cfRule>
  </conditionalFormatting>
  <conditionalFormatting sqref="B35:C35">
    <cfRule type="cellIs" dxfId="17306" priority="10251" stopIfTrue="1" operator="equal">
      <formula>"Towel"</formula>
    </cfRule>
  </conditionalFormatting>
  <conditionalFormatting sqref="C35">
    <cfRule type="cellIs" dxfId="17305" priority="10250" stopIfTrue="1" operator="equal">
      <formula>"Napkin Hs"</formula>
    </cfRule>
  </conditionalFormatting>
  <conditionalFormatting sqref="C35">
    <cfRule type="cellIs" dxfId="17304" priority="10247" stopIfTrue="1" operator="equal">
      <formula>"Towel"</formula>
    </cfRule>
    <cfRule type="cellIs" dxfId="17303" priority="10248" stopIfTrue="1" operator="equal">
      <formula>"Napkin Hs"</formula>
    </cfRule>
  </conditionalFormatting>
  <conditionalFormatting sqref="C35">
    <cfRule type="cellIs" dxfId="17302" priority="10249" stopIfTrue="1" operator="equal">
      <formula>"Towel"</formula>
    </cfRule>
  </conditionalFormatting>
  <conditionalFormatting sqref="B35:C35">
    <cfRule type="cellIs" dxfId="17301" priority="10246" stopIfTrue="1" operator="equal">
      <formula>"Napkin Hs"</formula>
    </cfRule>
  </conditionalFormatting>
  <conditionalFormatting sqref="B35:C35">
    <cfRule type="cellIs" dxfId="17300" priority="10245" stopIfTrue="1" operator="equal">
      <formula>"Towel"</formula>
    </cfRule>
  </conditionalFormatting>
  <conditionalFormatting sqref="C35">
    <cfRule type="cellIs" dxfId="17299" priority="10244" stopIfTrue="1" operator="equal">
      <formula>"Napkin Hs"</formula>
    </cfRule>
  </conditionalFormatting>
  <conditionalFormatting sqref="C35">
    <cfRule type="cellIs" dxfId="17298" priority="10241" stopIfTrue="1" operator="equal">
      <formula>"Towel"</formula>
    </cfRule>
    <cfRule type="cellIs" dxfId="17297" priority="10242" stopIfTrue="1" operator="equal">
      <formula>"Napkin Hs"</formula>
    </cfRule>
  </conditionalFormatting>
  <conditionalFormatting sqref="C35">
    <cfRule type="cellIs" dxfId="17296" priority="10243" stopIfTrue="1" operator="equal">
      <formula>"Towel"</formula>
    </cfRule>
  </conditionalFormatting>
  <conditionalFormatting sqref="B35:C35">
    <cfRule type="cellIs" dxfId="17295" priority="10240" stopIfTrue="1" operator="equal">
      <formula>"Napkin Hs"</formula>
    </cfRule>
  </conditionalFormatting>
  <conditionalFormatting sqref="B35:C35">
    <cfRule type="cellIs" dxfId="17294" priority="10239" stopIfTrue="1" operator="equal">
      <formula>"Towel"</formula>
    </cfRule>
  </conditionalFormatting>
  <conditionalFormatting sqref="C35">
    <cfRule type="cellIs" dxfId="17293" priority="10238" stopIfTrue="1" operator="equal">
      <formula>"Napkin Hs"</formula>
    </cfRule>
  </conditionalFormatting>
  <conditionalFormatting sqref="C35">
    <cfRule type="cellIs" dxfId="17292" priority="10235" stopIfTrue="1" operator="equal">
      <formula>"Towel"</formula>
    </cfRule>
    <cfRule type="cellIs" dxfId="17291" priority="10236" stopIfTrue="1" operator="equal">
      <formula>"Napkin Hs"</formula>
    </cfRule>
  </conditionalFormatting>
  <conditionalFormatting sqref="C35">
    <cfRule type="cellIs" dxfId="17290" priority="10237" stopIfTrue="1" operator="equal">
      <formula>"Towel"</formula>
    </cfRule>
  </conditionalFormatting>
  <conditionalFormatting sqref="B35:C35">
    <cfRule type="cellIs" dxfId="17289" priority="10234" stopIfTrue="1" operator="equal">
      <formula>"Napkin Hs"</formula>
    </cfRule>
  </conditionalFormatting>
  <conditionalFormatting sqref="B35:C35">
    <cfRule type="cellIs" dxfId="17288" priority="10233" stopIfTrue="1" operator="equal">
      <formula>"Towel"</formula>
    </cfRule>
  </conditionalFormatting>
  <conditionalFormatting sqref="C35">
    <cfRule type="cellIs" dxfId="17287" priority="10232" stopIfTrue="1" operator="equal">
      <formula>"Napkin Hs"</formula>
    </cfRule>
  </conditionalFormatting>
  <conditionalFormatting sqref="C35">
    <cfRule type="cellIs" dxfId="17286" priority="10229" stopIfTrue="1" operator="equal">
      <formula>"Towel"</formula>
    </cfRule>
    <cfRule type="cellIs" dxfId="17285" priority="10230" stopIfTrue="1" operator="equal">
      <formula>"Napkin Hs"</formula>
    </cfRule>
  </conditionalFormatting>
  <conditionalFormatting sqref="C35">
    <cfRule type="cellIs" dxfId="17284" priority="10231" stopIfTrue="1" operator="equal">
      <formula>"Towel"</formula>
    </cfRule>
  </conditionalFormatting>
  <conditionalFormatting sqref="B36:C38">
    <cfRule type="cellIs" dxfId="17283" priority="10228" stopIfTrue="1" operator="equal">
      <formula>"Napkin Hs"</formula>
    </cfRule>
  </conditionalFormatting>
  <conditionalFormatting sqref="B36:C38">
    <cfRule type="cellIs" dxfId="17282" priority="10227" stopIfTrue="1" operator="equal">
      <formula>"Towel"</formula>
    </cfRule>
  </conditionalFormatting>
  <conditionalFormatting sqref="C36:C38">
    <cfRule type="cellIs" dxfId="17281" priority="10226" stopIfTrue="1" operator="equal">
      <formula>"Napkin Hs"</formula>
    </cfRule>
  </conditionalFormatting>
  <conditionalFormatting sqref="C36:C38">
    <cfRule type="cellIs" dxfId="17280" priority="10225" stopIfTrue="1" operator="equal">
      <formula>"Towel"</formula>
    </cfRule>
  </conditionalFormatting>
  <conditionalFormatting sqref="C36:C38">
    <cfRule type="cellIs" dxfId="17279" priority="10223" stopIfTrue="1" operator="equal">
      <formula>"Towel"</formula>
    </cfRule>
    <cfRule type="cellIs" dxfId="17278" priority="10224" stopIfTrue="1" operator="equal">
      <formula>"Napkin Hs"</formula>
    </cfRule>
  </conditionalFormatting>
  <conditionalFormatting sqref="B36:C38">
    <cfRule type="cellIs" dxfId="17277" priority="10222" stopIfTrue="1" operator="equal">
      <formula>"Napkin Hs"</formula>
    </cfRule>
  </conditionalFormatting>
  <conditionalFormatting sqref="B36:C38">
    <cfRule type="cellIs" dxfId="17276" priority="10221" stopIfTrue="1" operator="equal">
      <formula>"Towel"</formula>
    </cfRule>
  </conditionalFormatting>
  <conditionalFormatting sqref="C36:C38">
    <cfRule type="cellIs" dxfId="17275" priority="10220" stopIfTrue="1" operator="equal">
      <formula>"Napkin Hs"</formula>
    </cfRule>
  </conditionalFormatting>
  <conditionalFormatting sqref="C36:C38">
    <cfRule type="cellIs" dxfId="17274" priority="10217" stopIfTrue="1" operator="equal">
      <formula>"Towel"</formula>
    </cfRule>
    <cfRule type="cellIs" dxfId="17273" priority="10218" stopIfTrue="1" operator="equal">
      <formula>"Napkin Hs"</formula>
    </cfRule>
  </conditionalFormatting>
  <conditionalFormatting sqref="C36:C38">
    <cfRule type="cellIs" dxfId="17272" priority="10219" stopIfTrue="1" operator="equal">
      <formula>"Towel"</formula>
    </cfRule>
  </conditionalFormatting>
  <conditionalFormatting sqref="B36:C38">
    <cfRule type="cellIs" dxfId="17271" priority="10216" stopIfTrue="1" operator="equal">
      <formula>"Napkin Hs"</formula>
    </cfRule>
  </conditionalFormatting>
  <conditionalFormatting sqref="B36:C38">
    <cfRule type="cellIs" dxfId="17270" priority="10215" stopIfTrue="1" operator="equal">
      <formula>"Towel"</formula>
    </cfRule>
  </conditionalFormatting>
  <conditionalFormatting sqref="C36:C38">
    <cfRule type="cellIs" dxfId="17269" priority="10214" stopIfTrue="1" operator="equal">
      <formula>"Napkin Hs"</formula>
    </cfRule>
  </conditionalFormatting>
  <conditionalFormatting sqref="C36:C38">
    <cfRule type="cellIs" dxfId="17268" priority="10213" stopIfTrue="1" operator="equal">
      <formula>"Towel"</formula>
    </cfRule>
  </conditionalFormatting>
  <conditionalFormatting sqref="C36:C38">
    <cfRule type="cellIs" dxfId="17267" priority="10211" stopIfTrue="1" operator="equal">
      <formula>"Towel"</formula>
    </cfRule>
    <cfRule type="cellIs" dxfId="17266" priority="10212" stopIfTrue="1" operator="equal">
      <formula>"Napkin Hs"</formula>
    </cfRule>
  </conditionalFormatting>
  <conditionalFormatting sqref="B36:C38">
    <cfRule type="cellIs" dxfId="17265" priority="10210" stopIfTrue="1" operator="equal">
      <formula>"Napkin Hs"</formula>
    </cfRule>
  </conditionalFormatting>
  <conditionalFormatting sqref="B36:C38">
    <cfRule type="cellIs" dxfId="17264" priority="10209" stopIfTrue="1" operator="equal">
      <formula>"Towel"</formula>
    </cfRule>
  </conditionalFormatting>
  <conditionalFormatting sqref="C36:C38">
    <cfRule type="cellIs" dxfId="17263" priority="10208" stopIfTrue="1" operator="equal">
      <formula>"Napkin Hs"</formula>
    </cfRule>
  </conditionalFormatting>
  <conditionalFormatting sqref="C36:C38">
    <cfRule type="cellIs" dxfId="17262" priority="10205" stopIfTrue="1" operator="equal">
      <formula>"Towel"</formula>
    </cfRule>
    <cfRule type="cellIs" dxfId="17261" priority="10206" stopIfTrue="1" operator="equal">
      <formula>"Napkin Hs"</formula>
    </cfRule>
  </conditionalFormatting>
  <conditionalFormatting sqref="C36:C38">
    <cfRule type="cellIs" dxfId="17260" priority="10207" stopIfTrue="1" operator="equal">
      <formula>"Towel"</formula>
    </cfRule>
  </conditionalFormatting>
  <conditionalFormatting sqref="B36:C38">
    <cfRule type="cellIs" dxfId="17259" priority="10204" stopIfTrue="1" operator="equal">
      <formula>"Napkin Hs"</formula>
    </cfRule>
  </conditionalFormatting>
  <conditionalFormatting sqref="B36:C38">
    <cfRule type="cellIs" dxfId="17258" priority="10203" stopIfTrue="1" operator="equal">
      <formula>"Towel"</formula>
    </cfRule>
  </conditionalFormatting>
  <conditionalFormatting sqref="C36:C38">
    <cfRule type="cellIs" dxfId="17257" priority="10202" stopIfTrue="1" operator="equal">
      <formula>"Napkin Hs"</formula>
    </cfRule>
  </conditionalFormatting>
  <conditionalFormatting sqref="C36:C38">
    <cfRule type="cellIs" dxfId="17256" priority="10201" stopIfTrue="1" operator="equal">
      <formula>"Towel"</formula>
    </cfRule>
  </conditionalFormatting>
  <conditionalFormatting sqref="C36:C38">
    <cfRule type="cellIs" dxfId="17255" priority="10199" stopIfTrue="1" operator="equal">
      <formula>"Towel"</formula>
    </cfRule>
    <cfRule type="cellIs" dxfId="17254" priority="10200" stopIfTrue="1" operator="equal">
      <formula>"Napkin Hs"</formula>
    </cfRule>
  </conditionalFormatting>
  <conditionalFormatting sqref="B36:C38">
    <cfRule type="cellIs" dxfId="17253" priority="10198" stopIfTrue="1" operator="equal">
      <formula>"Napkin Hs"</formula>
    </cfRule>
  </conditionalFormatting>
  <conditionalFormatting sqref="B36:C38">
    <cfRule type="cellIs" dxfId="17252" priority="10197" stopIfTrue="1" operator="equal">
      <formula>"Towel"</formula>
    </cfRule>
  </conditionalFormatting>
  <conditionalFormatting sqref="C36:C38">
    <cfRule type="cellIs" dxfId="17251" priority="10196" stopIfTrue="1" operator="equal">
      <formula>"Napkin Hs"</formula>
    </cfRule>
  </conditionalFormatting>
  <conditionalFormatting sqref="C36:C38">
    <cfRule type="cellIs" dxfId="17250" priority="10193" stopIfTrue="1" operator="equal">
      <formula>"Towel"</formula>
    </cfRule>
    <cfRule type="cellIs" dxfId="17249" priority="10194" stopIfTrue="1" operator="equal">
      <formula>"Napkin Hs"</formula>
    </cfRule>
  </conditionalFormatting>
  <conditionalFormatting sqref="C36:C38">
    <cfRule type="cellIs" dxfId="17248" priority="10195" stopIfTrue="1" operator="equal">
      <formula>"Towel"</formula>
    </cfRule>
  </conditionalFormatting>
  <conditionalFormatting sqref="B36:C38">
    <cfRule type="cellIs" dxfId="17247" priority="10192" stopIfTrue="1" operator="equal">
      <formula>"Napkin Hs"</formula>
    </cfRule>
  </conditionalFormatting>
  <conditionalFormatting sqref="B36:C38">
    <cfRule type="cellIs" dxfId="17246" priority="10191" stopIfTrue="1" operator="equal">
      <formula>"Towel"</formula>
    </cfRule>
  </conditionalFormatting>
  <conditionalFormatting sqref="C36:C38">
    <cfRule type="cellIs" dxfId="17245" priority="10190" stopIfTrue="1" operator="equal">
      <formula>"Napkin Hs"</formula>
    </cfRule>
  </conditionalFormatting>
  <conditionalFormatting sqref="C36:C38">
    <cfRule type="cellIs" dxfId="17244" priority="10189" stopIfTrue="1" operator="equal">
      <formula>"Towel"</formula>
    </cfRule>
  </conditionalFormatting>
  <conditionalFormatting sqref="C36:C38">
    <cfRule type="cellIs" dxfId="17243" priority="10187" stopIfTrue="1" operator="equal">
      <formula>"Towel"</formula>
    </cfRule>
    <cfRule type="cellIs" dxfId="17242" priority="10188" stopIfTrue="1" operator="equal">
      <formula>"Napkin Hs"</formula>
    </cfRule>
  </conditionalFormatting>
  <conditionalFormatting sqref="B36:C38">
    <cfRule type="cellIs" dxfId="17241" priority="10186" stopIfTrue="1" operator="equal">
      <formula>"Napkin Hs"</formula>
    </cfRule>
  </conditionalFormatting>
  <conditionalFormatting sqref="B36:C38">
    <cfRule type="cellIs" dxfId="17240" priority="10185" stopIfTrue="1" operator="equal">
      <formula>"Towel"</formula>
    </cfRule>
  </conditionalFormatting>
  <conditionalFormatting sqref="C36:C38">
    <cfRule type="cellIs" dxfId="17239" priority="10184" stopIfTrue="1" operator="equal">
      <formula>"Napkin Hs"</formula>
    </cfRule>
  </conditionalFormatting>
  <conditionalFormatting sqref="C36:C38">
    <cfRule type="cellIs" dxfId="17238" priority="10181" stopIfTrue="1" operator="equal">
      <formula>"Towel"</formula>
    </cfRule>
    <cfRule type="cellIs" dxfId="17237" priority="10182" stopIfTrue="1" operator="equal">
      <formula>"Napkin Hs"</formula>
    </cfRule>
  </conditionalFormatting>
  <conditionalFormatting sqref="C36:C38">
    <cfRule type="cellIs" dxfId="17236" priority="10183" stopIfTrue="1" operator="equal">
      <formula>"Towel"</formula>
    </cfRule>
  </conditionalFormatting>
  <conditionalFormatting sqref="B36:C38">
    <cfRule type="cellIs" dxfId="17235" priority="10180" stopIfTrue="1" operator="equal">
      <formula>"Napkin Hs"</formula>
    </cfRule>
  </conditionalFormatting>
  <conditionalFormatting sqref="B36:C38">
    <cfRule type="cellIs" dxfId="17234" priority="10179" stopIfTrue="1" operator="equal">
      <formula>"Towel"</formula>
    </cfRule>
  </conditionalFormatting>
  <conditionalFormatting sqref="C36:C38">
    <cfRule type="cellIs" dxfId="17233" priority="10178" stopIfTrue="1" operator="equal">
      <formula>"Napkin Hs"</formula>
    </cfRule>
  </conditionalFormatting>
  <conditionalFormatting sqref="C36:C38">
    <cfRule type="cellIs" dxfId="17232" priority="10175" stopIfTrue="1" operator="equal">
      <formula>"Towel"</formula>
    </cfRule>
    <cfRule type="cellIs" dxfId="17231" priority="10176" stopIfTrue="1" operator="equal">
      <formula>"Napkin Hs"</formula>
    </cfRule>
  </conditionalFormatting>
  <conditionalFormatting sqref="C36:C38">
    <cfRule type="cellIs" dxfId="17230" priority="10177" stopIfTrue="1" operator="equal">
      <formula>"Towel"</formula>
    </cfRule>
  </conditionalFormatting>
  <conditionalFormatting sqref="B36:C38">
    <cfRule type="cellIs" dxfId="17229" priority="10174" stopIfTrue="1" operator="equal">
      <formula>"Napkin Hs"</formula>
    </cfRule>
  </conditionalFormatting>
  <conditionalFormatting sqref="B36:C38">
    <cfRule type="cellIs" dxfId="17228" priority="10173" stopIfTrue="1" operator="equal">
      <formula>"Towel"</formula>
    </cfRule>
  </conditionalFormatting>
  <conditionalFormatting sqref="C36:C38">
    <cfRule type="cellIs" dxfId="17227" priority="10172" stopIfTrue="1" operator="equal">
      <formula>"Napkin Hs"</formula>
    </cfRule>
  </conditionalFormatting>
  <conditionalFormatting sqref="C36:C38">
    <cfRule type="cellIs" dxfId="17226" priority="10169" stopIfTrue="1" operator="equal">
      <formula>"Towel"</formula>
    </cfRule>
    <cfRule type="cellIs" dxfId="17225" priority="10170" stopIfTrue="1" operator="equal">
      <formula>"Napkin Hs"</formula>
    </cfRule>
  </conditionalFormatting>
  <conditionalFormatting sqref="C36:C38">
    <cfRule type="cellIs" dxfId="17224" priority="10171" stopIfTrue="1" operator="equal">
      <formula>"Towel"</formula>
    </cfRule>
  </conditionalFormatting>
  <conditionalFormatting sqref="B36:C38">
    <cfRule type="cellIs" dxfId="17223" priority="10168" stopIfTrue="1" operator="equal">
      <formula>"Napkin Hs"</formula>
    </cfRule>
  </conditionalFormatting>
  <conditionalFormatting sqref="B36:C38">
    <cfRule type="cellIs" dxfId="17222" priority="10167" stopIfTrue="1" operator="equal">
      <formula>"Towel"</formula>
    </cfRule>
  </conditionalFormatting>
  <conditionalFormatting sqref="C36:C38">
    <cfRule type="cellIs" dxfId="17221" priority="10166" stopIfTrue="1" operator="equal">
      <formula>"Napkin Hs"</formula>
    </cfRule>
  </conditionalFormatting>
  <conditionalFormatting sqref="C36:C38">
    <cfRule type="cellIs" dxfId="17220" priority="10163" stopIfTrue="1" operator="equal">
      <formula>"Towel"</formula>
    </cfRule>
    <cfRule type="cellIs" dxfId="17219" priority="10164" stopIfTrue="1" operator="equal">
      <formula>"Napkin Hs"</formula>
    </cfRule>
  </conditionalFormatting>
  <conditionalFormatting sqref="C36:C38">
    <cfRule type="cellIs" dxfId="17218" priority="10165" stopIfTrue="1" operator="equal">
      <formula>"Towel"</formula>
    </cfRule>
  </conditionalFormatting>
  <conditionalFormatting sqref="B46:C46">
    <cfRule type="cellIs" dxfId="17217" priority="10162" stopIfTrue="1" operator="equal">
      <formula>"Napkin Hs"</formula>
    </cfRule>
  </conditionalFormatting>
  <conditionalFormatting sqref="B46:C46">
    <cfRule type="cellIs" dxfId="17216" priority="10161" stopIfTrue="1" operator="equal">
      <formula>"Towel"</formula>
    </cfRule>
  </conditionalFormatting>
  <conditionalFormatting sqref="C46">
    <cfRule type="cellIs" dxfId="17215" priority="10160" stopIfTrue="1" operator="equal">
      <formula>"Napkin Hs"</formula>
    </cfRule>
  </conditionalFormatting>
  <conditionalFormatting sqref="C46">
    <cfRule type="cellIs" dxfId="17214" priority="10159" stopIfTrue="1" operator="equal">
      <formula>"Towel"</formula>
    </cfRule>
  </conditionalFormatting>
  <conditionalFormatting sqref="C46">
    <cfRule type="cellIs" dxfId="17213" priority="10157" stopIfTrue="1" operator="equal">
      <formula>"Towel"</formula>
    </cfRule>
    <cfRule type="cellIs" dxfId="17212" priority="10158" stopIfTrue="1" operator="equal">
      <formula>"Napkin Hs"</formula>
    </cfRule>
  </conditionalFormatting>
  <conditionalFormatting sqref="B46:C46">
    <cfRule type="cellIs" dxfId="17211" priority="10149" stopIfTrue="1" operator="equal">
      <formula>"Towel"</formula>
    </cfRule>
    <cfRule type="cellIs" dxfId="17210" priority="10150" stopIfTrue="1" operator="equal">
      <formula>"Napkin Hs"</formula>
    </cfRule>
  </conditionalFormatting>
  <conditionalFormatting sqref="B46:C46">
    <cfRule type="cellIs" dxfId="17209" priority="10155" stopIfTrue="1" operator="equal">
      <formula>"Towel"</formula>
    </cfRule>
    <cfRule type="cellIs" dxfId="17208" priority="10156" stopIfTrue="1" operator="equal">
      <formula>"Napkin Hs"</formula>
    </cfRule>
  </conditionalFormatting>
  <conditionalFormatting sqref="C46">
    <cfRule type="cellIs" dxfId="17207" priority="10153" stopIfTrue="1" operator="equal">
      <formula>"Towel"</formula>
    </cfRule>
    <cfRule type="cellIs" dxfId="17206" priority="10154" stopIfTrue="1" operator="equal">
      <formula>"Napkin Hs"</formula>
    </cfRule>
  </conditionalFormatting>
  <conditionalFormatting sqref="C46">
    <cfRule type="cellIs" dxfId="17205" priority="10151" stopIfTrue="1" operator="equal">
      <formula>"Towel"</formula>
    </cfRule>
    <cfRule type="cellIs" dxfId="17204" priority="10152" stopIfTrue="1" operator="equal">
      <formula>"Napkin Hs"</formula>
    </cfRule>
  </conditionalFormatting>
  <conditionalFormatting sqref="C46">
    <cfRule type="cellIs" dxfId="17203" priority="10147" stopIfTrue="1" operator="equal">
      <formula>"Towel"</formula>
    </cfRule>
    <cfRule type="cellIs" dxfId="17202" priority="10148" stopIfTrue="1" operator="equal">
      <formula>"Napkin Hs"</formula>
    </cfRule>
  </conditionalFormatting>
  <conditionalFormatting sqref="C46">
    <cfRule type="cellIs" dxfId="17201" priority="10145" stopIfTrue="1" operator="equal">
      <formula>"Towel"</formula>
    </cfRule>
    <cfRule type="cellIs" dxfId="17200" priority="10146" stopIfTrue="1" operator="equal">
      <formula>"Napkin Hs"</formula>
    </cfRule>
  </conditionalFormatting>
  <conditionalFormatting sqref="B46:C46">
    <cfRule type="cellIs" dxfId="17199" priority="10143" stopIfTrue="1" operator="equal">
      <formula>"Towel"</formula>
    </cfRule>
    <cfRule type="cellIs" dxfId="17198" priority="10144" stopIfTrue="1" operator="equal">
      <formula>"Napkin Hs"</formula>
    </cfRule>
  </conditionalFormatting>
  <conditionalFormatting sqref="C46">
    <cfRule type="cellIs" dxfId="17197" priority="10141" stopIfTrue="1" operator="equal">
      <formula>"Towel"</formula>
    </cfRule>
    <cfRule type="cellIs" dxfId="17196" priority="10142" stopIfTrue="1" operator="equal">
      <formula>"Napkin Hs"</formula>
    </cfRule>
  </conditionalFormatting>
  <conditionalFormatting sqref="C46">
    <cfRule type="cellIs" dxfId="17195" priority="10139" stopIfTrue="1" operator="equal">
      <formula>"Towel"</formula>
    </cfRule>
    <cfRule type="cellIs" dxfId="17194" priority="10140" stopIfTrue="1" operator="equal">
      <formula>"Napkin Hs"</formula>
    </cfRule>
  </conditionalFormatting>
  <conditionalFormatting sqref="B46:C46">
    <cfRule type="cellIs" dxfId="17193" priority="10137" stopIfTrue="1" operator="equal">
      <formula>"Towel"</formula>
    </cfRule>
    <cfRule type="cellIs" dxfId="17192" priority="10138" stopIfTrue="1" operator="equal">
      <formula>"Napkin Hs"</formula>
    </cfRule>
  </conditionalFormatting>
  <conditionalFormatting sqref="C46">
    <cfRule type="cellIs" dxfId="17191" priority="10135" stopIfTrue="1" operator="equal">
      <formula>"Towel"</formula>
    </cfRule>
    <cfRule type="cellIs" dxfId="17190" priority="10136" stopIfTrue="1" operator="equal">
      <formula>"Napkin Hs"</formula>
    </cfRule>
  </conditionalFormatting>
  <conditionalFormatting sqref="C46">
    <cfRule type="cellIs" dxfId="17189" priority="10133" stopIfTrue="1" operator="equal">
      <formula>"Towel"</formula>
    </cfRule>
    <cfRule type="cellIs" dxfId="17188" priority="10134" stopIfTrue="1" operator="equal">
      <formula>"Napkin Hs"</formula>
    </cfRule>
  </conditionalFormatting>
  <conditionalFormatting sqref="B46:C46">
    <cfRule type="cellIs" dxfId="17187" priority="10131" stopIfTrue="1" operator="equal">
      <formula>"Towel"</formula>
    </cfRule>
    <cfRule type="cellIs" dxfId="17186" priority="10132" stopIfTrue="1" operator="equal">
      <formula>"Napkin Hs"</formula>
    </cfRule>
  </conditionalFormatting>
  <conditionalFormatting sqref="C46">
    <cfRule type="cellIs" dxfId="17185" priority="10129" stopIfTrue="1" operator="equal">
      <formula>"Towel"</formula>
    </cfRule>
    <cfRule type="cellIs" dxfId="17184" priority="10130" stopIfTrue="1" operator="equal">
      <formula>"Napkin Hs"</formula>
    </cfRule>
  </conditionalFormatting>
  <conditionalFormatting sqref="C46">
    <cfRule type="cellIs" dxfId="17183" priority="10127" stopIfTrue="1" operator="equal">
      <formula>"Towel"</formula>
    </cfRule>
    <cfRule type="cellIs" dxfId="17182" priority="10128" stopIfTrue="1" operator="equal">
      <formula>"Napkin Hs"</formula>
    </cfRule>
  </conditionalFormatting>
  <conditionalFormatting sqref="B46:C46">
    <cfRule type="cellIs" dxfId="17181" priority="10126" stopIfTrue="1" operator="equal">
      <formula>"Napkin Hs"</formula>
    </cfRule>
  </conditionalFormatting>
  <conditionalFormatting sqref="B46:C46">
    <cfRule type="cellIs" dxfId="17180" priority="10125" stopIfTrue="1" operator="equal">
      <formula>"Towel"</formula>
    </cfRule>
  </conditionalFormatting>
  <conditionalFormatting sqref="C46">
    <cfRule type="cellIs" dxfId="17179" priority="10124" stopIfTrue="1" operator="equal">
      <formula>"Napkin Hs"</formula>
    </cfRule>
  </conditionalFormatting>
  <conditionalFormatting sqref="C46">
    <cfRule type="cellIs" dxfId="17178" priority="10121" stopIfTrue="1" operator="equal">
      <formula>"Towel"</formula>
    </cfRule>
    <cfRule type="cellIs" dxfId="17177" priority="10122" stopIfTrue="1" operator="equal">
      <formula>"Napkin Hs"</formula>
    </cfRule>
  </conditionalFormatting>
  <conditionalFormatting sqref="C46">
    <cfRule type="cellIs" dxfId="17176" priority="10123" stopIfTrue="1" operator="equal">
      <formula>"Towel"</formula>
    </cfRule>
  </conditionalFormatting>
  <conditionalFormatting sqref="B42:C42">
    <cfRule type="cellIs" dxfId="17175" priority="10120" stopIfTrue="1" operator="equal">
      <formula>"Napkin Hs"</formula>
    </cfRule>
  </conditionalFormatting>
  <conditionalFormatting sqref="B42:C42">
    <cfRule type="cellIs" dxfId="17174" priority="10119" stopIfTrue="1" operator="equal">
      <formula>"Towel"</formula>
    </cfRule>
  </conditionalFormatting>
  <conditionalFormatting sqref="C42">
    <cfRule type="cellIs" dxfId="17173" priority="10118" stopIfTrue="1" operator="equal">
      <formula>"Napkin Hs"</formula>
    </cfRule>
  </conditionalFormatting>
  <conditionalFormatting sqref="C42">
    <cfRule type="cellIs" dxfId="17172" priority="10117" stopIfTrue="1" operator="equal">
      <formula>"Towel"</formula>
    </cfRule>
  </conditionalFormatting>
  <conditionalFormatting sqref="C42">
    <cfRule type="cellIs" dxfId="17171" priority="10115" stopIfTrue="1" operator="equal">
      <formula>"Towel"</formula>
    </cfRule>
    <cfRule type="cellIs" dxfId="17170" priority="10116" stopIfTrue="1" operator="equal">
      <formula>"Napkin Hs"</formula>
    </cfRule>
  </conditionalFormatting>
  <conditionalFormatting sqref="B42:C42">
    <cfRule type="cellIs" dxfId="17169" priority="10114" stopIfTrue="1" operator="equal">
      <formula>"Napkin Hs"</formula>
    </cfRule>
  </conditionalFormatting>
  <conditionalFormatting sqref="B42:C42">
    <cfRule type="cellIs" dxfId="17168" priority="10113" stopIfTrue="1" operator="equal">
      <formula>"Towel"</formula>
    </cfRule>
  </conditionalFormatting>
  <conditionalFormatting sqref="C42">
    <cfRule type="cellIs" dxfId="17167" priority="10112" stopIfTrue="1" operator="equal">
      <formula>"Napkin Hs"</formula>
    </cfRule>
  </conditionalFormatting>
  <conditionalFormatting sqref="C42">
    <cfRule type="cellIs" dxfId="17166" priority="10109" stopIfTrue="1" operator="equal">
      <formula>"Towel"</formula>
    </cfRule>
    <cfRule type="cellIs" dxfId="17165" priority="10110" stopIfTrue="1" operator="equal">
      <formula>"Napkin Hs"</formula>
    </cfRule>
  </conditionalFormatting>
  <conditionalFormatting sqref="C42">
    <cfRule type="cellIs" dxfId="17164" priority="10111" stopIfTrue="1" operator="equal">
      <formula>"Towel"</formula>
    </cfRule>
  </conditionalFormatting>
  <conditionalFormatting sqref="B42:C42">
    <cfRule type="cellIs" dxfId="17163" priority="10108" stopIfTrue="1" operator="equal">
      <formula>"Napkin Hs"</formula>
    </cfRule>
  </conditionalFormatting>
  <conditionalFormatting sqref="B42:C42">
    <cfRule type="cellIs" dxfId="17162" priority="10107" stopIfTrue="1" operator="equal">
      <formula>"Towel"</formula>
    </cfRule>
  </conditionalFormatting>
  <conditionalFormatting sqref="C42">
    <cfRule type="cellIs" dxfId="17161" priority="10106" stopIfTrue="1" operator="equal">
      <formula>"Napkin Hs"</formula>
    </cfRule>
  </conditionalFormatting>
  <conditionalFormatting sqref="C42">
    <cfRule type="cellIs" dxfId="17160" priority="10105" stopIfTrue="1" operator="equal">
      <formula>"Towel"</formula>
    </cfRule>
  </conditionalFormatting>
  <conditionalFormatting sqref="C42">
    <cfRule type="cellIs" dxfId="17159" priority="10103" stopIfTrue="1" operator="equal">
      <formula>"Towel"</formula>
    </cfRule>
    <cfRule type="cellIs" dxfId="17158" priority="10104" stopIfTrue="1" operator="equal">
      <formula>"Napkin Hs"</formula>
    </cfRule>
  </conditionalFormatting>
  <conditionalFormatting sqref="B42:C42">
    <cfRule type="cellIs" dxfId="17157" priority="10102" stopIfTrue="1" operator="equal">
      <formula>"Napkin Hs"</formula>
    </cfRule>
  </conditionalFormatting>
  <conditionalFormatting sqref="B42:C42">
    <cfRule type="cellIs" dxfId="17156" priority="10101" stopIfTrue="1" operator="equal">
      <formula>"Towel"</formula>
    </cfRule>
  </conditionalFormatting>
  <conditionalFormatting sqref="C42">
    <cfRule type="cellIs" dxfId="17155" priority="10100" stopIfTrue="1" operator="equal">
      <formula>"Napkin Hs"</formula>
    </cfRule>
  </conditionalFormatting>
  <conditionalFormatting sqref="C42">
    <cfRule type="cellIs" dxfId="17154" priority="10097" stopIfTrue="1" operator="equal">
      <formula>"Towel"</formula>
    </cfRule>
    <cfRule type="cellIs" dxfId="17153" priority="10098" stopIfTrue="1" operator="equal">
      <formula>"Napkin Hs"</formula>
    </cfRule>
  </conditionalFormatting>
  <conditionalFormatting sqref="C42">
    <cfRule type="cellIs" dxfId="17152" priority="10099" stopIfTrue="1" operator="equal">
      <formula>"Towel"</formula>
    </cfRule>
  </conditionalFormatting>
  <conditionalFormatting sqref="B42:C42">
    <cfRule type="cellIs" dxfId="17151" priority="10096" stopIfTrue="1" operator="equal">
      <formula>"Napkin Hs"</formula>
    </cfRule>
  </conditionalFormatting>
  <conditionalFormatting sqref="B42:C42">
    <cfRule type="cellIs" dxfId="17150" priority="10095" stopIfTrue="1" operator="equal">
      <formula>"Towel"</formula>
    </cfRule>
  </conditionalFormatting>
  <conditionalFormatting sqref="C42">
    <cfRule type="cellIs" dxfId="17149" priority="10094" stopIfTrue="1" operator="equal">
      <formula>"Napkin Hs"</formula>
    </cfRule>
  </conditionalFormatting>
  <conditionalFormatting sqref="C42">
    <cfRule type="cellIs" dxfId="17148" priority="10093" stopIfTrue="1" operator="equal">
      <formula>"Towel"</formula>
    </cfRule>
  </conditionalFormatting>
  <conditionalFormatting sqref="C42">
    <cfRule type="cellIs" dxfId="17147" priority="10091" stopIfTrue="1" operator="equal">
      <formula>"Towel"</formula>
    </cfRule>
    <cfRule type="cellIs" dxfId="17146" priority="10092" stopIfTrue="1" operator="equal">
      <formula>"Napkin Hs"</formula>
    </cfRule>
  </conditionalFormatting>
  <conditionalFormatting sqref="B42:C42">
    <cfRule type="cellIs" dxfId="17145" priority="10090" stopIfTrue="1" operator="equal">
      <formula>"Napkin Hs"</formula>
    </cfRule>
  </conditionalFormatting>
  <conditionalFormatting sqref="B42:C42">
    <cfRule type="cellIs" dxfId="17144" priority="10089" stopIfTrue="1" operator="equal">
      <formula>"Towel"</formula>
    </cfRule>
  </conditionalFormatting>
  <conditionalFormatting sqref="C42">
    <cfRule type="cellIs" dxfId="17143" priority="10088" stopIfTrue="1" operator="equal">
      <formula>"Napkin Hs"</formula>
    </cfRule>
  </conditionalFormatting>
  <conditionalFormatting sqref="C42">
    <cfRule type="cellIs" dxfId="17142" priority="10085" stopIfTrue="1" operator="equal">
      <formula>"Towel"</formula>
    </cfRule>
    <cfRule type="cellIs" dxfId="17141" priority="10086" stopIfTrue="1" operator="equal">
      <formula>"Napkin Hs"</formula>
    </cfRule>
  </conditionalFormatting>
  <conditionalFormatting sqref="C42">
    <cfRule type="cellIs" dxfId="17140" priority="10087" stopIfTrue="1" operator="equal">
      <formula>"Towel"</formula>
    </cfRule>
  </conditionalFormatting>
  <conditionalFormatting sqref="B42:C42">
    <cfRule type="cellIs" dxfId="17139" priority="10084" stopIfTrue="1" operator="equal">
      <formula>"Napkin Hs"</formula>
    </cfRule>
  </conditionalFormatting>
  <conditionalFormatting sqref="B42:C42">
    <cfRule type="cellIs" dxfId="17138" priority="10083" stopIfTrue="1" operator="equal">
      <formula>"Towel"</formula>
    </cfRule>
  </conditionalFormatting>
  <conditionalFormatting sqref="C42">
    <cfRule type="cellIs" dxfId="17137" priority="10082" stopIfTrue="1" operator="equal">
      <formula>"Napkin Hs"</formula>
    </cfRule>
  </conditionalFormatting>
  <conditionalFormatting sqref="C42">
    <cfRule type="cellIs" dxfId="17136" priority="10081" stopIfTrue="1" operator="equal">
      <formula>"Towel"</formula>
    </cfRule>
  </conditionalFormatting>
  <conditionalFormatting sqref="C42">
    <cfRule type="cellIs" dxfId="17135" priority="10079" stopIfTrue="1" operator="equal">
      <formula>"Towel"</formula>
    </cfRule>
    <cfRule type="cellIs" dxfId="17134" priority="10080" stopIfTrue="1" operator="equal">
      <formula>"Napkin Hs"</formula>
    </cfRule>
  </conditionalFormatting>
  <conditionalFormatting sqref="B42:C42">
    <cfRule type="cellIs" dxfId="17133" priority="10078" stopIfTrue="1" operator="equal">
      <formula>"Napkin Hs"</formula>
    </cfRule>
  </conditionalFormatting>
  <conditionalFormatting sqref="B42:C42">
    <cfRule type="cellIs" dxfId="17132" priority="10077" stopIfTrue="1" operator="equal">
      <formula>"Towel"</formula>
    </cfRule>
  </conditionalFormatting>
  <conditionalFormatting sqref="C42">
    <cfRule type="cellIs" dxfId="17131" priority="10076" stopIfTrue="1" operator="equal">
      <formula>"Napkin Hs"</formula>
    </cfRule>
  </conditionalFormatting>
  <conditionalFormatting sqref="C42">
    <cfRule type="cellIs" dxfId="17130" priority="10073" stopIfTrue="1" operator="equal">
      <formula>"Towel"</formula>
    </cfRule>
    <cfRule type="cellIs" dxfId="17129" priority="10074" stopIfTrue="1" operator="equal">
      <formula>"Napkin Hs"</formula>
    </cfRule>
  </conditionalFormatting>
  <conditionalFormatting sqref="C42">
    <cfRule type="cellIs" dxfId="17128" priority="10075" stopIfTrue="1" operator="equal">
      <formula>"Towel"</formula>
    </cfRule>
  </conditionalFormatting>
  <conditionalFormatting sqref="B42:C42">
    <cfRule type="cellIs" dxfId="17127" priority="10072" stopIfTrue="1" operator="equal">
      <formula>"Napkin Hs"</formula>
    </cfRule>
  </conditionalFormatting>
  <conditionalFormatting sqref="B42:C42">
    <cfRule type="cellIs" dxfId="17126" priority="10071" stopIfTrue="1" operator="equal">
      <formula>"Towel"</formula>
    </cfRule>
  </conditionalFormatting>
  <conditionalFormatting sqref="C42">
    <cfRule type="cellIs" dxfId="17125" priority="10070" stopIfTrue="1" operator="equal">
      <formula>"Napkin Hs"</formula>
    </cfRule>
  </conditionalFormatting>
  <conditionalFormatting sqref="C42">
    <cfRule type="cellIs" dxfId="17124" priority="10067" stopIfTrue="1" operator="equal">
      <formula>"Towel"</formula>
    </cfRule>
    <cfRule type="cellIs" dxfId="17123" priority="10068" stopIfTrue="1" operator="equal">
      <formula>"Napkin Hs"</formula>
    </cfRule>
  </conditionalFormatting>
  <conditionalFormatting sqref="C42">
    <cfRule type="cellIs" dxfId="17122" priority="10069" stopIfTrue="1" operator="equal">
      <formula>"Towel"</formula>
    </cfRule>
  </conditionalFormatting>
  <conditionalFormatting sqref="B42:C42">
    <cfRule type="cellIs" dxfId="17121" priority="10066" stopIfTrue="1" operator="equal">
      <formula>"Napkin Hs"</formula>
    </cfRule>
  </conditionalFormatting>
  <conditionalFormatting sqref="B42:C42">
    <cfRule type="cellIs" dxfId="17120" priority="10065" stopIfTrue="1" operator="equal">
      <formula>"Towel"</formula>
    </cfRule>
  </conditionalFormatting>
  <conditionalFormatting sqref="C42">
    <cfRule type="cellIs" dxfId="17119" priority="10064" stopIfTrue="1" operator="equal">
      <formula>"Napkin Hs"</formula>
    </cfRule>
  </conditionalFormatting>
  <conditionalFormatting sqref="C42">
    <cfRule type="cellIs" dxfId="17118" priority="10061" stopIfTrue="1" operator="equal">
      <formula>"Towel"</formula>
    </cfRule>
    <cfRule type="cellIs" dxfId="17117" priority="10062" stopIfTrue="1" operator="equal">
      <formula>"Napkin Hs"</formula>
    </cfRule>
  </conditionalFormatting>
  <conditionalFormatting sqref="C42">
    <cfRule type="cellIs" dxfId="17116" priority="10063" stopIfTrue="1" operator="equal">
      <formula>"Towel"</formula>
    </cfRule>
  </conditionalFormatting>
  <conditionalFormatting sqref="B42:C42">
    <cfRule type="cellIs" dxfId="17115" priority="10060" stopIfTrue="1" operator="equal">
      <formula>"Napkin Hs"</formula>
    </cfRule>
  </conditionalFormatting>
  <conditionalFormatting sqref="B42:C42">
    <cfRule type="cellIs" dxfId="17114" priority="10059" stopIfTrue="1" operator="equal">
      <formula>"Towel"</formula>
    </cfRule>
  </conditionalFormatting>
  <conditionalFormatting sqref="C42">
    <cfRule type="cellIs" dxfId="17113" priority="10058" stopIfTrue="1" operator="equal">
      <formula>"Napkin Hs"</formula>
    </cfRule>
  </conditionalFormatting>
  <conditionalFormatting sqref="C42">
    <cfRule type="cellIs" dxfId="17112" priority="10055" stopIfTrue="1" operator="equal">
      <formula>"Towel"</formula>
    </cfRule>
    <cfRule type="cellIs" dxfId="17111" priority="10056" stopIfTrue="1" operator="equal">
      <formula>"Napkin Hs"</formula>
    </cfRule>
  </conditionalFormatting>
  <conditionalFormatting sqref="C42">
    <cfRule type="cellIs" dxfId="17110" priority="10057" stopIfTrue="1" operator="equal">
      <formula>"Towel"</formula>
    </cfRule>
  </conditionalFormatting>
  <conditionalFormatting sqref="B43:C45">
    <cfRule type="cellIs" dxfId="17109" priority="10054" stopIfTrue="1" operator="equal">
      <formula>"Napkin Hs"</formula>
    </cfRule>
  </conditionalFormatting>
  <conditionalFormatting sqref="B43:C45">
    <cfRule type="cellIs" dxfId="17108" priority="10053" stopIfTrue="1" operator="equal">
      <formula>"Towel"</formula>
    </cfRule>
  </conditionalFormatting>
  <conditionalFormatting sqref="C43:C45">
    <cfRule type="cellIs" dxfId="17107" priority="10052" stopIfTrue="1" operator="equal">
      <formula>"Napkin Hs"</formula>
    </cfRule>
  </conditionalFormatting>
  <conditionalFormatting sqref="C43:C45">
    <cfRule type="cellIs" dxfId="17106" priority="10051" stopIfTrue="1" operator="equal">
      <formula>"Towel"</formula>
    </cfRule>
  </conditionalFormatting>
  <conditionalFormatting sqref="C43:C45">
    <cfRule type="cellIs" dxfId="17105" priority="10049" stopIfTrue="1" operator="equal">
      <formula>"Towel"</formula>
    </cfRule>
    <cfRule type="cellIs" dxfId="17104" priority="10050" stopIfTrue="1" operator="equal">
      <formula>"Napkin Hs"</formula>
    </cfRule>
  </conditionalFormatting>
  <conditionalFormatting sqref="B43:C45">
    <cfRule type="cellIs" dxfId="17103" priority="10048" stopIfTrue="1" operator="equal">
      <formula>"Napkin Hs"</formula>
    </cfRule>
  </conditionalFormatting>
  <conditionalFormatting sqref="B43:C45">
    <cfRule type="cellIs" dxfId="17102" priority="10047" stopIfTrue="1" operator="equal">
      <formula>"Towel"</formula>
    </cfRule>
  </conditionalFormatting>
  <conditionalFormatting sqref="C43:C45">
    <cfRule type="cellIs" dxfId="17101" priority="10046" stopIfTrue="1" operator="equal">
      <formula>"Napkin Hs"</formula>
    </cfRule>
  </conditionalFormatting>
  <conditionalFormatting sqref="C43:C45">
    <cfRule type="cellIs" dxfId="17100" priority="10043" stopIfTrue="1" operator="equal">
      <formula>"Towel"</formula>
    </cfRule>
    <cfRule type="cellIs" dxfId="17099" priority="10044" stopIfTrue="1" operator="equal">
      <formula>"Napkin Hs"</formula>
    </cfRule>
  </conditionalFormatting>
  <conditionalFormatting sqref="C43:C45">
    <cfRule type="cellIs" dxfId="17098" priority="10045" stopIfTrue="1" operator="equal">
      <formula>"Towel"</formula>
    </cfRule>
  </conditionalFormatting>
  <conditionalFormatting sqref="B43:C45">
    <cfRule type="cellIs" dxfId="17097" priority="10042" stopIfTrue="1" operator="equal">
      <formula>"Napkin Hs"</formula>
    </cfRule>
  </conditionalFormatting>
  <conditionalFormatting sqref="B43:C45">
    <cfRule type="cellIs" dxfId="17096" priority="10041" stopIfTrue="1" operator="equal">
      <formula>"Towel"</formula>
    </cfRule>
  </conditionalFormatting>
  <conditionalFormatting sqref="C43:C45">
    <cfRule type="cellIs" dxfId="17095" priority="10040" stopIfTrue="1" operator="equal">
      <formula>"Napkin Hs"</formula>
    </cfRule>
  </conditionalFormatting>
  <conditionalFormatting sqref="C43:C45">
    <cfRule type="cellIs" dxfId="17094" priority="10039" stopIfTrue="1" operator="equal">
      <formula>"Towel"</formula>
    </cfRule>
  </conditionalFormatting>
  <conditionalFormatting sqref="C43:C45">
    <cfRule type="cellIs" dxfId="17093" priority="10037" stopIfTrue="1" operator="equal">
      <formula>"Towel"</formula>
    </cfRule>
    <cfRule type="cellIs" dxfId="17092" priority="10038" stopIfTrue="1" operator="equal">
      <formula>"Napkin Hs"</formula>
    </cfRule>
  </conditionalFormatting>
  <conditionalFormatting sqref="B43:C45">
    <cfRule type="cellIs" dxfId="17091" priority="10036" stopIfTrue="1" operator="equal">
      <formula>"Napkin Hs"</formula>
    </cfRule>
  </conditionalFormatting>
  <conditionalFormatting sqref="B43:C45">
    <cfRule type="cellIs" dxfId="17090" priority="10035" stopIfTrue="1" operator="equal">
      <formula>"Towel"</formula>
    </cfRule>
  </conditionalFormatting>
  <conditionalFormatting sqref="C43:C45">
    <cfRule type="cellIs" dxfId="17089" priority="10034" stopIfTrue="1" operator="equal">
      <formula>"Napkin Hs"</formula>
    </cfRule>
  </conditionalFormatting>
  <conditionalFormatting sqref="C43:C45">
    <cfRule type="cellIs" dxfId="17088" priority="10031" stopIfTrue="1" operator="equal">
      <formula>"Towel"</formula>
    </cfRule>
    <cfRule type="cellIs" dxfId="17087" priority="10032" stopIfTrue="1" operator="equal">
      <formula>"Napkin Hs"</formula>
    </cfRule>
  </conditionalFormatting>
  <conditionalFormatting sqref="C43:C45">
    <cfRule type="cellIs" dxfId="17086" priority="10033" stopIfTrue="1" operator="equal">
      <formula>"Towel"</formula>
    </cfRule>
  </conditionalFormatting>
  <conditionalFormatting sqref="B43:C45">
    <cfRule type="cellIs" dxfId="17085" priority="10030" stopIfTrue="1" operator="equal">
      <formula>"Napkin Hs"</formula>
    </cfRule>
  </conditionalFormatting>
  <conditionalFormatting sqref="B43:C45">
    <cfRule type="cellIs" dxfId="17084" priority="10029" stopIfTrue="1" operator="equal">
      <formula>"Towel"</formula>
    </cfRule>
  </conditionalFormatting>
  <conditionalFormatting sqref="C43:C45">
    <cfRule type="cellIs" dxfId="17083" priority="10028" stopIfTrue="1" operator="equal">
      <formula>"Napkin Hs"</formula>
    </cfRule>
  </conditionalFormatting>
  <conditionalFormatting sqref="C43:C45">
    <cfRule type="cellIs" dxfId="17082" priority="10027" stopIfTrue="1" operator="equal">
      <formula>"Towel"</formula>
    </cfRule>
  </conditionalFormatting>
  <conditionalFormatting sqref="C43:C45">
    <cfRule type="cellIs" dxfId="17081" priority="10025" stopIfTrue="1" operator="equal">
      <formula>"Towel"</formula>
    </cfRule>
    <cfRule type="cellIs" dxfId="17080" priority="10026" stopIfTrue="1" operator="equal">
      <formula>"Napkin Hs"</formula>
    </cfRule>
  </conditionalFormatting>
  <conditionalFormatting sqref="B43:C45">
    <cfRule type="cellIs" dxfId="17079" priority="10024" stopIfTrue="1" operator="equal">
      <formula>"Napkin Hs"</formula>
    </cfRule>
  </conditionalFormatting>
  <conditionalFormatting sqref="B43:C45">
    <cfRule type="cellIs" dxfId="17078" priority="10023" stopIfTrue="1" operator="equal">
      <formula>"Towel"</formula>
    </cfRule>
  </conditionalFormatting>
  <conditionalFormatting sqref="C43:C45">
    <cfRule type="cellIs" dxfId="17077" priority="10022" stopIfTrue="1" operator="equal">
      <formula>"Napkin Hs"</formula>
    </cfRule>
  </conditionalFormatting>
  <conditionalFormatting sqref="C43:C45">
    <cfRule type="cellIs" dxfId="17076" priority="10019" stopIfTrue="1" operator="equal">
      <formula>"Towel"</formula>
    </cfRule>
    <cfRule type="cellIs" dxfId="17075" priority="10020" stopIfTrue="1" operator="equal">
      <formula>"Napkin Hs"</formula>
    </cfRule>
  </conditionalFormatting>
  <conditionalFormatting sqref="C43:C45">
    <cfRule type="cellIs" dxfId="17074" priority="10021" stopIfTrue="1" operator="equal">
      <formula>"Towel"</formula>
    </cfRule>
  </conditionalFormatting>
  <conditionalFormatting sqref="B43:C45">
    <cfRule type="cellIs" dxfId="17073" priority="10018" stopIfTrue="1" operator="equal">
      <formula>"Napkin Hs"</formula>
    </cfRule>
  </conditionalFormatting>
  <conditionalFormatting sqref="B43:C45">
    <cfRule type="cellIs" dxfId="17072" priority="10017" stopIfTrue="1" operator="equal">
      <formula>"Towel"</formula>
    </cfRule>
  </conditionalFormatting>
  <conditionalFormatting sqref="C43:C45">
    <cfRule type="cellIs" dxfId="17071" priority="10016" stopIfTrue="1" operator="equal">
      <formula>"Napkin Hs"</formula>
    </cfRule>
  </conditionalFormatting>
  <conditionalFormatting sqref="C43:C45">
    <cfRule type="cellIs" dxfId="17070" priority="10015" stopIfTrue="1" operator="equal">
      <formula>"Towel"</formula>
    </cfRule>
  </conditionalFormatting>
  <conditionalFormatting sqref="C43:C45">
    <cfRule type="cellIs" dxfId="17069" priority="10013" stopIfTrue="1" operator="equal">
      <formula>"Towel"</formula>
    </cfRule>
    <cfRule type="cellIs" dxfId="17068" priority="10014" stopIfTrue="1" operator="equal">
      <formula>"Napkin Hs"</formula>
    </cfRule>
  </conditionalFormatting>
  <conditionalFormatting sqref="B43:C45">
    <cfRule type="cellIs" dxfId="17067" priority="10012" stopIfTrue="1" operator="equal">
      <formula>"Napkin Hs"</formula>
    </cfRule>
  </conditionalFormatting>
  <conditionalFormatting sqref="B43:C45">
    <cfRule type="cellIs" dxfId="17066" priority="10011" stopIfTrue="1" operator="equal">
      <formula>"Towel"</formula>
    </cfRule>
  </conditionalFormatting>
  <conditionalFormatting sqref="C43:C45">
    <cfRule type="cellIs" dxfId="17065" priority="10010" stopIfTrue="1" operator="equal">
      <formula>"Napkin Hs"</formula>
    </cfRule>
  </conditionalFormatting>
  <conditionalFormatting sqref="C43:C45">
    <cfRule type="cellIs" dxfId="17064" priority="10007" stopIfTrue="1" operator="equal">
      <formula>"Towel"</formula>
    </cfRule>
    <cfRule type="cellIs" dxfId="17063" priority="10008" stopIfTrue="1" operator="equal">
      <formula>"Napkin Hs"</formula>
    </cfRule>
  </conditionalFormatting>
  <conditionalFormatting sqref="C43:C45">
    <cfRule type="cellIs" dxfId="17062" priority="10009" stopIfTrue="1" operator="equal">
      <formula>"Towel"</formula>
    </cfRule>
  </conditionalFormatting>
  <conditionalFormatting sqref="B43:C45">
    <cfRule type="cellIs" dxfId="17061" priority="10006" stopIfTrue="1" operator="equal">
      <formula>"Napkin Hs"</formula>
    </cfRule>
  </conditionalFormatting>
  <conditionalFormatting sqref="B43:C45">
    <cfRule type="cellIs" dxfId="17060" priority="10005" stopIfTrue="1" operator="equal">
      <formula>"Towel"</formula>
    </cfRule>
  </conditionalFormatting>
  <conditionalFormatting sqref="C43:C45">
    <cfRule type="cellIs" dxfId="17059" priority="10004" stopIfTrue="1" operator="equal">
      <formula>"Napkin Hs"</formula>
    </cfRule>
  </conditionalFormatting>
  <conditionalFormatting sqref="C43:C45">
    <cfRule type="cellIs" dxfId="17058" priority="10001" stopIfTrue="1" operator="equal">
      <formula>"Towel"</formula>
    </cfRule>
    <cfRule type="cellIs" dxfId="17057" priority="10002" stopIfTrue="1" operator="equal">
      <formula>"Napkin Hs"</formula>
    </cfRule>
  </conditionalFormatting>
  <conditionalFormatting sqref="C43:C45">
    <cfRule type="cellIs" dxfId="17056" priority="10003" stopIfTrue="1" operator="equal">
      <formula>"Towel"</formula>
    </cfRule>
  </conditionalFormatting>
  <conditionalFormatting sqref="B43:C45">
    <cfRule type="cellIs" dxfId="17055" priority="10000" stopIfTrue="1" operator="equal">
      <formula>"Napkin Hs"</formula>
    </cfRule>
  </conditionalFormatting>
  <conditionalFormatting sqref="B43:C45">
    <cfRule type="cellIs" dxfId="17054" priority="9999" stopIfTrue="1" operator="equal">
      <formula>"Towel"</formula>
    </cfRule>
  </conditionalFormatting>
  <conditionalFormatting sqref="C43:C45">
    <cfRule type="cellIs" dxfId="17053" priority="9998" stopIfTrue="1" operator="equal">
      <formula>"Napkin Hs"</formula>
    </cfRule>
  </conditionalFormatting>
  <conditionalFormatting sqref="C43:C45">
    <cfRule type="cellIs" dxfId="17052" priority="9995" stopIfTrue="1" operator="equal">
      <formula>"Towel"</formula>
    </cfRule>
    <cfRule type="cellIs" dxfId="17051" priority="9996" stopIfTrue="1" operator="equal">
      <formula>"Napkin Hs"</formula>
    </cfRule>
  </conditionalFormatting>
  <conditionalFormatting sqref="C43:C45">
    <cfRule type="cellIs" dxfId="17050" priority="9997" stopIfTrue="1" operator="equal">
      <formula>"Towel"</formula>
    </cfRule>
  </conditionalFormatting>
  <conditionalFormatting sqref="B43:C45">
    <cfRule type="cellIs" dxfId="17049" priority="9994" stopIfTrue="1" operator="equal">
      <formula>"Napkin Hs"</formula>
    </cfRule>
  </conditionalFormatting>
  <conditionalFormatting sqref="B43:C45">
    <cfRule type="cellIs" dxfId="17048" priority="9993" stopIfTrue="1" operator="equal">
      <formula>"Towel"</formula>
    </cfRule>
  </conditionalFormatting>
  <conditionalFormatting sqref="C43:C45">
    <cfRule type="cellIs" dxfId="17047" priority="9992" stopIfTrue="1" operator="equal">
      <formula>"Napkin Hs"</formula>
    </cfRule>
  </conditionalFormatting>
  <conditionalFormatting sqref="C43:C45">
    <cfRule type="cellIs" dxfId="17046" priority="9989" stopIfTrue="1" operator="equal">
      <formula>"Towel"</formula>
    </cfRule>
    <cfRule type="cellIs" dxfId="17045" priority="9990" stopIfTrue="1" operator="equal">
      <formula>"Napkin Hs"</formula>
    </cfRule>
  </conditionalFormatting>
  <conditionalFormatting sqref="C43:C45">
    <cfRule type="cellIs" dxfId="17044" priority="9991" stopIfTrue="1" operator="equal">
      <formula>"Towel"</formula>
    </cfRule>
  </conditionalFormatting>
  <conditionalFormatting sqref="B48:C48">
    <cfRule type="cellIs" dxfId="17043" priority="9988" stopIfTrue="1" operator="equal">
      <formula>"Napkin Hs"</formula>
    </cfRule>
  </conditionalFormatting>
  <conditionalFormatting sqref="B48:C48">
    <cfRule type="cellIs" dxfId="17042" priority="9987" stopIfTrue="1" operator="equal">
      <formula>"Towel"</formula>
    </cfRule>
  </conditionalFormatting>
  <conditionalFormatting sqref="C48">
    <cfRule type="cellIs" dxfId="17041" priority="9986" stopIfTrue="1" operator="equal">
      <formula>"Napkin Hs"</formula>
    </cfRule>
  </conditionalFormatting>
  <conditionalFormatting sqref="C48">
    <cfRule type="cellIs" dxfId="17040" priority="9985" stopIfTrue="1" operator="equal">
      <formula>"Towel"</formula>
    </cfRule>
  </conditionalFormatting>
  <conditionalFormatting sqref="C48">
    <cfRule type="cellIs" dxfId="17039" priority="9983" stopIfTrue="1" operator="equal">
      <formula>"Towel"</formula>
    </cfRule>
    <cfRule type="cellIs" dxfId="17038" priority="9984" stopIfTrue="1" operator="equal">
      <formula>"Napkin Hs"</formula>
    </cfRule>
  </conditionalFormatting>
  <conditionalFormatting sqref="B48:C48">
    <cfRule type="cellIs" dxfId="17037" priority="9982" stopIfTrue="1" operator="equal">
      <formula>"Napkin Hs"</formula>
    </cfRule>
  </conditionalFormatting>
  <conditionalFormatting sqref="B48:C48">
    <cfRule type="cellIs" dxfId="17036" priority="9981" stopIfTrue="1" operator="equal">
      <formula>"Towel"</formula>
    </cfRule>
  </conditionalFormatting>
  <conditionalFormatting sqref="C48">
    <cfRule type="cellIs" dxfId="17035" priority="9980" stopIfTrue="1" operator="equal">
      <formula>"Napkin Hs"</formula>
    </cfRule>
  </conditionalFormatting>
  <conditionalFormatting sqref="C48">
    <cfRule type="cellIs" dxfId="17034" priority="9977" stopIfTrue="1" operator="equal">
      <formula>"Towel"</formula>
    </cfRule>
    <cfRule type="cellIs" dxfId="17033" priority="9978" stopIfTrue="1" operator="equal">
      <formula>"Napkin Hs"</formula>
    </cfRule>
  </conditionalFormatting>
  <conditionalFormatting sqref="C48">
    <cfRule type="cellIs" dxfId="17032" priority="9979" stopIfTrue="1" operator="equal">
      <formula>"Towel"</formula>
    </cfRule>
  </conditionalFormatting>
  <conditionalFormatting sqref="B48:C48">
    <cfRule type="cellIs" dxfId="17031" priority="9976" stopIfTrue="1" operator="equal">
      <formula>"Napkin Hs"</formula>
    </cfRule>
  </conditionalFormatting>
  <conditionalFormatting sqref="B48:C48">
    <cfRule type="cellIs" dxfId="17030" priority="9975" stopIfTrue="1" operator="equal">
      <formula>"Towel"</formula>
    </cfRule>
  </conditionalFormatting>
  <conditionalFormatting sqref="C48">
    <cfRule type="cellIs" dxfId="17029" priority="9974" stopIfTrue="1" operator="equal">
      <formula>"Napkin Hs"</formula>
    </cfRule>
  </conditionalFormatting>
  <conditionalFormatting sqref="C48">
    <cfRule type="cellIs" dxfId="17028" priority="9973" stopIfTrue="1" operator="equal">
      <formula>"Towel"</formula>
    </cfRule>
  </conditionalFormatting>
  <conditionalFormatting sqref="C48">
    <cfRule type="cellIs" dxfId="17027" priority="9971" stopIfTrue="1" operator="equal">
      <formula>"Towel"</formula>
    </cfRule>
    <cfRule type="cellIs" dxfId="17026" priority="9972" stopIfTrue="1" operator="equal">
      <formula>"Napkin Hs"</formula>
    </cfRule>
  </conditionalFormatting>
  <conditionalFormatting sqref="B48:C48">
    <cfRule type="cellIs" dxfId="17025" priority="9970" stopIfTrue="1" operator="equal">
      <formula>"Napkin Hs"</formula>
    </cfRule>
  </conditionalFormatting>
  <conditionalFormatting sqref="B48:C48">
    <cfRule type="cellIs" dxfId="17024" priority="9969" stopIfTrue="1" operator="equal">
      <formula>"Towel"</formula>
    </cfRule>
  </conditionalFormatting>
  <conditionalFormatting sqref="C48">
    <cfRule type="cellIs" dxfId="17023" priority="9968" stopIfTrue="1" operator="equal">
      <formula>"Napkin Hs"</formula>
    </cfRule>
  </conditionalFormatting>
  <conditionalFormatting sqref="C48">
    <cfRule type="cellIs" dxfId="17022" priority="9965" stopIfTrue="1" operator="equal">
      <formula>"Towel"</formula>
    </cfRule>
    <cfRule type="cellIs" dxfId="17021" priority="9966" stopIfTrue="1" operator="equal">
      <formula>"Napkin Hs"</formula>
    </cfRule>
  </conditionalFormatting>
  <conditionalFormatting sqref="C48">
    <cfRule type="cellIs" dxfId="17020" priority="9967" stopIfTrue="1" operator="equal">
      <formula>"Towel"</formula>
    </cfRule>
  </conditionalFormatting>
  <conditionalFormatting sqref="B48:C48">
    <cfRule type="cellIs" dxfId="17019" priority="9964" stopIfTrue="1" operator="equal">
      <formula>"Napkin Hs"</formula>
    </cfRule>
  </conditionalFormatting>
  <conditionalFormatting sqref="B48:C48">
    <cfRule type="cellIs" dxfId="17018" priority="9963" stopIfTrue="1" operator="equal">
      <formula>"Towel"</formula>
    </cfRule>
  </conditionalFormatting>
  <conditionalFormatting sqref="C48">
    <cfRule type="cellIs" dxfId="17017" priority="9962" stopIfTrue="1" operator="equal">
      <formula>"Napkin Hs"</formula>
    </cfRule>
  </conditionalFormatting>
  <conditionalFormatting sqref="C48">
    <cfRule type="cellIs" dxfId="17016" priority="9961" stopIfTrue="1" operator="equal">
      <formula>"Towel"</formula>
    </cfRule>
  </conditionalFormatting>
  <conditionalFormatting sqref="C48">
    <cfRule type="cellIs" dxfId="17015" priority="9959" stopIfTrue="1" operator="equal">
      <formula>"Towel"</formula>
    </cfRule>
    <cfRule type="cellIs" dxfId="17014" priority="9960" stopIfTrue="1" operator="equal">
      <formula>"Napkin Hs"</formula>
    </cfRule>
  </conditionalFormatting>
  <conditionalFormatting sqref="B48:C48">
    <cfRule type="cellIs" dxfId="17013" priority="9958" stopIfTrue="1" operator="equal">
      <formula>"Napkin Hs"</formula>
    </cfRule>
  </conditionalFormatting>
  <conditionalFormatting sqref="B48:C48">
    <cfRule type="cellIs" dxfId="17012" priority="9957" stopIfTrue="1" operator="equal">
      <formula>"Towel"</formula>
    </cfRule>
  </conditionalFormatting>
  <conditionalFormatting sqref="C48">
    <cfRule type="cellIs" dxfId="17011" priority="9956" stopIfTrue="1" operator="equal">
      <formula>"Napkin Hs"</formula>
    </cfRule>
  </conditionalFormatting>
  <conditionalFormatting sqref="C48">
    <cfRule type="cellIs" dxfId="17010" priority="9953" stopIfTrue="1" operator="equal">
      <formula>"Towel"</formula>
    </cfRule>
    <cfRule type="cellIs" dxfId="17009" priority="9954" stopIfTrue="1" operator="equal">
      <formula>"Napkin Hs"</formula>
    </cfRule>
  </conditionalFormatting>
  <conditionalFormatting sqref="C48">
    <cfRule type="cellIs" dxfId="17008" priority="9955" stopIfTrue="1" operator="equal">
      <formula>"Towel"</formula>
    </cfRule>
  </conditionalFormatting>
  <conditionalFormatting sqref="B48:C48">
    <cfRule type="cellIs" dxfId="17007" priority="9952" stopIfTrue="1" operator="equal">
      <formula>"Napkin Hs"</formula>
    </cfRule>
  </conditionalFormatting>
  <conditionalFormatting sqref="B48:C48">
    <cfRule type="cellIs" dxfId="17006" priority="9951" stopIfTrue="1" operator="equal">
      <formula>"Towel"</formula>
    </cfRule>
  </conditionalFormatting>
  <conditionalFormatting sqref="C48">
    <cfRule type="cellIs" dxfId="17005" priority="9950" stopIfTrue="1" operator="equal">
      <formula>"Napkin Hs"</formula>
    </cfRule>
  </conditionalFormatting>
  <conditionalFormatting sqref="C48">
    <cfRule type="cellIs" dxfId="17004" priority="9949" stopIfTrue="1" operator="equal">
      <formula>"Towel"</formula>
    </cfRule>
  </conditionalFormatting>
  <conditionalFormatting sqref="C48">
    <cfRule type="cellIs" dxfId="17003" priority="9947" stopIfTrue="1" operator="equal">
      <formula>"Towel"</formula>
    </cfRule>
    <cfRule type="cellIs" dxfId="17002" priority="9948" stopIfTrue="1" operator="equal">
      <formula>"Napkin Hs"</formula>
    </cfRule>
  </conditionalFormatting>
  <conditionalFormatting sqref="B48:C48">
    <cfRule type="cellIs" dxfId="17001" priority="9946" stopIfTrue="1" operator="equal">
      <formula>"Napkin Hs"</formula>
    </cfRule>
  </conditionalFormatting>
  <conditionalFormatting sqref="B48:C48">
    <cfRule type="cellIs" dxfId="17000" priority="9945" stopIfTrue="1" operator="equal">
      <formula>"Towel"</formula>
    </cfRule>
  </conditionalFormatting>
  <conditionalFormatting sqref="C48">
    <cfRule type="cellIs" dxfId="16999" priority="9944" stopIfTrue="1" operator="equal">
      <formula>"Napkin Hs"</formula>
    </cfRule>
  </conditionalFormatting>
  <conditionalFormatting sqref="C48">
    <cfRule type="cellIs" dxfId="16998" priority="9941" stopIfTrue="1" operator="equal">
      <formula>"Towel"</formula>
    </cfRule>
    <cfRule type="cellIs" dxfId="16997" priority="9942" stopIfTrue="1" operator="equal">
      <formula>"Napkin Hs"</formula>
    </cfRule>
  </conditionalFormatting>
  <conditionalFormatting sqref="C48">
    <cfRule type="cellIs" dxfId="16996" priority="9943" stopIfTrue="1" operator="equal">
      <formula>"Towel"</formula>
    </cfRule>
  </conditionalFormatting>
  <conditionalFormatting sqref="B48:C48">
    <cfRule type="cellIs" dxfId="16995" priority="9940" stopIfTrue="1" operator="equal">
      <formula>"Napkin Hs"</formula>
    </cfRule>
  </conditionalFormatting>
  <conditionalFormatting sqref="B48:C48">
    <cfRule type="cellIs" dxfId="16994" priority="9939" stopIfTrue="1" operator="equal">
      <formula>"Towel"</formula>
    </cfRule>
  </conditionalFormatting>
  <conditionalFormatting sqref="C48">
    <cfRule type="cellIs" dxfId="16993" priority="9938" stopIfTrue="1" operator="equal">
      <formula>"Napkin Hs"</formula>
    </cfRule>
  </conditionalFormatting>
  <conditionalFormatting sqref="C48">
    <cfRule type="cellIs" dxfId="16992" priority="9935" stopIfTrue="1" operator="equal">
      <formula>"Towel"</formula>
    </cfRule>
    <cfRule type="cellIs" dxfId="16991" priority="9936" stopIfTrue="1" operator="equal">
      <formula>"Napkin Hs"</formula>
    </cfRule>
  </conditionalFormatting>
  <conditionalFormatting sqref="C48">
    <cfRule type="cellIs" dxfId="16990" priority="9937" stopIfTrue="1" operator="equal">
      <formula>"Towel"</formula>
    </cfRule>
  </conditionalFormatting>
  <conditionalFormatting sqref="B48:C48">
    <cfRule type="cellIs" dxfId="16989" priority="9934" stopIfTrue="1" operator="equal">
      <formula>"Napkin Hs"</formula>
    </cfRule>
  </conditionalFormatting>
  <conditionalFormatting sqref="B48:C48">
    <cfRule type="cellIs" dxfId="16988" priority="9933" stopIfTrue="1" operator="equal">
      <formula>"Towel"</formula>
    </cfRule>
  </conditionalFormatting>
  <conditionalFormatting sqref="C48">
    <cfRule type="cellIs" dxfId="16987" priority="9932" stopIfTrue="1" operator="equal">
      <formula>"Napkin Hs"</formula>
    </cfRule>
  </conditionalFormatting>
  <conditionalFormatting sqref="C48">
    <cfRule type="cellIs" dxfId="16986" priority="9929" stopIfTrue="1" operator="equal">
      <formula>"Towel"</formula>
    </cfRule>
    <cfRule type="cellIs" dxfId="16985" priority="9930" stopIfTrue="1" operator="equal">
      <formula>"Napkin Hs"</formula>
    </cfRule>
  </conditionalFormatting>
  <conditionalFormatting sqref="C48">
    <cfRule type="cellIs" dxfId="16984" priority="9931" stopIfTrue="1" operator="equal">
      <formula>"Towel"</formula>
    </cfRule>
  </conditionalFormatting>
  <conditionalFormatting sqref="B48:C48">
    <cfRule type="cellIs" dxfId="16983" priority="9928" stopIfTrue="1" operator="equal">
      <formula>"Napkin Hs"</formula>
    </cfRule>
  </conditionalFormatting>
  <conditionalFormatting sqref="B48:C48">
    <cfRule type="cellIs" dxfId="16982" priority="9927" stopIfTrue="1" operator="equal">
      <formula>"Towel"</formula>
    </cfRule>
  </conditionalFormatting>
  <conditionalFormatting sqref="C48">
    <cfRule type="cellIs" dxfId="16981" priority="9926" stopIfTrue="1" operator="equal">
      <formula>"Napkin Hs"</formula>
    </cfRule>
  </conditionalFormatting>
  <conditionalFormatting sqref="C48">
    <cfRule type="cellIs" dxfId="16980" priority="9923" stopIfTrue="1" operator="equal">
      <formula>"Towel"</formula>
    </cfRule>
    <cfRule type="cellIs" dxfId="16979" priority="9924" stopIfTrue="1" operator="equal">
      <formula>"Napkin Hs"</formula>
    </cfRule>
  </conditionalFormatting>
  <conditionalFormatting sqref="C48">
    <cfRule type="cellIs" dxfId="16978" priority="9925" stopIfTrue="1" operator="equal">
      <formula>"Towel"</formula>
    </cfRule>
  </conditionalFormatting>
  <conditionalFormatting sqref="B49:C50">
    <cfRule type="cellIs" dxfId="16977" priority="9922" stopIfTrue="1" operator="equal">
      <formula>"Napkin Hs"</formula>
    </cfRule>
  </conditionalFormatting>
  <conditionalFormatting sqref="B49:C50">
    <cfRule type="cellIs" dxfId="16976" priority="9921" stopIfTrue="1" operator="equal">
      <formula>"Towel"</formula>
    </cfRule>
  </conditionalFormatting>
  <conditionalFormatting sqref="C49:C50">
    <cfRule type="cellIs" dxfId="16975" priority="9920" stopIfTrue="1" operator="equal">
      <formula>"Napkin Hs"</formula>
    </cfRule>
  </conditionalFormatting>
  <conditionalFormatting sqref="C49:C50">
    <cfRule type="cellIs" dxfId="16974" priority="9919" stopIfTrue="1" operator="equal">
      <formula>"Towel"</formula>
    </cfRule>
  </conditionalFormatting>
  <conditionalFormatting sqref="C49:C50">
    <cfRule type="cellIs" dxfId="16973" priority="9917" stopIfTrue="1" operator="equal">
      <formula>"Towel"</formula>
    </cfRule>
    <cfRule type="cellIs" dxfId="16972" priority="9918" stopIfTrue="1" operator="equal">
      <formula>"Napkin Hs"</formula>
    </cfRule>
  </conditionalFormatting>
  <conditionalFormatting sqref="B49:C50">
    <cfRule type="cellIs" dxfId="16971" priority="9916" stopIfTrue="1" operator="equal">
      <formula>"Napkin Hs"</formula>
    </cfRule>
  </conditionalFormatting>
  <conditionalFormatting sqref="B49:C50">
    <cfRule type="cellIs" dxfId="16970" priority="9915" stopIfTrue="1" operator="equal">
      <formula>"Towel"</formula>
    </cfRule>
  </conditionalFormatting>
  <conditionalFormatting sqref="C49:C50">
    <cfRule type="cellIs" dxfId="16969" priority="9914" stopIfTrue="1" operator="equal">
      <formula>"Napkin Hs"</formula>
    </cfRule>
  </conditionalFormatting>
  <conditionalFormatting sqref="C49:C50">
    <cfRule type="cellIs" dxfId="16968" priority="9911" stopIfTrue="1" operator="equal">
      <formula>"Towel"</formula>
    </cfRule>
    <cfRule type="cellIs" dxfId="16967" priority="9912" stopIfTrue="1" operator="equal">
      <formula>"Napkin Hs"</formula>
    </cfRule>
  </conditionalFormatting>
  <conditionalFormatting sqref="C49:C50">
    <cfRule type="cellIs" dxfId="16966" priority="9913" stopIfTrue="1" operator="equal">
      <formula>"Towel"</formula>
    </cfRule>
  </conditionalFormatting>
  <conditionalFormatting sqref="B49:C50">
    <cfRule type="cellIs" dxfId="16965" priority="9910" stopIfTrue="1" operator="equal">
      <formula>"Napkin Hs"</formula>
    </cfRule>
  </conditionalFormatting>
  <conditionalFormatting sqref="B49:C50">
    <cfRule type="cellIs" dxfId="16964" priority="9909" stopIfTrue="1" operator="equal">
      <formula>"Towel"</formula>
    </cfRule>
  </conditionalFormatting>
  <conditionalFormatting sqref="C49:C50">
    <cfRule type="cellIs" dxfId="16963" priority="9908" stopIfTrue="1" operator="equal">
      <formula>"Napkin Hs"</formula>
    </cfRule>
  </conditionalFormatting>
  <conditionalFormatting sqref="C49:C50">
    <cfRule type="cellIs" dxfId="16962" priority="9907" stopIfTrue="1" operator="equal">
      <formula>"Towel"</formula>
    </cfRule>
  </conditionalFormatting>
  <conditionalFormatting sqref="C49:C50">
    <cfRule type="cellIs" dxfId="16961" priority="9905" stopIfTrue="1" operator="equal">
      <formula>"Towel"</formula>
    </cfRule>
    <cfRule type="cellIs" dxfId="16960" priority="9906" stopIfTrue="1" operator="equal">
      <formula>"Napkin Hs"</formula>
    </cfRule>
  </conditionalFormatting>
  <conditionalFormatting sqref="B49:C50">
    <cfRule type="cellIs" dxfId="16959" priority="9904" stopIfTrue="1" operator="equal">
      <formula>"Napkin Hs"</formula>
    </cfRule>
  </conditionalFormatting>
  <conditionalFormatting sqref="B49:C50">
    <cfRule type="cellIs" dxfId="16958" priority="9903" stopIfTrue="1" operator="equal">
      <formula>"Towel"</formula>
    </cfRule>
  </conditionalFormatting>
  <conditionalFormatting sqref="C49:C50">
    <cfRule type="cellIs" dxfId="16957" priority="9902" stopIfTrue="1" operator="equal">
      <formula>"Napkin Hs"</formula>
    </cfRule>
  </conditionalFormatting>
  <conditionalFormatting sqref="C49:C50">
    <cfRule type="cellIs" dxfId="16956" priority="9899" stopIfTrue="1" operator="equal">
      <formula>"Towel"</formula>
    </cfRule>
    <cfRule type="cellIs" dxfId="16955" priority="9900" stopIfTrue="1" operator="equal">
      <formula>"Napkin Hs"</formula>
    </cfRule>
  </conditionalFormatting>
  <conditionalFormatting sqref="C49:C50">
    <cfRule type="cellIs" dxfId="16954" priority="9901" stopIfTrue="1" operator="equal">
      <formula>"Towel"</formula>
    </cfRule>
  </conditionalFormatting>
  <conditionalFormatting sqref="B49:C50">
    <cfRule type="cellIs" dxfId="16953" priority="9898" stopIfTrue="1" operator="equal">
      <formula>"Napkin Hs"</formula>
    </cfRule>
  </conditionalFormatting>
  <conditionalFormatting sqref="B49:C50">
    <cfRule type="cellIs" dxfId="16952" priority="9897" stopIfTrue="1" operator="equal">
      <formula>"Towel"</formula>
    </cfRule>
  </conditionalFormatting>
  <conditionalFormatting sqref="C49:C50">
    <cfRule type="cellIs" dxfId="16951" priority="9896" stopIfTrue="1" operator="equal">
      <formula>"Napkin Hs"</formula>
    </cfRule>
  </conditionalFormatting>
  <conditionalFormatting sqref="C49:C50">
    <cfRule type="cellIs" dxfId="16950" priority="9895" stopIfTrue="1" operator="equal">
      <formula>"Towel"</formula>
    </cfRule>
  </conditionalFormatting>
  <conditionalFormatting sqref="C49:C50">
    <cfRule type="cellIs" dxfId="16949" priority="9893" stopIfTrue="1" operator="equal">
      <formula>"Towel"</formula>
    </cfRule>
    <cfRule type="cellIs" dxfId="16948" priority="9894" stopIfTrue="1" operator="equal">
      <formula>"Napkin Hs"</formula>
    </cfRule>
  </conditionalFormatting>
  <conditionalFormatting sqref="B49:C50">
    <cfRule type="cellIs" dxfId="16947" priority="9892" stopIfTrue="1" operator="equal">
      <formula>"Napkin Hs"</formula>
    </cfRule>
  </conditionalFormatting>
  <conditionalFormatting sqref="B49:C50">
    <cfRule type="cellIs" dxfId="16946" priority="9891" stopIfTrue="1" operator="equal">
      <formula>"Towel"</formula>
    </cfRule>
  </conditionalFormatting>
  <conditionalFormatting sqref="C49:C50">
    <cfRule type="cellIs" dxfId="16945" priority="9890" stopIfTrue="1" operator="equal">
      <formula>"Napkin Hs"</formula>
    </cfRule>
  </conditionalFormatting>
  <conditionalFormatting sqref="C49:C50">
    <cfRule type="cellIs" dxfId="16944" priority="9887" stopIfTrue="1" operator="equal">
      <formula>"Towel"</formula>
    </cfRule>
    <cfRule type="cellIs" dxfId="16943" priority="9888" stopIfTrue="1" operator="equal">
      <formula>"Napkin Hs"</formula>
    </cfRule>
  </conditionalFormatting>
  <conditionalFormatting sqref="C49:C50">
    <cfRule type="cellIs" dxfId="16942" priority="9889" stopIfTrue="1" operator="equal">
      <formula>"Towel"</formula>
    </cfRule>
  </conditionalFormatting>
  <conditionalFormatting sqref="B49:C50">
    <cfRule type="cellIs" dxfId="16941" priority="9886" stopIfTrue="1" operator="equal">
      <formula>"Napkin Hs"</formula>
    </cfRule>
  </conditionalFormatting>
  <conditionalFormatting sqref="B49:C50">
    <cfRule type="cellIs" dxfId="16940" priority="9885" stopIfTrue="1" operator="equal">
      <formula>"Towel"</formula>
    </cfRule>
  </conditionalFormatting>
  <conditionalFormatting sqref="C49:C50">
    <cfRule type="cellIs" dxfId="16939" priority="9884" stopIfTrue="1" operator="equal">
      <formula>"Napkin Hs"</formula>
    </cfRule>
  </conditionalFormatting>
  <conditionalFormatting sqref="C49:C50">
    <cfRule type="cellIs" dxfId="16938" priority="9883" stopIfTrue="1" operator="equal">
      <formula>"Towel"</formula>
    </cfRule>
  </conditionalFormatting>
  <conditionalFormatting sqref="C49:C50">
    <cfRule type="cellIs" dxfId="16937" priority="9881" stopIfTrue="1" operator="equal">
      <formula>"Towel"</formula>
    </cfRule>
    <cfRule type="cellIs" dxfId="16936" priority="9882" stopIfTrue="1" operator="equal">
      <formula>"Napkin Hs"</formula>
    </cfRule>
  </conditionalFormatting>
  <conditionalFormatting sqref="B49:C50">
    <cfRule type="cellIs" dxfId="16935" priority="9880" stopIfTrue="1" operator="equal">
      <formula>"Napkin Hs"</formula>
    </cfRule>
  </conditionalFormatting>
  <conditionalFormatting sqref="B49:C50">
    <cfRule type="cellIs" dxfId="16934" priority="9879" stopIfTrue="1" operator="equal">
      <formula>"Towel"</formula>
    </cfRule>
  </conditionalFormatting>
  <conditionalFormatting sqref="C49:C50">
    <cfRule type="cellIs" dxfId="16933" priority="9878" stopIfTrue="1" operator="equal">
      <formula>"Napkin Hs"</formula>
    </cfRule>
  </conditionalFormatting>
  <conditionalFormatting sqref="C49:C50">
    <cfRule type="cellIs" dxfId="16932" priority="9875" stopIfTrue="1" operator="equal">
      <formula>"Towel"</formula>
    </cfRule>
    <cfRule type="cellIs" dxfId="16931" priority="9876" stopIfTrue="1" operator="equal">
      <formula>"Napkin Hs"</formula>
    </cfRule>
  </conditionalFormatting>
  <conditionalFormatting sqref="C49:C50">
    <cfRule type="cellIs" dxfId="16930" priority="9877" stopIfTrue="1" operator="equal">
      <formula>"Towel"</formula>
    </cfRule>
  </conditionalFormatting>
  <conditionalFormatting sqref="B49:C50">
    <cfRule type="cellIs" dxfId="16929" priority="9874" stopIfTrue="1" operator="equal">
      <formula>"Napkin Hs"</formula>
    </cfRule>
  </conditionalFormatting>
  <conditionalFormatting sqref="B49:C50">
    <cfRule type="cellIs" dxfId="16928" priority="9873" stopIfTrue="1" operator="equal">
      <formula>"Towel"</formula>
    </cfRule>
  </conditionalFormatting>
  <conditionalFormatting sqref="C49:C50">
    <cfRule type="cellIs" dxfId="16927" priority="9872" stopIfTrue="1" operator="equal">
      <formula>"Napkin Hs"</formula>
    </cfRule>
  </conditionalFormatting>
  <conditionalFormatting sqref="C49:C50">
    <cfRule type="cellIs" dxfId="16926" priority="9869" stopIfTrue="1" operator="equal">
      <formula>"Towel"</formula>
    </cfRule>
    <cfRule type="cellIs" dxfId="16925" priority="9870" stopIfTrue="1" operator="equal">
      <formula>"Napkin Hs"</formula>
    </cfRule>
  </conditionalFormatting>
  <conditionalFormatting sqref="C49:C50">
    <cfRule type="cellIs" dxfId="16924" priority="9871" stopIfTrue="1" operator="equal">
      <formula>"Towel"</formula>
    </cfRule>
  </conditionalFormatting>
  <conditionalFormatting sqref="B49:C50">
    <cfRule type="cellIs" dxfId="16923" priority="9868" stopIfTrue="1" operator="equal">
      <formula>"Napkin Hs"</formula>
    </cfRule>
  </conditionalFormatting>
  <conditionalFormatting sqref="B49:C50">
    <cfRule type="cellIs" dxfId="16922" priority="9867" stopIfTrue="1" operator="equal">
      <formula>"Towel"</formula>
    </cfRule>
  </conditionalFormatting>
  <conditionalFormatting sqref="C49:C50">
    <cfRule type="cellIs" dxfId="16921" priority="9866" stopIfTrue="1" operator="equal">
      <formula>"Napkin Hs"</formula>
    </cfRule>
  </conditionalFormatting>
  <conditionalFormatting sqref="C49:C50">
    <cfRule type="cellIs" dxfId="16920" priority="9863" stopIfTrue="1" operator="equal">
      <formula>"Towel"</formula>
    </cfRule>
    <cfRule type="cellIs" dxfId="16919" priority="9864" stopIfTrue="1" operator="equal">
      <formula>"Napkin Hs"</formula>
    </cfRule>
  </conditionalFormatting>
  <conditionalFormatting sqref="C49:C50">
    <cfRule type="cellIs" dxfId="16918" priority="9865" stopIfTrue="1" operator="equal">
      <formula>"Towel"</formula>
    </cfRule>
  </conditionalFormatting>
  <conditionalFormatting sqref="B49:C50">
    <cfRule type="cellIs" dxfId="16917" priority="9862" stopIfTrue="1" operator="equal">
      <formula>"Napkin Hs"</formula>
    </cfRule>
  </conditionalFormatting>
  <conditionalFormatting sqref="B49:C50">
    <cfRule type="cellIs" dxfId="16916" priority="9861" stopIfTrue="1" operator="equal">
      <formula>"Towel"</formula>
    </cfRule>
  </conditionalFormatting>
  <conditionalFormatting sqref="C49:C50">
    <cfRule type="cellIs" dxfId="16915" priority="9860" stopIfTrue="1" operator="equal">
      <formula>"Napkin Hs"</formula>
    </cfRule>
  </conditionalFormatting>
  <conditionalFormatting sqref="C49:C50">
    <cfRule type="cellIs" dxfId="16914" priority="9857" stopIfTrue="1" operator="equal">
      <formula>"Towel"</formula>
    </cfRule>
    <cfRule type="cellIs" dxfId="16913" priority="9858" stopIfTrue="1" operator="equal">
      <formula>"Napkin Hs"</formula>
    </cfRule>
  </conditionalFormatting>
  <conditionalFormatting sqref="C49:C50">
    <cfRule type="cellIs" dxfId="16912" priority="9859" stopIfTrue="1" operator="equal">
      <formula>"Towel"</formula>
    </cfRule>
  </conditionalFormatting>
  <conditionalFormatting sqref="B55:C55">
    <cfRule type="cellIs" dxfId="16911" priority="9855" stopIfTrue="1" operator="equal">
      <formula>"Towel"</formula>
    </cfRule>
    <cfRule type="cellIs" dxfId="16910" priority="9856" stopIfTrue="1" operator="equal">
      <formula>"Napkin Hs"</formula>
    </cfRule>
  </conditionalFormatting>
  <conditionalFormatting sqref="C55">
    <cfRule type="cellIs" dxfId="16909" priority="9851" stopIfTrue="1" operator="equal">
      <formula>"Towel"</formula>
    </cfRule>
    <cfRule type="cellIs" dxfId="16908" priority="9852" stopIfTrue="1" operator="equal">
      <formula>"Napkin Hs"</formula>
    </cfRule>
  </conditionalFormatting>
  <conditionalFormatting sqref="C55">
    <cfRule type="cellIs" dxfId="16907" priority="9853" stopIfTrue="1" operator="equal">
      <formula>"Towel"</formula>
    </cfRule>
    <cfRule type="cellIs" dxfId="16906" priority="9854" stopIfTrue="1" operator="equal">
      <formula>"Napkin Hs"</formula>
    </cfRule>
  </conditionalFormatting>
  <conditionalFormatting sqref="B55:C55">
    <cfRule type="cellIs" dxfId="16905" priority="9849" stopIfTrue="1" operator="equal">
      <formula>"Towel"</formula>
    </cfRule>
    <cfRule type="cellIs" dxfId="16904" priority="9850" stopIfTrue="1" operator="equal">
      <formula>"Napkin Hs"</formula>
    </cfRule>
  </conditionalFormatting>
  <conditionalFormatting sqref="C55">
    <cfRule type="cellIs" dxfId="16903" priority="9845" stopIfTrue="1" operator="equal">
      <formula>"Towel"</formula>
    </cfRule>
    <cfRule type="cellIs" dxfId="16902" priority="9846" stopIfTrue="1" operator="equal">
      <formula>"Napkin Hs"</formula>
    </cfRule>
  </conditionalFormatting>
  <conditionalFormatting sqref="C55">
    <cfRule type="cellIs" dxfId="16901" priority="9847" stopIfTrue="1" operator="equal">
      <formula>"Towel"</formula>
    </cfRule>
    <cfRule type="cellIs" dxfId="16900" priority="9848" stopIfTrue="1" operator="equal">
      <formula>"Napkin Hs"</formula>
    </cfRule>
  </conditionalFormatting>
  <conditionalFormatting sqref="B55:C55">
    <cfRule type="cellIs" dxfId="16899" priority="9843" stopIfTrue="1" operator="equal">
      <formula>"Towel"</formula>
    </cfRule>
    <cfRule type="cellIs" dxfId="16898" priority="9844" stopIfTrue="1" operator="equal">
      <formula>"Napkin Hs"</formula>
    </cfRule>
  </conditionalFormatting>
  <conditionalFormatting sqref="C55">
    <cfRule type="cellIs" dxfId="16897" priority="9839" stopIfTrue="1" operator="equal">
      <formula>"Towel"</formula>
    </cfRule>
    <cfRule type="cellIs" dxfId="16896" priority="9840" stopIfTrue="1" operator="equal">
      <formula>"Napkin Hs"</formula>
    </cfRule>
  </conditionalFormatting>
  <conditionalFormatting sqref="C55">
    <cfRule type="cellIs" dxfId="16895" priority="9841" stopIfTrue="1" operator="equal">
      <formula>"Towel"</formula>
    </cfRule>
    <cfRule type="cellIs" dxfId="16894" priority="9842" stopIfTrue="1" operator="equal">
      <formula>"Napkin Hs"</formula>
    </cfRule>
  </conditionalFormatting>
  <conditionalFormatting sqref="B55:C55">
    <cfRule type="cellIs" dxfId="16893" priority="9837" stopIfTrue="1" operator="equal">
      <formula>"Towel"</formula>
    </cfRule>
    <cfRule type="cellIs" dxfId="16892" priority="9838" stopIfTrue="1" operator="equal">
      <formula>"Napkin Hs"</formula>
    </cfRule>
  </conditionalFormatting>
  <conditionalFormatting sqref="C55">
    <cfRule type="cellIs" dxfId="16891" priority="9835" stopIfTrue="1" operator="equal">
      <formula>"Towel"</formula>
    </cfRule>
    <cfRule type="cellIs" dxfId="16890" priority="9836" stopIfTrue="1" operator="equal">
      <formula>"Napkin Hs"</formula>
    </cfRule>
  </conditionalFormatting>
  <conditionalFormatting sqref="C55">
    <cfRule type="cellIs" dxfId="16889" priority="9833" stopIfTrue="1" operator="equal">
      <formula>"Towel"</formula>
    </cfRule>
    <cfRule type="cellIs" dxfId="16888" priority="9834" stopIfTrue="1" operator="equal">
      <formula>"Napkin Hs"</formula>
    </cfRule>
  </conditionalFormatting>
  <conditionalFormatting sqref="B55:C55">
    <cfRule type="cellIs" dxfId="16887" priority="9832" stopIfTrue="1" operator="equal">
      <formula>"Napkin Hs"</formula>
    </cfRule>
  </conditionalFormatting>
  <conditionalFormatting sqref="B55:C55">
    <cfRule type="cellIs" dxfId="16886" priority="9831" stopIfTrue="1" operator="equal">
      <formula>"Towel"</formula>
    </cfRule>
  </conditionalFormatting>
  <conditionalFormatting sqref="C55">
    <cfRule type="cellIs" dxfId="16885" priority="9830" stopIfTrue="1" operator="equal">
      <formula>"Napkin Hs"</formula>
    </cfRule>
  </conditionalFormatting>
  <conditionalFormatting sqref="C55">
    <cfRule type="cellIs" dxfId="16884" priority="9829" stopIfTrue="1" operator="equal">
      <formula>"Towel"</formula>
    </cfRule>
  </conditionalFormatting>
  <conditionalFormatting sqref="C55">
    <cfRule type="cellIs" dxfId="16883" priority="9827" stopIfTrue="1" operator="equal">
      <formula>"Towel"</formula>
    </cfRule>
    <cfRule type="cellIs" dxfId="16882" priority="9828" stopIfTrue="1" operator="equal">
      <formula>"Napkin Hs"</formula>
    </cfRule>
  </conditionalFormatting>
  <conditionalFormatting sqref="C55">
    <cfRule type="cellIs" dxfId="16881" priority="9825" stopIfTrue="1" operator="equal">
      <formula>"Towel"</formula>
    </cfRule>
    <cfRule type="cellIs" dxfId="16880" priority="9826" stopIfTrue="1" operator="equal">
      <formula>"Napkin Hs"</formula>
    </cfRule>
  </conditionalFormatting>
  <conditionalFormatting sqref="B56:C56">
    <cfRule type="cellIs" dxfId="16879" priority="9775" stopIfTrue="1" operator="equal">
      <formula>"Towel"</formula>
    </cfRule>
    <cfRule type="cellIs" dxfId="16878" priority="9776" stopIfTrue="1" operator="equal">
      <formula>"Napkin Hs"</formula>
    </cfRule>
  </conditionalFormatting>
  <conditionalFormatting sqref="C56">
    <cfRule type="cellIs" dxfId="16877" priority="9771" stopIfTrue="1" operator="equal">
      <formula>"Towel"</formula>
    </cfRule>
    <cfRule type="cellIs" dxfId="16876" priority="9772" stopIfTrue="1" operator="equal">
      <formula>"Napkin Hs"</formula>
    </cfRule>
  </conditionalFormatting>
  <conditionalFormatting sqref="C56">
    <cfRule type="cellIs" dxfId="16875" priority="9773" stopIfTrue="1" operator="equal">
      <formula>"Towel"</formula>
    </cfRule>
    <cfRule type="cellIs" dxfId="16874" priority="9774" stopIfTrue="1" operator="equal">
      <formula>"Napkin Hs"</formula>
    </cfRule>
  </conditionalFormatting>
  <conditionalFormatting sqref="B56:C56">
    <cfRule type="cellIs" dxfId="16873" priority="9770" stopIfTrue="1" operator="equal">
      <formula>"Napkin Hs"</formula>
    </cfRule>
  </conditionalFormatting>
  <conditionalFormatting sqref="B56:C56">
    <cfRule type="cellIs" dxfId="16872" priority="9769" stopIfTrue="1" operator="equal">
      <formula>"Towel"</formula>
    </cfRule>
  </conditionalFormatting>
  <conditionalFormatting sqref="C56">
    <cfRule type="cellIs" dxfId="16871" priority="9768" stopIfTrue="1" operator="equal">
      <formula>"Napkin Hs"</formula>
    </cfRule>
  </conditionalFormatting>
  <conditionalFormatting sqref="C56">
    <cfRule type="cellIs" dxfId="16870" priority="9767" stopIfTrue="1" operator="equal">
      <formula>"Towel"</formula>
    </cfRule>
  </conditionalFormatting>
  <conditionalFormatting sqref="C56">
    <cfRule type="cellIs" dxfId="16869" priority="9765" stopIfTrue="1" operator="equal">
      <formula>"Towel"</formula>
    </cfRule>
    <cfRule type="cellIs" dxfId="16868" priority="9766" stopIfTrue="1" operator="equal">
      <formula>"Napkin Hs"</formula>
    </cfRule>
  </conditionalFormatting>
  <conditionalFormatting sqref="B56:C56">
    <cfRule type="cellIs" dxfId="16867" priority="9763" stopIfTrue="1" operator="equal">
      <formula>"Towel"</formula>
    </cfRule>
    <cfRule type="cellIs" dxfId="16866" priority="9764" stopIfTrue="1" operator="equal">
      <formula>"Napkin Hs"</formula>
    </cfRule>
  </conditionalFormatting>
  <conditionalFormatting sqref="C56">
    <cfRule type="cellIs" dxfId="16865" priority="9761" stopIfTrue="1" operator="equal">
      <formula>"Towel"</formula>
    </cfRule>
    <cfRule type="cellIs" dxfId="16864" priority="9762" stopIfTrue="1" operator="equal">
      <formula>"Napkin Hs"</formula>
    </cfRule>
  </conditionalFormatting>
  <conditionalFormatting sqref="C56">
    <cfRule type="cellIs" dxfId="16863" priority="9759" stopIfTrue="1" operator="equal">
      <formula>"Towel"</formula>
    </cfRule>
    <cfRule type="cellIs" dxfId="16862" priority="9760" stopIfTrue="1" operator="equal">
      <formula>"Napkin Hs"</formula>
    </cfRule>
  </conditionalFormatting>
  <conditionalFormatting sqref="B56:C56">
    <cfRule type="cellIs" dxfId="16861" priority="9757" stopIfTrue="1" operator="equal">
      <formula>"Towel"</formula>
    </cfRule>
    <cfRule type="cellIs" dxfId="16860" priority="9758" stopIfTrue="1" operator="equal">
      <formula>"Napkin Hs"</formula>
    </cfRule>
  </conditionalFormatting>
  <conditionalFormatting sqref="C56">
    <cfRule type="cellIs" dxfId="16859" priority="9755" stopIfTrue="1" operator="equal">
      <formula>"Towel"</formula>
    </cfRule>
    <cfRule type="cellIs" dxfId="16858" priority="9756" stopIfTrue="1" operator="equal">
      <formula>"Napkin Hs"</formula>
    </cfRule>
  </conditionalFormatting>
  <conditionalFormatting sqref="C56">
    <cfRule type="cellIs" dxfId="16857" priority="9753" stopIfTrue="1" operator="equal">
      <formula>"Towel"</formula>
    </cfRule>
    <cfRule type="cellIs" dxfId="16856" priority="9754" stopIfTrue="1" operator="equal">
      <formula>"Napkin Hs"</formula>
    </cfRule>
  </conditionalFormatting>
  <conditionalFormatting sqref="B56:C56">
    <cfRule type="cellIs" dxfId="16855" priority="9751" stopIfTrue="1" operator="equal">
      <formula>"Towel"</formula>
    </cfRule>
    <cfRule type="cellIs" dxfId="16854" priority="9752" stopIfTrue="1" operator="equal">
      <formula>"Napkin Hs"</formula>
    </cfRule>
  </conditionalFormatting>
  <conditionalFormatting sqref="C56">
    <cfRule type="cellIs" dxfId="16853" priority="9749" stopIfTrue="1" operator="equal">
      <formula>"Towel"</formula>
    </cfRule>
    <cfRule type="cellIs" dxfId="16852" priority="9750" stopIfTrue="1" operator="equal">
      <formula>"Napkin Hs"</formula>
    </cfRule>
  </conditionalFormatting>
  <conditionalFormatting sqref="C56">
    <cfRule type="cellIs" dxfId="16851" priority="9747" stopIfTrue="1" operator="equal">
      <formula>"Towel"</formula>
    </cfRule>
    <cfRule type="cellIs" dxfId="16850" priority="9748" stopIfTrue="1" operator="equal">
      <formula>"Napkin Hs"</formula>
    </cfRule>
  </conditionalFormatting>
  <conditionalFormatting sqref="B56:C56">
    <cfRule type="cellIs" dxfId="16849" priority="9745" stopIfTrue="1" operator="equal">
      <formula>"Towel"</formula>
    </cfRule>
    <cfRule type="cellIs" dxfId="16848" priority="9746" stopIfTrue="1" operator="equal">
      <formula>"Napkin Hs"</formula>
    </cfRule>
  </conditionalFormatting>
  <conditionalFormatting sqref="C56">
    <cfRule type="cellIs" dxfId="16847" priority="9743" stopIfTrue="1" operator="equal">
      <formula>"Towel"</formula>
    </cfRule>
    <cfRule type="cellIs" dxfId="16846" priority="9744" stopIfTrue="1" operator="equal">
      <formula>"Napkin Hs"</formula>
    </cfRule>
  </conditionalFormatting>
  <conditionalFormatting sqref="C56">
    <cfRule type="cellIs" dxfId="16845" priority="9741" stopIfTrue="1" operator="equal">
      <formula>"Towel"</formula>
    </cfRule>
    <cfRule type="cellIs" dxfId="16844" priority="9742" stopIfTrue="1" operator="equal">
      <formula>"Napkin Hs"</formula>
    </cfRule>
  </conditionalFormatting>
  <conditionalFormatting sqref="B56:C56">
    <cfRule type="cellIs" dxfId="16843" priority="9739" stopIfTrue="1" operator="equal">
      <formula>"Towel"</formula>
    </cfRule>
    <cfRule type="cellIs" dxfId="16842" priority="9740" stopIfTrue="1" operator="equal">
      <formula>"Napkin Hs"</formula>
    </cfRule>
  </conditionalFormatting>
  <conditionalFormatting sqref="C56">
    <cfRule type="cellIs" dxfId="16841" priority="9737" stopIfTrue="1" operator="equal">
      <formula>"Towel"</formula>
    </cfRule>
    <cfRule type="cellIs" dxfId="16840" priority="9738" stopIfTrue="1" operator="equal">
      <formula>"Napkin Hs"</formula>
    </cfRule>
  </conditionalFormatting>
  <conditionalFormatting sqref="C56">
    <cfRule type="cellIs" dxfId="16839" priority="9735" stopIfTrue="1" operator="equal">
      <formula>"Towel"</formula>
    </cfRule>
    <cfRule type="cellIs" dxfId="16838" priority="9736" stopIfTrue="1" operator="equal">
      <formula>"Napkin Hs"</formula>
    </cfRule>
  </conditionalFormatting>
  <conditionalFormatting sqref="B56:C56">
    <cfRule type="cellIs" dxfId="16837" priority="9734" stopIfTrue="1" operator="equal">
      <formula>"Napkin Hs"</formula>
    </cfRule>
  </conditionalFormatting>
  <conditionalFormatting sqref="B56:C56">
    <cfRule type="cellIs" dxfId="16836" priority="9733" stopIfTrue="1" operator="equal">
      <formula>"Towel"</formula>
    </cfRule>
  </conditionalFormatting>
  <conditionalFormatting sqref="C56">
    <cfRule type="cellIs" dxfId="16835" priority="9732" stopIfTrue="1" operator="equal">
      <formula>"Napkin Hs"</formula>
    </cfRule>
  </conditionalFormatting>
  <conditionalFormatting sqref="C56">
    <cfRule type="cellIs" dxfId="16834" priority="9729" stopIfTrue="1" operator="equal">
      <formula>"Towel"</formula>
    </cfRule>
    <cfRule type="cellIs" dxfId="16833" priority="9730" stopIfTrue="1" operator="equal">
      <formula>"Napkin Hs"</formula>
    </cfRule>
  </conditionalFormatting>
  <conditionalFormatting sqref="C56">
    <cfRule type="cellIs" dxfId="16832" priority="9731" stopIfTrue="1" operator="equal">
      <formula>"Towel"</formula>
    </cfRule>
  </conditionalFormatting>
  <conditionalFormatting sqref="B52:C52">
    <cfRule type="cellIs" dxfId="16831" priority="9728" stopIfTrue="1" operator="equal">
      <formula>"Napkin Hs"</formula>
    </cfRule>
  </conditionalFormatting>
  <conditionalFormatting sqref="B52:C52">
    <cfRule type="cellIs" dxfId="16830" priority="9727" stopIfTrue="1" operator="equal">
      <formula>"Towel"</formula>
    </cfRule>
  </conditionalFormatting>
  <conditionalFormatting sqref="C52">
    <cfRule type="cellIs" dxfId="16829" priority="9726" stopIfTrue="1" operator="equal">
      <formula>"Napkin Hs"</formula>
    </cfRule>
  </conditionalFormatting>
  <conditionalFormatting sqref="C52">
    <cfRule type="cellIs" dxfId="16828" priority="9725" stopIfTrue="1" operator="equal">
      <formula>"Towel"</formula>
    </cfRule>
  </conditionalFormatting>
  <conditionalFormatting sqref="C52">
    <cfRule type="cellIs" dxfId="16827" priority="9723" stopIfTrue="1" operator="equal">
      <formula>"Towel"</formula>
    </cfRule>
    <cfRule type="cellIs" dxfId="16826" priority="9724" stopIfTrue="1" operator="equal">
      <formula>"Napkin Hs"</formula>
    </cfRule>
  </conditionalFormatting>
  <conditionalFormatting sqref="B52:C52">
    <cfRule type="cellIs" dxfId="16825" priority="9722" stopIfTrue="1" operator="equal">
      <formula>"Napkin Hs"</formula>
    </cfRule>
  </conditionalFormatting>
  <conditionalFormatting sqref="B52:C52">
    <cfRule type="cellIs" dxfId="16824" priority="9721" stopIfTrue="1" operator="equal">
      <formula>"Towel"</formula>
    </cfRule>
  </conditionalFormatting>
  <conditionalFormatting sqref="C52">
    <cfRule type="cellIs" dxfId="16823" priority="9720" stopIfTrue="1" operator="equal">
      <formula>"Napkin Hs"</formula>
    </cfRule>
  </conditionalFormatting>
  <conditionalFormatting sqref="C52">
    <cfRule type="cellIs" dxfId="16822" priority="9717" stopIfTrue="1" operator="equal">
      <formula>"Towel"</formula>
    </cfRule>
    <cfRule type="cellIs" dxfId="16821" priority="9718" stopIfTrue="1" operator="equal">
      <formula>"Napkin Hs"</formula>
    </cfRule>
  </conditionalFormatting>
  <conditionalFormatting sqref="C52">
    <cfRule type="cellIs" dxfId="16820" priority="9719" stopIfTrue="1" operator="equal">
      <formula>"Towel"</formula>
    </cfRule>
  </conditionalFormatting>
  <conditionalFormatting sqref="B52:C52">
    <cfRule type="cellIs" dxfId="16819" priority="9716" stopIfTrue="1" operator="equal">
      <formula>"Napkin Hs"</formula>
    </cfRule>
  </conditionalFormatting>
  <conditionalFormatting sqref="B52:C52">
    <cfRule type="cellIs" dxfId="16818" priority="9715" stopIfTrue="1" operator="equal">
      <formula>"Towel"</formula>
    </cfRule>
  </conditionalFormatting>
  <conditionalFormatting sqref="C52">
    <cfRule type="cellIs" dxfId="16817" priority="9714" stopIfTrue="1" operator="equal">
      <formula>"Napkin Hs"</formula>
    </cfRule>
  </conditionalFormatting>
  <conditionalFormatting sqref="C52">
    <cfRule type="cellIs" dxfId="16816" priority="9713" stopIfTrue="1" operator="equal">
      <formula>"Towel"</formula>
    </cfRule>
  </conditionalFormatting>
  <conditionalFormatting sqref="C52">
    <cfRule type="cellIs" dxfId="16815" priority="9711" stopIfTrue="1" operator="equal">
      <formula>"Towel"</formula>
    </cfRule>
    <cfRule type="cellIs" dxfId="16814" priority="9712" stopIfTrue="1" operator="equal">
      <formula>"Napkin Hs"</formula>
    </cfRule>
  </conditionalFormatting>
  <conditionalFormatting sqref="B52:C52">
    <cfRule type="cellIs" dxfId="16813" priority="9710" stopIfTrue="1" operator="equal">
      <formula>"Napkin Hs"</formula>
    </cfRule>
  </conditionalFormatting>
  <conditionalFormatting sqref="B52:C52">
    <cfRule type="cellIs" dxfId="16812" priority="9709" stopIfTrue="1" operator="equal">
      <formula>"Towel"</formula>
    </cfRule>
  </conditionalFormatting>
  <conditionalFormatting sqref="C52">
    <cfRule type="cellIs" dxfId="16811" priority="9708" stopIfTrue="1" operator="equal">
      <formula>"Napkin Hs"</formula>
    </cfRule>
  </conditionalFormatting>
  <conditionalFormatting sqref="C52">
    <cfRule type="cellIs" dxfId="16810" priority="9705" stopIfTrue="1" operator="equal">
      <formula>"Towel"</formula>
    </cfRule>
    <cfRule type="cellIs" dxfId="16809" priority="9706" stopIfTrue="1" operator="equal">
      <formula>"Napkin Hs"</formula>
    </cfRule>
  </conditionalFormatting>
  <conditionalFormatting sqref="C52">
    <cfRule type="cellIs" dxfId="16808" priority="9707" stopIfTrue="1" operator="equal">
      <formula>"Towel"</formula>
    </cfRule>
  </conditionalFormatting>
  <conditionalFormatting sqref="B52:C52">
    <cfRule type="cellIs" dxfId="16807" priority="9704" stopIfTrue="1" operator="equal">
      <formula>"Napkin Hs"</formula>
    </cfRule>
  </conditionalFormatting>
  <conditionalFormatting sqref="B52:C52">
    <cfRule type="cellIs" dxfId="16806" priority="9703" stopIfTrue="1" operator="equal">
      <formula>"Towel"</formula>
    </cfRule>
  </conditionalFormatting>
  <conditionalFormatting sqref="C52">
    <cfRule type="cellIs" dxfId="16805" priority="9702" stopIfTrue="1" operator="equal">
      <formula>"Napkin Hs"</formula>
    </cfRule>
  </conditionalFormatting>
  <conditionalFormatting sqref="C52">
    <cfRule type="cellIs" dxfId="16804" priority="9701" stopIfTrue="1" operator="equal">
      <formula>"Towel"</formula>
    </cfRule>
  </conditionalFormatting>
  <conditionalFormatting sqref="C52">
    <cfRule type="cellIs" dxfId="16803" priority="9699" stopIfTrue="1" operator="equal">
      <formula>"Towel"</formula>
    </cfRule>
    <cfRule type="cellIs" dxfId="16802" priority="9700" stopIfTrue="1" operator="equal">
      <formula>"Napkin Hs"</formula>
    </cfRule>
  </conditionalFormatting>
  <conditionalFormatting sqref="B52:C52">
    <cfRule type="cellIs" dxfId="16801" priority="9698" stopIfTrue="1" operator="equal">
      <formula>"Napkin Hs"</formula>
    </cfRule>
  </conditionalFormatting>
  <conditionalFormatting sqref="B52:C52">
    <cfRule type="cellIs" dxfId="16800" priority="9697" stopIfTrue="1" operator="equal">
      <formula>"Towel"</formula>
    </cfRule>
  </conditionalFormatting>
  <conditionalFormatting sqref="C52">
    <cfRule type="cellIs" dxfId="16799" priority="9696" stopIfTrue="1" operator="equal">
      <formula>"Napkin Hs"</formula>
    </cfRule>
  </conditionalFormatting>
  <conditionalFormatting sqref="C52">
    <cfRule type="cellIs" dxfId="16798" priority="9693" stopIfTrue="1" operator="equal">
      <formula>"Towel"</formula>
    </cfRule>
    <cfRule type="cellIs" dxfId="16797" priority="9694" stopIfTrue="1" operator="equal">
      <formula>"Napkin Hs"</formula>
    </cfRule>
  </conditionalFormatting>
  <conditionalFormatting sqref="C52">
    <cfRule type="cellIs" dxfId="16796" priority="9695" stopIfTrue="1" operator="equal">
      <formula>"Towel"</formula>
    </cfRule>
  </conditionalFormatting>
  <conditionalFormatting sqref="B52:C52">
    <cfRule type="cellIs" dxfId="16795" priority="9692" stopIfTrue="1" operator="equal">
      <formula>"Napkin Hs"</formula>
    </cfRule>
  </conditionalFormatting>
  <conditionalFormatting sqref="B52:C52">
    <cfRule type="cellIs" dxfId="16794" priority="9691" stopIfTrue="1" operator="equal">
      <formula>"Towel"</formula>
    </cfRule>
  </conditionalFormatting>
  <conditionalFormatting sqref="C52">
    <cfRule type="cellIs" dxfId="16793" priority="9690" stopIfTrue="1" operator="equal">
      <formula>"Napkin Hs"</formula>
    </cfRule>
  </conditionalFormatting>
  <conditionalFormatting sqref="C52">
    <cfRule type="cellIs" dxfId="16792" priority="9689" stopIfTrue="1" operator="equal">
      <formula>"Towel"</formula>
    </cfRule>
  </conditionalFormatting>
  <conditionalFormatting sqref="C52">
    <cfRule type="cellIs" dxfId="16791" priority="9687" stopIfTrue="1" operator="equal">
      <formula>"Towel"</formula>
    </cfRule>
    <cfRule type="cellIs" dxfId="16790" priority="9688" stopIfTrue="1" operator="equal">
      <formula>"Napkin Hs"</formula>
    </cfRule>
  </conditionalFormatting>
  <conditionalFormatting sqref="B52:C52">
    <cfRule type="cellIs" dxfId="16789" priority="9686" stopIfTrue="1" operator="equal">
      <formula>"Napkin Hs"</formula>
    </cfRule>
  </conditionalFormatting>
  <conditionalFormatting sqref="B52:C52">
    <cfRule type="cellIs" dxfId="16788" priority="9685" stopIfTrue="1" operator="equal">
      <formula>"Towel"</formula>
    </cfRule>
  </conditionalFormatting>
  <conditionalFormatting sqref="C52">
    <cfRule type="cellIs" dxfId="16787" priority="9684" stopIfTrue="1" operator="equal">
      <formula>"Napkin Hs"</formula>
    </cfRule>
  </conditionalFormatting>
  <conditionalFormatting sqref="C52">
    <cfRule type="cellIs" dxfId="16786" priority="9681" stopIfTrue="1" operator="equal">
      <formula>"Towel"</formula>
    </cfRule>
    <cfRule type="cellIs" dxfId="16785" priority="9682" stopIfTrue="1" operator="equal">
      <formula>"Napkin Hs"</formula>
    </cfRule>
  </conditionalFormatting>
  <conditionalFormatting sqref="C52">
    <cfRule type="cellIs" dxfId="16784" priority="9683" stopIfTrue="1" operator="equal">
      <formula>"Towel"</formula>
    </cfRule>
  </conditionalFormatting>
  <conditionalFormatting sqref="B52:C52">
    <cfRule type="cellIs" dxfId="16783" priority="9680" stopIfTrue="1" operator="equal">
      <formula>"Napkin Hs"</formula>
    </cfRule>
  </conditionalFormatting>
  <conditionalFormatting sqref="B52:C52">
    <cfRule type="cellIs" dxfId="16782" priority="9679" stopIfTrue="1" operator="equal">
      <formula>"Towel"</formula>
    </cfRule>
  </conditionalFormatting>
  <conditionalFormatting sqref="C52">
    <cfRule type="cellIs" dxfId="16781" priority="9678" stopIfTrue="1" operator="equal">
      <formula>"Napkin Hs"</formula>
    </cfRule>
  </conditionalFormatting>
  <conditionalFormatting sqref="C52">
    <cfRule type="cellIs" dxfId="16780" priority="9675" stopIfTrue="1" operator="equal">
      <formula>"Towel"</formula>
    </cfRule>
    <cfRule type="cellIs" dxfId="16779" priority="9676" stopIfTrue="1" operator="equal">
      <formula>"Napkin Hs"</formula>
    </cfRule>
  </conditionalFormatting>
  <conditionalFormatting sqref="C52">
    <cfRule type="cellIs" dxfId="16778" priority="9677" stopIfTrue="1" operator="equal">
      <formula>"Towel"</formula>
    </cfRule>
  </conditionalFormatting>
  <conditionalFormatting sqref="B52:C52">
    <cfRule type="cellIs" dxfId="16777" priority="9674" stopIfTrue="1" operator="equal">
      <formula>"Napkin Hs"</formula>
    </cfRule>
  </conditionalFormatting>
  <conditionalFormatting sqref="B52:C52">
    <cfRule type="cellIs" dxfId="16776" priority="9673" stopIfTrue="1" operator="equal">
      <formula>"Towel"</formula>
    </cfRule>
  </conditionalFormatting>
  <conditionalFormatting sqref="C52">
    <cfRule type="cellIs" dxfId="16775" priority="9672" stopIfTrue="1" operator="equal">
      <formula>"Napkin Hs"</formula>
    </cfRule>
  </conditionalFormatting>
  <conditionalFormatting sqref="C52">
    <cfRule type="cellIs" dxfId="16774" priority="9669" stopIfTrue="1" operator="equal">
      <formula>"Towel"</formula>
    </cfRule>
    <cfRule type="cellIs" dxfId="16773" priority="9670" stopIfTrue="1" operator="equal">
      <formula>"Napkin Hs"</formula>
    </cfRule>
  </conditionalFormatting>
  <conditionalFormatting sqref="C52">
    <cfRule type="cellIs" dxfId="16772" priority="9671" stopIfTrue="1" operator="equal">
      <formula>"Towel"</formula>
    </cfRule>
  </conditionalFormatting>
  <conditionalFormatting sqref="B52:C52">
    <cfRule type="cellIs" dxfId="16771" priority="9668" stopIfTrue="1" operator="equal">
      <formula>"Napkin Hs"</formula>
    </cfRule>
  </conditionalFormatting>
  <conditionalFormatting sqref="B52:C52">
    <cfRule type="cellIs" dxfId="16770" priority="9667" stopIfTrue="1" operator="equal">
      <formula>"Towel"</formula>
    </cfRule>
  </conditionalFormatting>
  <conditionalFormatting sqref="C52">
    <cfRule type="cellIs" dxfId="16769" priority="9666" stopIfTrue="1" operator="equal">
      <formula>"Napkin Hs"</formula>
    </cfRule>
  </conditionalFormatting>
  <conditionalFormatting sqref="C52">
    <cfRule type="cellIs" dxfId="16768" priority="9663" stopIfTrue="1" operator="equal">
      <formula>"Towel"</formula>
    </cfRule>
    <cfRule type="cellIs" dxfId="16767" priority="9664" stopIfTrue="1" operator="equal">
      <formula>"Napkin Hs"</formula>
    </cfRule>
  </conditionalFormatting>
  <conditionalFormatting sqref="C52">
    <cfRule type="cellIs" dxfId="16766" priority="9665" stopIfTrue="1" operator="equal">
      <formula>"Towel"</formula>
    </cfRule>
  </conditionalFormatting>
  <conditionalFormatting sqref="B54:C54">
    <cfRule type="cellIs" dxfId="16765" priority="9662" stopIfTrue="1" operator="equal">
      <formula>"Napkin Hs"</formula>
    </cfRule>
  </conditionalFormatting>
  <conditionalFormatting sqref="B54:C54">
    <cfRule type="cellIs" dxfId="16764" priority="9661" stopIfTrue="1" operator="equal">
      <formula>"Towel"</formula>
    </cfRule>
  </conditionalFormatting>
  <conditionalFormatting sqref="C54">
    <cfRule type="cellIs" dxfId="16763" priority="9660" stopIfTrue="1" operator="equal">
      <formula>"Napkin Hs"</formula>
    </cfRule>
  </conditionalFormatting>
  <conditionalFormatting sqref="C54">
    <cfRule type="cellIs" dxfId="16762" priority="9659" stopIfTrue="1" operator="equal">
      <formula>"Towel"</formula>
    </cfRule>
  </conditionalFormatting>
  <conditionalFormatting sqref="C54">
    <cfRule type="cellIs" dxfId="16761" priority="9657" stopIfTrue="1" operator="equal">
      <formula>"Towel"</formula>
    </cfRule>
    <cfRule type="cellIs" dxfId="16760" priority="9658" stopIfTrue="1" operator="equal">
      <formula>"Napkin Hs"</formula>
    </cfRule>
  </conditionalFormatting>
  <conditionalFormatting sqref="B54:C54">
    <cfRule type="cellIs" dxfId="16759" priority="9656" stopIfTrue="1" operator="equal">
      <formula>"Napkin Hs"</formula>
    </cfRule>
  </conditionalFormatting>
  <conditionalFormatting sqref="B54:C54">
    <cfRule type="cellIs" dxfId="16758" priority="9655" stopIfTrue="1" operator="equal">
      <formula>"Towel"</formula>
    </cfRule>
  </conditionalFormatting>
  <conditionalFormatting sqref="C54">
    <cfRule type="cellIs" dxfId="16757" priority="9654" stopIfTrue="1" operator="equal">
      <formula>"Napkin Hs"</formula>
    </cfRule>
  </conditionalFormatting>
  <conditionalFormatting sqref="C54">
    <cfRule type="cellIs" dxfId="16756" priority="9651" stopIfTrue="1" operator="equal">
      <formula>"Towel"</formula>
    </cfRule>
    <cfRule type="cellIs" dxfId="16755" priority="9652" stopIfTrue="1" operator="equal">
      <formula>"Napkin Hs"</formula>
    </cfRule>
  </conditionalFormatting>
  <conditionalFormatting sqref="C54">
    <cfRule type="cellIs" dxfId="16754" priority="9653" stopIfTrue="1" operator="equal">
      <formula>"Towel"</formula>
    </cfRule>
  </conditionalFormatting>
  <conditionalFormatting sqref="B54:C54">
    <cfRule type="cellIs" dxfId="16753" priority="9650" stopIfTrue="1" operator="equal">
      <formula>"Napkin Hs"</formula>
    </cfRule>
  </conditionalFormatting>
  <conditionalFormatting sqref="B54:C54">
    <cfRule type="cellIs" dxfId="16752" priority="9649" stopIfTrue="1" operator="equal">
      <formula>"Towel"</formula>
    </cfRule>
  </conditionalFormatting>
  <conditionalFormatting sqref="C54">
    <cfRule type="cellIs" dxfId="16751" priority="9648" stopIfTrue="1" operator="equal">
      <formula>"Napkin Hs"</formula>
    </cfRule>
  </conditionalFormatting>
  <conditionalFormatting sqref="C54">
    <cfRule type="cellIs" dxfId="16750" priority="9647" stopIfTrue="1" operator="equal">
      <formula>"Towel"</formula>
    </cfRule>
  </conditionalFormatting>
  <conditionalFormatting sqref="C54">
    <cfRule type="cellIs" dxfId="16749" priority="9645" stopIfTrue="1" operator="equal">
      <formula>"Towel"</formula>
    </cfRule>
    <cfRule type="cellIs" dxfId="16748" priority="9646" stopIfTrue="1" operator="equal">
      <formula>"Napkin Hs"</formula>
    </cfRule>
  </conditionalFormatting>
  <conditionalFormatting sqref="B54:C54">
    <cfRule type="cellIs" dxfId="16747" priority="9644" stopIfTrue="1" operator="equal">
      <formula>"Napkin Hs"</formula>
    </cfRule>
  </conditionalFormatting>
  <conditionalFormatting sqref="B54:C54">
    <cfRule type="cellIs" dxfId="16746" priority="9643" stopIfTrue="1" operator="equal">
      <formula>"Towel"</formula>
    </cfRule>
  </conditionalFormatting>
  <conditionalFormatting sqref="C54">
    <cfRule type="cellIs" dxfId="16745" priority="9642" stopIfTrue="1" operator="equal">
      <formula>"Napkin Hs"</formula>
    </cfRule>
  </conditionalFormatting>
  <conditionalFormatting sqref="C54">
    <cfRule type="cellIs" dxfId="16744" priority="9639" stopIfTrue="1" operator="equal">
      <formula>"Towel"</formula>
    </cfRule>
    <cfRule type="cellIs" dxfId="16743" priority="9640" stopIfTrue="1" operator="equal">
      <formula>"Napkin Hs"</formula>
    </cfRule>
  </conditionalFormatting>
  <conditionalFormatting sqref="C54">
    <cfRule type="cellIs" dxfId="16742" priority="9641" stopIfTrue="1" operator="equal">
      <formula>"Towel"</formula>
    </cfRule>
  </conditionalFormatting>
  <conditionalFormatting sqref="B54:C54">
    <cfRule type="cellIs" dxfId="16741" priority="9638" stopIfTrue="1" operator="equal">
      <formula>"Napkin Hs"</formula>
    </cfRule>
  </conditionalFormatting>
  <conditionalFormatting sqref="B54:C54">
    <cfRule type="cellIs" dxfId="16740" priority="9637" stopIfTrue="1" operator="equal">
      <formula>"Towel"</formula>
    </cfRule>
  </conditionalFormatting>
  <conditionalFormatting sqref="C54">
    <cfRule type="cellIs" dxfId="16739" priority="9636" stopIfTrue="1" operator="equal">
      <formula>"Napkin Hs"</formula>
    </cfRule>
  </conditionalFormatting>
  <conditionalFormatting sqref="C54">
    <cfRule type="cellIs" dxfId="16738" priority="9635" stopIfTrue="1" operator="equal">
      <formula>"Towel"</formula>
    </cfRule>
  </conditionalFormatting>
  <conditionalFormatting sqref="C54">
    <cfRule type="cellIs" dxfId="16737" priority="9633" stopIfTrue="1" operator="equal">
      <formula>"Towel"</formula>
    </cfRule>
    <cfRule type="cellIs" dxfId="16736" priority="9634" stopIfTrue="1" operator="equal">
      <formula>"Napkin Hs"</formula>
    </cfRule>
  </conditionalFormatting>
  <conditionalFormatting sqref="B54:C54">
    <cfRule type="cellIs" dxfId="16735" priority="9632" stopIfTrue="1" operator="equal">
      <formula>"Napkin Hs"</formula>
    </cfRule>
  </conditionalFormatting>
  <conditionalFormatting sqref="B54:C54">
    <cfRule type="cellIs" dxfId="16734" priority="9631" stopIfTrue="1" operator="equal">
      <formula>"Towel"</formula>
    </cfRule>
  </conditionalFormatting>
  <conditionalFormatting sqref="C54">
    <cfRule type="cellIs" dxfId="16733" priority="9630" stopIfTrue="1" operator="equal">
      <formula>"Napkin Hs"</formula>
    </cfRule>
  </conditionalFormatting>
  <conditionalFormatting sqref="C54">
    <cfRule type="cellIs" dxfId="16732" priority="9627" stopIfTrue="1" operator="equal">
      <formula>"Towel"</formula>
    </cfRule>
    <cfRule type="cellIs" dxfId="16731" priority="9628" stopIfTrue="1" operator="equal">
      <formula>"Napkin Hs"</formula>
    </cfRule>
  </conditionalFormatting>
  <conditionalFormatting sqref="C54">
    <cfRule type="cellIs" dxfId="16730" priority="9629" stopIfTrue="1" operator="equal">
      <formula>"Towel"</formula>
    </cfRule>
  </conditionalFormatting>
  <conditionalFormatting sqref="B54:C54">
    <cfRule type="cellIs" dxfId="16729" priority="9626" stopIfTrue="1" operator="equal">
      <formula>"Napkin Hs"</formula>
    </cfRule>
  </conditionalFormatting>
  <conditionalFormatting sqref="B54:C54">
    <cfRule type="cellIs" dxfId="16728" priority="9625" stopIfTrue="1" operator="equal">
      <formula>"Towel"</formula>
    </cfRule>
  </conditionalFormatting>
  <conditionalFormatting sqref="C54">
    <cfRule type="cellIs" dxfId="16727" priority="9624" stopIfTrue="1" operator="equal">
      <formula>"Napkin Hs"</formula>
    </cfRule>
  </conditionalFormatting>
  <conditionalFormatting sqref="C54">
    <cfRule type="cellIs" dxfId="16726" priority="9623" stopIfTrue="1" operator="equal">
      <formula>"Towel"</formula>
    </cfRule>
  </conditionalFormatting>
  <conditionalFormatting sqref="C54">
    <cfRule type="cellIs" dxfId="16725" priority="9621" stopIfTrue="1" operator="equal">
      <formula>"Towel"</formula>
    </cfRule>
    <cfRule type="cellIs" dxfId="16724" priority="9622" stopIfTrue="1" operator="equal">
      <formula>"Napkin Hs"</formula>
    </cfRule>
  </conditionalFormatting>
  <conditionalFormatting sqref="B54:C54">
    <cfRule type="cellIs" dxfId="16723" priority="9620" stopIfTrue="1" operator="equal">
      <formula>"Napkin Hs"</formula>
    </cfRule>
  </conditionalFormatting>
  <conditionalFormatting sqref="B54:C54">
    <cfRule type="cellIs" dxfId="16722" priority="9619" stopIfTrue="1" operator="equal">
      <formula>"Towel"</formula>
    </cfRule>
  </conditionalFormatting>
  <conditionalFormatting sqref="C54">
    <cfRule type="cellIs" dxfId="16721" priority="9618" stopIfTrue="1" operator="equal">
      <formula>"Napkin Hs"</formula>
    </cfRule>
  </conditionalFormatting>
  <conditionalFormatting sqref="C54">
    <cfRule type="cellIs" dxfId="16720" priority="9615" stopIfTrue="1" operator="equal">
      <formula>"Towel"</formula>
    </cfRule>
    <cfRule type="cellIs" dxfId="16719" priority="9616" stopIfTrue="1" operator="equal">
      <formula>"Napkin Hs"</formula>
    </cfRule>
  </conditionalFormatting>
  <conditionalFormatting sqref="C54">
    <cfRule type="cellIs" dxfId="16718" priority="9617" stopIfTrue="1" operator="equal">
      <formula>"Towel"</formula>
    </cfRule>
  </conditionalFormatting>
  <conditionalFormatting sqref="B54:C54">
    <cfRule type="cellIs" dxfId="16717" priority="9614" stopIfTrue="1" operator="equal">
      <formula>"Napkin Hs"</formula>
    </cfRule>
  </conditionalFormatting>
  <conditionalFormatting sqref="B54:C54">
    <cfRule type="cellIs" dxfId="16716" priority="9613" stopIfTrue="1" operator="equal">
      <formula>"Towel"</formula>
    </cfRule>
  </conditionalFormatting>
  <conditionalFormatting sqref="C54">
    <cfRule type="cellIs" dxfId="16715" priority="9612" stopIfTrue="1" operator="equal">
      <formula>"Napkin Hs"</formula>
    </cfRule>
  </conditionalFormatting>
  <conditionalFormatting sqref="C54">
    <cfRule type="cellIs" dxfId="16714" priority="9609" stopIfTrue="1" operator="equal">
      <formula>"Towel"</formula>
    </cfRule>
    <cfRule type="cellIs" dxfId="16713" priority="9610" stopIfTrue="1" operator="equal">
      <formula>"Napkin Hs"</formula>
    </cfRule>
  </conditionalFormatting>
  <conditionalFormatting sqref="C54">
    <cfRule type="cellIs" dxfId="16712" priority="9611" stopIfTrue="1" operator="equal">
      <formula>"Towel"</formula>
    </cfRule>
  </conditionalFormatting>
  <conditionalFormatting sqref="B54:C54">
    <cfRule type="cellIs" dxfId="16711" priority="9608" stopIfTrue="1" operator="equal">
      <formula>"Napkin Hs"</formula>
    </cfRule>
  </conditionalFormatting>
  <conditionalFormatting sqref="B54:C54">
    <cfRule type="cellIs" dxfId="16710" priority="9607" stopIfTrue="1" operator="equal">
      <formula>"Towel"</formula>
    </cfRule>
  </conditionalFormatting>
  <conditionalFormatting sqref="C54">
    <cfRule type="cellIs" dxfId="16709" priority="9606" stopIfTrue="1" operator="equal">
      <formula>"Napkin Hs"</formula>
    </cfRule>
  </conditionalFormatting>
  <conditionalFormatting sqref="C54">
    <cfRule type="cellIs" dxfId="16708" priority="9603" stopIfTrue="1" operator="equal">
      <formula>"Towel"</formula>
    </cfRule>
    <cfRule type="cellIs" dxfId="16707" priority="9604" stopIfTrue="1" operator="equal">
      <formula>"Napkin Hs"</formula>
    </cfRule>
  </conditionalFormatting>
  <conditionalFormatting sqref="C54">
    <cfRule type="cellIs" dxfId="16706" priority="9605" stopIfTrue="1" operator="equal">
      <formula>"Towel"</formula>
    </cfRule>
  </conditionalFormatting>
  <conditionalFormatting sqref="B54:C54">
    <cfRule type="cellIs" dxfId="16705" priority="9602" stopIfTrue="1" operator="equal">
      <formula>"Napkin Hs"</formula>
    </cfRule>
  </conditionalFormatting>
  <conditionalFormatting sqref="B54:C54">
    <cfRule type="cellIs" dxfId="16704" priority="9601" stopIfTrue="1" operator="equal">
      <formula>"Towel"</formula>
    </cfRule>
  </conditionalFormatting>
  <conditionalFormatting sqref="C54">
    <cfRule type="cellIs" dxfId="16703" priority="9600" stopIfTrue="1" operator="equal">
      <formula>"Napkin Hs"</formula>
    </cfRule>
  </conditionalFormatting>
  <conditionalFormatting sqref="C54">
    <cfRule type="cellIs" dxfId="16702" priority="9597" stopIfTrue="1" operator="equal">
      <formula>"Towel"</formula>
    </cfRule>
    <cfRule type="cellIs" dxfId="16701" priority="9598" stopIfTrue="1" operator="equal">
      <formula>"Napkin Hs"</formula>
    </cfRule>
  </conditionalFormatting>
  <conditionalFormatting sqref="C54">
    <cfRule type="cellIs" dxfId="16700" priority="9599" stopIfTrue="1" operator="equal">
      <formula>"Towel"</formula>
    </cfRule>
  </conditionalFormatting>
  <conditionalFormatting sqref="B53:C53">
    <cfRule type="cellIs" dxfId="16699" priority="9596" stopIfTrue="1" operator="equal">
      <formula>"Napkin Hs"</formula>
    </cfRule>
  </conditionalFormatting>
  <conditionalFormatting sqref="B53:C53">
    <cfRule type="cellIs" dxfId="16698" priority="9595" stopIfTrue="1" operator="equal">
      <formula>"Towel"</formula>
    </cfRule>
  </conditionalFormatting>
  <conditionalFormatting sqref="C53">
    <cfRule type="cellIs" dxfId="16697" priority="9594" stopIfTrue="1" operator="equal">
      <formula>"Napkin Hs"</formula>
    </cfRule>
  </conditionalFormatting>
  <conditionalFormatting sqref="C53">
    <cfRule type="cellIs" dxfId="16696" priority="9591" stopIfTrue="1" operator="equal">
      <formula>"Towel"</formula>
    </cfRule>
    <cfRule type="cellIs" dxfId="16695" priority="9592" stopIfTrue="1" operator="equal">
      <formula>"Napkin Hs"</formula>
    </cfRule>
  </conditionalFormatting>
  <conditionalFormatting sqref="C53">
    <cfRule type="cellIs" dxfId="16694" priority="9593" stopIfTrue="1" operator="equal">
      <formula>"Towel"</formula>
    </cfRule>
  </conditionalFormatting>
  <conditionalFormatting sqref="B59:C60">
    <cfRule type="cellIs" dxfId="16693" priority="9589" stopIfTrue="1" operator="equal">
      <formula>"Towel"</formula>
    </cfRule>
    <cfRule type="cellIs" dxfId="16692" priority="9590" stopIfTrue="1" operator="equal">
      <formula>"Napkin Hs"</formula>
    </cfRule>
  </conditionalFormatting>
  <conditionalFormatting sqref="C59:C60">
    <cfRule type="cellIs" dxfId="16691" priority="9585" stopIfTrue="1" operator="equal">
      <formula>"Towel"</formula>
    </cfRule>
    <cfRule type="cellIs" dxfId="16690" priority="9586" stopIfTrue="1" operator="equal">
      <formula>"Napkin Hs"</formula>
    </cfRule>
  </conditionalFormatting>
  <conditionalFormatting sqref="C59:C60">
    <cfRule type="cellIs" dxfId="16689" priority="9587" stopIfTrue="1" operator="equal">
      <formula>"Towel"</formula>
    </cfRule>
    <cfRule type="cellIs" dxfId="16688" priority="9588" stopIfTrue="1" operator="equal">
      <formula>"Napkin Hs"</formula>
    </cfRule>
  </conditionalFormatting>
  <conditionalFormatting sqref="B59:C59">
    <cfRule type="cellIs" dxfId="16687" priority="9579" stopIfTrue="1" operator="equal">
      <formula>"Towel"</formula>
    </cfRule>
    <cfRule type="cellIs" dxfId="16686" priority="9580" stopIfTrue="1" operator="equal">
      <formula>"Napkin Hs"</formula>
    </cfRule>
  </conditionalFormatting>
  <conditionalFormatting sqref="B60:C60">
    <cfRule type="cellIs" dxfId="16685" priority="9583" stopIfTrue="1" operator="equal">
      <formula>"Towel"</formula>
    </cfRule>
    <cfRule type="cellIs" dxfId="16684" priority="9584" stopIfTrue="1" operator="equal">
      <formula>"Napkin Hs"</formula>
    </cfRule>
  </conditionalFormatting>
  <conditionalFormatting sqref="C59">
    <cfRule type="cellIs" dxfId="16683" priority="9575" stopIfTrue="1" operator="equal">
      <formula>"Towel"</formula>
    </cfRule>
    <cfRule type="cellIs" dxfId="16682" priority="9576" stopIfTrue="1" operator="equal">
      <formula>"Napkin Hs"</formula>
    </cfRule>
  </conditionalFormatting>
  <conditionalFormatting sqref="C59:C60">
    <cfRule type="cellIs" dxfId="16681" priority="9577" stopIfTrue="1" operator="equal">
      <formula>"Towel"</formula>
    </cfRule>
    <cfRule type="cellIs" dxfId="16680" priority="9578" stopIfTrue="1" operator="equal">
      <formula>"Napkin Hs"</formula>
    </cfRule>
  </conditionalFormatting>
  <conditionalFormatting sqref="C60">
    <cfRule type="cellIs" dxfId="16679" priority="9581" stopIfTrue="1" operator="equal">
      <formula>"Towel"</formula>
    </cfRule>
    <cfRule type="cellIs" dxfId="16678" priority="9582" stopIfTrue="1" operator="equal">
      <formula>"Napkin Hs"</formula>
    </cfRule>
  </conditionalFormatting>
  <conditionalFormatting sqref="B59:C59">
    <cfRule type="cellIs" dxfId="16677" priority="9569" stopIfTrue="1" operator="equal">
      <formula>"Towel"</formula>
    </cfRule>
    <cfRule type="cellIs" dxfId="16676" priority="9570" stopIfTrue="1" operator="equal">
      <formula>"Napkin Hs"</formula>
    </cfRule>
  </conditionalFormatting>
  <conditionalFormatting sqref="B60:C60">
    <cfRule type="cellIs" dxfId="16675" priority="9573" stopIfTrue="1" operator="equal">
      <formula>"Towel"</formula>
    </cfRule>
    <cfRule type="cellIs" dxfId="16674" priority="9574" stopIfTrue="1" operator="equal">
      <formula>"Napkin Hs"</formula>
    </cfRule>
  </conditionalFormatting>
  <conditionalFormatting sqref="C59:C60">
    <cfRule type="cellIs" dxfId="16673" priority="9567" stopIfTrue="1" operator="equal">
      <formula>"Towel"</formula>
    </cfRule>
    <cfRule type="cellIs" dxfId="16672" priority="9568" stopIfTrue="1" operator="equal">
      <formula>"Napkin Hs"</formula>
    </cfRule>
  </conditionalFormatting>
  <conditionalFormatting sqref="C59">
    <cfRule type="cellIs" dxfId="16671" priority="9565" stopIfTrue="1" operator="equal">
      <formula>"Towel"</formula>
    </cfRule>
    <cfRule type="cellIs" dxfId="16670" priority="9566" stopIfTrue="1" operator="equal">
      <formula>"Napkin Hs"</formula>
    </cfRule>
  </conditionalFormatting>
  <conditionalFormatting sqref="C60">
    <cfRule type="cellIs" dxfId="16669" priority="9571" stopIfTrue="1" operator="equal">
      <formula>"Towel"</formula>
    </cfRule>
    <cfRule type="cellIs" dxfId="16668" priority="9572" stopIfTrue="1" operator="equal">
      <formula>"Napkin Hs"</formula>
    </cfRule>
  </conditionalFormatting>
  <conditionalFormatting sqref="B59:C59">
    <cfRule type="cellIs" dxfId="16667" priority="9563" stopIfTrue="1" operator="equal">
      <formula>"Towel"</formula>
    </cfRule>
    <cfRule type="cellIs" dxfId="16666" priority="9564" stopIfTrue="1" operator="equal">
      <formula>"Napkin Hs"</formula>
    </cfRule>
  </conditionalFormatting>
  <conditionalFormatting sqref="B60:C60">
    <cfRule type="cellIs" dxfId="16665" priority="9559" stopIfTrue="1" operator="equal">
      <formula>"Towel"</formula>
    </cfRule>
    <cfRule type="cellIs" dxfId="16664" priority="9560" stopIfTrue="1" operator="equal">
      <formula>"Napkin Hs"</formula>
    </cfRule>
  </conditionalFormatting>
  <conditionalFormatting sqref="C59">
    <cfRule type="cellIs" dxfId="16663" priority="9561" stopIfTrue="1" operator="equal">
      <formula>"Towel"</formula>
    </cfRule>
    <cfRule type="cellIs" dxfId="16662" priority="9562" stopIfTrue="1" operator="equal">
      <formula>"Napkin Hs"</formula>
    </cfRule>
  </conditionalFormatting>
  <conditionalFormatting sqref="C59:C60">
    <cfRule type="cellIs" dxfId="16661" priority="9557" stopIfTrue="1" operator="equal">
      <formula>"Towel"</formula>
    </cfRule>
    <cfRule type="cellIs" dxfId="16660" priority="9558" stopIfTrue="1" operator="equal">
      <formula>"Napkin Hs"</formula>
    </cfRule>
  </conditionalFormatting>
  <conditionalFormatting sqref="C60">
    <cfRule type="cellIs" dxfId="16659" priority="9555" stopIfTrue="1" operator="equal">
      <formula>"Towel"</formula>
    </cfRule>
    <cfRule type="cellIs" dxfId="16658" priority="9556" stopIfTrue="1" operator="equal">
      <formula>"Napkin Hs"</formula>
    </cfRule>
  </conditionalFormatting>
  <conditionalFormatting sqref="B60:C60">
    <cfRule type="cellIs" dxfId="16657" priority="9554" stopIfTrue="1" operator="equal">
      <formula>"Napkin Hs"</formula>
    </cfRule>
  </conditionalFormatting>
  <conditionalFormatting sqref="B60:C60">
    <cfRule type="cellIs" dxfId="16656" priority="9553" stopIfTrue="1" operator="equal">
      <formula>"Towel"</formula>
    </cfRule>
  </conditionalFormatting>
  <conditionalFormatting sqref="B59:C59">
    <cfRule type="cellIs" dxfId="16655" priority="9549" stopIfTrue="1" operator="equal">
      <formula>"Towel"</formula>
    </cfRule>
    <cfRule type="cellIs" dxfId="16654" priority="9550" stopIfTrue="1" operator="equal">
      <formula>"Napkin Hs"</formula>
    </cfRule>
  </conditionalFormatting>
  <conditionalFormatting sqref="C60">
    <cfRule type="cellIs" dxfId="16653" priority="9552" stopIfTrue="1" operator="equal">
      <formula>"Napkin Hs"</formula>
    </cfRule>
  </conditionalFormatting>
  <conditionalFormatting sqref="C60">
    <cfRule type="cellIs" dxfId="16652" priority="9551" stopIfTrue="1" operator="equal">
      <formula>"Towel"</formula>
    </cfRule>
  </conditionalFormatting>
  <conditionalFormatting sqref="C59:C60">
    <cfRule type="cellIs" dxfId="16651" priority="9547" stopIfTrue="1" operator="equal">
      <formula>"Towel"</formula>
    </cfRule>
    <cfRule type="cellIs" dxfId="16650" priority="9548" stopIfTrue="1" operator="equal">
      <formula>"Napkin Hs"</formula>
    </cfRule>
  </conditionalFormatting>
  <conditionalFormatting sqref="C59">
    <cfRule type="cellIs" dxfId="16649" priority="9545" stopIfTrue="1" operator="equal">
      <formula>"Towel"</formula>
    </cfRule>
    <cfRule type="cellIs" dxfId="16648" priority="9546" stopIfTrue="1" operator="equal">
      <formula>"Napkin Hs"</formula>
    </cfRule>
  </conditionalFormatting>
  <conditionalFormatting sqref="C60">
    <cfRule type="cellIs" dxfId="16647" priority="9543" stopIfTrue="1" operator="equal">
      <formula>"Towel"</formula>
    </cfRule>
    <cfRule type="cellIs" dxfId="16646" priority="9544" stopIfTrue="1" operator="equal">
      <formula>"Napkin Hs"</formula>
    </cfRule>
  </conditionalFormatting>
  <conditionalFormatting sqref="B59:C59">
    <cfRule type="cellIs" dxfId="16645" priority="9542" stopIfTrue="1" operator="equal">
      <formula>"Napkin Hs"</formula>
    </cfRule>
  </conditionalFormatting>
  <conditionalFormatting sqref="B59:C59">
    <cfRule type="cellIs" dxfId="16644" priority="9541" stopIfTrue="1" operator="equal">
      <formula>"Towel"</formula>
    </cfRule>
  </conditionalFormatting>
  <conditionalFormatting sqref="C59">
    <cfRule type="cellIs" dxfId="16643" priority="9540" stopIfTrue="1" operator="equal">
      <formula>"Napkin Hs"</formula>
    </cfRule>
  </conditionalFormatting>
  <conditionalFormatting sqref="C59">
    <cfRule type="cellIs" dxfId="16642" priority="9537" stopIfTrue="1" operator="equal">
      <formula>"Towel"</formula>
    </cfRule>
    <cfRule type="cellIs" dxfId="16641" priority="9538" stopIfTrue="1" operator="equal">
      <formula>"Napkin Hs"</formula>
    </cfRule>
  </conditionalFormatting>
  <conditionalFormatting sqref="C59">
    <cfRule type="cellIs" dxfId="16640" priority="9539" stopIfTrue="1" operator="equal">
      <formula>"Towel"</formula>
    </cfRule>
  </conditionalFormatting>
  <conditionalFormatting sqref="B60:C60">
    <cfRule type="cellIs" dxfId="16639" priority="9487" stopIfTrue="1" operator="equal">
      <formula>"Towel"</formula>
    </cfRule>
    <cfRule type="cellIs" dxfId="16638" priority="9488" stopIfTrue="1" operator="equal">
      <formula>"Napkin Hs"</formula>
    </cfRule>
  </conditionalFormatting>
  <conditionalFormatting sqref="C60">
    <cfRule type="cellIs" dxfId="16637" priority="9483" stopIfTrue="1" operator="equal">
      <formula>"Towel"</formula>
    </cfRule>
    <cfRule type="cellIs" dxfId="16636" priority="9484" stopIfTrue="1" operator="equal">
      <formula>"Napkin Hs"</formula>
    </cfRule>
  </conditionalFormatting>
  <conditionalFormatting sqref="C60">
    <cfRule type="cellIs" dxfId="16635" priority="9485" stopIfTrue="1" operator="equal">
      <formula>"Towel"</formula>
    </cfRule>
    <cfRule type="cellIs" dxfId="16634" priority="9486" stopIfTrue="1" operator="equal">
      <formula>"Napkin Hs"</formula>
    </cfRule>
  </conditionalFormatting>
  <conditionalFormatting sqref="B60:C60">
    <cfRule type="cellIs" dxfId="16633" priority="9481" stopIfTrue="1" operator="equal">
      <formula>"Towel"</formula>
    </cfRule>
    <cfRule type="cellIs" dxfId="16632" priority="9482" stopIfTrue="1" operator="equal">
      <formula>"Napkin Hs"</formula>
    </cfRule>
  </conditionalFormatting>
  <conditionalFormatting sqref="C60">
    <cfRule type="cellIs" dxfId="16631" priority="9477" stopIfTrue="1" operator="equal">
      <formula>"Towel"</formula>
    </cfRule>
    <cfRule type="cellIs" dxfId="16630" priority="9478" stopIfTrue="1" operator="equal">
      <formula>"Napkin Hs"</formula>
    </cfRule>
  </conditionalFormatting>
  <conditionalFormatting sqref="C60">
    <cfRule type="cellIs" dxfId="16629" priority="9479" stopIfTrue="1" operator="equal">
      <formula>"Towel"</formula>
    </cfRule>
    <cfRule type="cellIs" dxfId="16628" priority="9480" stopIfTrue="1" operator="equal">
      <formula>"Napkin Hs"</formula>
    </cfRule>
  </conditionalFormatting>
  <conditionalFormatting sqref="B60:C60">
    <cfRule type="cellIs" dxfId="16627" priority="9475" stopIfTrue="1" operator="equal">
      <formula>"Towel"</formula>
    </cfRule>
    <cfRule type="cellIs" dxfId="16626" priority="9476" stopIfTrue="1" operator="equal">
      <formula>"Napkin Hs"</formula>
    </cfRule>
  </conditionalFormatting>
  <conditionalFormatting sqref="C60">
    <cfRule type="cellIs" dxfId="16625" priority="9471" stopIfTrue="1" operator="equal">
      <formula>"Towel"</formula>
    </cfRule>
    <cfRule type="cellIs" dxfId="16624" priority="9472" stopIfTrue="1" operator="equal">
      <formula>"Napkin Hs"</formula>
    </cfRule>
  </conditionalFormatting>
  <conditionalFormatting sqref="C60">
    <cfRule type="cellIs" dxfId="16623" priority="9473" stopIfTrue="1" operator="equal">
      <formula>"Towel"</formula>
    </cfRule>
    <cfRule type="cellIs" dxfId="16622" priority="9474" stopIfTrue="1" operator="equal">
      <formula>"Napkin Hs"</formula>
    </cfRule>
  </conditionalFormatting>
  <conditionalFormatting sqref="B60:C60">
    <cfRule type="cellIs" dxfId="16621" priority="9469" stopIfTrue="1" operator="equal">
      <formula>"Towel"</formula>
    </cfRule>
    <cfRule type="cellIs" dxfId="16620" priority="9470" stopIfTrue="1" operator="equal">
      <formula>"Napkin Hs"</formula>
    </cfRule>
  </conditionalFormatting>
  <conditionalFormatting sqref="C60">
    <cfRule type="cellIs" dxfId="16619" priority="9467" stopIfTrue="1" operator="equal">
      <formula>"Towel"</formula>
    </cfRule>
    <cfRule type="cellIs" dxfId="16618" priority="9468" stopIfTrue="1" operator="equal">
      <formula>"Napkin Hs"</formula>
    </cfRule>
  </conditionalFormatting>
  <conditionalFormatting sqref="C60">
    <cfRule type="cellIs" dxfId="16617" priority="9465" stopIfTrue="1" operator="equal">
      <formula>"Towel"</formula>
    </cfRule>
    <cfRule type="cellIs" dxfId="16616" priority="9466" stopIfTrue="1" operator="equal">
      <formula>"Napkin Hs"</formula>
    </cfRule>
  </conditionalFormatting>
  <conditionalFormatting sqref="B60:C60">
    <cfRule type="cellIs" dxfId="16615" priority="9464" stopIfTrue="1" operator="equal">
      <formula>"Napkin Hs"</formula>
    </cfRule>
  </conditionalFormatting>
  <conditionalFormatting sqref="B60:C60">
    <cfRule type="cellIs" dxfId="16614" priority="9463" stopIfTrue="1" operator="equal">
      <formula>"Towel"</formula>
    </cfRule>
  </conditionalFormatting>
  <conditionalFormatting sqref="C60">
    <cfRule type="cellIs" dxfId="16613" priority="9462" stopIfTrue="1" operator="equal">
      <formula>"Napkin Hs"</formula>
    </cfRule>
  </conditionalFormatting>
  <conditionalFormatting sqref="C60">
    <cfRule type="cellIs" dxfId="16612" priority="9461" stopIfTrue="1" operator="equal">
      <formula>"Towel"</formula>
    </cfRule>
  </conditionalFormatting>
  <conditionalFormatting sqref="C60">
    <cfRule type="cellIs" dxfId="16611" priority="9459" stopIfTrue="1" operator="equal">
      <formula>"Towel"</formula>
    </cfRule>
    <cfRule type="cellIs" dxfId="16610" priority="9460" stopIfTrue="1" operator="equal">
      <formula>"Napkin Hs"</formula>
    </cfRule>
  </conditionalFormatting>
  <conditionalFormatting sqref="C60">
    <cfRule type="cellIs" dxfId="16609" priority="9457" stopIfTrue="1" operator="equal">
      <formula>"Towel"</formula>
    </cfRule>
    <cfRule type="cellIs" dxfId="16608" priority="9458" stopIfTrue="1" operator="equal">
      <formula>"Napkin Hs"</formula>
    </cfRule>
  </conditionalFormatting>
  <conditionalFormatting sqref="B59:C59">
    <cfRule type="cellIs" dxfId="16607" priority="9390" stopIfTrue="1" operator="equal">
      <formula>"Napkin Hs"</formula>
    </cfRule>
  </conditionalFormatting>
  <conditionalFormatting sqref="B59:C59">
    <cfRule type="cellIs" dxfId="16606" priority="9389" stopIfTrue="1" operator="equal">
      <formula>"Towel"</formula>
    </cfRule>
  </conditionalFormatting>
  <conditionalFormatting sqref="C59">
    <cfRule type="cellIs" dxfId="16605" priority="9388" stopIfTrue="1" operator="equal">
      <formula>"Napkin Hs"</formula>
    </cfRule>
  </conditionalFormatting>
  <conditionalFormatting sqref="C59">
    <cfRule type="cellIs" dxfId="16604" priority="9387" stopIfTrue="1" operator="equal">
      <formula>"Towel"</formula>
    </cfRule>
  </conditionalFormatting>
  <conditionalFormatting sqref="C59">
    <cfRule type="cellIs" dxfId="16603" priority="9385" stopIfTrue="1" operator="equal">
      <formula>"Towel"</formula>
    </cfRule>
    <cfRule type="cellIs" dxfId="16602" priority="9386" stopIfTrue="1" operator="equal">
      <formula>"Napkin Hs"</formula>
    </cfRule>
  </conditionalFormatting>
  <conditionalFormatting sqref="B59:C59">
    <cfRule type="cellIs" dxfId="16601" priority="9384" stopIfTrue="1" operator="equal">
      <formula>"Napkin Hs"</formula>
    </cfRule>
  </conditionalFormatting>
  <conditionalFormatting sqref="B59:C59">
    <cfRule type="cellIs" dxfId="16600" priority="9383" stopIfTrue="1" operator="equal">
      <formula>"Towel"</formula>
    </cfRule>
  </conditionalFormatting>
  <conditionalFormatting sqref="C59">
    <cfRule type="cellIs" dxfId="16599" priority="9382" stopIfTrue="1" operator="equal">
      <formula>"Napkin Hs"</formula>
    </cfRule>
  </conditionalFormatting>
  <conditionalFormatting sqref="C59">
    <cfRule type="cellIs" dxfId="16598" priority="9379" stopIfTrue="1" operator="equal">
      <formula>"Towel"</formula>
    </cfRule>
    <cfRule type="cellIs" dxfId="16597" priority="9380" stopIfTrue="1" operator="equal">
      <formula>"Napkin Hs"</formula>
    </cfRule>
  </conditionalFormatting>
  <conditionalFormatting sqref="C59">
    <cfRule type="cellIs" dxfId="16596" priority="9381" stopIfTrue="1" operator="equal">
      <formula>"Towel"</formula>
    </cfRule>
  </conditionalFormatting>
  <conditionalFormatting sqref="B59:C59">
    <cfRule type="cellIs" dxfId="16595" priority="9378" stopIfTrue="1" operator="equal">
      <formula>"Napkin Hs"</formula>
    </cfRule>
  </conditionalFormatting>
  <conditionalFormatting sqref="B59:C59">
    <cfRule type="cellIs" dxfId="16594" priority="9377" stopIfTrue="1" operator="equal">
      <formula>"Towel"</formula>
    </cfRule>
  </conditionalFormatting>
  <conditionalFormatting sqref="C59">
    <cfRule type="cellIs" dxfId="16593" priority="9376" stopIfTrue="1" operator="equal">
      <formula>"Napkin Hs"</formula>
    </cfRule>
  </conditionalFormatting>
  <conditionalFormatting sqref="C59">
    <cfRule type="cellIs" dxfId="16592" priority="9375" stopIfTrue="1" operator="equal">
      <formula>"Towel"</formula>
    </cfRule>
  </conditionalFormatting>
  <conditionalFormatting sqref="C59">
    <cfRule type="cellIs" dxfId="16591" priority="9373" stopIfTrue="1" operator="equal">
      <formula>"Towel"</formula>
    </cfRule>
    <cfRule type="cellIs" dxfId="16590" priority="9374" stopIfTrue="1" operator="equal">
      <formula>"Napkin Hs"</formula>
    </cfRule>
  </conditionalFormatting>
  <conditionalFormatting sqref="B59:C59">
    <cfRule type="cellIs" dxfId="16589" priority="9372" stopIfTrue="1" operator="equal">
      <formula>"Napkin Hs"</formula>
    </cfRule>
  </conditionalFormatting>
  <conditionalFormatting sqref="B59:C59">
    <cfRule type="cellIs" dxfId="16588" priority="9371" stopIfTrue="1" operator="equal">
      <formula>"Towel"</formula>
    </cfRule>
  </conditionalFormatting>
  <conditionalFormatting sqref="C59">
    <cfRule type="cellIs" dxfId="16587" priority="9370" stopIfTrue="1" operator="equal">
      <formula>"Napkin Hs"</formula>
    </cfRule>
  </conditionalFormatting>
  <conditionalFormatting sqref="C59">
    <cfRule type="cellIs" dxfId="16586" priority="9367" stopIfTrue="1" operator="equal">
      <formula>"Towel"</formula>
    </cfRule>
    <cfRule type="cellIs" dxfId="16585" priority="9368" stopIfTrue="1" operator="equal">
      <formula>"Napkin Hs"</formula>
    </cfRule>
  </conditionalFormatting>
  <conditionalFormatting sqref="C59">
    <cfRule type="cellIs" dxfId="16584" priority="9369" stopIfTrue="1" operator="equal">
      <formula>"Towel"</formula>
    </cfRule>
  </conditionalFormatting>
  <conditionalFormatting sqref="B59:C59">
    <cfRule type="cellIs" dxfId="16583" priority="9366" stopIfTrue="1" operator="equal">
      <formula>"Napkin Hs"</formula>
    </cfRule>
  </conditionalFormatting>
  <conditionalFormatting sqref="B59:C59">
    <cfRule type="cellIs" dxfId="16582" priority="9365" stopIfTrue="1" operator="equal">
      <formula>"Towel"</formula>
    </cfRule>
  </conditionalFormatting>
  <conditionalFormatting sqref="C59">
    <cfRule type="cellIs" dxfId="16581" priority="9364" stopIfTrue="1" operator="equal">
      <formula>"Napkin Hs"</formula>
    </cfRule>
  </conditionalFormatting>
  <conditionalFormatting sqref="C59">
    <cfRule type="cellIs" dxfId="16580" priority="9363" stopIfTrue="1" operator="equal">
      <formula>"Towel"</formula>
    </cfRule>
  </conditionalFormatting>
  <conditionalFormatting sqref="C59">
    <cfRule type="cellIs" dxfId="16579" priority="9361" stopIfTrue="1" operator="equal">
      <formula>"Towel"</formula>
    </cfRule>
    <cfRule type="cellIs" dxfId="16578" priority="9362" stopIfTrue="1" operator="equal">
      <formula>"Napkin Hs"</formula>
    </cfRule>
  </conditionalFormatting>
  <conditionalFormatting sqref="B59:C59">
    <cfRule type="cellIs" dxfId="16577" priority="9360" stopIfTrue="1" operator="equal">
      <formula>"Napkin Hs"</formula>
    </cfRule>
  </conditionalFormatting>
  <conditionalFormatting sqref="B59:C59">
    <cfRule type="cellIs" dxfId="16576" priority="9359" stopIfTrue="1" operator="equal">
      <formula>"Towel"</formula>
    </cfRule>
  </conditionalFormatting>
  <conditionalFormatting sqref="C59">
    <cfRule type="cellIs" dxfId="16575" priority="9358" stopIfTrue="1" operator="equal">
      <formula>"Napkin Hs"</formula>
    </cfRule>
  </conditionalFormatting>
  <conditionalFormatting sqref="C59">
    <cfRule type="cellIs" dxfId="16574" priority="9355" stopIfTrue="1" operator="equal">
      <formula>"Towel"</formula>
    </cfRule>
    <cfRule type="cellIs" dxfId="16573" priority="9356" stopIfTrue="1" operator="equal">
      <formula>"Napkin Hs"</formula>
    </cfRule>
  </conditionalFormatting>
  <conditionalFormatting sqref="C59">
    <cfRule type="cellIs" dxfId="16572" priority="9357" stopIfTrue="1" operator="equal">
      <formula>"Towel"</formula>
    </cfRule>
  </conditionalFormatting>
  <conditionalFormatting sqref="B59:C59">
    <cfRule type="cellIs" dxfId="16571" priority="9354" stopIfTrue="1" operator="equal">
      <formula>"Napkin Hs"</formula>
    </cfRule>
  </conditionalFormatting>
  <conditionalFormatting sqref="B59:C59">
    <cfRule type="cellIs" dxfId="16570" priority="9353" stopIfTrue="1" operator="equal">
      <formula>"Towel"</formula>
    </cfRule>
  </conditionalFormatting>
  <conditionalFormatting sqref="C59">
    <cfRule type="cellIs" dxfId="16569" priority="9352" stopIfTrue="1" operator="equal">
      <formula>"Napkin Hs"</formula>
    </cfRule>
  </conditionalFormatting>
  <conditionalFormatting sqref="C59">
    <cfRule type="cellIs" dxfId="16568" priority="9351" stopIfTrue="1" operator="equal">
      <formula>"Towel"</formula>
    </cfRule>
  </conditionalFormatting>
  <conditionalFormatting sqref="C59">
    <cfRule type="cellIs" dxfId="16567" priority="9349" stopIfTrue="1" operator="equal">
      <formula>"Towel"</formula>
    </cfRule>
    <cfRule type="cellIs" dxfId="16566" priority="9350" stopIfTrue="1" operator="equal">
      <formula>"Napkin Hs"</formula>
    </cfRule>
  </conditionalFormatting>
  <conditionalFormatting sqref="B59:C59">
    <cfRule type="cellIs" dxfId="16565" priority="9348" stopIfTrue="1" operator="equal">
      <formula>"Napkin Hs"</formula>
    </cfRule>
  </conditionalFormatting>
  <conditionalFormatting sqref="B59:C59">
    <cfRule type="cellIs" dxfId="16564" priority="9347" stopIfTrue="1" operator="equal">
      <formula>"Towel"</formula>
    </cfRule>
  </conditionalFormatting>
  <conditionalFormatting sqref="C59">
    <cfRule type="cellIs" dxfId="16563" priority="9346" stopIfTrue="1" operator="equal">
      <formula>"Napkin Hs"</formula>
    </cfRule>
  </conditionalFormatting>
  <conditionalFormatting sqref="C59">
    <cfRule type="cellIs" dxfId="16562" priority="9343" stopIfTrue="1" operator="equal">
      <formula>"Towel"</formula>
    </cfRule>
    <cfRule type="cellIs" dxfId="16561" priority="9344" stopIfTrue="1" operator="equal">
      <formula>"Napkin Hs"</formula>
    </cfRule>
  </conditionalFormatting>
  <conditionalFormatting sqref="C59">
    <cfRule type="cellIs" dxfId="16560" priority="9345" stopIfTrue="1" operator="equal">
      <formula>"Towel"</formula>
    </cfRule>
  </conditionalFormatting>
  <conditionalFormatting sqref="B59:C59">
    <cfRule type="cellIs" dxfId="16559" priority="9342" stopIfTrue="1" operator="equal">
      <formula>"Napkin Hs"</formula>
    </cfRule>
  </conditionalFormatting>
  <conditionalFormatting sqref="B59:C59">
    <cfRule type="cellIs" dxfId="16558" priority="9341" stopIfTrue="1" operator="equal">
      <formula>"Towel"</formula>
    </cfRule>
  </conditionalFormatting>
  <conditionalFormatting sqref="C59">
    <cfRule type="cellIs" dxfId="16557" priority="9340" stopIfTrue="1" operator="equal">
      <formula>"Napkin Hs"</formula>
    </cfRule>
  </conditionalFormatting>
  <conditionalFormatting sqref="C59">
    <cfRule type="cellIs" dxfId="16556" priority="9337" stopIfTrue="1" operator="equal">
      <formula>"Towel"</formula>
    </cfRule>
    <cfRule type="cellIs" dxfId="16555" priority="9338" stopIfTrue="1" operator="equal">
      <formula>"Napkin Hs"</formula>
    </cfRule>
  </conditionalFormatting>
  <conditionalFormatting sqref="C59">
    <cfRule type="cellIs" dxfId="16554" priority="9339" stopIfTrue="1" operator="equal">
      <formula>"Towel"</formula>
    </cfRule>
  </conditionalFormatting>
  <conditionalFormatting sqref="B59:C59">
    <cfRule type="cellIs" dxfId="16553" priority="9336" stopIfTrue="1" operator="equal">
      <formula>"Napkin Hs"</formula>
    </cfRule>
  </conditionalFormatting>
  <conditionalFormatting sqref="B59:C59">
    <cfRule type="cellIs" dxfId="16552" priority="9335" stopIfTrue="1" operator="equal">
      <formula>"Towel"</formula>
    </cfRule>
  </conditionalFormatting>
  <conditionalFormatting sqref="C59">
    <cfRule type="cellIs" dxfId="16551" priority="9334" stopIfTrue="1" operator="equal">
      <formula>"Napkin Hs"</formula>
    </cfRule>
  </conditionalFormatting>
  <conditionalFormatting sqref="C59">
    <cfRule type="cellIs" dxfId="16550" priority="9331" stopIfTrue="1" operator="equal">
      <formula>"Towel"</formula>
    </cfRule>
    <cfRule type="cellIs" dxfId="16549" priority="9332" stopIfTrue="1" operator="equal">
      <formula>"Napkin Hs"</formula>
    </cfRule>
  </conditionalFormatting>
  <conditionalFormatting sqref="C59">
    <cfRule type="cellIs" dxfId="16548" priority="9333" stopIfTrue="1" operator="equal">
      <formula>"Towel"</formula>
    </cfRule>
  </conditionalFormatting>
  <conditionalFormatting sqref="B59:C59">
    <cfRule type="cellIs" dxfId="16547" priority="9330" stopIfTrue="1" operator="equal">
      <formula>"Napkin Hs"</formula>
    </cfRule>
  </conditionalFormatting>
  <conditionalFormatting sqref="B59:C59">
    <cfRule type="cellIs" dxfId="16546" priority="9329" stopIfTrue="1" operator="equal">
      <formula>"Towel"</formula>
    </cfRule>
  </conditionalFormatting>
  <conditionalFormatting sqref="C59">
    <cfRule type="cellIs" dxfId="16545" priority="9328" stopIfTrue="1" operator="equal">
      <formula>"Napkin Hs"</formula>
    </cfRule>
  </conditionalFormatting>
  <conditionalFormatting sqref="C59">
    <cfRule type="cellIs" dxfId="16544" priority="9325" stopIfTrue="1" operator="equal">
      <formula>"Towel"</formula>
    </cfRule>
    <cfRule type="cellIs" dxfId="16543" priority="9326" stopIfTrue="1" operator="equal">
      <formula>"Napkin Hs"</formula>
    </cfRule>
  </conditionalFormatting>
  <conditionalFormatting sqref="C59">
    <cfRule type="cellIs" dxfId="16542" priority="9327" stopIfTrue="1" operator="equal">
      <formula>"Towel"</formula>
    </cfRule>
  </conditionalFormatting>
  <conditionalFormatting sqref="B58:C58">
    <cfRule type="cellIs" dxfId="16541" priority="9324" stopIfTrue="1" operator="equal">
      <formula>"Napkin Hs"</formula>
    </cfRule>
  </conditionalFormatting>
  <conditionalFormatting sqref="B58:C58">
    <cfRule type="cellIs" dxfId="16540" priority="9323" stopIfTrue="1" operator="equal">
      <formula>"Towel"</formula>
    </cfRule>
  </conditionalFormatting>
  <conditionalFormatting sqref="C58">
    <cfRule type="cellIs" dxfId="16539" priority="9322" stopIfTrue="1" operator="equal">
      <formula>"Napkin Hs"</formula>
    </cfRule>
  </conditionalFormatting>
  <conditionalFormatting sqref="C58">
    <cfRule type="cellIs" dxfId="16538" priority="9319" stopIfTrue="1" operator="equal">
      <formula>"Towel"</formula>
    </cfRule>
    <cfRule type="cellIs" dxfId="16537" priority="9320" stopIfTrue="1" operator="equal">
      <formula>"Napkin Hs"</formula>
    </cfRule>
  </conditionalFormatting>
  <conditionalFormatting sqref="C58">
    <cfRule type="cellIs" dxfId="16536" priority="9321" stopIfTrue="1" operator="equal">
      <formula>"Towel"</formula>
    </cfRule>
  </conditionalFormatting>
  <conditionalFormatting sqref="B57:C57">
    <cfRule type="cellIs" dxfId="16535" priority="9318" stopIfTrue="1" operator="equal">
      <formula>"Napkin Hs"</formula>
    </cfRule>
  </conditionalFormatting>
  <conditionalFormatting sqref="B57:C57">
    <cfRule type="cellIs" dxfId="16534" priority="9317" stopIfTrue="1" operator="equal">
      <formula>"Towel"</formula>
    </cfRule>
  </conditionalFormatting>
  <conditionalFormatting sqref="C57">
    <cfRule type="cellIs" dxfId="16533" priority="9316" stopIfTrue="1" operator="equal">
      <formula>"Napkin Hs"</formula>
    </cfRule>
  </conditionalFormatting>
  <conditionalFormatting sqref="C57">
    <cfRule type="cellIs" dxfId="16532" priority="9313" stopIfTrue="1" operator="equal">
      <formula>"Towel"</formula>
    </cfRule>
    <cfRule type="cellIs" dxfId="16531" priority="9314" stopIfTrue="1" operator="equal">
      <formula>"Napkin Hs"</formula>
    </cfRule>
  </conditionalFormatting>
  <conditionalFormatting sqref="C57">
    <cfRule type="cellIs" dxfId="16530" priority="9315" stopIfTrue="1" operator="equal">
      <formula>"Towel"</formula>
    </cfRule>
  </conditionalFormatting>
  <conditionalFormatting sqref="B66:C66">
    <cfRule type="cellIs" dxfId="16529" priority="9307" stopIfTrue="1" operator="equal">
      <formula>"Towel"</formula>
    </cfRule>
    <cfRule type="cellIs" dxfId="16528" priority="9308" stopIfTrue="1" operator="equal">
      <formula>"Napkin Hs"</formula>
    </cfRule>
  </conditionalFormatting>
  <conditionalFormatting sqref="C66">
    <cfRule type="cellIs" dxfId="16527" priority="9303" stopIfTrue="1" operator="equal">
      <formula>"Towel"</formula>
    </cfRule>
    <cfRule type="cellIs" dxfId="16526" priority="9304" stopIfTrue="1" operator="equal">
      <formula>"Napkin Hs"</formula>
    </cfRule>
  </conditionalFormatting>
  <conditionalFormatting sqref="C66">
    <cfRule type="cellIs" dxfId="16525" priority="9305" stopIfTrue="1" operator="equal">
      <formula>"Towel"</formula>
    </cfRule>
    <cfRule type="cellIs" dxfId="16524" priority="9306" stopIfTrue="1" operator="equal">
      <formula>"Napkin Hs"</formula>
    </cfRule>
  </conditionalFormatting>
  <conditionalFormatting sqref="C64:C65">
    <cfRule type="cellIs" dxfId="16523" priority="9201" stopIfTrue="1" operator="equal">
      <formula>"Towel"</formula>
    </cfRule>
    <cfRule type="cellIs" dxfId="16522" priority="9202" stopIfTrue="1" operator="equal">
      <formula>"Napkin Hs"</formula>
    </cfRule>
  </conditionalFormatting>
  <conditionalFormatting sqref="B65:C65">
    <cfRule type="cellIs" dxfId="16521" priority="9199" stopIfTrue="1" operator="equal">
      <formula>"Towel"</formula>
    </cfRule>
    <cfRule type="cellIs" dxfId="16520" priority="9200" stopIfTrue="1" operator="equal">
      <formula>"Napkin Hs"</formula>
    </cfRule>
  </conditionalFormatting>
  <conditionalFormatting sqref="C65">
    <cfRule type="cellIs" dxfId="16519" priority="9197" stopIfTrue="1" operator="equal">
      <formula>"Towel"</formula>
    </cfRule>
    <cfRule type="cellIs" dxfId="16518" priority="9198" stopIfTrue="1" operator="equal">
      <formula>"Napkin Hs"</formula>
    </cfRule>
  </conditionalFormatting>
  <conditionalFormatting sqref="B65:C65">
    <cfRule type="cellIs" dxfId="16517" priority="9189" stopIfTrue="1" operator="equal">
      <formula>"Towel"</formula>
    </cfRule>
    <cfRule type="cellIs" dxfId="16516" priority="9190" stopIfTrue="1" operator="equal">
      <formula>"Napkin Hs"</formula>
    </cfRule>
  </conditionalFormatting>
  <conditionalFormatting sqref="B64:C65">
    <cfRule type="cellIs" dxfId="16515" priority="9205" stopIfTrue="1" operator="equal">
      <formula>"Towel"</formula>
    </cfRule>
    <cfRule type="cellIs" dxfId="16514" priority="9206" stopIfTrue="1" operator="equal">
      <formula>"Napkin Hs"</formula>
    </cfRule>
  </conditionalFormatting>
  <conditionalFormatting sqref="C64:C65">
    <cfRule type="cellIs" dxfId="16513" priority="9203" stopIfTrue="1" operator="equal">
      <formula>"Towel"</formula>
    </cfRule>
    <cfRule type="cellIs" dxfId="16512" priority="9204" stopIfTrue="1" operator="equal">
      <formula>"Napkin Hs"</formula>
    </cfRule>
  </conditionalFormatting>
  <conditionalFormatting sqref="B64:C64">
    <cfRule type="cellIs" dxfId="16511" priority="9195" stopIfTrue="1" operator="equal">
      <formula>"Towel"</formula>
    </cfRule>
    <cfRule type="cellIs" dxfId="16510" priority="9196" stopIfTrue="1" operator="equal">
      <formula>"Napkin Hs"</formula>
    </cfRule>
  </conditionalFormatting>
  <conditionalFormatting sqref="C65">
    <cfRule type="cellIs" dxfId="16509" priority="9187" stopIfTrue="1" operator="equal">
      <formula>"Towel"</formula>
    </cfRule>
    <cfRule type="cellIs" dxfId="16508" priority="9188" stopIfTrue="1" operator="equal">
      <formula>"Napkin Hs"</formula>
    </cfRule>
  </conditionalFormatting>
  <conditionalFormatting sqref="C64:C65">
    <cfRule type="cellIs" dxfId="16507" priority="9183" stopIfTrue="1" operator="equal">
      <formula>"Towel"</formula>
    </cfRule>
    <cfRule type="cellIs" dxfId="16506" priority="9184" stopIfTrue="1" operator="equal">
      <formula>"Napkin Hs"</formula>
    </cfRule>
  </conditionalFormatting>
  <conditionalFormatting sqref="B64:C64">
    <cfRule type="cellIs" dxfId="16505" priority="9185" stopIfTrue="1" operator="equal">
      <formula>"Towel"</formula>
    </cfRule>
    <cfRule type="cellIs" dxfId="16504" priority="9186" stopIfTrue="1" operator="equal">
      <formula>"Napkin Hs"</formula>
    </cfRule>
  </conditionalFormatting>
  <conditionalFormatting sqref="C64">
    <cfRule type="cellIs" dxfId="16503" priority="9177" stopIfTrue="1" operator="equal">
      <formula>"Towel"</formula>
    </cfRule>
    <cfRule type="cellIs" dxfId="16502" priority="9178" stopIfTrue="1" operator="equal">
      <formula>"Napkin Hs"</formula>
    </cfRule>
  </conditionalFormatting>
  <conditionalFormatting sqref="B65:C65">
    <cfRule type="cellIs" dxfId="16501" priority="9175" stopIfTrue="1" operator="equal">
      <formula>"Towel"</formula>
    </cfRule>
    <cfRule type="cellIs" dxfId="16500" priority="9176" stopIfTrue="1" operator="equal">
      <formula>"Napkin Hs"</formula>
    </cfRule>
  </conditionalFormatting>
  <conditionalFormatting sqref="C64:C65">
    <cfRule type="cellIs" dxfId="16499" priority="9173" stopIfTrue="1" operator="equal">
      <formula>"Towel"</formula>
    </cfRule>
    <cfRule type="cellIs" dxfId="16498" priority="9174" stopIfTrue="1" operator="equal">
      <formula>"Napkin Hs"</formula>
    </cfRule>
  </conditionalFormatting>
  <conditionalFormatting sqref="C65">
    <cfRule type="cellIs" dxfId="16497" priority="9171" stopIfTrue="1" operator="equal">
      <formula>"Towel"</formula>
    </cfRule>
    <cfRule type="cellIs" dxfId="16496" priority="9172" stopIfTrue="1" operator="equal">
      <formula>"Napkin Hs"</formula>
    </cfRule>
  </conditionalFormatting>
  <conditionalFormatting sqref="B64:C64">
    <cfRule type="cellIs" dxfId="16495" priority="9165" stopIfTrue="1" operator="equal">
      <formula>"Towel"</formula>
    </cfRule>
    <cfRule type="cellIs" dxfId="16494" priority="9166" stopIfTrue="1" operator="equal">
      <formula>"Napkin Hs"</formula>
    </cfRule>
  </conditionalFormatting>
  <conditionalFormatting sqref="C64:C65">
    <cfRule type="cellIs" dxfId="16493" priority="9163" stopIfTrue="1" operator="equal">
      <formula>"Towel"</formula>
    </cfRule>
    <cfRule type="cellIs" dxfId="16492" priority="9164" stopIfTrue="1" operator="equal">
      <formula>"Napkin Hs"</formula>
    </cfRule>
  </conditionalFormatting>
  <conditionalFormatting sqref="C64">
    <cfRule type="cellIs" dxfId="16491" priority="9161" stopIfTrue="1" operator="equal">
      <formula>"Towel"</formula>
    </cfRule>
    <cfRule type="cellIs" dxfId="16490" priority="9162" stopIfTrue="1" operator="equal">
      <formula>"Napkin Hs"</formula>
    </cfRule>
  </conditionalFormatting>
  <conditionalFormatting sqref="C65">
    <cfRule type="cellIs" dxfId="16489" priority="9159" stopIfTrue="1" operator="equal">
      <formula>"Towel"</formula>
    </cfRule>
    <cfRule type="cellIs" dxfId="16488" priority="9160" stopIfTrue="1" operator="equal">
      <formula>"Napkin Hs"</formula>
    </cfRule>
  </conditionalFormatting>
  <conditionalFormatting sqref="C64">
    <cfRule type="cellIs" dxfId="16487" priority="9153" stopIfTrue="1" operator="equal">
      <formula>"Towel"</formula>
    </cfRule>
    <cfRule type="cellIs" dxfId="16486" priority="9154" stopIfTrue="1" operator="equal">
      <formula>"Napkin Hs"</formula>
    </cfRule>
  </conditionalFormatting>
  <conditionalFormatting sqref="B65:C65">
    <cfRule type="cellIs" dxfId="16485" priority="9151" stopIfTrue="1" operator="equal">
      <formula>"Towel"</formula>
    </cfRule>
    <cfRule type="cellIs" dxfId="16484" priority="9152" stopIfTrue="1" operator="equal">
      <formula>"Napkin Hs"</formula>
    </cfRule>
  </conditionalFormatting>
  <conditionalFormatting sqref="C65">
    <cfRule type="cellIs" dxfId="16483" priority="9149" stopIfTrue="1" operator="equal">
      <formula>"Towel"</formula>
    </cfRule>
    <cfRule type="cellIs" dxfId="16482" priority="9150" stopIfTrue="1" operator="equal">
      <formula>"Napkin Hs"</formula>
    </cfRule>
  </conditionalFormatting>
  <conditionalFormatting sqref="C65">
    <cfRule type="cellIs" dxfId="16481" priority="9147" stopIfTrue="1" operator="equal">
      <formula>"Towel"</formula>
    </cfRule>
    <cfRule type="cellIs" dxfId="16480" priority="9148" stopIfTrue="1" operator="equal">
      <formula>"Napkin Hs"</formula>
    </cfRule>
  </conditionalFormatting>
  <conditionalFormatting sqref="C65">
    <cfRule type="cellIs" dxfId="16479" priority="9141" stopIfTrue="1" operator="equal">
      <formula>"Towel"</formula>
    </cfRule>
    <cfRule type="cellIs" dxfId="16478" priority="9142" stopIfTrue="1" operator="equal">
      <formula>"Napkin Hs"</formula>
    </cfRule>
  </conditionalFormatting>
  <conditionalFormatting sqref="C64">
    <cfRule type="cellIs" dxfId="16477" priority="9191" stopIfTrue="1" operator="equal">
      <formula>"Towel"</formula>
    </cfRule>
    <cfRule type="cellIs" dxfId="16476" priority="9192" stopIfTrue="1" operator="equal">
      <formula>"Napkin Hs"</formula>
    </cfRule>
  </conditionalFormatting>
  <conditionalFormatting sqref="C64:C65">
    <cfRule type="cellIs" dxfId="16475" priority="9193" stopIfTrue="1" operator="equal">
      <formula>"Towel"</formula>
    </cfRule>
    <cfRule type="cellIs" dxfId="16474" priority="9194" stopIfTrue="1" operator="equal">
      <formula>"Napkin Hs"</formula>
    </cfRule>
  </conditionalFormatting>
  <conditionalFormatting sqref="C64">
    <cfRule type="cellIs" dxfId="16473" priority="9181" stopIfTrue="1" operator="equal">
      <formula>"Towel"</formula>
    </cfRule>
    <cfRule type="cellIs" dxfId="16472" priority="9182" stopIfTrue="1" operator="equal">
      <formula>"Napkin Hs"</formula>
    </cfRule>
  </conditionalFormatting>
  <conditionalFormatting sqref="B64:C64">
    <cfRule type="cellIs" dxfId="16471" priority="9179" stopIfTrue="1" operator="equal">
      <formula>"Towel"</formula>
    </cfRule>
    <cfRule type="cellIs" dxfId="16470" priority="9180" stopIfTrue="1" operator="equal">
      <formula>"Napkin Hs"</formula>
    </cfRule>
  </conditionalFormatting>
  <conditionalFormatting sqref="B65:C65">
    <cfRule type="cellIs" dxfId="16469" priority="9170" stopIfTrue="1" operator="equal">
      <formula>"Napkin Hs"</formula>
    </cfRule>
  </conditionalFormatting>
  <conditionalFormatting sqref="B65:C65">
    <cfRule type="cellIs" dxfId="16468" priority="9169" stopIfTrue="1" operator="equal">
      <formula>"Towel"</formula>
    </cfRule>
  </conditionalFormatting>
  <conditionalFormatting sqref="C65">
    <cfRule type="cellIs" dxfId="16467" priority="9168" stopIfTrue="1" operator="equal">
      <formula>"Napkin Hs"</formula>
    </cfRule>
  </conditionalFormatting>
  <conditionalFormatting sqref="C65">
    <cfRule type="cellIs" dxfId="16466" priority="9167" stopIfTrue="1" operator="equal">
      <formula>"Towel"</formula>
    </cfRule>
  </conditionalFormatting>
  <conditionalFormatting sqref="B64:C64">
    <cfRule type="cellIs" dxfId="16465" priority="9158" stopIfTrue="1" operator="equal">
      <formula>"Napkin Hs"</formula>
    </cfRule>
  </conditionalFormatting>
  <conditionalFormatting sqref="B64:C64">
    <cfRule type="cellIs" dxfId="16464" priority="9157" stopIfTrue="1" operator="equal">
      <formula>"Towel"</formula>
    </cfRule>
  </conditionalFormatting>
  <conditionalFormatting sqref="C64">
    <cfRule type="cellIs" dxfId="16463" priority="9156" stopIfTrue="1" operator="equal">
      <formula>"Napkin Hs"</formula>
    </cfRule>
  </conditionalFormatting>
  <conditionalFormatting sqref="C64">
    <cfRule type="cellIs" dxfId="16462" priority="9155" stopIfTrue="1" operator="equal">
      <formula>"Towel"</formula>
    </cfRule>
  </conditionalFormatting>
  <conditionalFormatting sqref="B65:C65">
    <cfRule type="cellIs" dxfId="16461" priority="9145" stopIfTrue="1" operator="equal">
      <formula>"Towel"</formula>
    </cfRule>
    <cfRule type="cellIs" dxfId="16460" priority="9146" stopIfTrue="1" operator="equal">
      <formula>"Napkin Hs"</formula>
    </cfRule>
  </conditionalFormatting>
  <conditionalFormatting sqref="C65">
    <cfRule type="cellIs" dxfId="16459" priority="9143" stopIfTrue="1" operator="equal">
      <formula>"Towel"</formula>
    </cfRule>
    <cfRule type="cellIs" dxfId="16458" priority="9144" stopIfTrue="1" operator="equal">
      <formula>"Napkin Hs"</formula>
    </cfRule>
  </conditionalFormatting>
  <conditionalFormatting sqref="B65:C65">
    <cfRule type="cellIs" dxfId="16457" priority="9139" stopIfTrue="1" operator="equal">
      <formula>"Towel"</formula>
    </cfRule>
    <cfRule type="cellIs" dxfId="16456" priority="9140" stopIfTrue="1" operator="equal">
      <formula>"Napkin Hs"</formula>
    </cfRule>
  </conditionalFormatting>
  <conditionalFormatting sqref="C65">
    <cfRule type="cellIs" dxfId="16455" priority="9135" stopIfTrue="1" operator="equal">
      <formula>"Towel"</formula>
    </cfRule>
    <cfRule type="cellIs" dxfId="16454" priority="9136" stopIfTrue="1" operator="equal">
      <formula>"Napkin Hs"</formula>
    </cfRule>
  </conditionalFormatting>
  <conditionalFormatting sqref="C65">
    <cfRule type="cellIs" dxfId="16453" priority="9137" stopIfTrue="1" operator="equal">
      <formula>"Towel"</formula>
    </cfRule>
    <cfRule type="cellIs" dxfId="16452" priority="9138" stopIfTrue="1" operator="equal">
      <formula>"Napkin Hs"</formula>
    </cfRule>
  </conditionalFormatting>
  <conditionalFormatting sqref="B65:C65">
    <cfRule type="cellIs" dxfId="16451" priority="9133" stopIfTrue="1" operator="equal">
      <formula>"Towel"</formula>
    </cfRule>
    <cfRule type="cellIs" dxfId="16450" priority="9134" stopIfTrue="1" operator="equal">
      <formula>"Napkin Hs"</formula>
    </cfRule>
  </conditionalFormatting>
  <conditionalFormatting sqref="C65">
    <cfRule type="cellIs" dxfId="16449" priority="9131" stopIfTrue="1" operator="equal">
      <formula>"Towel"</formula>
    </cfRule>
    <cfRule type="cellIs" dxfId="16448" priority="9132" stopIfTrue="1" operator="equal">
      <formula>"Napkin Hs"</formula>
    </cfRule>
  </conditionalFormatting>
  <conditionalFormatting sqref="C65">
    <cfRule type="cellIs" dxfId="16447" priority="9129" stopIfTrue="1" operator="equal">
      <formula>"Towel"</formula>
    </cfRule>
    <cfRule type="cellIs" dxfId="16446" priority="9130" stopIfTrue="1" operator="equal">
      <formula>"Napkin Hs"</formula>
    </cfRule>
  </conditionalFormatting>
  <conditionalFormatting sqref="B65:C65">
    <cfRule type="cellIs" dxfId="16445" priority="9128" stopIfTrue="1" operator="equal">
      <formula>"Napkin Hs"</formula>
    </cfRule>
  </conditionalFormatting>
  <conditionalFormatting sqref="B65:C65">
    <cfRule type="cellIs" dxfId="16444" priority="9127" stopIfTrue="1" operator="equal">
      <formula>"Towel"</formula>
    </cfRule>
  </conditionalFormatting>
  <conditionalFormatting sqref="C65">
    <cfRule type="cellIs" dxfId="16443" priority="9126" stopIfTrue="1" operator="equal">
      <formula>"Napkin Hs"</formula>
    </cfRule>
  </conditionalFormatting>
  <conditionalFormatting sqref="C65">
    <cfRule type="cellIs" dxfId="16442" priority="9125" stopIfTrue="1" operator="equal">
      <formula>"Towel"</formula>
    </cfRule>
  </conditionalFormatting>
  <conditionalFormatting sqref="C65">
    <cfRule type="cellIs" dxfId="16441" priority="9123" stopIfTrue="1" operator="equal">
      <formula>"Towel"</formula>
    </cfRule>
    <cfRule type="cellIs" dxfId="16440" priority="9124" stopIfTrue="1" operator="equal">
      <formula>"Napkin Hs"</formula>
    </cfRule>
  </conditionalFormatting>
  <conditionalFormatting sqref="C65">
    <cfRule type="cellIs" dxfId="16439" priority="9121" stopIfTrue="1" operator="equal">
      <formula>"Towel"</formula>
    </cfRule>
    <cfRule type="cellIs" dxfId="16438" priority="9122" stopIfTrue="1" operator="equal">
      <formula>"Napkin Hs"</formula>
    </cfRule>
  </conditionalFormatting>
  <conditionalFormatting sqref="B64:C64">
    <cfRule type="cellIs" dxfId="16437" priority="9120" stopIfTrue="1" operator="equal">
      <formula>"Napkin Hs"</formula>
    </cfRule>
  </conditionalFormatting>
  <conditionalFormatting sqref="B64:C64">
    <cfRule type="cellIs" dxfId="16436" priority="9119" stopIfTrue="1" operator="equal">
      <formula>"Towel"</formula>
    </cfRule>
  </conditionalFormatting>
  <conditionalFormatting sqref="C64">
    <cfRule type="cellIs" dxfId="16435" priority="9118" stopIfTrue="1" operator="equal">
      <formula>"Napkin Hs"</formula>
    </cfRule>
  </conditionalFormatting>
  <conditionalFormatting sqref="C64">
    <cfRule type="cellIs" dxfId="16434" priority="9117" stopIfTrue="1" operator="equal">
      <formula>"Towel"</formula>
    </cfRule>
  </conditionalFormatting>
  <conditionalFormatting sqref="C64">
    <cfRule type="cellIs" dxfId="16433" priority="9115" stopIfTrue="1" operator="equal">
      <formula>"Towel"</formula>
    </cfRule>
    <cfRule type="cellIs" dxfId="16432" priority="9116" stopIfTrue="1" operator="equal">
      <formula>"Napkin Hs"</formula>
    </cfRule>
  </conditionalFormatting>
  <conditionalFormatting sqref="B64:C64">
    <cfRule type="cellIs" dxfId="16431" priority="9114" stopIfTrue="1" operator="equal">
      <formula>"Napkin Hs"</formula>
    </cfRule>
  </conditionalFormatting>
  <conditionalFormatting sqref="B64:C64">
    <cfRule type="cellIs" dxfId="16430" priority="9113" stopIfTrue="1" operator="equal">
      <formula>"Towel"</formula>
    </cfRule>
  </conditionalFormatting>
  <conditionalFormatting sqref="C64">
    <cfRule type="cellIs" dxfId="16429" priority="9112" stopIfTrue="1" operator="equal">
      <formula>"Napkin Hs"</formula>
    </cfRule>
  </conditionalFormatting>
  <conditionalFormatting sqref="C64">
    <cfRule type="cellIs" dxfId="16428" priority="9109" stopIfTrue="1" operator="equal">
      <formula>"Towel"</formula>
    </cfRule>
    <cfRule type="cellIs" dxfId="16427" priority="9110" stopIfTrue="1" operator="equal">
      <formula>"Napkin Hs"</formula>
    </cfRule>
  </conditionalFormatting>
  <conditionalFormatting sqref="C64">
    <cfRule type="cellIs" dxfId="16426" priority="9111" stopIfTrue="1" operator="equal">
      <formula>"Towel"</formula>
    </cfRule>
  </conditionalFormatting>
  <conditionalFormatting sqref="B64:C64">
    <cfRule type="cellIs" dxfId="16425" priority="9108" stopIfTrue="1" operator="equal">
      <formula>"Napkin Hs"</formula>
    </cfRule>
  </conditionalFormatting>
  <conditionalFormatting sqref="B64:C64">
    <cfRule type="cellIs" dxfId="16424" priority="9107" stopIfTrue="1" operator="equal">
      <formula>"Towel"</formula>
    </cfRule>
  </conditionalFormatting>
  <conditionalFormatting sqref="C64">
    <cfRule type="cellIs" dxfId="16423" priority="9106" stopIfTrue="1" operator="equal">
      <formula>"Napkin Hs"</formula>
    </cfRule>
  </conditionalFormatting>
  <conditionalFormatting sqref="C64">
    <cfRule type="cellIs" dxfId="16422" priority="9105" stopIfTrue="1" operator="equal">
      <formula>"Towel"</formula>
    </cfRule>
  </conditionalFormatting>
  <conditionalFormatting sqref="C64">
    <cfRule type="cellIs" dxfId="16421" priority="9103" stopIfTrue="1" operator="equal">
      <formula>"Towel"</formula>
    </cfRule>
    <cfRule type="cellIs" dxfId="16420" priority="9104" stopIfTrue="1" operator="equal">
      <formula>"Napkin Hs"</formula>
    </cfRule>
  </conditionalFormatting>
  <conditionalFormatting sqref="B64:C64">
    <cfRule type="cellIs" dxfId="16419" priority="9102" stopIfTrue="1" operator="equal">
      <formula>"Napkin Hs"</formula>
    </cfRule>
  </conditionalFormatting>
  <conditionalFormatting sqref="B64:C64">
    <cfRule type="cellIs" dxfId="16418" priority="9101" stopIfTrue="1" operator="equal">
      <formula>"Towel"</formula>
    </cfRule>
  </conditionalFormatting>
  <conditionalFormatting sqref="C64">
    <cfRule type="cellIs" dxfId="16417" priority="9100" stopIfTrue="1" operator="equal">
      <formula>"Napkin Hs"</formula>
    </cfRule>
  </conditionalFormatting>
  <conditionalFormatting sqref="C64">
    <cfRule type="cellIs" dxfId="16416" priority="9097" stopIfTrue="1" operator="equal">
      <formula>"Towel"</formula>
    </cfRule>
    <cfRule type="cellIs" dxfId="16415" priority="9098" stopIfTrue="1" operator="equal">
      <formula>"Napkin Hs"</formula>
    </cfRule>
  </conditionalFormatting>
  <conditionalFormatting sqref="C64">
    <cfRule type="cellIs" dxfId="16414" priority="9099" stopIfTrue="1" operator="equal">
      <formula>"Towel"</formula>
    </cfRule>
  </conditionalFormatting>
  <conditionalFormatting sqref="B64:C64">
    <cfRule type="cellIs" dxfId="16413" priority="9096" stopIfTrue="1" operator="equal">
      <formula>"Napkin Hs"</formula>
    </cfRule>
  </conditionalFormatting>
  <conditionalFormatting sqref="B64:C64">
    <cfRule type="cellIs" dxfId="16412" priority="9095" stopIfTrue="1" operator="equal">
      <formula>"Towel"</formula>
    </cfRule>
  </conditionalFormatting>
  <conditionalFormatting sqref="C64">
    <cfRule type="cellIs" dxfId="16411" priority="9094" stopIfTrue="1" operator="equal">
      <formula>"Napkin Hs"</formula>
    </cfRule>
  </conditionalFormatting>
  <conditionalFormatting sqref="C64">
    <cfRule type="cellIs" dxfId="16410" priority="9093" stopIfTrue="1" operator="equal">
      <formula>"Towel"</formula>
    </cfRule>
  </conditionalFormatting>
  <conditionalFormatting sqref="C64">
    <cfRule type="cellIs" dxfId="16409" priority="9091" stopIfTrue="1" operator="equal">
      <formula>"Towel"</formula>
    </cfRule>
    <cfRule type="cellIs" dxfId="16408" priority="9092" stopIfTrue="1" operator="equal">
      <formula>"Napkin Hs"</formula>
    </cfRule>
  </conditionalFormatting>
  <conditionalFormatting sqref="B64:C64">
    <cfRule type="cellIs" dxfId="16407" priority="9090" stopIfTrue="1" operator="equal">
      <formula>"Napkin Hs"</formula>
    </cfRule>
  </conditionalFormatting>
  <conditionalFormatting sqref="B64:C64">
    <cfRule type="cellIs" dxfId="16406" priority="9089" stopIfTrue="1" operator="equal">
      <formula>"Towel"</formula>
    </cfRule>
  </conditionalFormatting>
  <conditionalFormatting sqref="C64">
    <cfRule type="cellIs" dxfId="16405" priority="9088" stopIfTrue="1" operator="equal">
      <formula>"Napkin Hs"</formula>
    </cfRule>
  </conditionalFormatting>
  <conditionalFormatting sqref="C64">
    <cfRule type="cellIs" dxfId="16404" priority="9085" stopIfTrue="1" operator="equal">
      <formula>"Towel"</formula>
    </cfRule>
    <cfRule type="cellIs" dxfId="16403" priority="9086" stopIfTrue="1" operator="equal">
      <formula>"Napkin Hs"</formula>
    </cfRule>
  </conditionalFormatting>
  <conditionalFormatting sqref="C64">
    <cfRule type="cellIs" dxfId="16402" priority="9087" stopIfTrue="1" operator="equal">
      <formula>"Towel"</formula>
    </cfRule>
  </conditionalFormatting>
  <conditionalFormatting sqref="B64:C64">
    <cfRule type="cellIs" dxfId="16401" priority="9084" stopIfTrue="1" operator="equal">
      <formula>"Napkin Hs"</formula>
    </cfRule>
  </conditionalFormatting>
  <conditionalFormatting sqref="B64:C64">
    <cfRule type="cellIs" dxfId="16400" priority="9083" stopIfTrue="1" operator="equal">
      <formula>"Towel"</formula>
    </cfRule>
  </conditionalFormatting>
  <conditionalFormatting sqref="C64">
    <cfRule type="cellIs" dxfId="16399" priority="9082" stopIfTrue="1" operator="equal">
      <formula>"Napkin Hs"</formula>
    </cfRule>
  </conditionalFormatting>
  <conditionalFormatting sqref="C64">
    <cfRule type="cellIs" dxfId="16398" priority="9081" stopIfTrue="1" operator="equal">
      <formula>"Towel"</formula>
    </cfRule>
  </conditionalFormatting>
  <conditionalFormatting sqref="C64">
    <cfRule type="cellIs" dxfId="16397" priority="9079" stopIfTrue="1" operator="equal">
      <formula>"Towel"</formula>
    </cfRule>
    <cfRule type="cellIs" dxfId="16396" priority="9080" stopIfTrue="1" operator="equal">
      <formula>"Napkin Hs"</formula>
    </cfRule>
  </conditionalFormatting>
  <conditionalFormatting sqref="B64:C64">
    <cfRule type="cellIs" dxfId="16395" priority="9078" stopIfTrue="1" operator="equal">
      <formula>"Napkin Hs"</formula>
    </cfRule>
  </conditionalFormatting>
  <conditionalFormatting sqref="B64:C64">
    <cfRule type="cellIs" dxfId="16394" priority="9077" stopIfTrue="1" operator="equal">
      <formula>"Towel"</formula>
    </cfRule>
  </conditionalFormatting>
  <conditionalFormatting sqref="C64">
    <cfRule type="cellIs" dxfId="16393" priority="9076" stopIfTrue="1" operator="equal">
      <formula>"Napkin Hs"</formula>
    </cfRule>
  </conditionalFormatting>
  <conditionalFormatting sqref="C64">
    <cfRule type="cellIs" dxfId="16392" priority="9073" stopIfTrue="1" operator="equal">
      <formula>"Towel"</formula>
    </cfRule>
    <cfRule type="cellIs" dxfId="16391" priority="9074" stopIfTrue="1" operator="equal">
      <formula>"Napkin Hs"</formula>
    </cfRule>
  </conditionalFormatting>
  <conditionalFormatting sqref="C64">
    <cfRule type="cellIs" dxfId="16390" priority="9075" stopIfTrue="1" operator="equal">
      <formula>"Towel"</formula>
    </cfRule>
  </conditionalFormatting>
  <conditionalFormatting sqref="B64:C64">
    <cfRule type="cellIs" dxfId="16389" priority="9072" stopIfTrue="1" operator="equal">
      <formula>"Napkin Hs"</formula>
    </cfRule>
  </conditionalFormatting>
  <conditionalFormatting sqref="B64:C64">
    <cfRule type="cellIs" dxfId="16388" priority="9071" stopIfTrue="1" operator="equal">
      <formula>"Towel"</formula>
    </cfRule>
  </conditionalFormatting>
  <conditionalFormatting sqref="C64">
    <cfRule type="cellIs" dxfId="16387" priority="9070" stopIfTrue="1" operator="equal">
      <formula>"Napkin Hs"</formula>
    </cfRule>
  </conditionalFormatting>
  <conditionalFormatting sqref="C64">
    <cfRule type="cellIs" dxfId="16386" priority="9067" stopIfTrue="1" operator="equal">
      <formula>"Towel"</formula>
    </cfRule>
    <cfRule type="cellIs" dxfId="16385" priority="9068" stopIfTrue="1" operator="equal">
      <formula>"Napkin Hs"</formula>
    </cfRule>
  </conditionalFormatting>
  <conditionalFormatting sqref="C64">
    <cfRule type="cellIs" dxfId="16384" priority="9069" stopIfTrue="1" operator="equal">
      <formula>"Towel"</formula>
    </cfRule>
  </conditionalFormatting>
  <conditionalFormatting sqref="B64:C64">
    <cfRule type="cellIs" dxfId="16383" priority="9066" stopIfTrue="1" operator="equal">
      <formula>"Napkin Hs"</formula>
    </cfRule>
  </conditionalFormatting>
  <conditionalFormatting sqref="B64:C64">
    <cfRule type="cellIs" dxfId="16382" priority="9065" stopIfTrue="1" operator="equal">
      <formula>"Towel"</formula>
    </cfRule>
  </conditionalFormatting>
  <conditionalFormatting sqref="C64">
    <cfRule type="cellIs" dxfId="16381" priority="9064" stopIfTrue="1" operator="equal">
      <formula>"Napkin Hs"</formula>
    </cfRule>
  </conditionalFormatting>
  <conditionalFormatting sqref="C64">
    <cfRule type="cellIs" dxfId="16380" priority="9061" stopIfTrue="1" operator="equal">
      <formula>"Towel"</formula>
    </cfRule>
    <cfRule type="cellIs" dxfId="16379" priority="9062" stopIfTrue="1" operator="equal">
      <formula>"Napkin Hs"</formula>
    </cfRule>
  </conditionalFormatting>
  <conditionalFormatting sqref="C64">
    <cfRule type="cellIs" dxfId="16378" priority="9063" stopIfTrue="1" operator="equal">
      <formula>"Towel"</formula>
    </cfRule>
  </conditionalFormatting>
  <conditionalFormatting sqref="B64:C64">
    <cfRule type="cellIs" dxfId="16377" priority="9060" stopIfTrue="1" operator="equal">
      <formula>"Napkin Hs"</formula>
    </cfRule>
  </conditionalFormatting>
  <conditionalFormatting sqref="B64:C64">
    <cfRule type="cellIs" dxfId="16376" priority="9059" stopIfTrue="1" operator="equal">
      <formula>"Towel"</formula>
    </cfRule>
  </conditionalFormatting>
  <conditionalFormatting sqref="C64">
    <cfRule type="cellIs" dxfId="16375" priority="9058" stopIfTrue="1" operator="equal">
      <formula>"Napkin Hs"</formula>
    </cfRule>
  </conditionalFormatting>
  <conditionalFormatting sqref="C64">
    <cfRule type="cellIs" dxfId="16374" priority="9055" stopIfTrue="1" operator="equal">
      <formula>"Towel"</formula>
    </cfRule>
    <cfRule type="cellIs" dxfId="16373" priority="9056" stopIfTrue="1" operator="equal">
      <formula>"Napkin Hs"</formula>
    </cfRule>
  </conditionalFormatting>
  <conditionalFormatting sqref="C64">
    <cfRule type="cellIs" dxfId="16372" priority="9057" stopIfTrue="1" operator="equal">
      <formula>"Towel"</formula>
    </cfRule>
  </conditionalFormatting>
  <conditionalFormatting sqref="B63:C63">
    <cfRule type="cellIs" dxfId="16371" priority="9054" stopIfTrue="1" operator="equal">
      <formula>"Napkin Hs"</formula>
    </cfRule>
  </conditionalFormatting>
  <conditionalFormatting sqref="B63:C63">
    <cfRule type="cellIs" dxfId="16370" priority="9053" stopIfTrue="1" operator="equal">
      <formula>"Towel"</formula>
    </cfRule>
  </conditionalFormatting>
  <conditionalFormatting sqref="C63">
    <cfRule type="cellIs" dxfId="16369" priority="9052" stopIfTrue="1" operator="equal">
      <formula>"Napkin Hs"</formula>
    </cfRule>
  </conditionalFormatting>
  <conditionalFormatting sqref="C63">
    <cfRule type="cellIs" dxfId="16368" priority="9049" stopIfTrue="1" operator="equal">
      <formula>"Towel"</formula>
    </cfRule>
    <cfRule type="cellIs" dxfId="16367" priority="9050" stopIfTrue="1" operator="equal">
      <formula>"Napkin Hs"</formula>
    </cfRule>
  </conditionalFormatting>
  <conditionalFormatting sqref="C63">
    <cfRule type="cellIs" dxfId="16366" priority="9051" stopIfTrue="1" operator="equal">
      <formula>"Towel"</formula>
    </cfRule>
  </conditionalFormatting>
  <conditionalFormatting sqref="B62:C64">
    <cfRule type="cellIs" dxfId="16365" priority="9048" stopIfTrue="1" operator="equal">
      <formula>"Napkin Hs"</formula>
    </cfRule>
  </conditionalFormatting>
  <conditionalFormatting sqref="B62:C64">
    <cfRule type="cellIs" dxfId="16364" priority="9047" stopIfTrue="1" operator="equal">
      <formula>"Towel"</formula>
    </cfRule>
  </conditionalFormatting>
  <conditionalFormatting sqref="C62:C64">
    <cfRule type="cellIs" dxfId="16363" priority="9046" stopIfTrue="1" operator="equal">
      <formula>"Napkin Hs"</formula>
    </cfRule>
  </conditionalFormatting>
  <conditionalFormatting sqref="C62:C64">
    <cfRule type="cellIs" dxfId="16362" priority="9043" stopIfTrue="1" operator="equal">
      <formula>"Towel"</formula>
    </cfRule>
    <cfRule type="cellIs" dxfId="16361" priority="9044" stopIfTrue="1" operator="equal">
      <formula>"Napkin Hs"</formula>
    </cfRule>
  </conditionalFormatting>
  <conditionalFormatting sqref="C62:C64">
    <cfRule type="cellIs" dxfId="16360" priority="9045" stopIfTrue="1" operator="equal">
      <formula>"Towel"</formula>
    </cfRule>
  </conditionalFormatting>
  <conditionalFormatting sqref="B71:C71">
    <cfRule type="cellIs" dxfId="16359" priority="9033" stopIfTrue="1" operator="equal">
      <formula>"Towel"</formula>
    </cfRule>
    <cfRule type="cellIs" dxfId="16358" priority="9034" stopIfTrue="1" operator="equal">
      <formula>"Napkin Hs"</formula>
    </cfRule>
  </conditionalFormatting>
  <conditionalFormatting sqref="C71">
    <cfRule type="cellIs" dxfId="16357" priority="9035" stopIfTrue="1" operator="equal">
      <formula>"Towel"</formula>
    </cfRule>
    <cfRule type="cellIs" dxfId="16356" priority="9036" stopIfTrue="1" operator="equal">
      <formula>"Napkin Hs"</formula>
    </cfRule>
  </conditionalFormatting>
  <conditionalFormatting sqref="C71">
    <cfRule type="cellIs" dxfId="16355" priority="9031" stopIfTrue="1" operator="equal">
      <formula>"Towel"</formula>
    </cfRule>
    <cfRule type="cellIs" dxfId="16354" priority="9032" stopIfTrue="1" operator="equal">
      <formula>"Napkin Hs"</formula>
    </cfRule>
  </conditionalFormatting>
  <conditionalFormatting sqref="B70:C70">
    <cfRule type="cellIs" dxfId="16353" priority="9029" stopIfTrue="1" operator="equal">
      <formula>"Towel"</formula>
    </cfRule>
    <cfRule type="cellIs" dxfId="16352" priority="9030" stopIfTrue="1" operator="equal">
      <formula>"Napkin Hs"</formula>
    </cfRule>
  </conditionalFormatting>
  <conditionalFormatting sqref="C70">
    <cfRule type="cellIs" dxfId="16351" priority="9023" stopIfTrue="1" operator="equal">
      <formula>"Towel"</formula>
    </cfRule>
    <cfRule type="cellIs" dxfId="16350" priority="9024" stopIfTrue="1" operator="equal">
      <formula>"Napkin Hs"</formula>
    </cfRule>
  </conditionalFormatting>
  <conditionalFormatting sqref="C70">
    <cfRule type="cellIs" dxfId="16349" priority="9027" stopIfTrue="1" operator="equal">
      <formula>"Towel"</formula>
    </cfRule>
    <cfRule type="cellIs" dxfId="16348" priority="9028" stopIfTrue="1" operator="equal">
      <formula>"Napkin Hs"</formula>
    </cfRule>
  </conditionalFormatting>
  <conditionalFormatting sqref="B70:C70">
    <cfRule type="cellIs" dxfId="16347" priority="9019" stopIfTrue="1" operator="equal">
      <formula>"Towel"</formula>
    </cfRule>
    <cfRule type="cellIs" dxfId="16346" priority="9020" stopIfTrue="1" operator="equal">
      <formula>"Napkin Hs"</formula>
    </cfRule>
  </conditionalFormatting>
  <conditionalFormatting sqref="C70">
    <cfRule type="cellIs" dxfId="16345" priority="9015" stopIfTrue="1" operator="equal">
      <formula>"Towel"</formula>
    </cfRule>
    <cfRule type="cellIs" dxfId="16344" priority="9016" stopIfTrue="1" operator="equal">
      <formula>"Napkin Hs"</formula>
    </cfRule>
  </conditionalFormatting>
  <conditionalFormatting sqref="C70">
    <cfRule type="cellIs" dxfId="16343" priority="9017" stopIfTrue="1" operator="equal">
      <formula>"Towel"</formula>
    </cfRule>
    <cfRule type="cellIs" dxfId="16342" priority="9018" stopIfTrue="1" operator="equal">
      <formula>"Napkin Hs"</formula>
    </cfRule>
  </conditionalFormatting>
  <conditionalFormatting sqref="B70:C70">
    <cfRule type="cellIs" dxfId="16341" priority="9013" stopIfTrue="1" operator="equal">
      <formula>"Towel"</formula>
    </cfRule>
    <cfRule type="cellIs" dxfId="16340" priority="9014" stopIfTrue="1" operator="equal">
      <formula>"Napkin Hs"</formula>
    </cfRule>
  </conditionalFormatting>
  <conditionalFormatting sqref="C70">
    <cfRule type="cellIs" dxfId="16339" priority="9011" stopIfTrue="1" operator="equal">
      <formula>"Towel"</formula>
    </cfRule>
    <cfRule type="cellIs" dxfId="16338" priority="9012" stopIfTrue="1" operator="equal">
      <formula>"Napkin Hs"</formula>
    </cfRule>
  </conditionalFormatting>
  <conditionalFormatting sqref="C70">
    <cfRule type="cellIs" dxfId="16337" priority="9009" stopIfTrue="1" operator="equal">
      <formula>"Towel"</formula>
    </cfRule>
    <cfRule type="cellIs" dxfId="16336" priority="9010" stopIfTrue="1" operator="equal">
      <formula>"Napkin Hs"</formula>
    </cfRule>
  </conditionalFormatting>
  <conditionalFormatting sqref="B70:C70">
    <cfRule type="cellIs" dxfId="16335" priority="9007" stopIfTrue="1" operator="equal">
      <formula>"Towel"</formula>
    </cfRule>
    <cfRule type="cellIs" dxfId="16334" priority="9008" stopIfTrue="1" operator="equal">
      <formula>"Napkin Hs"</formula>
    </cfRule>
  </conditionalFormatting>
  <conditionalFormatting sqref="C70">
    <cfRule type="cellIs" dxfId="16333" priority="9005" stopIfTrue="1" operator="equal">
      <formula>"Towel"</formula>
    </cfRule>
    <cfRule type="cellIs" dxfId="16332" priority="9006" stopIfTrue="1" operator="equal">
      <formula>"Napkin Hs"</formula>
    </cfRule>
  </conditionalFormatting>
  <conditionalFormatting sqref="C70">
    <cfRule type="cellIs" dxfId="16331" priority="9003" stopIfTrue="1" operator="equal">
      <formula>"Towel"</formula>
    </cfRule>
    <cfRule type="cellIs" dxfId="16330" priority="9004" stopIfTrue="1" operator="equal">
      <formula>"Napkin Hs"</formula>
    </cfRule>
  </conditionalFormatting>
  <conditionalFormatting sqref="B70:C70">
    <cfRule type="cellIs" dxfId="16329" priority="9001" stopIfTrue="1" operator="equal">
      <formula>"Towel"</formula>
    </cfRule>
    <cfRule type="cellIs" dxfId="16328" priority="9002" stopIfTrue="1" operator="equal">
      <formula>"Napkin Hs"</formula>
    </cfRule>
  </conditionalFormatting>
  <conditionalFormatting sqref="C70">
    <cfRule type="cellIs" dxfId="16327" priority="8999" stopIfTrue="1" operator="equal">
      <formula>"Towel"</formula>
    </cfRule>
    <cfRule type="cellIs" dxfId="16326" priority="9000" stopIfTrue="1" operator="equal">
      <formula>"Napkin Hs"</formula>
    </cfRule>
  </conditionalFormatting>
  <conditionalFormatting sqref="C70">
    <cfRule type="cellIs" dxfId="16325" priority="8997" stopIfTrue="1" operator="equal">
      <formula>"Towel"</formula>
    </cfRule>
    <cfRule type="cellIs" dxfId="16324" priority="8998" stopIfTrue="1" operator="equal">
      <formula>"Napkin Hs"</formula>
    </cfRule>
  </conditionalFormatting>
  <conditionalFormatting sqref="B70:C70">
    <cfRule type="cellIs" dxfId="16323" priority="8996" stopIfTrue="1" operator="equal">
      <formula>"Napkin Hs"</formula>
    </cfRule>
  </conditionalFormatting>
  <conditionalFormatting sqref="B70:C70">
    <cfRule type="cellIs" dxfId="16322" priority="8995" stopIfTrue="1" operator="equal">
      <formula>"Towel"</formula>
    </cfRule>
  </conditionalFormatting>
  <conditionalFormatting sqref="C70">
    <cfRule type="cellIs" dxfId="16321" priority="8994" stopIfTrue="1" operator="equal">
      <formula>"Napkin Hs"</formula>
    </cfRule>
  </conditionalFormatting>
  <conditionalFormatting sqref="C70">
    <cfRule type="cellIs" dxfId="16320" priority="8991" stopIfTrue="1" operator="equal">
      <formula>"Towel"</formula>
    </cfRule>
    <cfRule type="cellIs" dxfId="16319" priority="8992" stopIfTrue="1" operator="equal">
      <formula>"Napkin Hs"</formula>
    </cfRule>
  </conditionalFormatting>
  <conditionalFormatting sqref="C70">
    <cfRule type="cellIs" dxfId="16318" priority="8993" stopIfTrue="1" operator="equal">
      <formula>"Towel"</formula>
    </cfRule>
  </conditionalFormatting>
  <conditionalFormatting sqref="B71:C71">
    <cfRule type="cellIs" dxfId="16317" priority="8765" stopIfTrue="1" operator="equal">
      <formula>"Towel"</formula>
    </cfRule>
    <cfRule type="cellIs" dxfId="16316" priority="8766" stopIfTrue="1" operator="equal">
      <formula>"Napkin Hs"</formula>
    </cfRule>
  </conditionalFormatting>
  <conditionalFormatting sqref="C71">
    <cfRule type="cellIs" dxfId="16315" priority="8761" stopIfTrue="1" operator="equal">
      <formula>"Towel"</formula>
    </cfRule>
    <cfRule type="cellIs" dxfId="16314" priority="8762" stopIfTrue="1" operator="equal">
      <formula>"Napkin Hs"</formula>
    </cfRule>
  </conditionalFormatting>
  <conditionalFormatting sqref="C71">
    <cfRule type="cellIs" dxfId="16313" priority="8763" stopIfTrue="1" operator="equal">
      <formula>"Towel"</formula>
    </cfRule>
    <cfRule type="cellIs" dxfId="16312" priority="8764" stopIfTrue="1" operator="equal">
      <formula>"Napkin Hs"</formula>
    </cfRule>
  </conditionalFormatting>
  <conditionalFormatting sqref="B70:C70">
    <cfRule type="cellIs" dxfId="16311" priority="8663" stopIfTrue="1" operator="equal">
      <formula>"Towel"</formula>
    </cfRule>
    <cfRule type="cellIs" dxfId="16310" priority="8664" stopIfTrue="1" operator="equal">
      <formula>"Napkin Hs"</formula>
    </cfRule>
  </conditionalFormatting>
  <conditionalFormatting sqref="C70">
    <cfRule type="cellIs" dxfId="16309" priority="8659" stopIfTrue="1" operator="equal">
      <formula>"Towel"</formula>
    </cfRule>
    <cfRule type="cellIs" dxfId="16308" priority="8660" stopIfTrue="1" operator="equal">
      <formula>"Napkin Hs"</formula>
    </cfRule>
  </conditionalFormatting>
  <conditionalFormatting sqref="C70">
    <cfRule type="cellIs" dxfId="16307" priority="8661" stopIfTrue="1" operator="equal">
      <formula>"Towel"</formula>
    </cfRule>
    <cfRule type="cellIs" dxfId="16306" priority="8662" stopIfTrue="1" operator="equal">
      <formula>"Napkin Hs"</formula>
    </cfRule>
  </conditionalFormatting>
  <conditionalFormatting sqref="C70">
    <cfRule type="cellIs" dxfId="16305" priority="8587" stopIfTrue="1" operator="equal">
      <formula>"Towel"</formula>
    </cfRule>
    <cfRule type="cellIs" dxfId="16304" priority="8588" stopIfTrue="1" operator="equal">
      <formula>"Napkin Hs"</formula>
    </cfRule>
  </conditionalFormatting>
  <conditionalFormatting sqref="B70:C70">
    <cfRule type="cellIs" dxfId="16303" priority="8657" stopIfTrue="1" operator="equal">
      <formula>"Towel"</formula>
    </cfRule>
    <cfRule type="cellIs" dxfId="16302" priority="8658" stopIfTrue="1" operator="equal">
      <formula>"Napkin Hs"</formula>
    </cfRule>
  </conditionalFormatting>
  <conditionalFormatting sqref="C70">
    <cfRule type="cellIs" dxfId="16301" priority="8651" stopIfTrue="1" operator="equal">
      <formula>"Towel"</formula>
    </cfRule>
    <cfRule type="cellIs" dxfId="16300" priority="8652" stopIfTrue="1" operator="equal">
      <formula>"Napkin Hs"</formula>
    </cfRule>
  </conditionalFormatting>
  <conditionalFormatting sqref="C70">
    <cfRule type="cellIs" dxfId="16299" priority="8655" stopIfTrue="1" operator="equal">
      <formula>"Towel"</formula>
    </cfRule>
    <cfRule type="cellIs" dxfId="16298" priority="8656" stopIfTrue="1" operator="equal">
      <formula>"Napkin Hs"</formula>
    </cfRule>
  </conditionalFormatting>
  <conditionalFormatting sqref="B70:C70">
    <cfRule type="cellIs" dxfId="16297" priority="8647" stopIfTrue="1" operator="equal">
      <formula>"Towel"</formula>
    </cfRule>
    <cfRule type="cellIs" dxfId="16296" priority="8648" stopIfTrue="1" operator="equal">
      <formula>"Napkin Hs"</formula>
    </cfRule>
  </conditionalFormatting>
  <conditionalFormatting sqref="C70">
    <cfRule type="cellIs" dxfId="16295" priority="8641" stopIfTrue="1" operator="equal">
      <formula>"Towel"</formula>
    </cfRule>
    <cfRule type="cellIs" dxfId="16294" priority="8642" stopIfTrue="1" operator="equal">
      <formula>"Napkin Hs"</formula>
    </cfRule>
  </conditionalFormatting>
  <conditionalFormatting sqref="C70">
    <cfRule type="cellIs" dxfId="16293" priority="8645" stopIfTrue="1" operator="equal">
      <formula>"Towel"</formula>
    </cfRule>
    <cfRule type="cellIs" dxfId="16292" priority="8646" stopIfTrue="1" operator="equal">
      <formula>"Napkin Hs"</formula>
    </cfRule>
  </conditionalFormatting>
  <conditionalFormatting sqref="B70:C70">
    <cfRule type="cellIs" dxfId="16291" priority="8633" stopIfTrue="1" operator="equal">
      <formula>"Towel"</formula>
    </cfRule>
    <cfRule type="cellIs" dxfId="16290" priority="8634" stopIfTrue="1" operator="equal">
      <formula>"Napkin Hs"</formula>
    </cfRule>
  </conditionalFormatting>
  <conditionalFormatting sqref="C70">
    <cfRule type="cellIs" dxfId="16289" priority="8631" stopIfTrue="1" operator="equal">
      <formula>"Towel"</formula>
    </cfRule>
    <cfRule type="cellIs" dxfId="16288" priority="8632" stopIfTrue="1" operator="equal">
      <formula>"Napkin Hs"</formula>
    </cfRule>
  </conditionalFormatting>
  <conditionalFormatting sqref="C70">
    <cfRule type="cellIs" dxfId="16287" priority="8629" stopIfTrue="1" operator="equal">
      <formula>"Towel"</formula>
    </cfRule>
    <cfRule type="cellIs" dxfId="16286" priority="8630" stopIfTrue="1" operator="equal">
      <formula>"Napkin Hs"</formula>
    </cfRule>
  </conditionalFormatting>
  <conditionalFormatting sqref="B70:C70">
    <cfRule type="cellIs" dxfId="16285" priority="8628" stopIfTrue="1" operator="equal">
      <formula>"Napkin Hs"</formula>
    </cfRule>
  </conditionalFormatting>
  <conditionalFormatting sqref="B70:C70">
    <cfRule type="cellIs" dxfId="16284" priority="8627" stopIfTrue="1" operator="equal">
      <formula>"Towel"</formula>
    </cfRule>
  </conditionalFormatting>
  <conditionalFormatting sqref="C70">
    <cfRule type="cellIs" dxfId="16283" priority="8626" stopIfTrue="1" operator="equal">
      <formula>"Napkin Hs"</formula>
    </cfRule>
  </conditionalFormatting>
  <conditionalFormatting sqref="C70">
    <cfRule type="cellIs" dxfId="16282" priority="8625" stopIfTrue="1" operator="equal">
      <formula>"Towel"</formula>
    </cfRule>
  </conditionalFormatting>
  <conditionalFormatting sqref="C70">
    <cfRule type="cellIs" dxfId="16281" priority="8621" stopIfTrue="1" operator="equal">
      <formula>"Towel"</formula>
    </cfRule>
    <cfRule type="cellIs" dxfId="16280" priority="8622" stopIfTrue="1" operator="equal">
      <formula>"Napkin Hs"</formula>
    </cfRule>
  </conditionalFormatting>
  <conditionalFormatting sqref="C70">
    <cfRule type="cellIs" dxfId="16279" priority="8617" stopIfTrue="1" operator="equal">
      <formula>"Towel"</formula>
    </cfRule>
    <cfRule type="cellIs" dxfId="16278" priority="8618" stopIfTrue="1" operator="equal">
      <formula>"Napkin Hs"</formula>
    </cfRule>
  </conditionalFormatting>
  <conditionalFormatting sqref="B70:C70">
    <cfRule type="cellIs" dxfId="16277" priority="8609" stopIfTrue="1" operator="equal">
      <formula>"Towel"</formula>
    </cfRule>
    <cfRule type="cellIs" dxfId="16276" priority="8610" stopIfTrue="1" operator="equal">
      <formula>"Napkin Hs"</formula>
    </cfRule>
  </conditionalFormatting>
  <conditionalFormatting sqref="C70">
    <cfRule type="cellIs" dxfId="16275" priority="8605" stopIfTrue="1" operator="equal">
      <formula>"Towel"</formula>
    </cfRule>
    <cfRule type="cellIs" dxfId="16274" priority="8606" stopIfTrue="1" operator="equal">
      <formula>"Napkin Hs"</formula>
    </cfRule>
  </conditionalFormatting>
  <conditionalFormatting sqref="C70">
    <cfRule type="cellIs" dxfId="16273" priority="8607" stopIfTrue="1" operator="equal">
      <formula>"Towel"</formula>
    </cfRule>
    <cfRule type="cellIs" dxfId="16272" priority="8608" stopIfTrue="1" operator="equal">
      <formula>"Napkin Hs"</formula>
    </cfRule>
  </conditionalFormatting>
  <conditionalFormatting sqref="B70:C70">
    <cfRule type="cellIs" dxfId="16271" priority="8603" stopIfTrue="1" operator="equal">
      <formula>"Towel"</formula>
    </cfRule>
    <cfRule type="cellIs" dxfId="16270" priority="8604" stopIfTrue="1" operator="equal">
      <formula>"Napkin Hs"</formula>
    </cfRule>
  </conditionalFormatting>
  <conditionalFormatting sqref="C70">
    <cfRule type="cellIs" dxfId="16269" priority="8599" stopIfTrue="1" operator="equal">
      <formula>"Towel"</formula>
    </cfRule>
    <cfRule type="cellIs" dxfId="16268" priority="8600" stopIfTrue="1" operator="equal">
      <formula>"Napkin Hs"</formula>
    </cfRule>
  </conditionalFormatting>
  <conditionalFormatting sqref="C70">
    <cfRule type="cellIs" dxfId="16267" priority="8601" stopIfTrue="1" operator="equal">
      <formula>"Towel"</formula>
    </cfRule>
    <cfRule type="cellIs" dxfId="16266" priority="8602" stopIfTrue="1" operator="equal">
      <formula>"Napkin Hs"</formula>
    </cfRule>
  </conditionalFormatting>
  <conditionalFormatting sqref="B70:C70">
    <cfRule type="cellIs" dxfId="16265" priority="8597" stopIfTrue="1" operator="equal">
      <formula>"Towel"</formula>
    </cfRule>
    <cfRule type="cellIs" dxfId="16264" priority="8598" stopIfTrue="1" operator="equal">
      <formula>"Napkin Hs"</formula>
    </cfRule>
  </conditionalFormatting>
  <conditionalFormatting sqref="C70">
    <cfRule type="cellIs" dxfId="16263" priority="8593" stopIfTrue="1" operator="equal">
      <formula>"Towel"</formula>
    </cfRule>
    <cfRule type="cellIs" dxfId="16262" priority="8594" stopIfTrue="1" operator="equal">
      <formula>"Napkin Hs"</formula>
    </cfRule>
  </conditionalFormatting>
  <conditionalFormatting sqref="C70">
    <cfRule type="cellIs" dxfId="16261" priority="8595" stopIfTrue="1" operator="equal">
      <formula>"Towel"</formula>
    </cfRule>
    <cfRule type="cellIs" dxfId="16260" priority="8596" stopIfTrue="1" operator="equal">
      <formula>"Napkin Hs"</formula>
    </cfRule>
  </conditionalFormatting>
  <conditionalFormatting sqref="B70:C70">
    <cfRule type="cellIs" dxfId="16259" priority="8591" stopIfTrue="1" operator="equal">
      <formula>"Towel"</formula>
    </cfRule>
    <cfRule type="cellIs" dxfId="16258" priority="8592" stopIfTrue="1" operator="equal">
      <formula>"Napkin Hs"</formula>
    </cfRule>
  </conditionalFormatting>
  <conditionalFormatting sqref="C70">
    <cfRule type="cellIs" dxfId="16257" priority="8589" stopIfTrue="1" operator="equal">
      <formula>"Towel"</formula>
    </cfRule>
    <cfRule type="cellIs" dxfId="16256" priority="8590" stopIfTrue="1" operator="equal">
      <formula>"Napkin Hs"</formula>
    </cfRule>
  </conditionalFormatting>
  <conditionalFormatting sqref="B70:C70">
    <cfRule type="cellIs" dxfId="16255" priority="8586" stopIfTrue="1" operator="equal">
      <formula>"Napkin Hs"</formula>
    </cfRule>
  </conditionalFormatting>
  <conditionalFormatting sqref="B70:C70">
    <cfRule type="cellIs" dxfId="16254" priority="8585" stopIfTrue="1" operator="equal">
      <formula>"Towel"</formula>
    </cfRule>
  </conditionalFormatting>
  <conditionalFormatting sqref="C70">
    <cfRule type="cellIs" dxfId="16253" priority="8584" stopIfTrue="1" operator="equal">
      <formula>"Napkin Hs"</formula>
    </cfRule>
  </conditionalFormatting>
  <conditionalFormatting sqref="C70">
    <cfRule type="cellIs" dxfId="16252" priority="8583" stopIfTrue="1" operator="equal">
      <formula>"Towel"</formula>
    </cfRule>
  </conditionalFormatting>
  <conditionalFormatting sqref="C70">
    <cfRule type="cellIs" dxfId="16251" priority="8581" stopIfTrue="1" operator="equal">
      <formula>"Towel"</formula>
    </cfRule>
    <cfRule type="cellIs" dxfId="16250" priority="8582" stopIfTrue="1" operator="equal">
      <formula>"Napkin Hs"</formula>
    </cfRule>
  </conditionalFormatting>
  <conditionalFormatting sqref="C70">
    <cfRule type="cellIs" dxfId="16249" priority="8579" stopIfTrue="1" operator="equal">
      <formula>"Towel"</formula>
    </cfRule>
    <cfRule type="cellIs" dxfId="16248" priority="8580" stopIfTrue="1" operator="equal">
      <formula>"Napkin Hs"</formula>
    </cfRule>
  </conditionalFormatting>
  <conditionalFormatting sqref="B67:C67">
    <cfRule type="cellIs" dxfId="16247" priority="8500" stopIfTrue="1" operator="equal">
      <formula>"Napkin Hs"</formula>
    </cfRule>
  </conditionalFormatting>
  <conditionalFormatting sqref="B67:C67">
    <cfRule type="cellIs" dxfId="16246" priority="8499" stopIfTrue="1" operator="equal">
      <formula>"Towel"</formula>
    </cfRule>
  </conditionalFormatting>
  <conditionalFormatting sqref="C67">
    <cfRule type="cellIs" dxfId="16245" priority="8498" stopIfTrue="1" operator="equal">
      <formula>"Napkin Hs"</formula>
    </cfRule>
  </conditionalFormatting>
  <conditionalFormatting sqref="C67">
    <cfRule type="cellIs" dxfId="16244" priority="8497" stopIfTrue="1" operator="equal">
      <formula>"Towel"</formula>
    </cfRule>
  </conditionalFormatting>
  <conditionalFormatting sqref="C67">
    <cfRule type="cellIs" dxfId="16243" priority="8495" stopIfTrue="1" operator="equal">
      <formula>"Towel"</formula>
    </cfRule>
    <cfRule type="cellIs" dxfId="16242" priority="8496" stopIfTrue="1" operator="equal">
      <formula>"Napkin Hs"</formula>
    </cfRule>
  </conditionalFormatting>
  <conditionalFormatting sqref="C67">
    <cfRule type="cellIs" dxfId="16241" priority="8489" stopIfTrue="1" operator="equal">
      <formula>"Towel"</formula>
    </cfRule>
    <cfRule type="cellIs" dxfId="16240" priority="8490" stopIfTrue="1" operator="equal">
      <formula>"Napkin Hs"</formula>
    </cfRule>
  </conditionalFormatting>
  <conditionalFormatting sqref="B67:C67">
    <cfRule type="cellIs" dxfId="16239" priority="8488" stopIfTrue="1" operator="equal">
      <formula>"Napkin Hs"</formula>
    </cfRule>
  </conditionalFormatting>
  <conditionalFormatting sqref="B67:C67">
    <cfRule type="cellIs" dxfId="16238" priority="8487" stopIfTrue="1" operator="equal">
      <formula>"Towel"</formula>
    </cfRule>
  </conditionalFormatting>
  <conditionalFormatting sqref="C67">
    <cfRule type="cellIs" dxfId="16237" priority="8486" stopIfTrue="1" operator="equal">
      <formula>"Napkin Hs"</formula>
    </cfRule>
  </conditionalFormatting>
  <conditionalFormatting sqref="C67">
    <cfRule type="cellIs" dxfId="16236" priority="8485" stopIfTrue="1" operator="equal">
      <formula>"Towel"</formula>
    </cfRule>
  </conditionalFormatting>
  <conditionalFormatting sqref="C67">
    <cfRule type="cellIs" dxfId="16235" priority="8483" stopIfTrue="1" operator="equal">
      <formula>"Towel"</formula>
    </cfRule>
    <cfRule type="cellIs" dxfId="16234" priority="8484" stopIfTrue="1" operator="equal">
      <formula>"Napkin Hs"</formula>
    </cfRule>
  </conditionalFormatting>
  <conditionalFormatting sqref="C67">
    <cfRule type="cellIs" dxfId="16233" priority="8477" stopIfTrue="1" operator="equal">
      <formula>"Towel"</formula>
    </cfRule>
    <cfRule type="cellIs" dxfId="16232" priority="8478" stopIfTrue="1" operator="equal">
      <formula>"Napkin Hs"</formula>
    </cfRule>
  </conditionalFormatting>
  <conditionalFormatting sqref="C67">
    <cfRule type="cellIs" dxfId="16231" priority="8471" stopIfTrue="1" operator="equal">
      <formula>"Towel"</formula>
    </cfRule>
    <cfRule type="cellIs" dxfId="16230" priority="8472" stopIfTrue="1" operator="equal">
      <formula>"Napkin Hs"</formula>
    </cfRule>
  </conditionalFormatting>
  <conditionalFormatting sqref="C67">
    <cfRule type="cellIs" dxfId="16229" priority="8465" stopIfTrue="1" operator="equal">
      <formula>"Towel"</formula>
    </cfRule>
    <cfRule type="cellIs" dxfId="16228" priority="8466" stopIfTrue="1" operator="equal">
      <formula>"Napkin Hs"</formula>
    </cfRule>
  </conditionalFormatting>
  <conditionalFormatting sqref="C67">
    <cfRule type="cellIs" dxfId="16227" priority="8459" stopIfTrue="1" operator="equal">
      <formula>"Towel"</formula>
    </cfRule>
    <cfRule type="cellIs" dxfId="16226" priority="8460" stopIfTrue="1" operator="equal">
      <formula>"Napkin Hs"</formula>
    </cfRule>
  </conditionalFormatting>
  <conditionalFormatting sqref="C67">
    <cfRule type="cellIs" dxfId="16225" priority="8453" stopIfTrue="1" operator="equal">
      <formula>"Towel"</formula>
    </cfRule>
    <cfRule type="cellIs" dxfId="16224" priority="8454" stopIfTrue="1" operator="equal">
      <formula>"Napkin Hs"</formula>
    </cfRule>
  </conditionalFormatting>
  <conditionalFormatting sqref="B67:C67">
    <cfRule type="cellIs" dxfId="16223" priority="8452" stopIfTrue="1" operator="equal">
      <formula>"Napkin Hs"</formula>
    </cfRule>
  </conditionalFormatting>
  <conditionalFormatting sqref="B67:C67">
    <cfRule type="cellIs" dxfId="16222" priority="8451" stopIfTrue="1" operator="equal">
      <formula>"Towel"</formula>
    </cfRule>
  </conditionalFormatting>
  <conditionalFormatting sqref="C67">
    <cfRule type="cellIs" dxfId="16221" priority="8450" stopIfTrue="1" operator="equal">
      <formula>"Napkin Hs"</formula>
    </cfRule>
  </conditionalFormatting>
  <conditionalFormatting sqref="C67">
    <cfRule type="cellIs" dxfId="16220" priority="8447" stopIfTrue="1" operator="equal">
      <formula>"Towel"</formula>
    </cfRule>
    <cfRule type="cellIs" dxfId="16219" priority="8448" stopIfTrue="1" operator="equal">
      <formula>"Napkin Hs"</formula>
    </cfRule>
  </conditionalFormatting>
  <conditionalFormatting sqref="C67">
    <cfRule type="cellIs" dxfId="16218" priority="8449" stopIfTrue="1" operator="equal">
      <formula>"Towel"</formula>
    </cfRule>
  </conditionalFormatting>
  <conditionalFormatting sqref="B67:C67">
    <cfRule type="cellIs" dxfId="16217" priority="8446" stopIfTrue="1" operator="equal">
      <formula>"Napkin Hs"</formula>
    </cfRule>
  </conditionalFormatting>
  <conditionalFormatting sqref="B67:C67">
    <cfRule type="cellIs" dxfId="16216" priority="8445" stopIfTrue="1" operator="equal">
      <formula>"Towel"</formula>
    </cfRule>
  </conditionalFormatting>
  <conditionalFormatting sqref="C67">
    <cfRule type="cellIs" dxfId="16215" priority="8444" stopIfTrue="1" operator="equal">
      <formula>"Napkin Hs"</formula>
    </cfRule>
  </conditionalFormatting>
  <conditionalFormatting sqref="C67">
    <cfRule type="cellIs" dxfId="16214" priority="8441" stopIfTrue="1" operator="equal">
      <formula>"Towel"</formula>
    </cfRule>
    <cfRule type="cellIs" dxfId="16213" priority="8442" stopIfTrue="1" operator="equal">
      <formula>"Napkin Hs"</formula>
    </cfRule>
  </conditionalFormatting>
  <conditionalFormatting sqref="C67">
    <cfRule type="cellIs" dxfId="16212" priority="8443" stopIfTrue="1" operator="equal">
      <formula>"Towel"</formula>
    </cfRule>
  </conditionalFormatting>
  <conditionalFormatting sqref="B68:C69">
    <cfRule type="cellIs" dxfId="16211" priority="8374" stopIfTrue="1" operator="equal">
      <formula>"Napkin Hs"</formula>
    </cfRule>
  </conditionalFormatting>
  <conditionalFormatting sqref="B68:C69">
    <cfRule type="cellIs" dxfId="16210" priority="8373" stopIfTrue="1" operator="equal">
      <formula>"Towel"</formula>
    </cfRule>
  </conditionalFormatting>
  <conditionalFormatting sqref="C68:C69">
    <cfRule type="cellIs" dxfId="16209" priority="8372" stopIfTrue="1" operator="equal">
      <formula>"Napkin Hs"</formula>
    </cfRule>
  </conditionalFormatting>
  <conditionalFormatting sqref="C68:C69">
    <cfRule type="cellIs" dxfId="16208" priority="8369" stopIfTrue="1" operator="equal">
      <formula>"Towel"</formula>
    </cfRule>
    <cfRule type="cellIs" dxfId="16207" priority="8370" stopIfTrue="1" operator="equal">
      <formula>"Napkin Hs"</formula>
    </cfRule>
  </conditionalFormatting>
  <conditionalFormatting sqref="C68:C69">
    <cfRule type="cellIs" dxfId="16206" priority="8371" stopIfTrue="1" operator="equal">
      <formula>"Towel"</formula>
    </cfRule>
  </conditionalFormatting>
  <conditionalFormatting sqref="B67:C67">
    <cfRule type="cellIs" dxfId="16205" priority="8493" stopIfTrue="1" operator="equal">
      <formula>"Towel"</formula>
    </cfRule>
    <cfRule type="cellIs" dxfId="16204" priority="8494" stopIfTrue="1" operator="equal">
      <formula>"Napkin Hs"</formula>
    </cfRule>
  </conditionalFormatting>
  <conditionalFormatting sqref="C67">
    <cfRule type="cellIs" dxfId="16203" priority="8491" stopIfTrue="1" operator="equal">
      <formula>"Towel"</formula>
    </cfRule>
    <cfRule type="cellIs" dxfId="16202" priority="8492" stopIfTrue="1" operator="equal">
      <formula>"Napkin Hs"</formula>
    </cfRule>
  </conditionalFormatting>
  <conditionalFormatting sqref="B67:C67">
    <cfRule type="cellIs" dxfId="16201" priority="8481" stopIfTrue="1" operator="equal">
      <formula>"Towel"</formula>
    </cfRule>
    <cfRule type="cellIs" dxfId="16200" priority="8482" stopIfTrue="1" operator="equal">
      <formula>"Napkin Hs"</formula>
    </cfRule>
  </conditionalFormatting>
  <conditionalFormatting sqref="C67">
    <cfRule type="cellIs" dxfId="16199" priority="8479" stopIfTrue="1" operator="equal">
      <formula>"Towel"</formula>
    </cfRule>
    <cfRule type="cellIs" dxfId="16198" priority="8480" stopIfTrue="1" operator="equal">
      <formula>"Napkin Hs"</formula>
    </cfRule>
  </conditionalFormatting>
  <conditionalFormatting sqref="B67:C67">
    <cfRule type="cellIs" dxfId="16197" priority="8475" stopIfTrue="1" operator="equal">
      <formula>"Towel"</formula>
    </cfRule>
    <cfRule type="cellIs" dxfId="16196" priority="8476" stopIfTrue="1" operator="equal">
      <formula>"Napkin Hs"</formula>
    </cfRule>
  </conditionalFormatting>
  <conditionalFormatting sqref="C67">
    <cfRule type="cellIs" dxfId="16195" priority="8473" stopIfTrue="1" operator="equal">
      <formula>"Towel"</formula>
    </cfRule>
    <cfRule type="cellIs" dxfId="16194" priority="8474" stopIfTrue="1" operator="equal">
      <formula>"Napkin Hs"</formula>
    </cfRule>
  </conditionalFormatting>
  <conditionalFormatting sqref="B67:C67">
    <cfRule type="cellIs" dxfId="16193" priority="8469" stopIfTrue="1" operator="equal">
      <formula>"Towel"</formula>
    </cfRule>
    <cfRule type="cellIs" dxfId="16192" priority="8470" stopIfTrue="1" operator="equal">
      <formula>"Napkin Hs"</formula>
    </cfRule>
  </conditionalFormatting>
  <conditionalFormatting sqref="C67">
    <cfRule type="cellIs" dxfId="16191" priority="8467" stopIfTrue="1" operator="equal">
      <formula>"Towel"</formula>
    </cfRule>
    <cfRule type="cellIs" dxfId="16190" priority="8468" stopIfTrue="1" operator="equal">
      <formula>"Napkin Hs"</formula>
    </cfRule>
  </conditionalFormatting>
  <conditionalFormatting sqref="B67:C67">
    <cfRule type="cellIs" dxfId="16189" priority="8463" stopIfTrue="1" operator="equal">
      <formula>"Towel"</formula>
    </cfRule>
    <cfRule type="cellIs" dxfId="16188" priority="8464" stopIfTrue="1" operator="equal">
      <formula>"Napkin Hs"</formula>
    </cfRule>
  </conditionalFormatting>
  <conditionalFormatting sqref="C67">
    <cfRule type="cellIs" dxfId="16187" priority="8461" stopIfTrue="1" operator="equal">
      <formula>"Towel"</formula>
    </cfRule>
    <cfRule type="cellIs" dxfId="16186" priority="8462" stopIfTrue="1" operator="equal">
      <formula>"Napkin Hs"</formula>
    </cfRule>
  </conditionalFormatting>
  <conditionalFormatting sqref="B67:C67">
    <cfRule type="cellIs" dxfId="16185" priority="8457" stopIfTrue="1" operator="equal">
      <formula>"Towel"</formula>
    </cfRule>
    <cfRule type="cellIs" dxfId="16184" priority="8458" stopIfTrue="1" operator="equal">
      <formula>"Napkin Hs"</formula>
    </cfRule>
  </conditionalFormatting>
  <conditionalFormatting sqref="C67">
    <cfRule type="cellIs" dxfId="16183" priority="8455" stopIfTrue="1" operator="equal">
      <formula>"Towel"</formula>
    </cfRule>
    <cfRule type="cellIs" dxfId="16182" priority="8456" stopIfTrue="1" operator="equal">
      <formula>"Napkin Hs"</formula>
    </cfRule>
  </conditionalFormatting>
  <conditionalFormatting sqref="B67:C67">
    <cfRule type="cellIs" dxfId="16181" priority="8440" stopIfTrue="1" operator="equal">
      <formula>"Napkin Hs"</formula>
    </cfRule>
  </conditionalFormatting>
  <conditionalFormatting sqref="B67:C67">
    <cfRule type="cellIs" dxfId="16180" priority="8439" stopIfTrue="1" operator="equal">
      <formula>"Towel"</formula>
    </cfRule>
  </conditionalFormatting>
  <conditionalFormatting sqref="C67">
    <cfRule type="cellIs" dxfId="16179" priority="8438" stopIfTrue="1" operator="equal">
      <formula>"Napkin Hs"</formula>
    </cfRule>
  </conditionalFormatting>
  <conditionalFormatting sqref="C67">
    <cfRule type="cellIs" dxfId="16178" priority="8435" stopIfTrue="1" operator="equal">
      <formula>"Towel"</formula>
    </cfRule>
    <cfRule type="cellIs" dxfId="16177" priority="8436" stopIfTrue="1" operator="equal">
      <formula>"Napkin Hs"</formula>
    </cfRule>
  </conditionalFormatting>
  <conditionalFormatting sqref="C67">
    <cfRule type="cellIs" dxfId="16176" priority="8437" stopIfTrue="1" operator="equal">
      <formula>"Towel"</formula>
    </cfRule>
  </conditionalFormatting>
  <conditionalFormatting sqref="B68:C69">
    <cfRule type="cellIs" dxfId="16175" priority="8434" stopIfTrue="1" operator="equal">
      <formula>"Napkin Hs"</formula>
    </cfRule>
  </conditionalFormatting>
  <conditionalFormatting sqref="B68:C69">
    <cfRule type="cellIs" dxfId="16174" priority="8433" stopIfTrue="1" operator="equal">
      <formula>"Towel"</formula>
    </cfRule>
  </conditionalFormatting>
  <conditionalFormatting sqref="C68:C69">
    <cfRule type="cellIs" dxfId="16173" priority="8432" stopIfTrue="1" operator="equal">
      <formula>"Napkin Hs"</formula>
    </cfRule>
  </conditionalFormatting>
  <conditionalFormatting sqref="C68:C69">
    <cfRule type="cellIs" dxfId="16172" priority="8431" stopIfTrue="1" operator="equal">
      <formula>"Towel"</formula>
    </cfRule>
  </conditionalFormatting>
  <conditionalFormatting sqref="C68:C69">
    <cfRule type="cellIs" dxfId="16171" priority="8429" stopIfTrue="1" operator="equal">
      <formula>"Towel"</formula>
    </cfRule>
    <cfRule type="cellIs" dxfId="16170" priority="8430" stopIfTrue="1" operator="equal">
      <formula>"Napkin Hs"</formula>
    </cfRule>
  </conditionalFormatting>
  <conditionalFormatting sqref="B68:C69">
    <cfRule type="cellIs" dxfId="16169" priority="8427" stopIfTrue="1" operator="equal">
      <formula>"Towel"</formula>
    </cfRule>
    <cfRule type="cellIs" dxfId="16168" priority="8428" stopIfTrue="1" operator="equal">
      <formula>"Napkin Hs"</formula>
    </cfRule>
  </conditionalFormatting>
  <conditionalFormatting sqref="C68:C69">
    <cfRule type="cellIs" dxfId="16167" priority="8423" stopIfTrue="1" operator="equal">
      <formula>"Towel"</formula>
    </cfRule>
    <cfRule type="cellIs" dxfId="16166" priority="8424" stopIfTrue="1" operator="equal">
      <formula>"Napkin Hs"</formula>
    </cfRule>
  </conditionalFormatting>
  <conditionalFormatting sqref="C68:C69">
    <cfRule type="cellIs" dxfId="16165" priority="8425" stopIfTrue="1" operator="equal">
      <formula>"Towel"</formula>
    </cfRule>
    <cfRule type="cellIs" dxfId="16164" priority="8426" stopIfTrue="1" operator="equal">
      <formula>"Napkin Hs"</formula>
    </cfRule>
  </conditionalFormatting>
  <conditionalFormatting sqref="B68:C69">
    <cfRule type="cellIs" dxfId="16163" priority="8422" stopIfTrue="1" operator="equal">
      <formula>"Napkin Hs"</formula>
    </cfRule>
  </conditionalFormatting>
  <conditionalFormatting sqref="B68:C69">
    <cfRule type="cellIs" dxfId="16162" priority="8421" stopIfTrue="1" operator="equal">
      <formula>"Towel"</formula>
    </cfRule>
  </conditionalFormatting>
  <conditionalFormatting sqref="C68:C69">
    <cfRule type="cellIs" dxfId="16161" priority="8420" stopIfTrue="1" operator="equal">
      <formula>"Napkin Hs"</formula>
    </cfRule>
  </conditionalFormatting>
  <conditionalFormatting sqref="C68:C69">
    <cfRule type="cellIs" dxfId="16160" priority="8419" stopIfTrue="1" operator="equal">
      <formula>"Towel"</formula>
    </cfRule>
  </conditionalFormatting>
  <conditionalFormatting sqref="C68:C69">
    <cfRule type="cellIs" dxfId="16159" priority="8417" stopIfTrue="1" operator="equal">
      <formula>"Towel"</formula>
    </cfRule>
    <cfRule type="cellIs" dxfId="16158" priority="8418" stopIfTrue="1" operator="equal">
      <formula>"Napkin Hs"</formula>
    </cfRule>
  </conditionalFormatting>
  <conditionalFormatting sqref="B68:C69">
    <cfRule type="cellIs" dxfId="16157" priority="8415" stopIfTrue="1" operator="equal">
      <formula>"Towel"</formula>
    </cfRule>
    <cfRule type="cellIs" dxfId="16156" priority="8416" stopIfTrue="1" operator="equal">
      <formula>"Napkin Hs"</formula>
    </cfRule>
  </conditionalFormatting>
  <conditionalFormatting sqref="C68:C69">
    <cfRule type="cellIs" dxfId="16155" priority="8413" stopIfTrue="1" operator="equal">
      <formula>"Towel"</formula>
    </cfRule>
    <cfRule type="cellIs" dxfId="16154" priority="8414" stopIfTrue="1" operator="equal">
      <formula>"Napkin Hs"</formula>
    </cfRule>
  </conditionalFormatting>
  <conditionalFormatting sqref="C68:C69">
    <cfRule type="cellIs" dxfId="16153" priority="8411" stopIfTrue="1" operator="equal">
      <formula>"Towel"</formula>
    </cfRule>
    <cfRule type="cellIs" dxfId="16152" priority="8412" stopIfTrue="1" operator="equal">
      <formula>"Napkin Hs"</formula>
    </cfRule>
  </conditionalFormatting>
  <conditionalFormatting sqref="B68:C69">
    <cfRule type="cellIs" dxfId="16151" priority="8409" stopIfTrue="1" operator="equal">
      <formula>"Towel"</formula>
    </cfRule>
    <cfRule type="cellIs" dxfId="16150" priority="8410" stopIfTrue="1" operator="equal">
      <formula>"Napkin Hs"</formula>
    </cfRule>
  </conditionalFormatting>
  <conditionalFormatting sqref="C68:C69">
    <cfRule type="cellIs" dxfId="16149" priority="8407" stopIfTrue="1" operator="equal">
      <formula>"Towel"</formula>
    </cfRule>
    <cfRule type="cellIs" dxfId="16148" priority="8408" stopIfTrue="1" operator="equal">
      <formula>"Napkin Hs"</formula>
    </cfRule>
  </conditionalFormatting>
  <conditionalFormatting sqref="C68:C69">
    <cfRule type="cellIs" dxfId="16147" priority="8405" stopIfTrue="1" operator="equal">
      <formula>"Towel"</formula>
    </cfRule>
    <cfRule type="cellIs" dxfId="16146" priority="8406" stopIfTrue="1" operator="equal">
      <formula>"Napkin Hs"</formula>
    </cfRule>
  </conditionalFormatting>
  <conditionalFormatting sqref="B68:C69">
    <cfRule type="cellIs" dxfId="16145" priority="8403" stopIfTrue="1" operator="equal">
      <formula>"Towel"</formula>
    </cfRule>
    <cfRule type="cellIs" dxfId="16144" priority="8404" stopIfTrue="1" operator="equal">
      <formula>"Napkin Hs"</formula>
    </cfRule>
  </conditionalFormatting>
  <conditionalFormatting sqref="C68:C69">
    <cfRule type="cellIs" dxfId="16143" priority="8401" stopIfTrue="1" operator="equal">
      <formula>"Towel"</formula>
    </cfRule>
    <cfRule type="cellIs" dxfId="16142" priority="8402" stopIfTrue="1" operator="equal">
      <formula>"Napkin Hs"</formula>
    </cfRule>
  </conditionalFormatting>
  <conditionalFormatting sqref="C68:C69">
    <cfRule type="cellIs" dxfId="16141" priority="8399" stopIfTrue="1" operator="equal">
      <formula>"Towel"</formula>
    </cfRule>
    <cfRule type="cellIs" dxfId="16140" priority="8400" stopIfTrue="1" operator="equal">
      <formula>"Napkin Hs"</formula>
    </cfRule>
  </conditionalFormatting>
  <conditionalFormatting sqref="B68:C69">
    <cfRule type="cellIs" dxfId="16139" priority="8397" stopIfTrue="1" operator="equal">
      <formula>"Towel"</formula>
    </cfRule>
    <cfRule type="cellIs" dxfId="16138" priority="8398" stopIfTrue="1" operator="equal">
      <formula>"Napkin Hs"</formula>
    </cfRule>
  </conditionalFormatting>
  <conditionalFormatting sqref="C68:C69">
    <cfRule type="cellIs" dxfId="16137" priority="8395" stopIfTrue="1" operator="equal">
      <formula>"Towel"</formula>
    </cfRule>
    <cfRule type="cellIs" dxfId="16136" priority="8396" stopIfTrue="1" operator="equal">
      <formula>"Napkin Hs"</formula>
    </cfRule>
  </conditionalFormatting>
  <conditionalFormatting sqref="C68:C69">
    <cfRule type="cellIs" dxfId="16135" priority="8393" stopIfTrue="1" operator="equal">
      <formula>"Towel"</formula>
    </cfRule>
    <cfRule type="cellIs" dxfId="16134" priority="8394" stopIfTrue="1" operator="equal">
      <formula>"Napkin Hs"</formula>
    </cfRule>
  </conditionalFormatting>
  <conditionalFormatting sqref="B68:C69">
    <cfRule type="cellIs" dxfId="16133" priority="8391" stopIfTrue="1" operator="equal">
      <formula>"Towel"</formula>
    </cfRule>
    <cfRule type="cellIs" dxfId="16132" priority="8392" stopIfTrue="1" operator="equal">
      <formula>"Napkin Hs"</formula>
    </cfRule>
  </conditionalFormatting>
  <conditionalFormatting sqref="C68:C69">
    <cfRule type="cellIs" dxfId="16131" priority="8389" stopIfTrue="1" operator="equal">
      <formula>"Towel"</formula>
    </cfRule>
    <cfRule type="cellIs" dxfId="16130" priority="8390" stopIfTrue="1" operator="equal">
      <formula>"Napkin Hs"</formula>
    </cfRule>
  </conditionalFormatting>
  <conditionalFormatting sqref="C68:C69">
    <cfRule type="cellIs" dxfId="16129" priority="8387" stopIfTrue="1" operator="equal">
      <formula>"Towel"</formula>
    </cfRule>
    <cfRule type="cellIs" dxfId="16128" priority="8388" stopIfTrue="1" operator="equal">
      <formula>"Napkin Hs"</formula>
    </cfRule>
  </conditionalFormatting>
  <conditionalFormatting sqref="B68:C69">
    <cfRule type="cellIs" dxfId="16127" priority="8386" stopIfTrue="1" operator="equal">
      <formula>"Napkin Hs"</formula>
    </cfRule>
  </conditionalFormatting>
  <conditionalFormatting sqref="B68:C69">
    <cfRule type="cellIs" dxfId="16126" priority="8385" stopIfTrue="1" operator="equal">
      <formula>"Towel"</formula>
    </cfRule>
  </conditionalFormatting>
  <conditionalFormatting sqref="C68:C69">
    <cfRule type="cellIs" dxfId="16125" priority="8384" stopIfTrue="1" operator="equal">
      <formula>"Napkin Hs"</formula>
    </cfRule>
  </conditionalFormatting>
  <conditionalFormatting sqref="C68:C69">
    <cfRule type="cellIs" dxfId="16124" priority="8381" stopIfTrue="1" operator="equal">
      <formula>"Towel"</formula>
    </cfRule>
    <cfRule type="cellIs" dxfId="16123" priority="8382" stopIfTrue="1" operator="equal">
      <formula>"Napkin Hs"</formula>
    </cfRule>
  </conditionalFormatting>
  <conditionalFormatting sqref="C68:C69">
    <cfRule type="cellIs" dxfId="16122" priority="8383" stopIfTrue="1" operator="equal">
      <formula>"Towel"</formula>
    </cfRule>
  </conditionalFormatting>
  <conditionalFormatting sqref="B68:C69">
    <cfRule type="cellIs" dxfId="16121" priority="8380" stopIfTrue="1" operator="equal">
      <formula>"Napkin Hs"</formula>
    </cfRule>
  </conditionalFormatting>
  <conditionalFormatting sqref="B68:C69">
    <cfRule type="cellIs" dxfId="16120" priority="8379" stopIfTrue="1" operator="equal">
      <formula>"Towel"</formula>
    </cfRule>
  </conditionalFormatting>
  <conditionalFormatting sqref="C68:C69">
    <cfRule type="cellIs" dxfId="16119" priority="8378" stopIfTrue="1" operator="equal">
      <formula>"Napkin Hs"</formula>
    </cfRule>
  </conditionalFormatting>
  <conditionalFormatting sqref="C68:C69">
    <cfRule type="cellIs" dxfId="16118" priority="8375" stopIfTrue="1" operator="equal">
      <formula>"Towel"</formula>
    </cfRule>
    <cfRule type="cellIs" dxfId="16117" priority="8376" stopIfTrue="1" operator="equal">
      <formula>"Napkin Hs"</formula>
    </cfRule>
  </conditionalFormatting>
  <conditionalFormatting sqref="C68:C69">
    <cfRule type="cellIs" dxfId="16116" priority="8377" stopIfTrue="1" operator="equal">
      <formula>"Towel"</formula>
    </cfRule>
  </conditionalFormatting>
  <conditionalFormatting sqref="B72:C72">
    <cfRule type="cellIs" dxfId="16115" priority="8368" stopIfTrue="1" operator="equal">
      <formula>"Napkin Hs"</formula>
    </cfRule>
  </conditionalFormatting>
  <conditionalFormatting sqref="B72:C72">
    <cfRule type="cellIs" dxfId="16114" priority="8367" stopIfTrue="1" operator="equal">
      <formula>"Towel"</formula>
    </cfRule>
  </conditionalFormatting>
  <conditionalFormatting sqref="C72">
    <cfRule type="cellIs" dxfId="16113" priority="8366" stopIfTrue="1" operator="equal">
      <formula>"Napkin Hs"</formula>
    </cfRule>
  </conditionalFormatting>
  <conditionalFormatting sqref="C72">
    <cfRule type="cellIs" dxfId="16112" priority="8365" stopIfTrue="1" operator="equal">
      <formula>"Towel"</formula>
    </cfRule>
  </conditionalFormatting>
  <conditionalFormatting sqref="C72">
    <cfRule type="cellIs" dxfId="16111" priority="8363" stopIfTrue="1" operator="equal">
      <formula>"Towel"</formula>
    </cfRule>
    <cfRule type="cellIs" dxfId="16110" priority="8364" stopIfTrue="1" operator="equal">
      <formula>"Napkin Hs"</formula>
    </cfRule>
  </conditionalFormatting>
  <conditionalFormatting sqref="C72">
    <cfRule type="cellIs" dxfId="16109" priority="8357" stopIfTrue="1" operator="equal">
      <formula>"Towel"</formula>
    </cfRule>
    <cfRule type="cellIs" dxfId="16108" priority="8358" stopIfTrue="1" operator="equal">
      <formula>"Napkin Hs"</formula>
    </cfRule>
  </conditionalFormatting>
  <conditionalFormatting sqref="B72:C72">
    <cfRule type="cellIs" dxfId="16107" priority="8356" stopIfTrue="1" operator="equal">
      <formula>"Napkin Hs"</formula>
    </cfRule>
  </conditionalFormatting>
  <conditionalFormatting sqref="B72:C72">
    <cfRule type="cellIs" dxfId="16106" priority="8355" stopIfTrue="1" operator="equal">
      <formula>"Towel"</formula>
    </cfRule>
  </conditionalFormatting>
  <conditionalFormatting sqref="C72">
    <cfRule type="cellIs" dxfId="16105" priority="8354" stopIfTrue="1" operator="equal">
      <formula>"Napkin Hs"</formula>
    </cfRule>
  </conditionalFormatting>
  <conditionalFormatting sqref="C72">
    <cfRule type="cellIs" dxfId="16104" priority="8353" stopIfTrue="1" operator="equal">
      <formula>"Towel"</formula>
    </cfRule>
  </conditionalFormatting>
  <conditionalFormatting sqref="C72">
    <cfRule type="cellIs" dxfId="16103" priority="8351" stopIfTrue="1" operator="equal">
      <formula>"Towel"</formula>
    </cfRule>
    <cfRule type="cellIs" dxfId="16102" priority="8352" stopIfTrue="1" operator="equal">
      <formula>"Napkin Hs"</formula>
    </cfRule>
  </conditionalFormatting>
  <conditionalFormatting sqref="C72">
    <cfRule type="cellIs" dxfId="16101" priority="8345" stopIfTrue="1" operator="equal">
      <formula>"Towel"</formula>
    </cfRule>
    <cfRule type="cellIs" dxfId="16100" priority="8346" stopIfTrue="1" operator="equal">
      <formula>"Napkin Hs"</formula>
    </cfRule>
  </conditionalFormatting>
  <conditionalFormatting sqref="C72">
    <cfRule type="cellIs" dxfId="16099" priority="8339" stopIfTrue="1" operator="equal">
      <formula>"Towel"</formula>
    </cfRule>
    <cfRule type="cellIs" dxfId="16098" priority="8340" stopIfTrue="1" operator="equal">
      <formula>"Napkin Hs"</formula>
    </cfRule>
  </conditionalFormatting>
  <conditionalFormatting sqref="C72">
    <cfRule type="cellIs" dxfId="16097" priority="8333" stopIfTrue="1" operator="equal">
      <formula>"Towel"</formula>
    </cfRule>
    <cfRule type="cellIs" dxfId="16096" priority="8334" stopIfTrue="1" operator="equal">
      <formula>"Napkin Hs"</formula>
    </cfRule>
  </conditionalFormatting>
  <conditionalFormatting sqref="C72">
    <cfRule type="cellIs" dxfId="16095" priority="8327" stopIfTrue="1" operator="equal">
      <formula>"Towel"</formula>
    </cfRule>
    <cfRule type="cellIs" dxfId="16094" priority="8328" stopIfTrue="1" operator="equal">
      <formula>"Napkin Hs"</formula>
    </cfRule>
  </conditionalFormatting>
  <conditionalFormatting sqref="C72">
    <cfRule type="cellIs" dxfId="16093" priority="8321" stopIfTrue="1" operator="equal">
      <formula>"Towel"</formula>
    </cfRule>
    <cfRule type="cellIs" dxfId="16092" priority="8322" stopIfTrue="1" operator="equal">
      <formula>"Napkin Hs"</formula>
    </cfRule>
  </conditionalFormatting>
  <conditionalFormatting sqref="B72:C72">
    <cfRule type="cellIs" dxfId="16091" priority="8320" stopIfTrue="1" operator="equal">
      <formula>"Napkin Hs"</formula>
    </cfRule>
  </conditionalFormatting>
  <conditionalFormatting sqref="B72:C72">
    <cfRule type="cellIs" dxfId="16090" priority="8319" stopIfTrue="1" operator="equal">
      <formula>"Towel"</formula>
    </cfRule>
  </conditionalFormatting>
  <conditionalFormatting sqref="C72">
    <cfRule type="cellIs" dxfId="16089" priority="8318" stopIfTrue="1" operator="equal">
      <formula>"Napkin Hs"</formula>
    </cfRule>
  </conditionalFormatting>
  <conditionalFormatting sqref="C72">
    <cfRule type="cellIs" dxfId="16088" priority="8315" stopIfTrue="1" operator="equal">
      <formula>"Towel"</formula>
    </cfRule>
    <cfRule type="cellIs" dxfId="16087" priority="8316" stopIfTrue="1" operator="equal">
      <formula>"Napkin Hs"</formula>
    </cfRule>
  </conditionalFormatting>
  <conditionalFormatting sqref="C72">
    <cfRule type="cellIs" dxfId="16086" priority="8317" stopIfTrue="1" operator="equal">
      <formula>"Towel"</formula>
    </cfRule>
  </conditionalFormatting>
  <conditionalFormatting sqref="B72:C72">
    <cfRule type="cellIs" dxfId="16085" priority="8314" stopIfTrue="1" operator="equal">
      <formula>"Napkin Hs"</formula>
    </cfRule>
  </conditionalFormatting>
  <conditionalFormatting sqref="B72:C72">
    <cfRule type="cellIs" dxfId="16084" priority="8313" stopIfTrue="1" operator="equal">
      <formula>"Towel"</formula>
    </cfRule>
  </conditionalFormatting>
  <conditionalFormatting sqref="C72">
    <cfRule type="cellIs" dxfId="16083" priority="8312" stopIfTrue="1" operator="equal">
      <formula>"Napkin Hs"</formula>
    </cfRule>
  </conditionalFormatting>
  <conditionalFormatting sqref="C72">
    <cfRule type="cellIs" dxfId="16082" priority="8309" stopIfTrue="1" operator="equal">
      <formula>"Towel"</formula>
    </cfRule>
    <cfRule type="cellIs" dxfId="16081" priority="8310" stopIfTrue="1" operator="equal">
      <formula>"Napkin Hs"</formula>
    </cfRule>
  </conditionalFormatting>
  <conditionalFormatting sqref="C72">
    <cfRule type="cellIs" dxfId="16080" priority="8311" stopIfTrue="1" operator="equal">
      <formula>"Towel"</formula>
    </cfRule>
  </conditionalFormatting>
  <conditionalFormatting sqref="B73:C74">
    <cfRule type="cellIs" dxfId="16079" priority="8242" stopIfTrue="1" operator="equal">
      <formula>"Napkin Hs"</formula>
    </cfRule>
  </conditionalFormatting>
  <conditionalFormatting sqref="B73:C74">
    <cfRule type="cellIs" dxfId="16078" priority="8241" stopIfTrue="1" operator="equal">
      <formula>"Towel"</formula>
    </cfRule>
  </conditionalFormatting>
  <conditionalFormatting sqref="C73:C74">
    <cfRule type="cellIs" dxfId="16077" priority="8240" stopIfTrue="1" operator="equal">
      <formula>"Napkin Hs"</formula>
    </cfRule>
  </conditionalFormatting>
  <conditionalFormatting sqref="C73:C74">
    <cfRule type="cellIs" dxfId="16076" priority="8237" stopIfTrue="1" operator="equal">
      <formula>"Towel"</formula>
    </cfRule>
    <cfRule type="cellIs" dxfId="16075" priority="8238" stopIfTrue="1" operator="equal">
      <formula>"Napkin Hs"</formula>
    </cfRule>
  </conditionalFormatting>
  <conditionalFormatting sqref="C73:C74">
    <cfRule type="cellIs" dxfId="16074" priority="8239" stopIfTrue="1" operator="equal">
      <formula>"Towel"</formula>
    </cfRule>
  </conditionalFormatting>
  <conditionalFormatting sqref="B72:C72">
    <cfRule type="cellIs" dxfId="16073" priority="8361" stopIfTrue="1" operator="equal">
      <formula>"Towel"</formula>
    </cfRule>
    <cfRule type="cellIs" dxfId="16072" priority="8362" stopIfTrue="1" operator="equal">
      <formula>"Napkin Hs"</formula>
    </cfRule>
  </conditionalFormatting>
  <conditionalFormatting sqref="C72">
    <cfRule type="cellIs" dxfId="16071" priority="8359" stopIfTrue="1" operator="equal">
      <formula>"Towel"</formula>
    </cfRule>
    <cfRule type="cellIs" dxfId="16070" priority="8360" stopIfTrue="1" operator="equal">
      <formula>"Napkin Hs"</formula>
    </cfRule>
  </conditionalFormatting>
  <conditionalFormatting sqref="B72:C72">
    <cfRule type="cellIs" dxfId="16069" priority="8349" stopIfTrue="1" operator="equal">
      <formula>"Towel"</formula>
    </cfRule>
    <cfRule type="cellIs" dxfId="16068" priority="8350" stopIfTrue="1" operator="equal">
      <formula>"Napkin Hs"</formula>
    </cfRule>
  </conditionalFormatting>
  <conditionalFormatting sqref="C72">
    <cfRule type="cellIs" dxfId="16067" priority="8347" stopIfTrue="1" operator="equal">
      <formula>"Towel"</formula>
    </cfRule>
    <cfRule type="cellIs" dxfId="16066" priority="8348" stopIfTrue="1" operator="equal">
      <formula>"Napkin Hs"</formula>
    </cfRule>
  </conditionalFormatting>
  <conditionalFormatting sqref="B72:C72">
    <cfRule type="cellIs" dxfId="16065" priority="8343" stopIfTrue="1" operator="equal">
      <formula>"Towel"</formula>
    </cfRule>
    <cfRule type="cellIs" dxfId="16064" priority="8344" stopIfTrue="1" operator="equal">
      <formula>"Napkin Hs"</formula>
    </cfRule>
  </conditionalFormatting>
  <conditionalFormatting sqref="C72">
    <cfRule type="cellIs" dxfId="16063" priority="8341" stopIfTrue="1" operator="equal">
      <formula>"Towel"</formula>
    </cfRule>
    <cfRule type="cellIs" dxfId="16062" priority="8342" stopIfTrue="1" operator="equal">
      <formula>"Napkin Hs"</formula>
    </cfRule>
  </conditionalFormatting>
  <conditionalFormatting sqref="B72:C72">
    <cfRule type="cellIs" dxfId="16061" priority="8337" stopIfTrue="1" operator="equal">
      <formula>"Towel"</formula>
    </cfRule>
    <cfRule type="cellIs" dxfId="16060" priority="8338" stopIfTrue="1" operator="equal">
      <formula>"Napkin Hs"</formula>
    </cfRule>
  </conditionalFormatting>
  <conditionalFormatting sqref="C72">
    <cfRule type="cellIs" dxfId="16059" priority="8335" stopIfTrue="1" operator="equal">
      <formula>"Towel"</formula>
    </cfRule>
    <cfRule type="cellIs" dxfId="16058" priority="8336" stopIfTrue="1" operator="equal">
      <formula>"Napkin Hs"</formula>
    </cfRule>
  </conditionalFormatting>
  <conditionalFormatting sqref="B72:C72">
    <cfRule type="cellIs" dxfId="16057" priority="8331" stopIfTrue="1" operator="equal">
      <formula>"Towel"</formula>
    </cfRule>
    <cfRule type="cellIs" dxfId="16056" priority="8332" stopIfTrue="1" operator="equal">
      <formula>"Napkin Hs"</formula>
    </cfRule>
  </conditionalFormatting>
  <conditionalFormatting sqref="C72">
    <cfRule type="cellIs" dxfId="16055" priority="8329" stopIfTrue="1" operator="equal">
      <formula>"Towel"</formula>
    </cfRule>
    <cfRule type="cellIs" dxfId="16054" priority="8330" stopIfTrue="1" operator="equal">
      <formula>"Napkin Hs"</formula>
    </cfRule>
  </conditionalFormatting>
  <conditionalFormatting sqref="B72:C72">
    <cfRule type="cellIs" dxfId="16053" priority="8325" stopIfTrue="1" operator="equal">
      <formula>"Towel"</formula>
    </cfRule>
    <cfRule type="cellIs" dxfId="16052" priority="8326" stopIfTrue="1" operator="equal">
      <formula>"Napkin Hs"</formula>
    </cfRule>
  </conditionalFormatting>
  <conditionalFormatting sqref="C72">
    <cfRule type="cellIs" dxfId="16051" priority="8323" stopIfTrue="1" operator="equal">
      <formula>"Towel"</formula>
    </cfRule>
    <cfRule type="cellIs" dxfId="16050" priority="8324" stopIfTrue="1" operator="equal">
      <formula>"Napkin Hs"</formula>
    </cfRule>
  </conditionalFormatting>
  <conditionalFormatting sqref="B72:C72">
    <cfRule type="cellIs" dxfId="16049" priority="8308" stopIfTrue="1" operator="equal">
      <formula>"Napkin Hs"</formula>
    </cfRule>
  </conditionalFormatting>
  <conditionalFormatting sqref="B72:C72">
    <cfRule type="cellIs" dxfId="16048" priority="8307" stopIfTrue="1" operator="equal">
      <formula>"Towel"</formula>
    </cfRule>
  </conditionalFormatting>
  <conditionalFormatting sqref="C72">
    <cfRule type="cellIs" dxfId="16047" priority="8306" stopIfTrue="1" operator="equal">
      <formula>"Napkin Hs"</formula>
    </cfRule>
  </conditionalFormatting>
  <conditionalFormatting sqref="C72">
    <cfRule type="cellIs" dxfId="16046" priority="8303" stopIfTrue="1" operator="equal">
      <formula>"Towel"</formula>
    </cfRule>
    <cfRule type="cellIs" dxfId="16045" priority="8304" stopIfTrue="1" operator="equal">
      <formula>"Napkin Hs"</formula>
    </cfRule>
  </conditionalFormatting>
  <conditionalFormatting sqref="C72">
    <cfRule type="cellIs" dxfId="16044" priority="8305" stopIfTrue="1" operator="equal">
      <formula>"Towel"</formula>
    </cfRule>
  </conditionalFormatting>
  <conditionalFormatting sqref="B73:C74">
    <cfRule type="cellIs" dxfId="16043" priority="8302" stopIfTrue="1" operator="equal">
      <formula>"Napkin Hs"</formula>
    </cfRule>
  </conditionalFormatting>
  <conditionalFormatting sqref="B73:C74">
    <cfRule type="cellIs" dxfId="16042" priority="8301" stopIfTrue="1" operator="equal">
      <formula>"Towel"</formula>
    </cfRule>
  </conditionalFormatting>
  <conditionalFormatting sqref="C73:C74">
    <cfRule type="cellIs" dxfId="16041" priority="8300" stopIfTrue="1" operator="equal">
      <formula>"Napkin Hs"</formula>
    </cfRule>
  </conditionalFormatting>
  <conditionalFormatting sqref="C73:C74">
    <cfRule type="cellIs" dxfId="16040" priority="8299" stopIfTrue="1" operator="equal">
      <formula>"Towel"</formula>
    </cfRule>
  </conditionalFormatting>
  <conditionalFormatting sqref="C73:C74">
    <cfRule type="cellIs" dxfId="16039" priority="8297" stopIfTrue="1" operator="equal">
      <formula>"Towel"</formula>
    </cfRule>
    <cfRule type="cellIs" dxfId="16038" priority="8298" stopIfTrue="1" operator="equal">
      <formula>"Napkin Hs"</formula>
    </cfRule>
  </conditionalFormatting>
  <conditionalFormatting sqref="B73:C74">
    <cfRule type="cellIs" dxfId="16037" priority="8295" stopIfTrue="1" operator="equal">
      <formula>"Towel"</formula>
    </cfRule>
    <cfRule type="cellIs" dxfId="16036" priority="8296" stopIfTrue="1" operator="equal">
      <formula>"Napkin Hs"</formula>
    </cfRule>
  </conditionalFormatting>
  <conditionalFormatting sqref="C73:C74">
    <cfRule type="cellIs" dxfId="16035" priority="8291" stopIfTrue="1" operator="equal">
      <formula>"Towel"</formula>
    </cfRule>
    <cfRule type="cellIs" dxfId="16034" priority="8292" stopIfTrue="1" operator="equal">
      <formula>"Napkin Hs"</formula>
    </cfRule>
  </conditionalFormatting>
  <conditionalFormatting sqref="C73:C74">
    <cfRule type="cellIs" dxfId="16033" priority="8293" stopIfTrue="1" operator="equal">
      <formula>"Towel"</formula>
    </cfRule>
    <cfRule type="cellIs" dxfId="16032" priority="8294" stopIfTrue="1" operator="equal">
      <formula>"Napkin Hs"</formula>
    </cfRule>
  </conditionalFormatting>
  <conditionalFormatting sqref="B73:C74">
    <cfRule type="cellIs" dxfId="16031" priority="8290" stopIfTrue="1" operator="equal">
      <formula>"Napkin Hs"</formula>
    </cfRule>
  </conditionalFormatting>
  <conditionalFormatting sqref="B73:C74">
    <cfRule type="cellIs" dxfId="16030" priority="8289" stopIfTrue="1" operator="equal">
      <formula>"Towel"</formula>
    </cfRule>
  </conditionalFormatting>
  <conditionalFormatting sqref="C73:C74">
    <cfRule type="cellIs" dxfId="16029" priority="8288" stopIfTrue="1" operator="equal">
      <formula>"Napkin Hs"</formula>
    </cfRule>
  </conditionalFormatting>
  <conditionalFormatting sqref="C73:C74">
    <cfRule type="cellIs" dxfId="16028" priority="8287" stopIfTrue="1" operator="equal">
      <formula>"Towel"</formula>
    </cfRule>
  </conditionalFormatting>
  <conditionalFormatting sqref="C73:C74">
    <cfRule type="cellIs" dxfId="16027" priority="8285" stopIfTrue="1" operator="equal">
      <formula>"Towel"</formula>
    </cfRule>
    <cfRule type="cellIs" dxfId="16026" priority="8286" stopIfTrue="1" operator="equal">
      <formula>"Napkin Hs"</formula>
    </cfRule>
  </conditionalFormatting>
  <conditionalFormatting sqref="B73:C74">
    <cfRule type="cellIs" dxfId="16025" priority="8283" stopIfTrue="1" operator="equal">
      <formula>"Towel"</formula>
    </cfRule>
    <cfRule type="cellIs" dxfId="16024" priority="8284" stopIfTrue="1" operator="equal">
      <formula>"Napkin Hs"</formula>
    </cfRule>
  </conditionalFormatting>
  <conditionalFormatting sqref="C73:C74">
    <cfRule type="cellIs" dxfId="16023" priority="8281" stopIfTrue="1" operator="equal">
      <formula>"Towel"</formula>
    </cfRule>
    <cfRule type="cellIs" dxfId="16022" priority="8282" stopIfTrue="1" operator="equal">
      <formula>"Napkin Hs"</formula>
    </cfRule>
  </conditionalFormatting>
  <conditionalFormatting sqref="C73:C74">
    <cfRule type="cellIs" dxfId="16021" priority="8279" stopIfTrue="1" operator="equal">
      <formula>"Towel"</formula>
    </cfRule>
    <cfRule type="cellIs" dxfId="16020" priority="8280" stopIfTrue="1" operator="equal">
      <formula>"Napkin Hs"</formula>
    </cfRule>
  </conditionalFormatting>
  <conditionalFormatting sqref="B73:C74">
    <cfRule type="cellIs" dxfId="16019" priority="8277" stopIfTrue="1" operator="equal">
      <formula>"Towel"</formula>
    </cfRule>
    <cfRule type="cellIs" dxfId="16018" priority="8278" stopIfTrue="1" operator="equal">
      <formula>"Napkin Hs"</formula>
    </cfRule>
  </conditionalFormatting>
  <conditionalFormatting sqref="C73:C74">
    <cfRule type="cellIs" dxfId="16017" priority="8275" stopIfTrue="1" operator="equal">
      <formula>"Towel"</formula>
    </cfRule>
    <cfRule type="cellIs" dxfId="16016" priority="8276" stopIfTrue="1" operator="equal">
      <formula>"Napkin Hs"</formula>
    </cfRule>
  </conditionalFormatting>
  <conditionalFormatting sqref="C73:C74">
    <cfRule type="cellIs" dxfId="16015" priority="8273" stopIfTrue="1" operator="equal">
      <formula>"Towel"</formula>
    </cfRule>
    <cfRule type="cellIs" dxfId="16014" priority="8274" stopIfTrue="1" operator="equal">
      <formula>"Napkin Hs"</formula>
    </cfRule>
  </conditionalFormatting>
  <conditionalFormatting sqref="B73:C74">
    <cfRule type="cellIs" dxfId="16013" priority="8271" stopIfTrue="1" operator="equal">
      <formula>"Towel"</formula>
    </cfRule>
    <cfRule type="cellIs" dxfId="16012" priority="8272" stopIfTrue="1" operator="equal">
      <formula>"Napkin Hs"</formula>
    </cfRule>
  </conditionalFormatting>
  <conditionalFormatting sqref="C73:C74">
    <cfRule type="cellIs" dxfId="16011" priority="8269" stopIfTrue="1" operator="equal">
      <formula>"Towel"</formula>
    </cfRule>
    <cfRule type="cellIs" dxfId="16010" priority="8270" stopIfTrue="1" operator="equal">
      <formula>"Napkin Hs"</formula>
    </cfRule>
  </conditionalFormatting>
  <conditionalFormatting sqref="C73:C74">
    <cfRule type="cellIs" dxfId="16009" priority="8267" stopIfTrue="1" operator="equal">
      <formula>"Towel"</formula>
    </cfRule>
    <cfRule type="cellIs" dxfId="16008" priority="8268" stopIfTrue="1" operator="equal">
      <formula>"Napkin Hs"</formula>
    </cfRule>
  </conditionalFormatting>
  <conditionalFormatting sqref="B73:C74">
    <cfRule type="cellIs" dxfId="16007" priority="8265" stopIfTrue="1" operator="equal">
      <formula>"Towel"</formula>
    </cfRule>
    <cfRule type="cellIs" dxfId="16006" priority="8266" stopIfTrue="1" operator="equal">
      <formula>"Napkin Hs"</formula>
    </cfRule>
  </conditionalFormatting>
  <conditionalFormatting sqref="C73:C74">
    <cfRule type="cellIs" dxfId="16005" priority="8263" stopIfTrue="1" operator="equal">
      <formula>"Towel"</formula>
    </cfRule>
    <cfRule type="cellIs" dxfId="16004" priority="8264" stopIfTrue="1" operator="equal">
      <formula>"Napkin Hs"</formula>
    </cfRule>
  </conditionalFormatting>
  <conditionalFormatting sqref="C73:C74">
    <cfRule type="cellIs" dxfId="16003" priority="8261" stopIfTrue="1" operator="equal">
      <formula>"Towel"</formula>
    </cfRule>
    <cfRule type="cellIs" dxfId="16002" priority="8262" stopIfTrue="1" operator="equal">
      <formula>"Napkin Hs"</formula>
    </cfRule>
  </conditionalFormatting>
  <conditionalFormatting sqref="B73:C74">
    <cfRule type="cellIs" dxfId="16001" priority="8259" stopIfTrue="1" operator="equal">
      <formula>"Towel"</formula>
    </cfRule>
    <cfRule type="cellIs" dxfId="16000" priority="8260" stopIfTrue="1" operator="equal">
      <formula>"Napkin Hs"</formula>
    </cfRule>
  </conditionalFormatting>
  <conditionalFormatting sqref="C73:C74">
    <cfRule type="cellIs" dxfId="15999" priority="8257" stopIfTrue="1" operator="equal">
      <formula>"Towel"</formula>
    </cfRule>
    <cfRule type="cellIs" dxfId="15998" priority="8258" stopIfTrue="1" operator="equal">
      <formula>"Napkin Hs"</formula>
    </cfRule>
  </conditionalFormatting>
  <conditionalFormatting sqref="C73:C74">
    <cfRule type="cellIs" dxfId="15997" priority="8255" stopIfTrue="1" operator="equal">
      <formula>"Towel"</formula>
    </cfRule>
    <cfRule type="cellIs" dxfId="15996" priority="8256" stopIfTrue="1" operator="equal">
      <formula>"Napkin Hs"</formula>
    </cfRule>
  </conditionalFormatting>
  <conditionalFormatting sqref="B73:C74">
    <cfRule type="cellIs" dxfId="15995" priority="8254" stopIfTrue="1" operator="equal">
      <formula>"Napkin Hs"</formula>
    </cfRule>
  </conditionalFormatting>
  <conditionalFormatting sqref="B73:C74">
    <cfRule type="cellIs" dxfId="15994" priority="8253" stopIfTrue="1" operator="equal">
      <formula>"Towel"</formula>
    </cfRule>
  </conditionalFormatting>
  <conditionalFormatting sqref="C73:C74">
    <cfRule type="cellIs" dxfId="15993" priority="8252" stopIfTrue="1" operator="equal">
      <formula>"Napkin Hs"</formula>
    </cfRule>
  </conditionalFormatting>
  <conditionalFormatting sqref="C73:C74">
    <cfRule type="cellIs" dxfId="15992" priority="8249" stopIfTrue="1" operator="equal">
      <formula>"Towel"</formula>
    </cfRule>
    <cfRule type="cellIs" dxfId="15991" priority="8250" stopIfTrue="1" operator="equal">
      <formula>"Napkin Hs"</formula>
    </cfRule>
  </conditionalFormatting>
  <conditionalFormatting sqref="C73:C74">
    <cfRule type="cellIs" dxfId="15990" priority="8251" stopIfTrue="1" operator="equal">
      <formula>"Towel"</formula>
    </cfRule>
  </conditionalFormatting>
  <conditionalFormatting sqref="B73:C74">
    <cfRule type="cellIs" dxfId="15989" priority="8248" stopIfTrue="1" operator="equal">
      <formula>"Napkin Hs"</formula>
    </cfRule>
  </conditionalFormatting>
  <conditionalFormatting sqref="B73:C74">
    <cfRule type="cellIs" dxfId="15988" priority="8247" stopIfTrue="1" operator="equal">
      <formula>"Towel"</formula>
    </cfRule>
  </conditionalFormatting>
  <conditionalFormatting sqref="C73:C74">
    <cfRule type="cellIs" dxfId="15987" priority="8246" stopIfTrue="1" operator="equal">
      <formula>"Napkin Hs"</formula>
    </cfRule>
  </conditionalFormatting>
  <conditionalFormatting sqref="C73:C74">
    <cfRule type="cellIs" dxfId="15986" priority="8243" stopIfTrue="1" operator="equal">
      <formula>"Towel"</formula>
    </cfRule>
    <cfRule type="cellIs" dxfId="15985" priority="8244" stopIfTrue="1" operator="equal">
      <formula>"Napkin Hs"</formula>
    </cfRule>
  </conditionalFormatting>
  <conditionalFormatting sqref="C73:C74">
    <cfRule type="cellIs" dxfId="15984" priority="8245" stopIfTrue="1" operator="equal">
      <formula>"Towel"</formula>
    </cfRule>
  </conditionalFormatting>
  <conditionalFormatting sqref="B80:C80">
    <cfRule type="cellIs" dxfId="15983" priority="8235" stopIfTrue="1" operator="equal">
      <formula>"Towel"</formula>
    </cfRule>
    <cfRule type="cellIs" dxfId="15982" priority="8236" stopIfTrue="1" operator="equal">
      <formula>"Napkin Hs"</formula>
    </cfRule>
  </conditionalFormatting>
  <conditionalFormatting sqref="C80">
    <cfRule type="cellIs" dxfId="15981" priority="8231" stopIfTrue="1" operator="equal">
      <formula>"Towel"</formula>
    </cfRule>
    <cfRule type="cellIs" dxfId="15980" priority="8232" stopIfTrue="1" operator="equal">
      <formula>"Napkin Hs"</formula>
    </cfRule>
  </conditionalFormatting>
  <conditionalFormatting sqref="C80">
    <cfRule type="cellIs" dxfId="15979" priority="8233" stopIfTrue="1" operator="equal">
      <formula>"Towel"</formula>
    </cfRule>
    <cfRule type="cellIs" dxfId="15978" priority="8234" stopIfTrue="1" operator="equal">
      <formula>"Napkin Hs"</formula>
    </cfRule>
  </conditionalFormatting>
  <conditionalFormatting sqref="B77:C77">
    <cfRule type="cellIs" dxfId="15977" priority="8230" stopIfTrue="1" operator="equal">
      <formula>"Napkin Hs"</formula>
    </cfRule>
  </conditionalFormatting>
  <conditionalFormatting sqref="B77:C77">
    <cfRule type="cellIs" dxfId="15976" priority="8229" stopIfTrue="1" operator="equal">
      <formula>"Towel"</formula>
    </cfRule>
  </conditionalFormatting>
  <conditionalFormatting sqref="C77">
    <cfRule type="cellIs" dxfId="15975" priority="8228" stopIfTrue="1" operator="equal">
      <formula>"Napkin Hs"</formula>
    </cfRule>
  </conditionalFormatting>
  <conditionalFormatting sqref="C77">
    <cfRule type="cellIs" dxfId="15974" priority="8227" stopIfTrue="1" operator="equal">
      <formula>"Towel"</formula>
    </cfRule>
  </conditionalFormatting>
  <conditionalFormatting sqref="C77">
    <cfRule type="cellIs" dxfId="15973" priority="8225" stopIfTrue="1" operator="equal">
      <formula>"Towel"</formula>
    </cfRule>
    <cfRule type="cellIs" dxfId="15972" priority="8226" stopIfTrue="1" operator="equal">
      <formula>"Napkin Hs"</formula>
    </cfRule>
  </conditionalFormatting>
  <conditionalFormatting sqref="C77">
    <cfRule type="cellIs" dxfId="15971" priority="8219" stopIfTrue="1" operator="equal">
      <formula>"Towel"</formula>
    </cfRule>
    <cfRule type="cellIs" dxfId="15970" priority="8220" stopIfTrue="1" operator="equal">
      <formula>"Napkin Hs"</formula>
    </cfRule>
  </conditionalFormatting>
  <conditionalFormatting sqref="B77:C77">
    <cfRule type="cellIs" dxfId="15969" priority="8218" stopIfTrue="1" operator="equal">
      <formula>"Napkin Hs"</formula>
    </cfRule>
  </conditionalFormatting>
  <conditionalFormatting sqref="B77:C77">
    <cfRule type="cellIs" dxfId="15968" priority="8217" stopIfTrue="1" operator="equal">
      <formula>"Towel"</formula>
    </cfRule>
  </conditionalFormatting>
  <conditionalFormatting sqref="C77">
    <cfRule type="cellIs" dxfId="15967" priority="8216" stopIfTrue="1" operator="equal">
      <formula>"Napkin Hs"</formula>
    </cfRule>
  </conditionalFormatting>
  <conditionalFormatting sqref="C77">
    <cfRule type="cellIs" dxfId="15966" priority="8215" stopIfTrue="1" operator="equal">
      <formula>"Towel"</formula>
    </cfRule>
  </conditionalFormatting>
  <conditionalFormatting sqref="C77">
    <cfRule type="cellIs" dxfId="15965" priority="8213" stopIfTrue="1" operator="equal">
      <formula>"Towel"</formula>
    </cfRule>
    <cfRule type="cellIs" dxfId="15964" priority="8214" stopIfTrue="1" operator="equal">
      <formula>"Napkin Hs"</formula>
    </cfRule>
  </conditionalFormatting>
  <conditionalFormatting sqref="C77">
    <cfRule type="cellIs" dxfId="15963" priority="8207" stopIfTrue="1" operator="equal">
      <formula>"Towel"</formula>
    </cfRule>
    <cfRule type="cellIs" dxfId="15962" priority="8208" stopIfTrue="1" operator="equal">
      <formula>"Napkin Hs"</formula>
    </cfRule>
  </conditionalFormatting>
  <conditionalFormatting sqref="C77">
    <cfRule type="cellIs" dxfId="15961" priority="8201" stopIfTrue="1" operator="equal">
      <formula>"Towel"</formula>
    </cfRule>
    <cfRule type="cellIs" dxfId="15960" priority="8202" stopIfTrue="1" operator="equal">
      <formula>"Napkin Hs"</formula>
    </cfRule>
  </conditionalFormatting>
  <conditionalFormatting sqref="C77">
    <cfRule type="cellIs" dxfId="15959" priority="8195" stopIfTrue="1" operator="equal">
      <formula>"Towel"</formula>
    </cfRule>
    <cfRule type="cellIs" dxfId="15958" priority="8196" stopIfTrue="1" operator="equal">
      <formula>"Napkin Hs"</formula>
    </cfRule>
  </conditionalFormatting>
  <conditionalFormatting sqref="C77">
    <cfRule type="cellIs" dxfId="15957" priority="8189" stopIfTrue="1" operator="equal">
      <formula>"Towel"</formula>
    </cfRule>
    <cfRule type="cellIs" dxfId="15956" priority="8190" stopIfTrue="1" operator="equal">
      <formula>"Napkin Hs"</formula>
    </cfRule>
  </conditionalFormatting>
  <conditionalFormatting sqref="C77">
    <cfRule type="cellIs" dxfId="15955" priority="8183" stopIfTrue="1" operator="equal">
      <formula>"Towel"</formula>
    </cfRule>
    <cfRule type="cellIs" dxfId="15954" priority="8184" stopIfTrue="1" operator="equal">
      <formula>"Napkin Hs"</formula>
    </cfRule>
  </conditionalFormatting>
  <conditionalFormatting sqref="B77:C77">
    <cfRule type="cellIs" dxfId="15953" priority="8182" stopIfTrue="1" operator="equal">
      <formula>"Napkin Hs"</formula>
    </cfRule>
  </conditionalFormatting>
  <conditionalFormatting sqref="B77:C77">
    <cfRule type="cellIs" dxfId="15952" priority="8181" stopIfTrue="1" operator="equal">
      <formula>"Towel"</formula>
    </cfRule>
  </conditionalFormatting>
  <conditionalFormatting sqref="C77">
    <cfRule type="cellIs" dxfId="15951" priority="8180" stopIfTrue="1" operator="equal">
      <formula>"Napkin Hs"</formula>
    </cfRule>
  </conditionalFormatting>
  <conditionalFormatting sqref="C77">
    <cfRule type="cellIs" dxfId="15950" priority="8177" stopIfTrue="1" operator="equal">
      <formula>"Towel"</formula>
    </cfRule>
    <cfRule type="cellIs" dxfId="15949" priority="8178" stopIfTrue="1" operator="equal">
      <formula>"Napkin Hs"</formula>
    </cfRule>
  </conditionalFormatting>
  <conditionalFormatting sqref="C77">
    <cfRule type="cellIs" dxfId="15948" priority="8179" stopIfTrue="1" operator="equal">
      <formula>"Towel"</formula>
    </cfRule>
  </conditionalFormatting>
  <conditionalFormatting sqref="B77:C77">
    <cfRule type="cellIs" dxfId="15947" priority="8176" stopIfTrue="1" operator="equal">
      <formula>"Napkin Hs"</formula>
    </cfRule>
  </conditionalFormatting>
  <conditionalFormatting sqref="B77:C77">
    <cfRule type="cellIs" dxfId="15946" priority="8175" stopIfTrue="1" operator="equal">
      <formula>"Towel"</formula>
    </cfRule>
  </conditionalFormatting>
  <conditionalFormatting sqref="C77">
    <cfRule type="cellIs" dxfId="15945" priority="8174" stopIfTrue="1" operator="equal">
      <formula>"Napkin Hs"</formula>
    </cfRule>
  </conditionalFormatting>
  <conditionalFormatting sqref="C77">
    <cfRule type="cellIs" dxfId="15944" priority="8171" stopIfTrue="1" operator="equal">
      <formula>"Towel"</formula>
    </cfRule>
    <cfRule type="cellIs" dxfId="15943" priority="8172" stopIfTrue="1" operator="equal">
      <formula>"Napkin Hs"</formula>
    </cfRule>
  </conditionalFormatting>
  <conditionalFormatting sqref="C77">
    <cfRule type="cellIs" dxfId="15942" priority="8173" stopIfTrue="1" operator="equal">
      <formula>"Towel"</formula>
    </cfRule>
  </conditionalFormatting>
  <conditionalFormatting sqref="B78:C79">
    <cfRule type="cellIs" dxfId="15941" priority="8104" stopIfTrue="1" operator="equal">
      <formula>"Napkin Hs"</formula>
    </cfRule>
  </conditionalFormatting>
  <conditionalFormatting sqref="B78:C79">
    <cfRule type="cellIs" dxfId="15940" priority="8103" stopIfTrue="1" operator="equal">
      <formula>"Towel"</formula>
    </cfRule>
  </conditionalFormatting>
  <conditionalFormatting sqref="C78:C79">
    <cfRule type="cellIs" dxfId="15939" priority="8102" stopIfTrue="1" operator="equal">
      <formula>"Napkin Hs"</formula>
    </cfRule>
  </conditionalFormatting>
  <conditionalFormatting sqref="C78:C79">
    <cfRule type="cellIs" dxfId="15938" priority="8099" stopIfTrue="1" operator="equal">
      <formula>"Towel"</formula>
    </cfRule>
    <cfRule type="cellIs" dxfId="15937" priority="8100" stopIfTrue="1" operator="equal">
      <formula>"Napkin Hs"</formula>
    </cfRule>
  </conditionalFormatting>
  <conditionalFormatting sqref="C78:C79">
    <cfRule type="cellIs" dxfId="15936" priority="8101" stopIfTrue="1" operator="equal">
      <formula>"Towel"</formula>
    </cfRule>
  </conditionalFormatting>
  <conditionalFormatting sqref="B77:C77">
    <cfRule type="cellIs" dxfId="15935" priority="8223" stopIfTrue="1" operator="equal">
      <formula>"Towel"</formula>
    </cfRule>
    <cfRule type="cellIs" dxfId="15934" priority="8224" stopIfTrue="1" operator="equal">
      <formula>"Napkin Hs"</formula>
    </cfRule>
  </conditionalFormatting>
  <conditionalFormatting sqref="C77">
    <cfRule type="cellIs" dxfId="15933" priority="8221" stopIfTrue="1" operator="equal">
      <formula>"Towel"</formula>
    </cfRule>
    <cfRule type="cellIs" dxfId="15932" priority="8222" stopIfTrue="1" operator="equal">
      <formula>"Napkin Hs"</formula>
    </cfRule>
  </conditionalFormatting>
  <conditionalFormatting sqref="B77:C77">
    <cfRule type="cellIs" dxfId="15931" priority="8211" stopIfTrue="1" operator="equal">
      <formula>"Towel"</formula>
    </cfRule>
    <cfRule type="cellIs" dxfId="15930" priority="8212" stopIfTrue="1" operator="equal">
      <formula>"Napkin Hs"</formula>
    </cfRule>
  </conditionalFormatting>
  <conditionalFormatting sqref="C77">
    <cfRule type="cellIs" dxfId="15929" priority="8209" stopIfTrue="1" operator="equal">
      <formula>"Towel"</formula>
    </cfRule>
    <cfRule type="cellIs" dxfId="15928" priority="8210" stopIfTrue="1" operator="equal">
      <formula>"Napkin Hs"</formula>
    </cfRule>
  </conditionalFormatting>
  <conditionalFormatting sqref="B77:C77">
    <cfRule type="cellIs" dxfId="15927" priority="8205" stopIfTrue="1" operator="equal">
      <formula>"Towel"</formula>
    </cfRule>
    <cfRule type="cellIs" dxfId="15926" priority="8206" stopIfTrue="1" operator="equal">
      <formula>"Napkin Hs"</formula>
    </cfRule>
  </conditionalFormatting>
  <conditionalFormatting sqref="C77">
    <cfRule type="cellIs" dxfId="15925" priority="8203" stopIfTrue="1" operator="equal">
      <formula>"Towel"</formula>
    </cfRule>
    <cfRule type="cellIs" dxfId="15924" priority="8204" stopIfTrue="1" operator="equal">
      <formula>"Napkin Hs"</formula>
    </cfRule>
  </conditionalFormatting>
  <conditionalFormatting sqref="B77:C77">
    <cfRule type="cellIs" dxfId="15923" priority="8199" stopIfTrue="1" operator="equal">
      <formula>"Towel"</formula>
    </cfRule>
    <cfRule type="cellIs" dxfId="15922" priority="8200" stopIfTrue="1" operator="equal">
      <formula>"Napkin Hs"</formula>
    </cfRule>
  </conditionalFormatting>
  <conditionalFormatting sqref="C77">
    <cfRule type="cellIs" dxfId="15921" priority="8197" stopIfTrue="1" operator="equal">
      <formula>"Towel"</formula>
    </cfRule>
    <cfRule type="cellIs" dxfId="15920" priority="8198" stopIfTrue="1" operator="equal">
      <formula>"Napkin Hs"</formula>
    </cfRule>
  </conditionalFormatting>
  <conditionalFormatting sqref="B77:C77">
    <cfRule type="cellIs" dxfId="15919" priority="8193" stopIfTrue="1" operator="equal">
      <formula>"Towel"</formula>
    </cfRule>
    <cfRule type="cellIs" dxfId="15918" priority="8194" stopIfTrue="1" operator="equal">
      <formula>"Napkin Hs"</formula>
    </cfRule>
  </conditionalFormatting>
  <conditionalFormatting sqref="C77">
    <cfRule type="cellIs" dxfId="15917" priority="8191" stopIfTrue="1" operator="equal">
      <formula>"Towel"</formula>
    </cfRule>
    <cfRule type="cellIs" dxfId="15916" priority="8192" stopIfTrue="1" operator="equal">
      <formula>"Napkin Hs"</formula>
    </cfRule>
  </conditionalFormatting>
  <conditionalFormatting sqref="B77:C77">
    <cfRule type="cellIs" dxfId="15915" priority="8187" stopIfTrue="1" operator="equal">
      <formula>"Towel"</formula>
    </cfRule>
    <cfRule type="cellIs" dxfId="15914" priority="8188" stopIfTrue="1" operator="equal">
      <formula>"Napkin Hs"</formula>
    </cfRule>
  </conditionalFormatting>
  <conditionalFormatting sqref="C77">
    <cfRule type="cellIs" dxfId="15913" priority="8185" stopIfTrue="1" operator="equal">
      <formula>"Towel"</formula>
    </cfRule>
    <cfRule type="cellIs" dxfId="15912" priority="8186" stopIfTrue="1" operator="equal">
      <formula>"Napkin Hs"</formula>
    </cfRule>
  </conditionalFormatting>
  <conditionalFormatting sqref="B77:C77">
    <cfRule type="cellIs" dxfId="15911" priority="8170" stopIfTrue="1" operator="equal">
      <formula>"Napkin Hs"</formula>
    </cfRule>
  </conditionalFormatting>
  <conditionalFormatting sqref="B77:C77">
    <cfRule type="cellIs" dxfId="15910" priority="8169" stopIfTrue="1" operator="equal">
      <formula>"Towel"</formula>
    </cfRule>
  </conditionalFormatting>
  <conditionalFormatting sqref="C77">
    <cfRule type="cellIs" dxfId="15909" priority="8168" stopIfTrue="1" operator="equal">
      <formula>"Napkin Hs"</formula>
    </cfRule>
  </conditionalFormatting>
  <conditionalFormatting sqref="C77">
    <cfRule type="cellIs" dxfId="15908" priority="8165" stopIfTrue="1" operator="equal">
      <formula>"Towel"</formula>
    </cfRule>
    <cfRule type="cellIs" dxfId="15907" priority="8166" stopIfTrue="1" operator="equal">
      <formula>"Napkin Hs"</formula>
    </cfRule>
  </conditionalFormatting>
  <conditionalFormatting sqref="C77">
    <cfRule type="cellIs" dxfId="15906" priority="8167" stopIfTrue="1" operator="equal">
      <formula>"Towel"</formula>
    </cfRule>
  </conditionalFormatting>
  <conditionalFormatting sqref="B78:C79">
    <cfRule type="cellIs" dxfId="15905" priority="8164" stopIfTrue="1" operator="equal">
      <formula>"Napkin Hs"</formula>
    </cfRule>
  </conditionalFormatting>
  <conditionalFormatting sqref="B78:C79">
    <cfRule type="cellIs" dxfId="15904" priority="8163" stopIfTrue="1" operator="equal">
      <formula>"Towel"</formula>
    </cfRule>
  </conditionalFormatting>
  <conditionalFormatting sqref="C78:C79">
    <cfRule type="cellIs" dxfId="15903" priority="8162" stopIfTrue="1" operator="equal">
      <formula>"Napkin Hs"</formula>
    </cfRule>
  </conditionalFormatting>
  <conditionalFormatting sqref="C78:C79">
    <cfRule type="cellIs" dxfId="15902" priority="8161" stopIfTrue="1" operator="equal">
      <formula>"Towel"</formula>
    </cfRule>
  </conditionalFormatting>
  <conditionalFormatting sqref="C78:C79">
    <cfRule type="cellIs" dxfId="15901" priority="8159" stopIfTrue="1" operator="equal">
      <formula>"Towel"</formula>
    </cfRule>
    <cfRule type="cellIs" dxfId="15900" priority="8160" stopIfTrue="1" operator="equal">
      <formula>"Napkin Hs"</formula>
    </cfRule>
  </conditionalFormatting>
  <conditionalFormatting sqref="B78:C79">
    <cfRule type="cellIs" dxfId="15899" priority="8157" stopIfTrue="1" operator="equal">
      <formula>"Towel"</formula>
    </cfRule>
    <cfRule type="cellIs" dxfId="15898" priority="8158" stopIfTrue="1" operator="equal">
      <formula>"Napkin Hs"</formula>
    </cfRule>
  </conditionalFormatting>
  <conditionalFormatting sqref="C78:C79">
    <cfRule type="cellIs" dxfId="15897" priority="8153" stopIfTrue="1" operator="equal">
      <formula>"Towel"</formula>
    </cfRule>
    <cfRule type="cellIs" dxfId="15896" priority="8154" stopIfTrue="1" operator="equal">
      <formula>"Napkin Hs"</formula>
    </cfRule>
  </conditionalFormatting>
  <conditionalFormatting sqref="C78:C79">
    <cfRule type="cellIs" dxfId="15895" priority="8155" stopIfTrue="1" operator="equal">
      <formula>"Towel"</formula>
    </cfRule>
    <cfRule type="cellIs" dxfId="15894" priority="8156" stopIfTrue="1" operator="equal">
      <formula>"Napkin Hs"</formula>
    </cfRule>
  </conditionalFormatting>
  <conditionalFormatting sqref="B78:C79">
    <cfRule type="cellIs" dxfId="15893" priority="8152" stopIfTrue="1" operator="equal">
      <formula>"Napkin Hs"</formula>
    </cfRule>
  </conditionalFormatting>
  <conditionalFormatting sqref="B78:C79">
    <cfRule type="cellIs" dxfId="15892" priority="8151" stopIfTrue="1" operator="equal">
      <formula>"Towel"</formula>
    </cfRule>
  </conditionalFormatting>
  <conditionalFormatting sqref="C78:C79">
    <cfRule type="cellIs" dxfId="15891" priority="8150" stopIfTrue="1" operator="equal">
      <formula>"Napkin Hs"</formula>
    </cfRule>
  </conditionalFormatting>
  <conditionalFormatting sqref="C78:C79">
    <cfRule type="cellIs" dxfId="15890" priority="8149" stopIfTrue="1" operator="equal">
      <formula>"Towel"</formula>
    </cfRule>
  </conditionalFormatting>
  <conditionalFormatting sqref="C78:C79">
    <cfRule type="cellIs" dxfId="15889" priority="8147" stopIfTrue="1" operator="equal">
      <formula>"Towel"</formula>
    </cfRule>
    <cfRule type="cellIs" dxfId="15888" priority="8148" stopIfTrue="1" operator="equal">
      <formula>"Napkin Hs"</formula>
    </cfRule>
  </conditionalFormatting>
  <conditionalFormatting sqref="B78:C79">
    <cfRule type="cellIs" dxfId="15887" priority="8145" stopIfTrue="1" operator="equal">
      <formula>"Towel"</formula>
    </cfRule>
    <cfRule type="cellIs" dxfId="15886" priority="8146" stopIfTrue="1" operator="equal">
      <formula>"Napkin Hs"</formula>
    </cfRule>
  </conditionalFormatting>
  <conditionalFormatting sqref="C78:C79">
    <cfRule type="cellIs" dxfId="15885" priority="8143" stopIfTrue="1" operator="equal">
      <formula>"Towel"</formula>
    </cfRule>
    <cfRule type="cellIs" dxfId="15884" priority="8144" stopIfTrue="1" operator="equal">
      <formula>"Napkin Hs"</formula>
    </cfRule>
  </conditionalFormatting>
  <conditionalFormatting sqref="C78:C79">
    <cfRule type="cellIs" dxfId="15883" priority="8141" stopIfTrue="1" operator="equal">
      <formula>"Towel"</formula>
    </cfRule>
    <cfRule type="cellIs" dxfId="15882" priority="8142" stopIfTrue="1" operator="equal">
      <formula>"Napkin Hs"</formula>
    </cfRule>
  </conditionalFormatting>
  <conditionalFormatting sqref="B78:C79">
    <cfRule type="cellIs" dxfId="15881" priority="8139" stopIfTrue="1" operator="equal">
      <formula>"Towel"</formula>
    </cfRule>
    <cfRule type="cellIs" dxfId="15880" priority="8140" stopIfTrue="1" operator="equal">
      <formula>"Napkin Hs"</formula>
    </cfRule>
  </conditionalFormatting>
  <conditionalFormatting sqref="C78:C79">
    <cfRule type="cellIs" dxfId="15879" priority="8137" stopIfTrue="1" operator="equal">
      <formula>"Towel"</formula>
    </cfRule>
    <cfRule type="cellIs" dxfId="15878" priority="8138" stopIfTrue="1" operator="equal">
      <formula>"Napkin Hs"</formula>
    </cfRule>
  </conditionalFormatting>
  <conditionalFormatting sqref="C78:C79">
    <cfRule type="cellIs" dxfId="15877" priority="8135" stopIfTrue="1" operator="equal">
      <formula>"Towel"</formula>
    </cfRule>
    <cfRule type="cellIs" dxfId="15876" priority="8136" stopIfTrue="1" operator="equal">
      <formula>"Napkin Hs"</formula>
    </cfRule>
  </conditionalFormatting>
  <conditionalFormatting sqref="B78:C79">
    <cfRule type="cellIs" dxfId="15875" priority="8133" stopIfTrue="1" operator="equal">
      <formula>"Towel"</formula>
    </cfRule>
    <cfRule type="cellIs" dxfId="15874" priority="8134" stopIfTrue="1" operator="equal">
      <formula>"Napkin Hs"</formula>
    </cfRule>
  </conditionalFormatting>
  <conditionalFormatting sqref="C78:C79">
    <cfRule type="cellIs" dxfId="15873" priority="8131" stopIfTrue="1" operator="equal">
      <formula>"Towel"</formula>
    </cfRule>
    <cfRule type="cellIs" dxfId="15872" priority="8132" stopIfTrue="1" operator="equal">
      <formula>"Napkin Hs"</formula>
    </cfRule>
  </conditionalFormatting>
  <conditionalFormatting sqref="C78:C79">
    <cfRule type="cellIs" dxfId="15871" priority="8129" stopIfTrue="1" operator="equal">
      <formula>"Towel"</formula>
    </cfRule>
    <cfRule type="cellIs" dxfId="15870" priority="8130" stopIfTrue="1" operator="equal">
      <formula>"Napkin Hs"</formula>
    </cfRule>
  </conditionalFormatting>
  <conditionalFormatting sqref="B78:C79">
    <cfRule type="cellIs" dxfId="15869" priority="8127" stopIfTrue="1" operator="equal">
      <formula>"Towel"</formula>
    </cfRule>
    <cfRule type="cellIs" dxfId="15868" priority="8128" stopIfTrue="1" operator="equal">
      <formula>"Napkin Hs"</formula>
    </cfRule>
  </conditionalFormatting>
  <conditionalFormatting sqref="C78:C79">
    <cfRule type="cellIs" dxfId="15867" priority="8125" stopIfTrue="1" operator="equal">
      <formula>"Towel"</formula>
    </cfRule>
    <cfRule type="cellIs" dxfId="15866" priority="8126" stopIfTrue="1" operator="equal">
      <formula>"Napkin Hs"</formula>
    </cfRule>
  </conditionalFormatting>
  <conditionalFormatting sqref="C78:C79">
    <cfRule type="cellIs" dxfId="15865" priority="8123" stopIfTrue="1" operator="equal">
      <formula>"Towel"</formula>
    </cfRule>
    <cfRule type="cellIs" dxfId="15864" priority="8124" stopIfTrue="1" operator="equal">
      <formula>"Napkin Hs"</formula>
    </cfRule>
  </conditionalFormatting>
  <conditionalFormatting sqref="B78:C79">
    <cfRule type="cellIs" dxfId="15863" priority="8121" stopIfTrue="1" operator="equal">
      <formula>"Towel"</formula>
    </cfRule>
    <cfRule type="cellIs" dxfId="15862" priority="8122" stopIfTrue="1" operator="equal">
      <formula>"Napkin Hs"</formula>
    </cfRule>
  </conditionalFormatting>
  <conditionalFormatting sqref="C78:C79">
    <cfRule type="cellIs" dxfId="15861" priority="8119" stopIfTrue="1" operator="equal">
      <formula>"Towel"</formula>
    </cfRule>
    <cfRule type="cellIs" dxfId="15860" priority="8120" stopIfTrue="1" operator="equal">
      <formula>"Napkin Hs"</formula>
    </cfRule>
  </conditionalFormatting>
  <conditionalFormatting sqref="C78:C79">
    <cfRule type="cellIs" dxfId="15859" priority="8117" stopIfTrue="1" operator="equal">
      <formula>"Towel"</formula>
    </cfRule>
    <cfRule type="cellIs" dxfId="15858" priority="8118" stopIfTrue="1" operator="equal">
      <formula>"Napkin Hs"</formula>
    </cfRule>
  </conditionalFormatting>
  <conditionalFormatting sqref="B78:C79">
    <cfRule type="cellIs" dxfId="15857" priority="8116" stopIfTrue="1" operator="equal">
      <formula>"Napkin Hs"</formula>
    </cfRule>
  </conditionalFormatting>
  <conditionalFormatting sqref="B78:C79">
    <cfRule type="cellIs" dxfId="15856" priority="8115" stopIfTrue="1" operator="equal">
      <formula>"Towel"</formula>
    </cfRule>
  </conditionalFormatting>
  <conditionalFormatting sqref="C78:C79">
    <cfRule type="cellIs" dxfId="15855" priority="8114" stopIfTrue="1" operator="equal">
      <formula>"Napkin Hs"</formula>
    </cfRule>
  </conditionalFormatting>
  <conditionalFormatting sqref="C78:C79">
    <cfRule type="cellIs" dxfId="15854" priority="8111" stopIfTrue="1" operator="equal">
      <formula>"Towel"</formula>
    </cfRule>
    <cfRule type="cellIs" dxfId="15853" priority="8112" stopIfTrue="1" operator="equal">
      <formula>"Napkin Hs"</formula>
    </cfRule>
  </conditionalFormatting>
  <conditionalFormatting sqref="C78:C79">
    <cfRule type="cellIs" dxfId="15852" priority="8113" stopIfTrue="1" operator="equal">
      <formula>"Towel"</formula>
    </cfRule>
  </conditionalFormatting>
  <conditionalFormatting sqref="B78:C79">
    <cfRule type="cellIs" dxfId="15851" priority="8110" stopIfTrue="1" operator="equal">
      <formula>"Napkin Hs"</formula>
    </cfRule>
  </conditionalFormatting>
  <conditionalFormatting sqref="B78:C79">
    <cfRule type="cellIs" dxfId="15850" priority="8109" stopIfTrue="1" operator="equal">
      <formula>"Towel"</formula>
    </cfRule>
  </conditionalFormatting>
  <conditionalFormatting sqref="C78:C79">
    <cfRule type="cellIs" dxfId="15849" priority="8108" stopIfTrue="1" operator="equal">
      <formula>"Napkin Hs"</formula>
    </cfRule>
  </conditionalFormatting>
  <conditionalFormatting sqref="C78:C79">
    <cfRule type="cellIs" dxfId="15848" priority="8105" stopIfTrue="1" operator="equal">
      <formula>"Towel"</formula>
    </cfRule>
    <cfRule type="cellIs" dxfId="15847" priority="8106" stopIfTrue="1" operator="equal">
      <formula>"Napkin Hs"</formula>
    </cfRule>
  </conditionalFormatting>
  <conditionalFormatting sqref="C78:C79">
    <cfRule type="cellIs" dxfId="15846" priority="8107" stopIfTrue="1" operator="equal">
      <formula>"Towel"</formula>
    </cfRule>
  </conditionalFormatting>
  <conditionalFormatting sqref="B86:C87">
    <cfRule type="cellIs" dxfId="15845" priority="8097" stopIfTrue="1" operator="equal">
      <formula>"Towel"</formula>
    </cfRule>
    <cfRule type="cellIs" dxfId="15844" priority="8098" stopIfTrue="1" operator="equal">
      <formula>"Napkin Hs"</formula>
    </cfRule>
  </conditionalFormatting>
  <conditionalFormatting sqref="C86:C87">
    <cfRule type="cellIs" dxfId="15843" priority="8093" stopIfTrue="1" operator="equal">
      <formula>"Towel"</formula>
    </cfRule>
    <cfRule type="cellIs" dxfId="15842" priority="8094" stopIfTrue="1" operator="equal">
      <formula>"Napkin Hs"</formula>
    </cfRule>
  </conditionalFormatting>
  <conditionalFormatting sqref="C86:C87">
    <cfRule type="cellIs" dxfId="15841" priority="8095" stopIfTrue="1" operator="equal">
      <formula>"Towel"</formula>
    </cfRule>
    <cfRule type="cellIs" dxfId="15840" priority="8096" stopIfTrue="1" operator="equal">
      <formula>"Napkin Hs"</formula>
    </cfRule>
  </conditionalFormatting>
  <conditionalFormatting sqref="B86:C87">
    <cfRule type="cellIs" dxfId="15839" priority="8092" stopIfTrue="1" operator="equal">
      <formula>"Napkin Hs"</formula>
    </cfRule>
  </conditionalFormatting>
  <conditionalFormatting sqref="B86:C87">
    <cfRule type="cellIs" dxfId="15838" priority="8091" stopIfTrue="1" operator="equal">
      <formula>"Towel"</formula>
    </cfRule>
  </conditionalFormatting>
  <conditionalFormatting sqref="C86:C87">
    <cfRule type="cellIs" dxfId="15837" priority="8090" stopIfTrue="1" operator="equal">
      <formula>"Napkin Hs"</formula>
    </cfRule>
  </conditionalFormatting>
  <conditionalFormatting sqref="C86:C87">
    <cfRule type="cellIs" dxfId="15836" priority="8089" stopIfTrue="1" operator="equal">
      <formula>"Towel"</formula>
    </cfRule>
  </conditionalFormatting>
  <conditionalFormatting sqref="C86:C87">
    <cfRule type="cellIs" dxfId="15835" priority="8087" stopIfTrue="1" operator="equal">
      <formula>"Towel"</formula>
    </cfRule>
    <cfRule type="cellIs" dxfId="15834" priority="8088" stopIfTrue="1" operator="equal">
      <formula>"Napkin Hs"</formula>
    </cfRule>
  </conditionalFormatting>
  <conditionalFormatting sqref="B86:C87">
    <cfRule type="cellIs" dxfId="15833" priority="8085" stopIfTrue="1" operator="equal">
      <formula>"Towel"</formula>
    </cfRule>
    <cfRule type="cellIs" dxfId="15832" priority="8086" stopIfTrue="1" operator="equal">
      <formula>"Napkin Hs"</formula>
    </cfRule>
  </conditionalFormatting>
  <conditionalFormatting sqref="C86:C87">
    <cfRule type="cellIs" dxfId="15831" priority="8083" stopIfTrue="1" operator="equal">
      <formula>"Towel"</formula>
    </cfRule>
    <cfRule type="cellIs" dxfId="15830" priority="8084" stopIfTrue="1" operator="equal">
      <formula>"Napkin Hs"</formula>
    </cfRule>
  </conditionalFormatting>
  <conditionalFormatting sqref="C86:C87">
    <cfRule type="cellIs" dxfId="15829" priority="8081" stopIfTrue="1" operator="equal">
      <formula>"Towel"</formula>
    </cfRule>
    <cfRule type="cellIs" dxfId="15828" priority="8082" stopIfTrue="1" operator="equal">
      <formula>"Napkin Hs"</formula>
    </cfRule>
  </conditionalFormatting>
  <conditionalFormatting sqref="B86:C87">
    <cfRule type="cellIs" dxfId="15827" priority="8079" stopIfTrue="1" operator="equal">
      <formula>"Towel"</formula>
    </cfRule>
    <cfRule type="cellIs" dxfId="15826" priority="8080" stopIfTrue="1" operator="equal">
      <formula>"Napkin Hs"</formula>
    </cfRule>
  </conditionalFormatting>
  <conditionalFormatting sqref="C86:C87">
    <cfRule type="cellIs" dxfId="15825" priority="8077" stopIfTrue="1" operator="equal">
      <formula>"Towel"</formula>
    </cfRule>
    <cfRule type="cellIs" dxfId="15824" priority="8078" stopIfTrue="1" operator="equal">
      <formula>"Napkin Hs"</formula>
    </cfRule>
  </conditionalFormatting>
  <conditionalFormatting sqref="C86:C87">
    <cfRule type="cellIs" dxfId="15823" priority="8075" stopIfTrue="1" operator="equal">
      <formula>"Towel"</formula>
    </cfRule>
    <cfRule type="cellIs" dxfId="15822" priority="8076" stopIfTrue="1" operator="equal">
      <formula>"Napkin Hs"</formula>
    </cfRule>
  </conditionalFormatting>
  <conditionalFormatting sqref="B86:C87">
    <cfRule type="cellIs" dxfId="15821" priority="8073" stopIfTrue="1" operator="equal">
      <formula>"Towel"</formula>
    </cfRule>
    <cfRule type="cellIs" dxfId="15820" priority="8074" stopIfTrue="1" operator="equal">
      <formula>"Napkin Hs"</formula>
    </cfRule>
  </conditionalFormatting>
  <conditionalFormatting sqref="C86:C87">
    <cfRule type="cellIs" dxfId="15819" priority="8071" stopIfTrue="1" operator="equal">
      <formula>"Towel"</formula>
    </cfRule>
    <cfRule type="cellIs" dxfId="15818" priority="8072" stopIfTrue="1" operator="equal">
      <formula>"Napkin Hs"</formula>
    </cfRule>
  </conditionalFormatting>
  <conditionalFormatting sqref="C86:C87">
    <cfRule type="cellIs" dxfId="15817" priority="8069" stopIfTrue="1" operator="equal">
      <formula>"Towel"</formula>
    </cfRule>
    <cfRule type="cellIs" dxfId="15816" priority="8070" stopIfTrue="1" operator="equal">
      <formula>"Napkin Hs"</formula>
    </cfRule>
  </conditionalFormatting>
  <conditionalFormatting sqref="B86:C87">
    <cfRule type="cellIs" dxfId="15815" priority="8067" stopIfTrue="1" operator="equal">
      <formula>"Towel"</formula>
    </cfRule>
    <cfRule type="cellIs" dxfId="15814" priority="8068" stopIfTrue="1" operator="equal">
      <formula>"Napkin Hs"</formula>
    </cfRule>
  </conditionalFormatting>
  <conditionalFormatting sqref="C86:C87">
    <cfRule type="cellIs" dxfId="15813" priority="8065" stopIfTrue="1" operator="equal">
      <formula>"Towel"</formula>
    </cfRule>
    <cfRule type="cellIs" dxfId="15812" priority="8066" stopIfTrue="1" operator="equal">
      <formula>"Napkin Hs"</formula>
    </cfRule>
  </conditionalFormatting>
  <conditionalFormatting sqref="C86:C87">
    <cfRule type="cellIs" dxfId="15811" priority="8063" stopIfTrue="1" operator="equal">
      <formula>"Towel"</formula>
    </cfRule>
    <cfRule type="cellIs" dxfId="15810" priority="8064" stopIfTrue="1" operator="equal">
      <formula>"Napkin Hs"</formula>
    </cfRule>
  </conditionalFormatting>
  <conditionalFormatting sqref="B86:C87">
    <cfRule type="cellIs" dxfId="15809" priority="8061" stopIfTrue="1" operator="equal">
      <formula>"Towel"</formula>
    </cfRule>
    <cfRule type="cellIs" dxfId="15808" priority="8062" stopIfTrue="1" operator="equal">
      <formula>"Napkin Hs"</formula>
    </cfRule>
  </conditionalFormatting>
  <conditionalFormatting sqref="C86:C87">
    <cfRule type="cellIs" dxfId="15807" priority="8059" stopIfTrue="1" operator="equal">
      <formula>"Towel"</formula>
    </cfRule>
    <cfRule type="cellIs" dxfId="15806" priority="8060" stopIfTrue="1" operator="equal">
      <formula>"Napkin Hs"</formula>
    </cfRule>
  </conditionalFormatting>
  <conditionalFormatting sqref="C86:C87">
    <cfRule type="cellIs" dxfId="15805" priority="8057" stopIfTrue="1" operator="equal">
      <formula>"Towel"</formula>
    </cfRule>
    <cfRule type="cellIs" dxfId="15804" priority="8058" stopIfTrue="1" operator="equal">
      <formula>"Napkin Hs"</formula>
    </cfRule>
  </conditionalFormatting>
  <conditionalFormatting sqref="B86:C87">
    <cfRule type="cellIs" dxfId="15803" priority="8056" stopIfTrue="1" operator="equal">
      <formula>"Napkin Hs"</formula>
    </cfRule>
  </conditionalFormatting>
  <conditionalFormatting sqref="B86:C87">
    <cfRule type="cellIs" dxfId="15802" priority="8055" stopIfTrue="1" operator="equal">
      <formula>"Towel"</formula>
    </cfRule>
  </conditionalFormatting>
  <conditionalFormatting sqref="C86:C87">
    <cfRule type="cellIs" dxfId="15801" priority="8054" stopIfTrue="1" operator="equal">
      <formula>"Napkin Hs"</formula>
    </cfRule>
  </conditionalFormatting>
  <conditionalFormatting sqref="C86:C87">
    <cfRule type="cellIs" dxfId="15800" priority="8051" stopIfTrue="1" operator="equal">
      <formula>"Towel"</formula>
    </cfRule>
    <cfRule type="cellIs" dxfId="15799" priority="8052" stopIfTrue="1" operator="equal">
      <formula>"Napkin Hs"</formula>
    </cfRule>
  </conditionalFormatting>
  <conditionalFormatting sqref="C86:C87">
    <cfRule type="cellIs" dxfId="15798" priority="8053" stopIfTrue="1" operator="equal">
      <formula>"Towel"</formula>
    </cfRule>
  </conditionalFormatting>
  <conditionalFormatting sqref="B85:C85">
    <cfRule type="cellIs" dxfId="15797" priority="8049" stopIfTrue="1" operator="equal">
      <formula>"Towel"</formula>
    </cfRule>
    <cfRule type="cellIs" dxfId="15796" priority="8050" stopIfTrue="1" operator="equal">
      <formula>"Napkin Hs"</formula>
    </cfRule>
  </conditionalFormatting>
  <conditionalFormatting sqref="C85">
    <cfRule type="cellIs" dxfId="15795" priority="8045" stopIfTrue="1" operator="equal">
      <formula>"Towel"</formula>
    </cfRule>
    <cfRule type="cellIs" dxfId="15794" priority="8046" stopIfTrue="1" operator="equal">
      <formula>"Napkin Hs"</formula>
    </cfRule>
  </conditionalFormatting>
  <conditionalFormatting sqref="C85">
    <cfRule type="cellIs" dxfId="15793" priority="8047" stopIfTrue="1" operator="equal">
      <formula>"Towel"</formula>
    </cfRule>
    <cfRule type="cellIs" dxfId="15792" priority="8048" stopIfTrue="1" operator="equal">
      <formula>"Napkin Hs"</formula>
    </cfRule>
  </conditionalFormatting>
  <conditionalFormatting sqref="B82:C82">
    <cfRule type="cellIs" dxfId="15791" priority="8044" stopIfTrue="1" operator="equal">
      <formula>"Napkin Hs"</formula>
    </cfRule>
  </conditionalFormatting>
  <conditionalFormatting sqref="B82:C82">
    <cfRule type="cellIs" dxfId="15790" priority="8043" stopIfTrue="1" operator="equal">
      <formula>"Towel"</formula>
    </cfRule>
  </conditionalFormatting>
  <conditionalFormatting sqref="C82">
    <cfRule type="cellIs" dxfId="15789" priority="8042" stopIfTrue="1" operator="equal">
      <formula>"Napkin Hs"</formula>
    </cfRule>
  </conditionalFormatting>
  <conditionalFormatting sqref="C82">
    <cfRule type="cellIs" dxfId="15788" priority="8041" stopIfTrue="1" operator="equal">
      <formula>"Towel"</formula>
    </cfRule>
  </conditionalFormatting>
  <conditionalFormatting sqref="C82">
    <cfRule type="cellIs" dxfId="15787" priority="8039" stopIfTrue="1" operator="equal">
      <formula>"Towel"</formula>
    </cfRule>
    <cfRule type="cellIs" dxfId="15786" priority="8040" stopIfTrue="1" operator="equal">
      <formula>"Napkin Hs"</formula>
    </cfRule>
  </conditionalFormatting>
  <conditionalFormatting sqref="C82">
    <cfRule type="cellIs" dxfId="15785" priority="8033" stopIfTrue="1" operator="equal">
      <formula>"Towel"</formula>
    </cfRule>
    <cfRule type="cellIs" dxfId="15784" priority="8034" stopIfTrue="1" operator="equal">
      <formula>"Napkin Hs"</formula>
    </cfRule>
  </conditionalFormatting>
  <conditionalFormatting sqref="B82:C82">
    <cfRule type="cellIs" dxfId="15783" priority="8032" stopIfTrue="1" operator="equal">
      <formula>"Napkin Hs"</formula>
    </cfRule>
  </conditionalFormatting>
  <conditionalFormatting sqref="B82:C82">
    <cfRule type="cellIs" dxfId="15782" priority="8031" stopIfTrue="1" operator="equal">
      <formula>"Towel"</formula>
    </cfRule>
  </conditionalFormatting>
  <conditionalFormatting sqref="C82">
    <cfRule type="cellIs" dxfId="15781" priority="8030" stopIfTrue="1" operator="equal">
      <formula>"Napkin Hs"</formula>
    </cfRule>
  </conditionalFormatting>
  <conditionalFormatting sqref="C82">
    <cfRule type="cellIs" dxfId="15780" priority="8029" stopIfTrue="1" operator="equal">
      <formula>"Towel"</formula>
    </cfRule>
  </conditionalFormatting>
  <conditionalFormatting sqref="C82">
    <cfRule type="cellIs" dxfId="15779" priority="8027" stopIfTrue="1" operator="equal">
      <formula>"Towel"</formula>
    </cfRule>
    <cfRule type="cellIs" dxfId="15778" priority="8028" stopIfTrue="1" operator="equal">
      <formula>"Napkin Hs"</formula>
    </cfRule>
  </conditionalFormatting>
  <conditionalFormatting sqref="C82">
    <cfRule type="cellIs" dxfId="15777" priority="8021" stopIfTrue="1" operator="equal">
      <formula>"Towel"</formula>
    </cfRule>
    <cfRule type="cellIs" dxfId="15776" priority="8022" stopIfTrue="1" operator="equal">
      <formula>"Napkin Hs"</formula>
    </cfRule>
  </conditionalFormatting>
  <conditionalFormatting sqref="C82">
    <cfRule type="cellIs" dxfId="15775" priority="8015" stopIfTrue="1" operator="equal">
      <formula>"Towel"</formula>
    </cfRule>
    <cfRule type="cellIs" dxfId="15774" priority="8016" stopIfTrue="1" operator="equal">
      <formula>"Napkin Hs"</formula>
    </cfRule>
  </conditionalFormatting>
  <conditionalFormatting sqref="C82">
    <cfRule type="cellIs" dxfId="15773" priority="8009" stopIfTrue="1" operator="equal">
      <formula>"Towel"</formula>
    </cfRule>
    <cfRule type="cellIs" dxfId="15772" priority="8010" stopIfTrue="1" operator="equal">
      <formula>"Napkin Hs"</formula>
    </cfRule>
  </conditionalFormatting>
  <conditionalFormatting sqref="C82">
    <cfRule type="cellIs" dxfId="15771" priority="8003" stopIfTrue="1" operator="equal">
      <formula>"Towel"</formula>
    </cfRule>
    <cfRule type="cellIs" dxfId="15770" priority="8004" stopIfTrue="1" operator="equal">
      <formula>"Napkin Hs"</formula>
    </cfRule>
  </conditionalFormatting>
  <conditionalFormatting sqref="C82">
    <cfRule type="cellIs" dxfId="15769" priority="7997" stopIfTrue="1" operator="equal">
      <formula>"Towel"</formula>
    </cfRule>
    <cfRule type="cellIs" dxfId="15768" priority="7998" stopIfTrue="1" operator="equal">
      <formula>"Napkin Hs"</formula>
    </cfRule>
  </conditionalFormatting>
  <conditionalFormatting sqref="B82:C82">
    <cfRule type="cellIs" dxfId="15767" priority="7996" stopIfTrue="1" operator="equal">
      <formula>"Napkin Hs"</formula>
    </cfRule>
  </conditionalFormatting>
  <conditionalFormatting sqref="B82:C82">
    <cfRule type="cellIs" dxfId="15766" priority="7995" stopIfTrue="1" operator="equal">
      <formula>"Towel"</formula>
    </cfRule>
  </conditionalFormatting>
  <conditionalFormatting sqref="C82">
    <cfRule type="cellIs" dxfId="15765" priority="7994" stopIfTrue="1" operator="equal">
      <formula>"Napkin Hs"</formula>
    </cfRule>
  </conditionalFormatting>
  <conditionalFormatting sqref="C82">
    <cfRule type="cellIs" dxfId="15764" priority="7991" stopIfTrue="1" operator="equal">
      <formula>"Towel"</formula>
    </cfRule>
    <cfRule type="cellIs" dxfId="15763" priority="7992" stopIfTrue="1" operator="equal">
      <formula>"Napkin Hs"</formula>
    </cfRule>
  </conditionalFormatting>
  <conditionalFormatting sqref="C82">
    <cfRule type="cellIs" dxfId="15762" priority="7993" stopIfTrue="1" operator="equal">
      <formula>"Towel"</formula>
    </cfRule>
  </conditionalFormatting>
  <conditionalFormatting sqref="B82:C82">
    <cfRule type="cellIs" dxfId="15761" priority="7990" stopIfTrue="1" operator="equal">
      <formula>"Napkin Hs"</formula>
    </cfRule>
  </conditionalFormatting>
  <conditionalFormatting sqref="B82:C82">
    <cfRule type="cellIs" dxfId="15760" priority="7989" stopIfTrue="1" operator="equal">
      <formula>"Towel"</formula>
    </cfRule>
  </conditionalFormatting>
  <conditionalFormatting sqref="C82">
    <cfRule type="cellIs" dxfId="15759" priority="7988" stopIfTrue="1" operator="equal">
      <formula>"Napkin Hs"</formula>
    </cfRule>
  </conditionalFormatting>
  <conditionalFormatting sqref="C82">
    <cfRule type="cellIs" dxfId="15758" priority="7985" stopIfTrue="1" operator="equal">
      <formula>"Towel"</formula>
    </cfRule>
    <cfRule type="cellIs" dxfId="15757" priority="7986" stopIfTrue="1" operator="equal">
      <formula>"Napkin Hs"</formula>
    </cfRule>
  </conditionalFormatting>
  <conditionalFormatting sqref="C82">
    <cfRule type="cellIs" dxfId="15756" priority="7987" stopIfTrue="1" operator="equal">
      <formula>"Towel"</formula>
    </cfRule>
  </conditionalFormatting>
  <conditionalFormatting sqref="B83:C84">
    <cfRule type="cellIs" dxfId="15755" priority="7918" stopIfTrue="1" operator="equal">
      <formula>"Napkin Hs"</formula>
    </cfRule>
  </conditionalFormatting>
  <conditionalFormatting sqref="B83:C84">
    <cfRule type="cellIs" dxfId="15754" priority="7917" stopIfTrue="1" operator="equal">
      <formula>"Towel"</formula>
    </cfRule>
  </conditionalFormatting>
  <conditionalFormatting sqref="C83:C84">
    <cfRule type="cellIs" dxfId="15753" priority="7916" stopIfTrue="1" operator="equal">
      <formula>"Napkin Hs"</formula>
    </cfRule>
  </conditionalFormatting>
  <conditionalFormatting sqref="C83:C84">
    <cfRule type="cellIs" dxfId="15752" priority="7913" stopIfTrue="1" operator="equal">
      <formula>"Towel"</formula>
    </cfRule>
    <cfRule type="cellIs" dxfId="15751" priority="7914" stopIfTrue="1" operator="equal">
      <formula>"Napkin Hs"</formula>
    </cfRule>
  </conditionalFormatting>
  <conditionalFormatting sqref="C83:C84">
    <cfRule type="cellIs" dxfId="15750" priority="7915" stopIfTrue="1" operator="equal">
      <formula>"Towel"</formula>
    </cfRule>
  </conditionalFormatting>
  <conditionalFormatting sqref="B82:C82">
    <cfRule type="cellIs" dxfId="15749" priority="8037" stopIfTrue="1" operator="equal">
      <formula>"Towel"</formula>
    </cfRule>
    <cfRule type="cellIs" dxfId="15748" priority="8038" stopIfTrue="1" operator="equal">
      <formula>"Napkin Hs"</formula>
    </cfRule>
  </conditionalFormatting>
  <conditionalFormatting sqref="C82">
    <cfRule type="cellIs" dxfId="15747" priority="8035" stopIfTrue="1" operator="equal">
      <formula>"Towel"</formula>
    </cfRule>
    <cfRule type="cellIs" dxfId="15746" priority="8036" stopIfTrue="1" operator="equal">
      <formula>"Napkin Hs"</formula>
    </cfRule>
  </conditionalFormatting>
  <conditionalFormatting sqref="B82:C82">
    <cfRule type="cellIs" dxfId="15745" priority="8025" stopIfTrue="1" operator="equal">
      <formula>"Towel"</formula>
    </cfRule>
    <cfRule type="cellIs" dxfId="15744" priority="8026" stopIfTrue="1" operator="equal">
      <formula>"Napkin Hs"</formula>
    </cfRule>
  </conditionalFormatting>
  <conditionalFormatting sqref="C82">
    <cfRule type="cellIs" dxfId="15743" priority="8023" stopIfTrue="1" operator="equal">
      <formula>"Towel"</formula>
    </cfRule>
    <cfRule type="cellIs" dxfId="15742" priority="8024" stopIfTrue="1" operator="equal">
      <formula>"Napkin Hs"</formula>
    </cfRule>
  </conditionalFormatting>
  <conditionalFormatting sqref="B82:C82">
    <cfRule type="cellIs" dxfId="15741" priority="8019" stopIfTrue="1" operator="equal">
      <formula>"Towel"</formula>
    </cfRule>
    <cfRule type="cellIs" dxfId="15740" priority="8020" stopIfTrue="1" operator="equal">
      <formula>"Napkin Hs"</formula>
    </cfRule>
  </conditionalFormatting>
  <conditionalFormatting sqref="C82">
    <cfRule type="cellIs" dxfId="15739" priority="8017" stopIfTrue="1" operator="equal">
      <formula>"Towel"</formula>
    </cfRule>
    <cfRule type="cellIs" dxfId="15738" priority="8018" stopIfTrue="1" operator="equal">
      <formula>"Napkin Hs"</formula>
    </cfRule>
  </conditionalFormatting>
  <conditionalFormatting sqref="B82:C82">
    <cfRule type="cellIs" dxfId="15737" priority="8013" stopIfTrue="1" operator="equal">
      <formula>"Towel"</formula>
    </cfRule>
    <cfRule type="cellIs" dxfId="15736" priority="8014" stopIfTrue="1" operator="equal">
      <formula>"Napkin Hs"</formula>
    </cfRule>
  </conditionalFormatting>
  <conditionalFormatting sqref="C82">
    <cfRule type="cellIs" dxfId="15735" priority="8011" stopIfTrue="1" operator="equal">
      <formula>"Towel"</formula>
    </cfRule>
    <cfRule type="cellIs" dxfId="15734" priority="8012" stopIfTrue="1" operator="equal">
      <formula>"Napkin Hs"</formula>
    </cfRule>
  </conditionalFormatting>
  <conditionalFormatting sqref="B82:C82">
    <cfRule type="cellIs" dxfId="15733" priority="8007" stopIfTrue="1" operator="equal">
      <formula>"Towel"</formula>
    </cfRule>
    <cfRule type="cellIs" dxfId="15732" priority="8008" stopIfTrue="1" operator="equal">
      <formula>"Napkin Hs"</formula>
    </cfRule>
  </conditionalFormatting>
  <conditionalFormatting sqref="C82">
    <cfRule type="cellIs" dxfId="15731" priority="8005" stopIfTrue="1" operator="equal">
      <formula>"Towel"</formula>
    </cfRule>
    <cfRule type="cellIs" dxfId="15730" priority="8006" stopIfTrue="1" operator="equal">
      <formula>"Napkin Hs"</formula>
    </cfRule>
  </conditionalFormatting>
  <conditionalFormatting sqref="B82:C82">
    <cfRule type="cellIs" dxfId="15729" priority="8001" stopIfTrue="1" operator="equal">
      <formula>"Towel"</formula>
    </cfRule>
    <cfRule type="cellIs" dxfId="15728" priority="8002" stopIfTrue="1" operator="equal">
      <formula>"Napkin Hs"</formula>
    </cfRule>
  </conditionalFormatting>
  <conditionalFormatting sqref="C82">
    <cfRule type="cellIs" dxfId="15727" priority="7999" stopIfTrue="1" operator="equal">
      <formula>"Towel"</formula>
    </cfRule>
    <cfRule type="cellIs" dxfId="15726" priority="8000" stopIfTrue="1" operator="equal">
      <formula>"Napkin Hs"</formula>
    </cfRule>
  </conditionalFormatting>
  <conditionalFormatting sqref="B82:C82">
    <cfRule type="cellIs" dxfId="15725" priority="7984" stopIfTrue="1" operator="equal">
      <formula>"Napkin Hs"</formula>
    </cfRule>
  </conditionalFormatting>
  <conditionalFormatting sqref="B82:C82">
    <cfRule type="cellIs" dxfId="15724" priority="7983" stopIfTrue="1" operator="equal">
      <formula>"Towel"</formula>
    </cfRule>
  </conditionalFormatting>
  <conditionalFormatting sqref="C82">
    <cfRule type="cellIs" dxfId="15723" priority="7982" stopIfTrue="1" operator="equal">
      <formula>"Napkin Hs"</formula>
    </cfRule>
  </conditionalFormatting>
  <conditionalFormatting sqref="C82">
    <cfRule type="cellIs" dxfId="15722" priority="7979" stopIfTrue="1" operator="equal">
      <formula>"Towel"</formula>
    </cfRule>
    <cfRule type="cellIs" dxfId="15721" priority="7980" stopIfTrue="1" operator="equal">
      <formula>"Napkin Hs"</formula>
    </cfRule>
  </conditionalFormatting>
  <conditionalFormatting sqref="C82">
    <cfRule type="cellIs" dxfId="15720" priority="7981" stopIfTrue="1" operator="equal">
      <formula>"Towel"</formula>
    </cfRule>
  </conditionalFormatting>
  <conditionalFormatting sqref="B83:C84">
    <cfRule type="cellIs" dxfId="15719" priority="7978" stopIfTrue="1" operator="equal">
      <formula>"Napkin Hs"</formula>
    </cfRule>
  </conditionalFormatting>
  <conditionalFormatting sqref="B83:C84">
    <cfRule type="cellIs" dxfId="15718" priority="7977" stopIfTrue="1" operator="equal">
      <formula>"Towel"</formula>
    </cfRule>
  </conditionalFormatting>
  <conditionalFormatting sqref="C83:C84">
    <cfRule type="cellIs" dxfId="15717" priority="7976" stopIfTrue="1" operator="equal">
      <formula>"Napkin Hs"</formula>
    </cfRule>
  </conditionalFormatting>
  <conditionalFormatting sqref="C83:C84">
    <cfRule type="cellIs" dxfId="15716" priority="7975" stopIfTrue="1" operator="equal">
      <formula>"Towel"</formula>
    </cfRule>
  </conditionalFormatting>
  <conditionalFormatting sqref="C83:C84">
    <cfRule type="cellIs" dxfId="15715" priority="7973" stopIfTrue="1" operator="equal">
      <formula>"Towel"</formula>
    </cfRule>
    <cfRule type="cellIs" dxfId="15714" priority="7974" stopIfTrue="1" operator="equal">
      <formula>"Napkin Hs"</formula>
    </cfRule>
  </conditionalFormatting>
  <conditionalFormatting sqref="B83:C84">
    <cfRule type="cellIs" dxfId="15713" priority="7971" stopIfTrue="1" operator="equal">
      <formula>"Towel"</formula>
    </cfRule>
    <cfRule type="cellIs" dxfId="15712" priority="7972" stopIfTrue="1" operator="equal">
      <formula>"Napkin Hs"</formula>
    </cfRule>
  </conditionalFormatting>
  <conditionalFormatting sqref="C83:C84">
    <cfRule type="cellIs" dxfId="15711" priority="7967" stopIfTrue="1" operator="equal">
      <formula>"Towel"</formula>
    </cfRule>
    <cfRule type="cellIs" dxfId="15710" priority="7968" stopIfTrue="1" operator="equal">
      <formula>"Napkin Hs"</formula>
    </cfRule>
  </conditionalFormatting>
  <conditionalFormatting sqref="C83:C84">
    <cfRule type="cellIs" dxfId="15709" priority="7969" stopIfTrue="1" operator="equal">
      <formula>"Towel"</formula>
    </cfRule>
    <cfRule type="cellIs" dxfId="15708" priority="7970" stopIfTrue="1" operator="equal">
      <formula>"Napkin Hs"</formula>
    </cfRule>
  </conditionalFormatting>
  <conditionalFormatting sqref="B83:C84">
    <cfRule type="cellIs" dxfId="15707" priority="7966" stopIfTrue="1" operator="equal">
      <formula>"Napkin Hs"</formula>
    </cfRule>
  </conditionalFormatting>
  <conditionalFormatting sqref="B83:C84">
    <cfRule type="cellIs" dxfId="15706" priority="7965" stopIfTrue="1" operator="equal">
      <formula>"Towel"</formula>
    </cfRule>
  </conditionalFormatting>
  <conditionalFormatting sqref="C83:C84">
    <cfRule type="cellIs" dxfId="15705" priority="7964" stopIfTrue="1" operator="equal">
      <formula>"Napkin Hs"</formula>
    </cfRule>
  </conditionalFormatting>
  <conditionalFormatting sqref="C83:C84">
    <cfRule type="cellIs" dxfId="15704" priority="7963" stopIfTrue="1" operator="equal">
      <formula>"Towel"</formula>
    </cfRule>
  </conditionalFormatting>
  <conditionalFormatting sqref="C83:C84">
    <cfRule type="cellIs" dxfId="15703" priority="7961" stopIfTrue="1" operator="equal">
      <formula>"Towel"</formula>
    </cfRule>
    <cfRule type="cellIs" dxfId="15702" priority="7962" stopIfTrue="1" operator="equal">
      <formula>"Napkin Hs"</formula>
    </cfRule>
  </conditionalFormatting>
  <conditionalFormatting sqref="B83:C84">
    <cfRule type="cellIs" dxfId="15701" priority="7959" stopIfTrue="1" operator="equal">
      <formula>"Towel"</formula>
    </cfRule>
    <cfRule type="cellIs" dxfId="15700" priority="7960" stopIfTrue="1" operator="equal">
      <formula>"Napkin Hs"</formula>
    </cfRule>
  </conditionalFormatting>
  <conditionalFormatting sqref="C83:C84">
    <cfRule type="cellIs" dxfId="15699" priority="7957" stopIfTrue="1" operator="equal">
      <formula>"Towel"</formula>
    </cfRule>
    <cfRule type="cellIs" dxfId="15698" priority="7958" stopIfTrue="1" operator="equal">
      <formula>"Napkin Hs"</formula>
    </cfRule>
  </conditionalFormatting>
  <conditionalFormatting sqref="C83:C84">
    <cfRule type="cellIs" dxfId="15697" priority="7955" stopIfTrue="1" operator="equal">
      <formula>"Towel"</formula>
    </cfRule>
    <cfRule type="cellIs" dxfId="15696" priority="7956" stopIfTrue="1" operator="equal">
      <formula>"Napkin Hs"</formula>
    </cfRule>
  </conditionalFormatting>
  <conditionalFormatting sqref="B83:C84">
    <cfRule type="cellIs" dxfId="15695" priority="7953" stopIfTrue="1" operator="equal">
      <formula>"Towel"</formula>
    </cfRule>
    <cfRule type="cellIs" dxfId="15694" priority="7954" stopIfTrue="1" operator="equal">
      <formula>"Napkin Hs"</formula>
    </cfRule>
  </conditionalFormatting>
  <conditionalFormatting sqref="C83:C84">
    <cfRule type="cellIs" dxfId="15693" priority="7951" stopIfTrue="1" operator="equal">
      <formula>"Towel"</formula>
    </cfRule>
    <cfRule type="cellIs" dxfId="15692" priority="7952" stopIfTrue="1" operator="equal">
      <formula>"Napkin Hs"</formula>
    </cfRule>
  </conditionalFormatting>
  <conditionalFormatting sqref="C83:C84">
    <cfRule type="cellIs" dxfId="15691" priority="7949" stopIfTrue="1" operator="equal">
      <formula>"Towel"</formula>
    </cfRule>
    <cfRule type="cellIs" dxfId="15690" priority="7950" stopIfTrue="1" operator="equal">
      <formula>"Napkin Hs"</formula>
    </cfRule>
  </conditionalFormatting>
  <conditionalFormatting sqref="B83:C84">
    <cfRule type="cellIs" dxfId="15689" priority="7947" stopIfTrue="1" operator="equal">
      <formula>"Towel"</formula>
    </cfRule>
    <cfRule type="cellIs" dxfId="15688" priority="7948" stopIfTrue="1" operator="equal">
      <formula>"Napkin Hs"</formula>
    </cfRule>
  </conditionalFormatting>
  <conditionalFormatting sqref="C83:C84">
    <cfRule type="cellIs" dxfId="15687" priority="7945" stopIfTrue="1" operator="equal">
      <formula>"Towel"</formula>
    </cfRule>
    <cfRule type="cellIs" dxfId="15686" priority="7946" stopIfTrue="1" operator="equal">
      <formula>"Napkin Hs"</formula>
    </cfRule>
  </conditionalFormatting>
  <conditionalFormatting sqref="C83:C84">
    <cfRule type="cellIs" dxfId="15685" priority="7943" stopIfTrue="1" operator="equal">
      <formula>"Towel"</formula>
    </cfRule>
    <cfRule type="cellIs" dxfId="15684" priority="7944" stopIfTrue="1" operator="equal">
      <formula>"Napkin Hs"</formula>
    </cfRule>
  </conditionalFormatting>
  <conditionalFormatting sqref="B83:C84">
    <cfRule type="cellIs" dxfId="15683" priority="7941" stopIfTrue="1" operator="equal">
      <formula>"Towel"</formula>
    </cfRule>
    <cfRule type="cellIs" dxfId="15682" priority="7942" stopIfTrue="1" operator="equal">
      <formula>"Napkin Hs"</formula>
    </cfRule>
  </conditionalFormatting>
  <conditionalFormatting sqref="C83:C84">
    <cfRule type="cellIs" dxfId="15681" priority="7939" stopIfTrue="1" operator="equal">
      <formula>"Towel"</formula>
    </cfRule>
    <cfRule type="cellIs" dxfId="15680" priority="7940" stopIfTrue="1" operator="equal">
      <formula>"Napkin Hs"</formula>
    </cfRule>
  </conditionalFormatting>
  <conditionalFormatting sqref="C83:C84">
    <cfRule type="cellIs" dxfId="15679" priority="7937" stopIfTrue="1" operator="equal">
      <formula>"Towel"</formula>
    </cfRule>
    <cfRule type="cellIs" dxfId="15678" priority="7938" stopIfTrue="1" operator="equal">
      <formula>"Napkin Hs"</formula>
    </cfRule>
  </conditionalFormatting>
  <conditionalFormatting sqref="B83:C84">
    <cfRule type="cellIs" dxfId="15677" priority="7935" stopIfTrue="1" operator="equal">
      <formula>"Towel"</formula>
    </cfRule>
    <cfRule type="cellIs" dxfId="15676" priority="7936" stopIfTrue="1" operator="equal">
      <formula>"Napkin Hs"</formula>
    </cfRule>
  </conditionalFormatting>
  <conditionalFormatting sqref="C83:C84">
    <cfRule type="cellIs" dxfId="15675" priority="7933" stopIfTrue="1" operator="equal">
      <formula>"Towel"</formula>
    </cfRule>
    <cfRule type="cellIs" dxfId="15674" priority="7934" stopIfTrue="1" operator="equal">
      <formula>"Napkin Hs"</formula>
    </cfRule>
  </conditionalFormatting>
  <conditionalFormatting sqref="C83:C84">
    <cfRule type="cellIs" dxfId="15673" priority="7931" stopIfTrue="1" operator="equal">
      <formula>"Towel"</formula>
    </cfRule>
    <cfRule type="cellIs" dxfId="15672" priority="7932" stopIfTrue="1" operator="equal">
      <formula>"Napkin Hs"</formula>
    </cfRule>
  </conditionalFormatting>
  <conditionalFormatting sqref="B83:C84">
    <cfRule type="cellIs" dxfId="15671" priority="7930" stopIfTrue="1" operator="equal">
      <formula>"Napkin Hs"</formula>
    </cfRule>
  </conditionalFormatting>
  <conditionalFormatting sqref="B83:C84">
    <cfRule type="cellIs" dxfId="15670" priority="7929" stopIfTrue="1" operator="equal">
      <formula>"Towel"</formula>
    </cfRule>
  </conditionalFormatting>
  <conditionalFormatting sqref="C83:C84">
    <cfRule type="cellIs" dxfId="15669" priority="7928" stopIfTrue="1" operator="equal">
      <formula>"Napkin Hs"</formula>
    </cfRule>
  </conditionalFormatting>
  <conditionalFormatting sqref="C83:C84">
    <cfRule type="cellIs" dxfId="15668" priority="7925" stopIfTrue="1" operator="equal">
      <formula>"Towel"</formula>
    </cfRule>
    <cfRule type="cellIs" dxfId="15667" priority="7926" stopIfTrue="1" operator="equal">
      <formula>"Napkin Hs"</formula>
    </cfRule>
  </conditionalFormatting>
  <conditionalFormatting sqref="C83:C84">
    <cfRule type="cellIs" dxfId="15666" priority="7927" stopIfTrue="1" operator="equal">
      <formula>"Towel"</formula>
    </cfRule>
  </conditionalFormatting>
  <conditionalFormatting sqref="B83:C84">
    <cfRule type="cellIs" dxfId="15665" priority="7924" stopIfTrue="1" operator="equal">
      <formula>"Napkin Hs"</formula>
    </cfRule>
  </conditionalFormatting>
  <conditionalFormatting sqref="B83:C84">
    <cfRule type="cellIs" dxfId="15664" priority="7923" stopIfTrue="1" operator="equal">
      <formula>"Towel"</formula>
    </cfRule>
  </conditionalFormatting>
  <conditionalFormatting sqref="C83:C84">
    <cfRule type="cellIs" dxfId="15663" priority="7922" stopIfTrue="1" operator="equal">
      <formula>"Napkin Hs"</formula>
    </cfRule>
  </conditionalFormatting>
  <conditionalFormatting sqref="C83:C84">
    <cfRule type="cellIs" dxfId="15662" priority="7919" stopIfTrue="1" operator="equal">
      <formula>"Towel"</formula>
    </cfRule>
    <cfRule type="cellIs" dxfId="15661" priority="7920" stopIfTrue="1" operator="equal">
      <formula>"Napkin Hs"</formula>
    </cfRule>
  </conditionalFormatting>
  <conditionalFormatting sqref="C83:C84">
    <cfRule type="cellIs" dxfId="15660" priority="7921" stopIfTrue="1" operator="equal">
      <formula>"Towel"</formula>
    </cfRule>
  </conditionalFormatting>
  <conditionalFormatting sqref="B90:C90">
    <cfRule type="cellIs" dxfId="15659" priority="7911" stopIfTrue="1" operator="equal">
      <formula>"Towel"</formula>
    </cfRule>
    <cfRule type="cellIs" dxfId="15658" priority="7912" stopIfTrue="1" operator="equal">
      <formula>"Napkin Hs"</formula>
    </cfRule>
  </conditionalFormatting>
  <conditionalFormatting sqref="C90">
    <cfRule type="cellIs" dxfId="15657" priority="7907" stopIfTrue="1" operator="equal">
      <formula>"Towel"</formula>
    </cfRule>
    <cfRule type="cellIs" dxfId="15656" priority="7908" stopIfTrue="1" operator="equal">
      <formula>"Napkin Hs"</formula>
    </cfRule>
  </conditionalFormatting>
  <conditionalFormatting sqref="C90">
    <cfRule type="cellIs" dxfId="15655" priority="7909" stopIfTrue="1" operator="equal">
      <formula>"Towel"</formula>
    </cfRule>
    <cfRule type="cellIs" dxfId="15654" priority="7910" stopIfTrue="1" operator="equal">
      <formula>"Napkin Hs"</formula>
    </cfRule>
  </conditionalFormatting>
  <conditionalFormatting sqref="B90:C90">
    <cfRule type="cellIs" dxfId="15653" priority="7906" stopIfTrue="1" operator="equal">
      <formula>"Napkin Hs"</formula>
    </cfRule>
  </conditionalFormatting>
  <conditionalFormatting sqref="B90:C90">
    <cfRule type="cellIs" dxfId="15652" priority="7905" stopIfTrue="1" operator="equal">
      <formula>"Towel"</formula>
    </cfRule>
  </conditionalFormatting>
  <conditionalFormatting sqref="C90">
    <cfRule type="cellIs" dxfId="15651" priority="7904" stopIfTrue="1" operator="equal">
      <formula>"Napkin Hs"</formula>
    </cfRule>
  </conditionalFormatting>
  <conditionalFormatting sqref="C90">
    <cfRule type="cellIs" dxfId="15650" priority="7903" stopIfTrue="1" operator="equal">
      <formula>"Towel"</formula>
    </cfRule>
  </conditionalFormatting>
  <conditionalFormatting sqref="C90">
    <cfRule type="cellIs" dxfId="15649" priority="7901" stopIfTrue="1" operator="equal">
      <formula>"Towel"</formula>
    </cfRule>
    <cfRule type="cellIs" dxfId="15648" priority="7902" stopIfTrue="1" operator="equal">
      <formula>"Napkin Hs"</formula>
    </cfRule>
  </conditionalFormatting>
  <conditionalFormatting sqref="B90:C90">
    <cfRule type="cellIs" dxfId="15647" priority="7899" stopIfTrue="1" operator="equal">
      <formula>"Towel"</formula>
    </cfRule>
    <cfRule type="cellIs" dxfId="15646" priority="7900" stopIfTrue="1" operator="equal">
      <formula>"Napkin Hs"</formula>
    </cfRule>
  </conditionalFormatting>
  <conditionalFormatting sqref="C90">
    <cfRule type="cellIs" dxfId="15645" priority="7897" stopIfTrue="1" operator="equal">
      <formula>"Towel"</formula>
    </cfRule>
    <cfRule type="cellIs" dxfId="15644" priority="7898" stopIfTrue="1" operator="equal">
      <formula>"Napkin Hs"</formula>
    </cfRule>
  </conditionalFormatting>
  <conditionalFormatting sqref="C90">
    <cfRule type="cellIs" dxfId="15643" priority="7895" stopIfTrue="1" operator="equal">
      <formula>"Towel"</formula>
    </cfRule>
    <cfRule type="cellIs" dxfId="15642" priority="7896" stopIfTrue="1" operator="equal">
      <formula>"Napkin Hs"</formula>
    </cfRule>
  </conditionalFormatting>
  <conditionalFormatting sqref="B90:C90">
    <cfRule type="cellIs" dxfId="15641" priority="7893" stopIfTrue="1" operator="equal">
      <formula>"Towel"</formula>
    </cfRule>
    <cfRule type="cellIs" dxfId="15640" priority="7894" stopIfTrue="1" operator="equal">
      <formula>"Napkin Hs"</formula>
    </cfRule>
  </conditionalFormatting>
  <conditionalFormatting sqref="C90">
    <cfRule type="cellIs" dxfId="15639" priority="7891" stopIfTrue="1" operator="equal">
      <formula>"Towel"</formula>
    </cfRule>
    <cfRule type="cellIs" dxfId="15638" priority="7892" stopIfTrue="1" operator="equal">
      <formula>"Napkin Hs"</formula>
    </cfRule>
  </conditionalFormatting>
  <conditionalFormatting sqref="C90">
    <cfRule type="cellIs" dxfId="15637" priority="7889" stopIfTrue="1" operator="equal">
      <formula>"Towel"</formula>
    </cfRule>
    <cfRule type="cellIs" dxfId="15636" priority="7890" stopIfTrue="1" operator="equal">
      <formula>"Napkin Hs"</formula>
    </cfRule>
  </conditionalFormatting>
  <conditionalFormatting sqref="B90:C90">
    <cfRule type="cellIs" dxfId="15635" priority="7887" stopIfTrue="1" operator="equal">
      <formula>"Towel"</formula>
    </cfRule>
    <cfRule type="cellIs" dxfId="15634" priority="7888" stopIfTrue="1" operator="equal">
      <formula>"Napkin Hs"</formula>
    </cfRule>
  </conditionalFormatting>
  <conditionalFormatting sqref="C90">
    <cfRule type="cellIs" dxfId="15633" priority="7885" stopIfTrue="1" operator="equal">
      <formula>"Towel"</formula>
    </cfRule>
    <cfRule type="cellIs" dxfId="15632" priority="7886" stopIfTrue="1" operator="equal">
      <formula>"Napkin Hs"</formula>
    </cfRule>
  </conditionalFormatting>
  <conditionalFormatting sqref="C90">
    <cfRule type="cellIs" dxfId="15631" priority="7883" stopIfTrue="1" operator="equal">
      <formula>"Towel"</formula>
    </cfRule>
    <cfRule type="cellIs" dxfId="15630" priority="7884" stopIfTrue="1" operator="equal">
      <formula>"Napkin Hs"</formula>
    </cfRule>
  </conditionalFormatting>
  <conditionalFormatting sqref="B90:C90">
    <cfRule type="cellIs" dxfId="15629" priority="7881" stopIfTrue="1" operator="equal">
      <formula>"Towel"</formula>
    </cfRule>
    <cfRule type="cellIs" dxfId="15628" priority="7882" stopIfTrue="1" operator="equal">
      <formula>"Napkin Hs"</formula>
    </cfRule>
  </conditionalFormatting>
  <conditionalFormatting sqref="C90">
    <cfRule type="cellIs" dxfId="15627" priority="7879" stopIfTrue="1" operator="equal">
      <formula>"Towel"</formula>
    </cfRule>
    <cfRule type="cellIs" dxfId="15626" priority="7880" stopIfTrue="1" operator="equal">
      <formula>"Napkin Hs"</formula>
    </cfRule>
  </conditionalFormatting>
  <conditionalFormatting sqref="C90">
    <cfRule type="cellIs" dxfId="15625" priority="7877" stopIfTrue="1" operator="equal">
      <formula>"Towel"</formula>
    </cfRule>
    <cfRule type="cellIs" dxfId="15624" priority="7878" stopIfTrue="1" operator="equal">
      <formula>"Napkin Hs"</formula>
    </cfRule>
  </conditionalFormatting>
  <conditionalFormatting sqref="B90:C90">
    <cfRule type="cellIs" dxfId="15623" priority="7875" stopIfTrue="1" operator="equal">
      <formula>"Towel"</formula>
    </cfRule>
    <cfRule type="cellIs" dxfId="15622" priority="7876" stopIfTrue="1" operator="equal">
      <formula>"Napkin Hs"</formula>
    </cfRule>
  </conditionalFormatting>
  <conditionalFormatting sqref="C90">
    <cfRule type="cellIs" dxfId="15621" priority="7873" stopIfTrue="1" operator="equal">
      <formula>"Towel"</formula>
    </cfRule>
    <cfRule type="cellIs" dxfId="15620" priority="7874" stopIfTrue="1" operator="equal">
      <formula>"Napkin Hs"</formula>
    </cfRule>
  </conditionalFormatting>
  <conditionalFormatting sqref="C90">
    <cfRule type="cellIs" dxfId="15619" priority="7871" stopIfTrue="1" operator="equal">
      <formula>"Towel"</formula>
    </cfRule>
    <cfRule type="cellIs" dxfId="15618" priority="7872" stopIfTrue="1" operator="equal">
      <formula>"Napkin Hs"</formula>
    </cfRule>
  </conditionalFormatting>
  <conditionalFormatting sqref="B90:C90">
    <cfRule type="cellIs" dxfId="15617" priority="7870" stopIfTrue="1" operator="equal">
      <formula>"Napkin Hs"</formula>
    </cfRule>
  </conditionalFormatting>
  <conditionalFormatting sqref="B90:C90">
    <cfRule type="cellIs" dxfId="15616" priority="7869" stopIfTrue="1" operator="equal">
      <formula>"Towel"</formula>
    </cfRule>
  </conditionalFormatting>
  <conditionalFormatting sqref="C90">
    <cfRule type="cellIs" dxfId="15615" priority="7868" stopIfTrue="1" operator="equal">
      <formula>"Napkin Hs"</formula>
    </cfRule>
  </conditionalFormatting>
  <conditionalFormatting sqref="C90">
    <cfRule type="cellIs" dxfId="15614" priority="7865" stopIfTrue="1" operator="equal">
      <formula>"Towel"</formula>
    </cfRule>
    <cfRule type="cellIs" dxfId="15613" priority="7866" stopIfTrue="1" operator="equal">
      <formula>"Napkin Hs"</formula>
    </cfRule>
  </conditionalFormatting>
  <conditionalFormatting sqref="C90">
    <cfRule type="cellIs" dxfId="15612" priority="7867" stopIfTrue="1" operator="equal">
      <formula>"Towel"</formula>
    </cfRule>
  </conditionalFormatting>
  <conditionalFormatting sqref="B89:C89">
    <cfRule type="cellIs" dxfId="15611" priority="7863" stopIfTrue="1" operator="equal">
      <formula>"Towel"</formula>
    </cfRule>
    <cfRule type="cellIs" dxfId="15610" priority="7864" stopIfTrue="1" operator="equal">
      <formula>"Napkin Hs"</formula>
    </cfRule>
  </conditionalFormatting>
  <conditionalFormatting sqref="C89">
    <cfRule type="cellIs" dxfId="15609" priority="7859" stopIfTrue="1" operator="equal">
      <formula>"Towel"</formula>
    </cfRule>
    <cfRule type="cellIs" dxfId="15608" priority="7860" stopIfTrue="1" operator="equal">
      <formula>"Napkin Hs"</formula>
    </cfRule>
  </conditionalFormatting>
  <conditionalFormatting sqref="C89">
    <cfRule type="cellIs" dxfId="15607" priority="7861" stopIfTrue="1" operator="equal">
      <formula>"Towel"</formula>
    </cfRule>
    <cfRule type="cellIs" dxfId="15606" priority="7862" stopIfTrue="1" operator="equal">
      <formula>"Napkin Hs"</formula>
    </cfRule>
  </conditionalFormatting>
  <conditionalFormatting sqref="B86:C87">
    <cfRule type="cellIs" dxfId="15605" priority="7858" stopIfTrue="1" operator="equal">
      <formula>"Napkin Hs"</formula>
    </cfRule>
  </conditionalFormatting>
  <conditionalFormatting sqref="B86:C87">
    <cfRule type="cellIs" dxfId="15604" priority="7857" stopIfTrue="1" operator="equal">
      <formula>"Towel"</formula>
    </cfRule>
  </conditionalFormatting>
  <conditionalFormatting sqref="C86:C87">
    <cfRule type="cellIs" dxfId="15603" priority="7856" stopIfTrue="1" operator="equal">
      <formula>"Napkin Hs"</formula>
    </cfRule>
  </conditionalFormatting>
  <conditionalFormatting sqref="C86:C87">
    <cfRule type="cellIs" dxfId="15602" priority="7855" stopIfTrue="1" operator="equal">
      <formula>"Towel"</formula>
    </cfRule>
  </conditionalFormatting>
  <conditionalFormatting sqref="C86:C87">
    <cfRule type="cellIs" dxfId="15601" priority="7853" stopIfTrue="1" operator="equal">
      <formula>"Towel"</formula>
    </cfRule>
    <cfRule type="cellIs" dxfId="15600" priority="7854" stopIfTrue="1" operator="equal">
      <formula>"Napkin Hs"</formula>
    </cfRule>
  </conditionalFormatting>
  <conditionalFormatting sqref="C86:C87">
    <cfRule type="cellIs" dxfId="15599" priority="7847" stopIfTrue="1" operator="equal">
      <formula>"Towel"</formula>
    </cfRule>
    <cfRule type="cellIs" dxfId="15598" priority="7848" stopIfTrue="1" operator="equal">
      <formula>"Napkin Hs"</formula>
    </cfRule>
  </conditionalFormatting>
  <conditionalFormatting sqref="B86:C87">
    <cfRule type="cellIs" dxfId="15597" priority="7846" stopIfTrue="1" operator="equal">
      <formula>"Napkin Hs"</formula>
    </cfRule>
  </conditionalFormatting>
  <conditionalFormatting sqref="B86:C87">
    <cfRule type="cellIs" dxfId="15596" priority="7845" stopIfTrue="1" operator="equal">
      <formula>"Towel"</formula>
    </cfRule>
  </conditionalFormatting>
  <conditionalFormatting sqref="C86:C87">
    <cfRule type="cellIs" dxfId="15595" priority="7844" stopIfTrue="1" operator="equal">
      <formula>"Napkin Hs"</formula>
    </cfRule>
  </conditionalFormatting>
  <conditionalFormatting sqref="C86:C87">
    <cfRule type="cellIs" dxfId="15594" priority="7843" stopIfTrue="1" operator="equal">
      <formula>"Towel"</formula>
    </cfRule>
  </conditionalFormatting>
  <conditionalFormatting sqref="C86:C87">
    <cfRule type="cellIs" dxfId="15593" priority="7841" stopIfTrue="1" operator="equal">
      <formula>"Towel"</formula>
    </cfRule>
    <cfRule type="cellIs" dxfId="15592" priority="7842" stopIfTrue="1" operator="equal">
      <formula>"Napkin Hs"</formula>
    </cfRule>
  </conditionalFormatting>
  <conditionalFormatting sqref="C86:C87">
    <cfRule type="cellIs" dxfId="15591" priority="7835" stopIfTrue="1" operator="equal">
      <formula>"Towel"</formula>
    </cfRule>
    <cfRule type="cellIs" dxfId="15590" priority="7836" stopIfTrue="1" operator="equal">
      <formula>"Napkin Hs"</formula>
    </cfRule>
  </conditionalFormatting>
  <conditionalFormatting sqref="C86:C87">
    <cfRule type="cellIs" dxfId="15589" priority="7829" stopIfTrue="1" operator="equal">
      <formula>"Towel"</formula>
    </cfRule>
    <cfRule type="cellIs" dxfId="15588" priority="7830" stopIfTrue="1" operator="equal">
      <formula>"Napkin Hs"</formula>
    </cfRule>
  </conditionalFormatting>
  <conditionalFormatting sqref="C86:C87">
    <cfRule type="cellIs" dxfId="15587" priority="7823" stopIfTrue="1" operator="equal">
      <formula>"Towel"</formula>
    </cfRule>
    <cfRule type="cellIs" dxfId="15586" priority="7824" stopIfTrue="1" operator="equal">
      <formula>"Napkin Hs"</formula>
    </cfRule>
  </conditionalFormatting>
  <conditionalFormatting sqref="C86:C87">
    <cfRule type="cellIs" dxfId="15585" priority="7817" stopIfTrue="1" operator="equal">
      <formula>"Towel"</formula>
    </cfRule>
    <cfRule type="cellIs" dxfId="15584" priority="7818" stopIfTrue="1" operator="equal">
      <formula>"Napkin Hs"</formula>
    </cfRule>
  </conditionalFormatting>
  <conditionalFormatting sqref="C86:C87">
    <cfRule type="cellIs" dxfId="15583" priority="7811" stopIfTrue="1" operator="equal">
      <formula>"Towel"</formula>
    </cfRule>
    <cfRule type="cellIs" dxfId="15582" priority="7812" stopIfTrue="1" operator="equal">
      <formula>"Napkin Hs"</formula>
    </cfRule>
  </conditionalFormatting>
  <conditionalFormatting sqref="B86:C87">
    <cfRule type="cellIs" dxfId="15581" priority="7810" stopIfTrue="1" operator="equal">
      <formula>"Napkin Hs"</formula>
    </cfRule>
  </conditionalFormatting>
  <conditionalFormatting sqref="B86:C87">
    <cfRule type="cellIs" dxfId="15580" priority="7809" stopIfTrue="1" operator="equal">
      <formula>"Towel"</formula>
    </cfRule>
  </conditionalFormatting>
  <conditionalFormatting sqref="C86:C87">
    <cfRule type="cellIs" dxfId="15579" priority="7808" stopIfTrue="1" operator="equal">
      <formula>"Napkin Hs"</formula>
    </cfRule>
  </conditionalFormatting>
  <conditionalFormatting sqref="C86:C87">
    <cfRule type="cellIs" dxfId="15578" priority="7805" stopIfTrue="1" operator="equal">
      <formula>"Towel"</formula>
    </cfRule>
    <cfRule type="cellIs" dxfId="15577" priority="7806" stopIfTrue="1" operator="equal">
      <formula>"Napkin Hs"</formula>
    </cfRule>
  </conditionalFormatting>
  <conditionalFormatting sqref="C86:C87">
    <cfRule type="cellIs" dxfId="15576" priority="7807" stopIfTrue="1" operator="equal">
      <formula>"Towel"</formula>
    </cfRule>
  </conditionalFormatting>
  <conditionalFormatting sqref="B86:C87">
    <cfRule type="cellIs" dxfId="15575" priority="7804" stopIfTrue="1" operator="equal">
      <formula>"Napkin Hs"</formula>
    </cfRule>
  </conditionalFormatting>
  <conditionalFormatting sqref="B86:C87">
    <cfRule type="cellIs" dxfId="15574" priority="7803" stopIfTrue="1" operator="equal">
      <formula>"Towel"</formula>
    </cfRule>
  </conditionalFormatting>
  <conditionalFormatting sqref="C86:C87">
    <cfRule type="cellIs" dxfId="15573" priority="7802" stopIfTrue="1" operator="equal">
      <formula>"Napkin Hs"</formula>
    </cfRule>
  </conditionalFormatting>
  <conditionalFormatting sqref="C86:C87">
    <cfRule type="cellIs" dxfId="15572" priority="7799" stopIfTrue="1" operator="equal">
      <formula>"Towel"</formula>
    </cfRule>
    <cfRule type="cellIs" dxfId="15571" priority="7800" stopIfTrue="1" operator="equal">
      <formula>"Napkin Hs"</formula>
    </cfRule>
  </conditionalFormatting>
  <conditionalFormatting sqref="C86:C87">
    <cfRule type="cellIs" dxfId="15570" priority="7801" stopIfTrue="1" operator="equal">
      <formula>"Towel"</formula>
    </cfRule>
  </conditionalFormatting>
  <conditionalFormatting sqref="B88:C88">
    <cfRule type="cellIs" dxfId="15569" priority="7732" stopIfTrue="1" operator="equal">
      <formula>"Napkin Hs"</formula>
    </cfRule>
  </conditionalFormatting>
  <conditionalFormatting sqref="B88:C88">
    <cfRule type="cellIs" dxfId="15568" priority="7731" stopIfTrue="1" operator="equal">
      <formula>"Towel"</formula>
    </cfRule>
  </conditionalFormatting>
  <conditionalFormatting sqref="C88">
    <cfRule type="cellIs" dxfId="15567" priority="7730" stopIfTrue="1" operator="equal">
      <formula>"Napkin Hs"</formula>
    </cfRule>
  </conditionalFormatting>
  <conditionalFormatting sqref="C88">
    <cfRule type="cellIs" dxfId="15566" priority="7727" stopIfTrue="1" operator="equal">
      <formula>"Towel"</formula>
    </cfRule>
    <cfRule type="cellIs" dxfId="15565" priority="7728" stopIfTrue="1" operator="equal">
      <formula>"Napkin Hs"</formula>
    </cfRule>
  </conditionalFormatting>
  <conditionalFormatting sqref="C88">
    <cfRule type="cellIs" dxfId="15564" priority="7729" stopIfTrue="1" operator="equal">
      <formula>"Towel"</formula>
    </cfRule>
  </conditionalFormatting>
  <conditionalFormatting sqref="B86:C87">
    <cfRule type="cellIs" dxfId="15563" priority="7851" stopIfTrue="1" operator="equal">
      <formula>"Towel"</formula>
    </cfRule>
    <cfRule type="cellIs" dxfId="15562" priority="7852" stopIfTrue="1" operator="equal">
      <formula>"Napkin Hs"</formula>
    </cfRule>
  </conditionalFormatting>
  <conditionalFormatting sqref="C86:C87">
    <cfRule type="cellIs" dxfId="15561" priority="7849" stopIfTrue="1" operator="equal">
      <formula>"Towel"</formula>
    </cfRule>
    <cfRule type="cellIs" dxfId="15560" priority="7850" stopIfTrue="1" operator="equal">
      <formula>"Napkin Hs"</formula>
    </cfRule>
  </conditionalFormatting>
  <conditionalFormatting sqref="B86:C87">
    <cfRule type="cellIs" dxfId="15559" priority="7839" stopIfTrue="1" operator="equal">
      <formula>"Towel"</formula>
    </cfRule>
    <cfRule type="cellIs" dxfId="15558" priority="7840" stopIfTrue="1" operator="equal">
      <formula>"Napkin Hs"</formula>
    </cfRule>
  </conditionalFormatting>
  <conditionalFormatting sqref="C86:C87">
    <cfRule type="cellIs" dxfId="15557" priority="7837" stopIfTrue="1" operator="equal">
      <formula>"Towel"</formula>
    </cfRule>
    <cfRule type="cellIs" dxfId="15556" priority="7838" stopIfTrue="1" operator="equal">
      <formula>"Napkin Hs"</formula>
    </cfRule>
  </conditionalFormatting>
  <conditionalFormatting sqref="B86:C87">
    <cfRule type="cellIs" dxfId="15555" priority="7833" stopIfTrue="1" operator="equal">
      <formula>"Towel"</formula>
    </cfRule>
    <cfRule type="cellIs" dxfId="15554" priority="7834" stopIfTrue="1" operator="equal">
      <formula>"Napkin Hs"</formula>
    </cfRule>
  </conditionalFormatting>
  <conditionalFormatting sqref="C86:C87">
    <cfRule type="cellIs" dxfId="15553" priority="7831" stopIfTrue="1" operator="equal">
      <formula>"Towel"</formula>
    </cfRule>
    <cfRule type="cellIs" dxfId="15552" priority="7832" stopIfTrue="1" operator="equal">
      <formula>"Napkin Hs"</formula>
    </cfRule>
  </conditionalFormatting>
  <conditionalFormatting sqref="B86:C87">
    <cfRule type="cellIs" dxfId="15551" priority="7827" stopIfTrue="1" operator="equal">
      <formula>"Towel"</formula>
    </cfRule>
    <cfRule type="cellIs" dxfId="15550" priority="7828" stopIfTrue="1" operator="equal">
      <formula>"Napkin Hs"</formula>
    </cfRule>
  </conditionalFormatting>
  <conditionalFormatting sqref="C86:C87">
    <cfRule type="cellIs" dxfId="15549" priority="7825" stopIfTrue="1" operator="equal">
      <formula>"Towel"</formula>
    </cfRule>
    <cfRule type="cellIs" dxfId="15548" priority="7826" stopIfTrue="1" operator="equal">
      <formula>"Napkin Hs"</formula>
    </cfRule>
  </conditionalFormatting>
  <conditionalFormatting sqref="B86:C87">
    <cfRule type="cellIs" dxfId="15547" priority="7821" stopIfTrue="1" operator="equal">
      <formula>"Towel"</formula>
    </cfRule>
    <cfRule type="cellIs" dxfId="15546" priority="7822" stopIfTrue="1" operator="equal">
      <formula>"Napkin Hs"</formula>
    </cfRule>
  </conditionalFormatting>
  <conditionalFormatting sqref="C86:C87">
    <cfRule type="cellIs" dxfId="15545" priority="7819" stopIfTrue="1" operator="equal">
      <formula>"Towel"</formula>
    </cfRule>
    <cfRule type="cellIs" dxfId="15544" priority="7820" stopIfTrue="1" operator="equal">
      <formula>"Napkin Hs"</formula>
    </cfRule>
  </conditionalFormatting>
  <conditionalFormatting sqref="B86:C87">
    <cfRule type="cellIs" dxfId="15543" priority="7815" stopIfTrue="1" operator="equal">
      <formula>"Towel"</formula>
    </cfRule>
    <cfRule type="cellIs" dxfId="15542" priority="7816" stopIfTrue="1" operator="equal">
      <formula>"Napkin Hs"</formula>
    </cfRule>
  </conditionalFormatting>
  <conditionalFormatting sqref="C86:C87">
    <cfRule type="cellIs" dxfId="15541" priority="7813" stopIfTrue="1" operator="equal">
      <formula>"Towel"</formula>
    </cfRule>
    <cfRule type="cellIs" dxfId="15540" priority="7814" stopIfTrue="1" operator="equal">
      <formula>"Napkin Hs"</formula>
    </cfRule>
  </conditionalFormatting>
  <conditionalFormatting sqref="B86:C87">
    <cfRule type="cellIs" dxfId="15539" priority="7798" stopIfTrue="1" operator="equal">
      <formula>"Napkin Hs"</formula>
    </cfRule>
  </conditionalFormatting>
  <conditionalFormatting sqref="B86:C87">
    <cfRule type="cellIs" dxfId="15538" priority="7797" stopIfTrue="1" operator="equal">
      <formula>"Towel"</formula>
    </cfRule>
  </conditionalFormatting>
  <conditionalFormatting sqref="C86:C87">
    <cfRule type="cellIs" dxfId="15537" priority="7796" stopIfTrue="1" operator="equal">
      <formula>"Napkin Hs"</formula>
    </cfRule>
  </conditionalFormatting>
  <conditionalFormatting sqref="C86:C87">
    <cfRule type="cellIs" dxfId="15536" priority="7793" stopIfTrue="1" operator="equal">
      <formula>"Towel"</formula>
    </cfRule>
    <cfRule type="cellIs" dxfId="15535" priority="7794" stopIfTrue="1" operator="equal">
      <formula>"Napkin Hs"</formula>
    </cfRule>
  </conditionalFormatting>
  <conditionalFormatting sqref="C86:C87">
    <cfRule type="cellIs" dxfId="15534" priority="7795" stopIfTrue="1" operator="equal">
      <formula>"Towel"</formula>
    </cfRule>
  </conditionalFormatting>
  <conditionalFormatting sqref="B88:C88">
    <cfRule type="cellIs" dxfId="15533" priority="7792" stopIfTrue="1" operator="equal">
      <formula>"Napkin Hs"</formula>
    </cfRule>
  </conditionalFormatting>
  <conditionalFormatting sqref="B88:C88">
    <cfRule type="cellIs" dxfId="15532" priority="7791" stopIfTrue="1" operator="equal">
      <formula>"Towel"</formula>
    </cfRule>
  </conditionalFormatting>
  <conditionalFormatting sqref="C88">
    <cfRule type="cellIs" dxfId="15531" priority="7790" stopIfTrue="1" operator="equal">
      <formula>"Napkin Hs"</formula>
    </cfRule>
  </conditionalFormatting>
  <conditionalFormatting sqref="C88">
    <cfRule type="cellIs" dxfId="15530" priority="7789" stopIfTrue="1" operator="equal">
      <formula>"Towel"</formula>
    </cfRule>
  </conditionalFormatting>
  <conditionalFormatting sqref="C88">
    <cfRule type="cellIs" dxfId="15529" priority="7787" stopIfTrue="1" operator="equal">
      <formula>"Towel"</formula>
    </cfRule>
    <cfRule type="cellIs" dxfId="15528" priority="7788" stopIfTrue="1" operator="equal">
      <formula>"Napkin Hs"</formula>
    </cfRule>
  </conditionalFormatting>
  <conditionalFormatting sqref="B88:C88">
    <cfRule type="cellIs" dxfId="15527" priority="7785" stopIfTrue="1" operator="equal">
      <formula>"Towel"</formula>
    </cfRule>
    <cfRule type="cellIs" dxfId="15526" priority="7786" stopIfTrue="1" operator="equal">
      <formula>"Napkin Hs"</formula>
    </cfRule>
  </conditionalFormatting>
  <conditionalFormatting sqref="C88">
    <cfRule type="cellIs" dxfId="15525" priority="7781" stopIfTrue="1" operator="equal">
      <formula>"Towel"</formula>
    </cfRule>
    <cfRule type="cellIs" dxfId="15524" priority="7782" stopIfTrue="1" operator="equal">
      <formula>"Napkin Hs"</formula>
    </cfRule>
  </conditionalFormatting>
  <conditionalFormatting sqref="C88">
    <cfRule type="cellIs" dxfId="15523" priority="7783" stopIfTrue="1" operator="equal">
      <formula>"Towel"</formula>
    </cfRule>
    <cfRule type="cellIs" dxfId="15522" priority="7784" stopIfTrue="1" operator="equal">
      <formula>"Napkin Hs"</formula>
    </cfRule>
  </conditionalFormatting>
  <conditionalFormatting sqref="B88:C88">
    <cfRule type="cellIs" dxfId="15521" priority="7780" stopIfTrue="1" operator="equal">
      <formula>"Napkin Hs"</formula>
    </cfRule>
  </conditionalFormatting>
  <conditionalFormatting sqref="B88:C88">
    <cfRule type="cellIs" dxfId="15520" priority="7779" stopIfTrue="1" operator="equal">
      <formula>"Towel"</formula>
    </cfRule>
  </conditionalFormatting>
  <conditionalFormatting sqref="C88">
    <cfRule type="cellIs" dxfId="15519" priority="7778" stopIfTrue="1" operator="equal">
      <formula>"Napkin Hs"</formula>
    </cfRule>
  </conditionalFormatting>
  <conditionalFormatting sqref="C88">
    <cfRule type="cellIs" dxfId="15518" priority="7777" stopIfTrue="1" operator="equal">
      <formula>"Towel"</formula>
    </cfRule>
  </conditionalFormatting>
  <conditionalFormatting sqref="C88">
    <cfRule type="cellIs" dxfId="15517" priority="7775" stopIfTrue="1" operator="equal">
      <formula>"Towel"</formula>
    </cfRule>
    <cfRule type="cellIs" dxfId="15516" priority="7776" stopIfTrue="1" operator="equal">
      <formula>"Napkin Hs"</formula>
    </cfRule>
  </conditionalFormatting>
  <conditionalFormatting sqref="B88:C88">
    <cfRule type="cellIs" dxfId="15515" priority="7773" stopIfTrue="1" operator="equal">
      <formula>"Towel"</formula>
    </cfRule>
    <cfRule type="cellIs" dxfId="15514" priority="7774" stopIfTrue="1" operator="equal">
      <formula>"Napkin Hs"</formula>
    </cfRule>
  </conditionalFormatting>
  <conditionalFormatting sqref="C88">
    <cfRule type="cellIs" dxfId="15513" priority="7771" stopIfTrue="1" operator="equal">
      <formula>"Towel"</formula>
    </cfRule>
    <cfRule type="cellIs" dxfId="15512" priority="7772" stopIfTrue="1" operator="equal">
      <formula>"Napkin Hs"</formula>
    </cfRule>
  </conditionalFormatting>
  <conditionalFormatting sqref="C88">
    <cfRule type="cellIs" dxfId="15511" priority="7769" stopIfTrue="1" operator="equal">
      <formula>"Towel"</formula>
    </cfRule>
    <cfRule type="cellIs" dxfId="15510" priority="7770" stopIfTrue="1" operator="equal">
      <formula>"Napkin Hs"</formula>
    </cfRule>
  </conditionalFormatting>
  <conditionalFormatting sqref="B88:C88">
    <cfRule type="cellIs" dxfId="15509" priority="7767" stopIfTrue="1" operator="equal">
      <formula>"Towel"</formula>
    </cfRule>
    <cfRule type="cellIs" dxfId="15508" priority="7768" stopIfTrue="1" operator="equal">
      <formula>"Napkin Hs"</formula>
    </cfRule>
  </conditionalFormatting>
  <conditionalFormatting sqref="C88">
    <cfRule type="cellIs" dxfId="15507" priority="7765" stopIfTrue="1" operator="equal">
      <formula>"Towel"</formula>
    </cfRule>
    <cfRule type="cellIs" dxfId="15506" priority="7766" stopIfTrue="1" operator="equal">
      <formula>"Napkin Hs"</formula>
    </cfRule>
  </conditionalFormatting>
  <conditionalFormatting sqref="C88">
    <cfRule type="cellIs" dxfId="15505" priority="7763" stopIfTrue="1" operator="equal">
      <formula>"Towel"</formula>
    </cfRule>
    <cfRule type="cellIs" dxfId="15504" priority="7764" stopIfTrue="1" operator="equal">
      <formula>"Napkin Hs"</formula>
    </cfRule>
  </conditionalFormatting>
  <conditionalFormatting sqref="B88:C88">
    <cfRule type="cellIs" dxfId="15503" priority="7761" stopIfTrue="1" operator="equal">
      <formula>"Towel"</formula>
    </cfRule>
    <cfRule type="cellIs" dxfId="15502" priority="7762" stopIfTrue="1" operator="equal">
      <formula>"Napkin Hs"</formula>
    </cfRule>
  </conditionalFormatting>
  <conditionalFormatting sqref="C88">
    <cfRule type="cellIs" dxfId="15501" priority="7759" stopIfTrue="1" operator="equal">
      <formula>"Towel"</formula>
    </cfRule>
    <cfRule type="cellIs" dxfId="15500" priority="7760" stopIfTrue="1" operator="equal">
      <formula>"Napkin Hs"</formula>
    </cfRule>
  </conditionalFormatting>
  <conditionalFormatting sqref="C88">
    <cfRule type="cellIs" dxfId="15499" priority="7757" stopIfTrue="1" operator="equal">
      <formula>"Towel"</formula>
    </cfRule>
    <cfRule type="cellIs" dxfId="15498" priority="7758" stopIfTrue="1" operator="equal">
      <formula>"Napkin Hs"</formula>
    </cfRule>
  </conditionalFormatting>
  <conditionalFormatting sqref="B88:C88">
    <cfRule type="cellIs" dxfId="15497" priority="7755" stopIfTrue="1" operator="equal">
      <formula>"Towel"</formula>
    </cfRule>
    <cfRule type="cellIs" dxfId="15496" priority="7756" stopIfTrue="1" operator="equal">
      <formula>"Napkin Hs"</formula>
    </cfRule>
  </conditionalFormatting>
  <conditionalFormatting sqref="C88">
    <cfRule type="cellIs" dxfId="15495" priority="7753" stopIfTrue="1" operator="equal">
      <formula>"Towel"</formula>
    </cfRule>
    <cfRule type="cellIs" dxfId="15494" priority="7754" stopIfTrue="1" operator="equal">
      <formula>"Napkin Hs"</formula>
    </cfRule>
  </conditionalFormatting>
  <conditionalFormatting sqref="C88">
    <cfRule type="cellIs" dxfId="15493" priority="7751" stopIfTrue="1" operator="equal">
      <formula>"Towel"</formula>
    </cfRule>
    <cfRule type="cellIs" dxfId="15492" priority="7752" stopIfTrue="1" operator="equal">
      <formula>"Napkin Hs"</formula>
    </cfRule>
  </conditionalFormatting>
  <conditionalFormatting sqref="B88:C88">
    <cfRule type="cellIs" dxfId="15491" priority="7749" stopIfTrue="1" operator="equal">
      <formula>"Towel"</formula>
    </cfRule>
    <cfRule type="cellIs" dxfId="15490" priority="7750" stopIfTrue="1" operator="equal">
      <formula>"Napkin Hs"</formula>
    </cfRule>
  </conditionalFormatting>
  <conditionalFormatting sqref="C88">
    <cfRule type="cellIs" dxfId="15489" priority="7747" stopIfTrue="1" operator="equal">
      <formula>"Towel"</formula>
    </cfRule>
    <cfRule type="cellIs" dxfId="15488" priority="7748" stopIfTrue="1" operator="equal">
      <formula>"Napkin Hs"</formula>
    </cfRule>
  </conditionalFormatting>
  <conditionalFormatting sqref="C88">
    <cfRule type="cellIs" dxfId="15487" priority="7745" stopIfTrue="1" operator="equal">
      <formula>"Towel"</formula>
    </cfRule>
    <cfRule type="cellIs" dxfId="15486" priority="7746" stopIfTrue="1" operator="equal">
      <formula>"Napkin Hs"</formula>
    </cfRule>
  </conditionalFormatting>
  <conditionalFormatting sqref="B88:C88">
    <cfRule type="cellIs" dxfId="15485" priority="7744" stopIfTrue="1" operator="equal">
      <formula>"Napkin Hs"</formula>
    </cfRule>
  </conditionalFormatting>
  <conditionalFormatting sqref="B88:C88">
    <cfRule type="cellIs" dxfId="15484" priority="7743" stopIfTrue="1" operator="equal">
      <formula>"Towel"</formula>
    </cfRule>
  </conditionalFormatting>
  <conditionalFormatting sqref="C88">
    <cfRule type="cellIs" dxfId="15483" priority="7742" stopIfTrue="1" operator="equal">
      <formula>"Napkin Hs"</formula>
    </cfRule>
  </conditionalFormatting>
  <conditionalFormatting sqref="C88">
    <cfRule type="cellIs" dxfId="15482" priority="7739" stopIfTrue="1" operator="equal">
      <formula>"Towel"</formula>
    </cfRule>
    <cfRule type="cellIs" dxfId="15481" priority="7740" stopIfTrue="1" operator="equal">
      <formula>"Napkin Hs"</formula>
    </cfRule>
  </conditionalFormatting>
  <conditionalFormatting sqref="C88">
    <cfRule type="cellIs" dxfId="15480" priority="7741" stopIfTrue="1" operator="equal">
      <formula>"Towel"</formula>
    </cfRule>
  </conditionalFormatting>
  <conditionalFormatting sqref="B88:C88">
    <cfRule type="cellIs" dxfId="15479" priority="7738" stopIfTrue="1" operator="equal">
      <formula>"Napkin Hs"</formula>
    </cfRule>
  </conditionalFormatting>
  <conditionalFormatting sqref="B88:C88">
    <cfRule type="cellIs" dxfId="15478" priority="7737" stopIfTrue="1" operator="equal">
      <formula>"Towel"</formula>
    </cfRule>
  </conditionalFormatting>
  <conditionalFormatting sqref="C88">
    <cfRule type="cellIs" dxfId="15477" priority="7736" stopIfTrue="1" operator="equal">
      <formula>"Napkin Hs"</formula>
    </cfRule>
  </conditionalFormatting>
  <conditionalFormatting sqref="C88">
    <cfRule type="cellIs" dxfId="15476" priority="7733" stopIfTrue="1" operator="equal">
      <formula>"Towel"</formula>
    </cfRule>
    <cfRule type="cellIs" dxfId="15475" priority="7734" stopIfTrue="1" operator="equal">
      <formula>"Napkin Hs"</formula>
    </cfRule>
  </conditionalFormatting>
  <conditionalFormatting sqref="C88">
    <cfRule type="cellIs" dxfId="15474" priority="7735" stopIfTrue="1" operator="equal">
      <formula>"Towel"</formula>
    </cfRule>
  </conditionalFormatting>
  <conditionalFormatting sqref="B93:C93">
    <cfRule type="cellIs" dxfId="15473" priority="7725" stopIfTrue="1" operator="equal">
      <formula>"Towel"</formula>
    </cfRule>
    <cfRule type="cellIs" dxfId="15472" priority="7726" stopIfTrue="1" operator="equal">
      <formula>"Napkin Hs"</formula>
    </cfRule>
  </conditionalFormatting>
  <conditionalFormatting sqref="C93">
    <cfRule type="cellIs" dxfId="15471" priority="7723" stopIfTrue="1" operator="equal">
      <formula>"Towel"</formula>
    </cfRule>
    <cfRule type="cellIs" dxfId="15470" priority="7724" stopIfTrue="1" operator="equal">
      <formula>"Napkin Hs"</formula>
    </cfRule>
  </conditionalFormatting>
  <conditionalFormatting sqref="C93">
    <cfRule type="cellIs" dxfId="15469" priority="7721" stopIfTrue="1" operator="equal">
      <formula>"Towel"</formula>
    </cfRule>
    <cfRule type="cellIs" dxfId="15468" priority="7722" stopIfTrue="1" operator="equal">
      <formula>"Napkin Hs"</formula>
    </cfRule>
  </conditionalFormatting>
  <conditionalFormatting sqref="B94:C94">
    <cfRule type="cellIs" dxfId="15467" priority="7719" stopIfTrue="1" operator="equal">
      <formula>"Towel"</formula>
    </cfRule>
    <cfRule type="cellIs" dxfId="15466" priority="7720" stopIfTrue="1" operator="equal">
      <formula>"Napkin Hs"</formula>
    </cfRule>
  </conditionalFormatting>
  <conditionalFormatting sqref="C94">
    <cfRule type="cellIs" dxfId="15465" priority="7715" stopIfTrue="1" operator="equal">
      <formula>"Towel"</formula>
    </cfRule>
    <cfRule type="cellIs" dxfId="15464" priority="7716" stopIfTrue="1" operator="equal">
      <formula>"Napkin Hs"</formula>
    </cfRule>
  </conditionalFormatting>
  <conditionalFormatting sqref="C94">
    <cfRule type="cellIs" dxfId="15463" priority="7717" stopIfTrue="1" operator="equal">
      <formula>"Towel"</formula>
    </cfRule>
    <cfRule type="cellIs" dxfId="15462" priority="7718" stopIfTrue="1" operator="equal">
      <formula>"Napkin Hs"</formula>
    </cfRule>
  </conditionalFormatting>
  <conditionalFormatting sqref="B94:C94">
    <cfRule type="cellIs" dxfId="15461" priority="7714" stopIfTrue="1" operator="equal">
      <formula>"Napkin Hs"</formula>
    </cfRule>
  </conditionalFormatting>
  <conditionalFormatting sqref="B94:C94">
    <cfRule type="cellIs" dxfId="15460" priority="7713" stopIfTrue="1" operator="equal">
      <formula>"Towel"</formula>
    </cfRule>
  </conditionalFormatting>
  <conditionalFormatting sqref="C94">
    <cfRule type="cellIs" dxfId="15459" priority="7712" stopIfTrue="1" operator="equal">
      <formula>"Napkin Hs"</formula>
    </cfRule>
  </conditionalFormatting>
  <conditionalFormatting sqref="C94">
    <cfRule type="cellIs" dxfId="15458" priority="7711" stopIfTrue="1" operator="equal">
      <formula>"Towel"</formula>
    </cfRule>
  </conditionalFormatting>
  <conditionalFormatting sqref="C94">
    <cfRule type="cellIs" dxfId="15457" priority="7709" stopIfTrue="1" operator="equal">
      <formula>"Towel"</formula>
    </cfRule>
    <cfRule type="cellIs" dxfId="15456" priority="7710" stopIfTrue="1" operator="equal">
      <formula>"Napkin Hs"</formula>
    </cfRule>
  </conditionalFormatting>
  <conditionalFormatting sqref="B94:C94">
    <cfRule type="cellIs" dxfId="15455" priority="7707" stopIfTrue="1" operator="equal">
      <formula>"Towel"</formula>
    </cfRule>
    <cfRule type="cellIs" dxfId="15454" priority="7708" stopIfTrue="1" operator="equal">
      <formula>"Napkin Hs"</formula>
    </cfRule>
  </conditionalFormatting>
  <conditionalFormatting sqref="C94">
    <cfRule type="cellIs" dxfId="15453" priority="7705" stopIfTrue="1" operator="equal">
      <formula>"Towel"</formula>
    </cfRule>
    <cfRule type="cellIs" dxfId="15452" priority="7706" stopIfTrue="1" operator="equal">
      <formula>"Napkin Hs"</formula>
    </cfRule>
  </conditionalFormatting>
  <conditionalFormatting sqref="C94">
    <cfRule type="cellIs" dxfId="15451" priority="7703" stopIfTrue="1" operator="equal">
      <formula>"Towel"</formula>
    </cfRule>
    <cfRule type="cellIs" dxfId="15450" priority="7704" stopIfTrue="1" operator="equal">
      <formula>"Napkin Hs"</formula>
    </cfRule>
  </conditionalFormatting>
  <conditionalFormatting sqref="B94:C94">
    <cfRule type="cellIs" dxfId="15449" priority="7701" stopIfTrue="1" operator="equal">
      <formula>"Towel"</formula>
    </cfRule>
    <cfRule type="cellIs" dxfId="15448" priority="7702" stopIfTrue="1" operator="equal">
      <formula>"Napkin Hs"</formula>
    </cfRule>
  </conditionalFormatting>
  <conditionalFormatting sqref="C94">
    <cfRule type="cellIs" dxfId="15447" priority="7699" stopIfTrue="1" operator="equal">
      <formula>"Towel"</formula>
    </cfRule>
    <cfRule type="cellIs" dxfId="15446" priority="7700" stopIfTrue="1" operator="equal">
      <formula>"Napkin Hs"</formula>
    </cfRule>
  </conditionalFormatting>
  <conditionalFormatting sqref="C94">
    <cfRule type="cellIs" dxfId="15445" priority="7697" stopIfTrue="1" operator="equal">
      <formula>"Towel"</formula>
    </cfRule>
    <cfRule type="cellIs" dxfId="15444" priority="7698" stopIfTrue="1" operator="equal">
      <formula>"Napkin Hs"</formula>
    </cfRule>
  </conditionalFormatting>
  <conditionalFormatting sqref="B94:C94">
    <cfRule type="cellIs" dxfId="15443" priority="7695" stopIfTrue="1" operator="equal">
      <formula>"Towel"</formula>
    </cfRule>
    <cfRule type="cellIs" dxfId="15442" priority="7696" stopIfTrue="1" operator="equal">
      <formula>"Napkin Hs"</formula>
    </cfRule>
  </conditionalFormatting>
  <conditionalFormatting sqref="C94">
    <cfRule type="cellIs" dxfId="15441" priority="7693" stopIfTrue="1" operator="equal">
      <formula>"Towel"</formula>
    </cfRule>
    <cfRule type="cellIs" dxfId="15440" priority="7694" stopIfTrue="1" operator="equal">
      <formula>"Napkin Hs"</formula>
    </cfRule>
  </conditionalFormatting>
  <conditionalFormatting sqref="C94">
    <cfRule type="cellIs" dxfId="15439" priority="7691" stopIfTrue="1" operator="equal">
      <formula>"Towel"</formula>
    </cfRule>
    <cfRule type="cellIs" dxfId="15438" priority="7692" stopIfTrue="1" operator="equal">
      <formula>"Napkin Hs"</formula>
    </cfRule>
  </conditionalFormatting>
  <conditionalFormatting sqref="B94:C94">
    <cfRule type="cellIs" dxfId="15437" priority="7689" stopIfTrue="1" operator="equal">
      <formula>"Towel"</formula>
    </cfRule>
    <cfRule type="cellIs" dxfId="15436" priority="7690" stopIfTrue="1" operator="equal">
      <formula>"Napkin Hs"</formula>
    </cfRule>
  </conditionalFormatting>
  <conditionalFormatting sqref="C94">
    <cfRule type="cellIs" dxfId="15435" priority="7687" stopIfTrue="1" operator="equal">
      <formula>"Towel"</formula>
    </cfRule>
    <cfRule type="cellIs" dxfId="15434" priority="7688" stopIfTrue="1" operator="equal">
      <formula>"Napkin Hs"</formula>
    </cfRule>
  </conditionalFormatting>
  <conditionalFormatting sqref="C94">
    <cfRule type="cellIs" dxfId="15433" priority="7685" stopIfTrue="1" operator="equal">
      <formula>"Towel"</formula>
    </cfRule>
    <cfRule type="cellIs" dxfId="15432" priority="7686" stopIfTrue="1" operator="equal">
      <formula>"Napkin Hs"</formula>
    </cfRule>
  </conditionalFormatting>
  <conditionalFormatting sqref="B94:C94">
    <cfRule type="cellIs" dxfId="15431" priority="7683" stopIfTrue="1" operator="equal">
      <formula>"Towel"</formula>
    </cfRule>
    <cfRule type="cellIs" dxfId="15430" priority="7684" stopIfTrue="1" operator="equal">
      <formula>"Napkin Hs"</formula>
    </cfRule>
  </conditionalFormatting>
  <conditionalFormatting sqref="C94">
    <cfRule type="cellIs" dxfId="15429" priority="7681" stopIfTrue="1" operator="equal">
      <formula>"Towel"</formula>
    </cfRule>
    <cfRule type="cellIs" dxfId="15428" priority="7682" stopIfTrue="1" operator="equal">
      <formula>"Napkin Hs"</formula>
    </cfRule>
  </conditionalFormatting>
  <conditionalFormatting sqref="C94">
    <cfRule type="cellIs" dxfId="15427" priority="7679" stopIfTrue="1" operator="equal">
      <formula>"Towel"</formula>
    </cfRule>
    <cfRule type="cellIs" dxfId="15426" priority="7680" stopIfTrue="1" operator="equal">
      <formula>"Napkin Hs"</formula>
    </cfRule>
  </conditionalFormatting>
  <conditionalFormatting sqref="B94:C94">
    <cfRule type="cellIs" dxfId="15425" priority="7678" stopIfTrue="1" operator="equal">
      <formula>"Napkin Hs"</formula>
    </cfRule>
  </conditionalFormatting>
  <conditionalFormatting sqref="B94:C94">
    <cfRule type="cellIs" dxfId="15424" priority="7677" stopIfTrue="1" operator="equal">
      <formula>"Towel"</formula>
    </cfRule>
  </conditionalFormatting>
  <conditionalFormatting sqref="C94">
    <cfRule type="cellIs" dxfId="15423" priority="7676" stopIfTrue="1" operator="equal">
      <formula>"Napkin Hs"</formula>
    </cfRule>
  </conditionalFormatting>
  <conditionalFormatting sqref="C94">
    <cfRule type="cellIs" dxfId="15422" priority="7673" stopIfTrue="1" operator="equal">
      <formula>"Towel"</formula>
    </cfRule>
    <cfRule type="cellIs" dxfId="15421" priority="7674" stopIfTrue="1" operator="equal">
      <formula>"Napkin Hs"</formula>
    </cfRule>
  </conditionalFormatting>
  <conditionalFormatting sqref="C94">
    <cfRule type="cellIs" dxfId="15420" priority="7675" stopIfTrue="1" operator="equal">
      <formula>"Towel"</formula>
    </cfRule>
  </conditionalFormatting>
  <conditionalFormatting sqref="B92:C92">
    <cfRule type="cellIs" dxfId="15419" priority="7671" stopIfTrue="1" operator="equal">
      <formula>"Towel"</formula>
    </cfRule>
    <cfRule type="cellIs" dxfId="15418" priority="7672" stopIfTrue="1" operator="equal">
      <formula>"Napkin Hs"</formula>
    </cfRule>
  </conditionalFormatting>
  <conditionalFormatting sqref="C92">
    <cfRule type="cellIs" dxfId="15417" priority="7667" stopIfTrue="1" operator="equal">
      <formula>"Towel"</formula>
    </cfRule>
    <cfRule type="cellIs" dxfId="15416" priority="7668" stopIfTrue="1" operator="equal">
      <formula>"Napkin Hs"</formula>
    </cfRule>
  </conditionalFormatting>
  <conditionalFormatting sqref="C92">
    <cfRule type="cellIs" dxfId="15415" priority="7669" stopIfTrue="1" operator="equal">
      <formula>"Towel"</formula>
    </cfRule>
    <cfRule type="cellIs" dxfId="15414" priority="7670" stopIfTrue="1" operator="equal">
      <formula>"Napkin Hs"</formula>
    </cfRule>
  </conditionalFormatting>
  <conditionalFormatting sqref="B92:C92">
    <cfRule type="cellIs" dxfId="15413" priority="7666" stopIfTrue="1" operator="equal">
      <formula>"Napkin Hs"</formula>
    </cfRule>
  </conditionalFormatting>
  <conditionalFormatting sqref="B92:C92">
    <cfRule type="cellIs" dxfId="15412" priority="7665" stopIfTrue="1" operator="equal">
      <formula>"Towel"</formula>
    </cfRule>
  </conditionalFormatting>
  <conditionalFormatting sqref="C92">
    <cfRule type="cellIs" dxfId="15411" priority="7664" stopIfTrue="1" operator="equal">
      <formula>"Napkin Hs"</formula>
    </cfRule>
  </conditionalFormatting>
  <conditionalFormatting sqref="C92">
    <cfRule type="cellIs" dxfId="15410" priority="7663" stopIfTrue="1" operator="equal">
      <formula>"Towel"</formula>
    </cfRule>
  </conditionalFormatting>
  <conditionalFormatting sqref="C92">
    <cfRule type="cellIs" dxfId="15409" priority="7661" stopIfTrue="1" operator="equal">
      <formula>"Towel"</formula>
    </cfRule>
    <cfRule type="cellIs" dxfId="15408" priority="7662" stopIfTrue="1" operator="equal">
      <formula>"Napkin Hs"</formula>
    </cfRule>
  </conditionalFormatting>
  <conditionalFormatting sqref="B92:C92">
    <cfRule type="cellIs" dxfId="15407" priority="7659" stopIfTrue="1" operator="equal">
      <formula>"Towel"</formula>
    </cfRule>
    <cfRule type="cellIs" dxfId="15406" priority="7660" stopIfTrue="1" operator="equal">
      <formula>"Napkin Hs"</formula>
    </cfRule>
  </conditionalFormatting>
  <conditionalFormatting sqref="C92">
    <cfRule type="cellIs" dxfId="15405" priority="7657" stopIfTrue="1" operator="equal">
      <formula>"Towel"</formula>
    </cfRule>
    <cfRule type="cellIs" dxfId="15404" priority="7658" stopIfTrue="1" operator="equal">
      <formula>"Napkin Hs"</formula>
    </cfRule>
  </conditionalFormatting>
  <conditionalFormatting sqref="C92">
    <cfRule type="cellIs" dxfId="15403" priority="7655" stopIfTrue="1" operator="equal">
      <formula>"Towel"</formula>
    </cfRule>
    <cfRule type="cellIs" dxfId="15402" priority="7656" stopIfTrue="1" operator="equal">
      <formula>"Napkin Hs"</formula>
    </cfRule>
  </conditionalFormatting>
  <conditionalFormatting sqref="B92:C92">
    <cfRule type="cellIs" dxfId="15401" priority="7653" stopIfTrue="1" operator="equal">
      <formula>"Towel"</formula>
    </cfRule>
    <cfRule type="cellIs" dxfId="15400" priority="7654" stopIfTrue="1" operator="equal">
      <formula>"Napkin Hs"</formula>
    </cfRule>
  </conditionalFormatting>
  <conditionalFormatting sqref="C92">
    <cfRule type="cellIs" dxfId="15399" priority="7651" stopIfTrue="1" operator="equal">
      <formula>"Towel"</formula>
    </cfRule>
    <cfRule type="cellIs" dxfId="15398" priority="7652" stopIfTrue="1" operator="equal">
      <formula>"Napkin Hs"</formula>
    </cfRule>
  </conditionalFormatting>
  <conditionalFormatting sqref="C92">
    <cfRule type="cellIs" dxfId="15397" priority="7649" stopIfTrue="1" operator="equal">
      <formula>"Towel"</formula>
    </cfRule>
    <cfRule type="cellIs" dxfId="15396" priority="7650" stopIfTrue="1" operator="equal">
      <formula>"Napkin Hs"</formula>
    </cfRule>
  </conditionalFormatting>
  <conditionalFormatting sqref="B92:C92">
    <cfRule type="cellIs" dxfId="15395" priority="7647" stopIfTrue="1" operator="equal">
      <formula>"Towel"</formula>
    </cfRule>
    <cfRule type="cellIs" dxfId="15394" priority="7648" stopIfTrue="1" operator="equal">
      <formula>"Napkin Hs"</formula>
    </cfRule>
  </conditionalFormatting>
  <conditionalFormatting sqref="C92">
    <cfRule type="cellIs" dxfId="15393" priority="7645" stopIfTrue="1" operator="equal">
      <formula>"Towel"</formula>
    </cfRule>
    <cfRule type="cellIs" dxfId="15392" priority="7646" stopIfTrue="1" operator="equal">
      <formula>"Napkin Hs"</formula>
    </cfRule>
  </conditionalFormatting>
  <conditionalFormatting sqref="C92">
    <cfRule type="cellIs" dxfId="15391" priority="7643" stopIfTrue="1" operator="equal">
      <formula>"Towel"</formula>
    </cfRule>
    <cfRule type="cellIs" dxfId="15390" priority="7644" stopIfTrue="1" operator="equal">
      <formula>"Napkin Hs"</formula>
    </cfRule>
  </conditionalFormatting>
  <conditionalFormatting sqref="B92:C92">
    <cfRule type="cellIs" dxfId="15389" priority="7641" stopIfTrue="1" operator="equal">
      <formula>"Towel"</formula>
    </cfRule>
    <cfRule type="cellIs" dxfId="15388" priority="7642" stopIfTrue="1" operator="equal">
      <formula>"Napkin Hs"</formula>
    </cfRule>
  </conditionalFormatting>
  <conditionalFormatting sqref="C92">
    <cfRule type="cellIs" dxfId="15387" priority="7639" stopIfTrue="1" operator="equal">
      <formula>"Towel"</formula>
    </cfRule>
    <cfRule type="cellIs" dxfId="15386" priority="7640" stopIfTrue="1" operator="equal">
      <formula>"Napkin Hs"</formula>
    </cfRule>
  </conditionalFormatting>
  <conditionalFormatting sqref="C92">
    <cfRule type="cellIs" dxfId="15385" priority="7637" stopIfTrue="1" operator="equal">
      <formula>"Towel"</formula>
    </cfRule>
    <cfRule type="cellIs" dxfId="15384" priority="7638" stopIfTrue="1" operator="equal">
      <formula>"Napkin Hs"</formula>
    </cfRule>
  </conditionalFormatting>
  <conditionalFormatting sqref="B92:C92">
    <cfRule type="cellIs" dxfId="15383" priority="7635" stopIfTrue="1" operator="equal">
      <formula>"Towel"</formula>
    </cfRule>
    <cfRule type="cellIs" dxfId="15382" priority="7636" stopIfTrue="1" operator="equal">
      <formula>"Napkin Hs"</formula>
    </cfRule>
  </conditionalFormatting>
  <conditionalFormatting sqref="C92">
    <cfRule type="cellIs" dxfId="15381" priority="7633" stopIfTrue="1" operator="equal">
      <formula>"Towel"</formula>
    </cfRule>
    <cfRule type="cellIs" dxfId="15380" priority="7634" stopIfTrue="1" operator="equal">
      <formula>"Napkin Hs"</formula>
    </cfRule>
  </conditionalFormatting>
  <conditionalFormatting sqref="C92">
    <cfRule type="cellIs" dxfId="15379" priority="7631" stopIfTrue="1" operator="equal">
      <formula>"Towel"</formula>
    </cfRule>
    <cfRule type="cellIs" dxfId="15378" priority="7632" stopIfTrue="1" operator="equal">
      <formula>"Napkin Hs"</formula>
    </cfRule>
  </conditionalFormatting>
  <conditionalFormatting sqref="B92:C92">
    <cfRule type="cellIs" dxfId="15377" priority="7630" stopIfTrue="1" operator="equal">
      <formula>"Napkin Hs"</formula>
    </cfRule>
  </conditionalFormatting>
  <conditionalFormatting sqref="B92:C92">
    <cfRule type="cellIs" dxfId="15376" priority="7629" stopIfTrue="1" operator="equal">
      <formula>"Towel"</formula>
    </cfRule>
  </conditionalFormatting>
  <conditionalFormatting sqref="C92">
    <cfRule type="cellIs" dxfId="15375" priority="7628" stopIfTrue="1" operator="equal">
      <formula>"Napkin Hs"</formula>
    </cfRule>
  </conditionalFormatting>
  <conditionalFormatting sqref="C92">
    <cfRule type="cellIs" dxfId="15374" priority="7625" stopIfTrue="1" operator="equal">
      <formula>"Towel"</formula>
    </cfRule>
    <cfRule type="cellIs" dxfId="15373" priority="7626" stopIfTrue="1" operator="equal">
      <formula>"Napkin Hs"</formula>
    </cfRule>
  </conditionalFormatting>
  <conditionalFormatting sqref="C92">
    <cfRule type="cellIs" dxfId="15372" priority="7627" stopIfTrue="1" operator="equal">
      <formula>"Towel"</formula>
    </cfRule>
  </conditionalFormatting>
  <conditionalFormatting sqref="B94:C94">
    <cfRule type="cellIs" dxfId="15371" priority="7623" stopIfTrue="1" operator="equal">
      <formula>"Towel"</formula>
    </cfRule>
    <cfRule type="cellIs" dxfId="15370" priority="7624" stopIfTrue="1" operator="equal">
      <formula>"Napkin Hs"</formula>
    </cfRule>
  </conditionalFormatting>
  <conditionalFormatting sqref="C94">
    <cfRule type="cellIs" dxfId="15369" priority="7619" stopIfTrue="1" operator="equal">
      <formula>"Towel"</formula>
    </cfRule>
    <cfRule type="cellIs" dxfId="15368" priority="7620" stopIfTrue="1" operator="equal">
      <formula>"Napkin Hs"</formula>
    </cfRule>
  </conditionalFormatting>
  <conditionalFormatting sqref="C94">
    <cfRule type="cellIs" dxfId="15367" priority="7621" stopIfTrue="1" operator="equal">
      <formula>"Towel"</formula>
    </cfRule>
    <cfRule type="cellIs" dxfId="15366" priority="7622" stopIfTrue="1" operator="equal">
      <formula>"Napkin Hs"</formula>
    </cfRule>
  </conditionalFormatting>
  <conditionalFormatting sqref="B92:C92">
    <cfRule type="cellIs" dxfId="15365" priority="7618" stopIfTrue="1" operator="equal">
      <formula>"Napkin Hs"</formula>
    </cfRule>
  </conditionalFormatting>
  <conditionalFormatting sqref="B92:C92">
    <cfRule type="cellIs" dxfId="15364" priority="7617" stopIfTrue="1" operator="equal">
      <formula>"Towel"</formula>
    </cfRule>
  </conditionalFormatting>
  <conditionalFormatting sqref="C92">
    <cfRule type="cellIs" dxfId="15363" priority="7616" stopIfTrue="1" operator="equal">
      <formula>"Napkin Hs"</formula>
    </cfRule>
  </conditionalFormatting>
  <conditionalFormatting sqref="C92">
    <cfRule type="cellIs" dxfId="15362" priority="7615" stopIfTrue="1" operator="equal">
      <formula>"Towel"</formula>
    </cfRule>
  </conditionalFormatting>
  <conditionalFormatting sqref="C92">
    <cfRule type="cellIs" dxfId="15361" priority="7613" stopIfTrue="1" operator="equal">
      <formula>"Towel"</formula>
    </cfRule>
    <cfRule type="cellIs" dxfId="15360" priority="7614" stopIfTrue="1" operator="equal">
      <formula>"Napkin Hs"</formula>
    </cfRule>
  </conditionalFormatting>
  <conditionalFormatting sqref="C92">
    <cfRule type="cellIs" dxfId="15359" priority="7607" stopIfTrue="1" operator="equal">
      <formula>"Towel"</formula>
    </cfRule>
    <cfRule type="cellIs" dxfId="15358" priority="7608" stopIfTrue="1" operator="equal">
      <formula>"Napkin Hs"</formula>
    </cfRule>
  </conditionalFormatting>
  <conditionalFormatting sqref="B92:C92">
    <cfRule type="cellIs" dxfId="15357" priority="7606" stopIfTrue="1" operator="equal">
      <formula>"Napkin Hs"</formula>
    </cfRule>
  </conditionalFormatting>
  <conditionalFormatting sqref="B92:C92">
    <cfRule type="cellIs" dxfId="15356" priority="7605" stopIfTrue="1" operator="equal">
      <formula>"Towel"</formula>
    </cfRule>
  </conditionalFormatting>
  <conditionalFormatting sqref="C92">
    <cfRule type="cellIs" dxfId="15355" priority="7604" stopIfTrue="1" operator="equal">
      <formula>"Napkin Hs"</formula>
    </cfRule>
  </conditionalFormatting>
  <conditionalFormatting sqref="C92">
    <cfRule type="cellIs" dxfId="15354" priority="7603" stopIfTrue="1" operator="equal">
      <formula>"Towel"</formula>
    </cfRule>
  </conditionalFormatting>
  <conditionalFormatting sqref="C92">
    <cfRule type="cellIs" dxfId="15353" priority="7601" stopIfTrue="1" operator="equal">
      <formula>"Towel"</formula>
    </cfRule>
    <cfRule type="cellIs" dxfId="15352" priority="7602" stopIfTrue="1" operator="equal">
      <formula>"Napkin Hs"</formula>
    </cfRule>
  </conditionalFormatting>
  <conditionalFormatting sqref="C92">
    <cfRule type="cellIs" dxfId="15351" priority="7595" stopIfTrue="1" operator="equal">
      <formula>"Towel"</formula>
    </cfRule>
    <cfRule type="cellIs" dxfId="15350" priority="7596" stopIfTrue="1" operator="equal">
      <formula>"Napkin Hs"</formula>
    </cfRule>
  </conditionalFormatting>
  <conditionalFormatting sqref="C92">
    <cfRule type="cellIs" dxfId="15349" priority="7589" stopIfTrue="1" operator="equal">
      <formula>"Towel"</formula>
    </cfRule>
    <cfRule type="cellIs" dxfId="15348" priority="7590" stopIfTrue="1" operator="equal">
      <formula>"Napkin Hs"</formula>
    </cfRule>
  </conditionalFormatting>
  <conditionalFormatting sqref="C92">
    <cfRule type="cellIs" dxfId="15347" priority="7583" stopIfTrue="1" operator="equal">
      <formula>"Towel"</formula>
    </cfRule>
    <cfRule type="cellIs" dxfId="15346" priority="7584" stopIfTrue="1" operator="equal">
      <formula>"Napkin Hs"</formula>
    </cfRule>
  </conditionalFormatting>
  <conditionalFormatting sqref="C92">
    <cfRule type="cellIs" dxfId="15345" priority="7577" stopIfTrue="1" operator="equal">
      <formula>"Towel"</formula>
    </cfRule>
    <cfRule type="cellIs" dxfId="15344" priority="7578" stopIfTrue="1" operator="equal">
      <formula>"Napkin Hs"</formula>
    </cfRule>
  </conditionalFormatting>
  <conditionalFormatting sqref="C92">
    <cfRule type="cellIs" dxfId="15343" priority="7571" stopIfTrue="1" operator="equal">
      <formula>"Towel"</formula>
    </cfRule>
    <cfRule type="cellIs" dxfId="15342" priority="7572" stopIfTrue="1" operator="equal">
      <formula>"Napkin Hs"</formula>
    </cfRule>
  </conditionalFormatting>
  <conditionalFormatting sqref="B92:C92">
    <cfRule type="cellIs" dxfId="15341" priority="7570" stopIfTrue="1" operator="equal">
      <formula>"Napkin Hs"</formula>
    </cfRule>
  </conditionalFormatting>
  <conditionalFormatting sqref="B92:C92">
    <cfRule type="cellIs" dxfId="15340" priority="7569" stopIfTrue="1" operator="equal">
      <formula>"Towel"</formula>
    </cfRule>
  </conditionalFormatting>
  <conditionalFormatting sqref="C92">
    <cfRule type="cellIs" dxfId="15339" priority="7568" stopIfTrue="1" operator="equal">
      <formula>"Napkin Hs"</formula>
    </cfRule>
  </conditionalFormatting>
  <conditionalFormatting sqref="C92">
    <cfRule type="cellIs" dxfId="15338" priority="7565" stopIfTrue="1" operator="equal">
      <formula>"Towel"</formula>
    </cfRule>
    <cfRule type="cellIs" dxfId="15337" priority="7566" stopIfTrue="1" operator="equal">
      <formula>"Napkin Hs"</formula>
    </cfRule>
  </conditionalFormatting>
  <conditionalFormatting sqref="C92">
    <cfRule type="cellIs" dxfId="15336" priority="7567" stopIfTrue="1" operator="equal">
      <formula>"Towel"</formula>
    </cfRule>
  </conditionalFormatting>
  <conditionalFormatting sqref="B92:C92">
    <cfRule type="cellIs" dxfId="15335" priority="7564" stopIfTrue="1" operator="equal">
      <formula>"Napkin Hs"</formula>
    </cfRule>
  </conditionalFormatting>
  <conditionalFormatting sqref="B92:C92">
    <cfRule type="cellIs" dxfId="15334" priority="7563" stopIfTrue="1" operator="equal">
      <formula>"Towel"</formula>
    </cfRule>
  </conditionalFormatting>
  <conditionalFormatting sqref="C92">
    <cfRule type="cellIs" dxfId="15333" priority="7562" stopIfTrue="1" operator="equal">
      <formula>"Napkin Hs"</formula>
    </cfRule>
  </conditionalFormatting>
  <conditionalFormatting sqref="C92">
    <cfRule type="cellIs" dxfId="15332" priority="7559" stopIfTrue="1" operator="equal">
      <formula>"Towel"</formula>
    </cfRule>
    <cfRule type="cellIs" dxfId="15331" priority="7560" stopIfTrue="1" operator="equal">
      <formula>"Napkin Hs"</formula>
    </cfRule>
  </conditionalFormatting>
  <conditionalFormatting sqref="C92">
    <cfRule type="cellIs" dxfId="15330" priority="7561" stopIfTrue="1" operator="equal">
      <formula>"Towel"</formula>
    </cfRule>
  </conditionalFormatting>
  <conditionalFormatting sqref="B93:C93">
    <cfRule type="cellIs" dxfId="15329" priority="7492" stopIfTrue="1" operator="equal">
      <formula>"Napkin Hs"</formula>
    </cfRule>
  </conditionalFormatting>
  <conditionalFormatting sqref="B93:C93">
    <cfRule type="cellIs" dxfId="15328" priority="7491" stopIfTrue="1" operator="equal">
      <formula>"Towel"</formula>
    </cfRule>
  </conditionalFormatting>
  <conditionalFormatting sqref="C93">
    <cfRule type="cellIs" dxfId="15327" priority="7490" stopIfTrue="1" operator="equal">
      <formula>"Napkin Hs"</formula>
    </cfRule>
  </conditionalFormatting>
  <conditionalFormatting sqref="C93">
    <cfRule type="cellIs" dxfId="15326" priority="7487" stopIfTrue="1" operator="equal">
      <formula>"Towel"</formula>
    </cfRule>
    <cfRule type="cellIs" dxfId="15325" priority="7488" stopIfTrue="1" operator="equal">
      <formula>"Napkin Hs"</formula>
    </cfRule>
  </conditionalFormatting>
  <conditionalFormatting sqref="C93">
    <cfRule type="cellIs" dxfId="15324" priority="7489" stopIfTrue="1" operator="equal">
      <formula>"Towel"</formula>
    </cfRule>
  </conditionalFormatting>
  <conditionalFormatting sqref="B92:C92">
    <cfRule type="cellIs" dxfId="15323" priority="7611" stopIfTrue="1" operator="equal">
      <formula>"Towel"</formula>
    </cfRule>
    <cfRule type="cellIs" dxfId="15322" priority="7612" stopIfTrue="1" operator="equal">
      <formula>"Napkin Hs"</formula>
    </cfRule>
  </conditionalFormatting>
  <conditionalFormatting sqref="C92">
    <cfRule type="cellIs" dxfId="15321" priority="7609" stopIfTrue="1" operator="equal">
      <formula>"Towel"</formula>
    </cfRule>
    <cfRule type="cellIs" dxfId="15320" priority="7610" stopIfTrue="1" operator="equal">
      <formula>"Napkin Hs"</formula>
    </cfRule>
  </conditionalFormatting>
  <conditionalFormatting sqref="B92:C92">
    <cfRule type="cellIs" dxfId="15319" priority="7599" stopIfTrue="1" operator="equal">
      <formula>"Towel"</formula>
    </cfRule>
    <cfRule type="cellIs" dxfId="15318" priority="7600" stopIfTrue="1" operator="equal">
      <formula>"Napkin Hs"</formula>
    </cfRule>
  </conditionalFormatting>
  <conditionalFormatting sqref="C92">
    <cfRule type="cellIs" dxfId="15317" priority="7597" stopIfTrue="1" operator="equal">
      <formula>"Towel"</formula>
    </cfRule>
    <cfRule type="cellIs" dxfId="15316" priority="7598" stopIfTrue="1" operator="equal">
      <formula>"Napkin Hs"</formula>
    </cfRule>
  </conditionalFormatting>
  <conditionalFormatting sqref="B92:C92">
    <cfRule type="cellIs" dxfId="15315" priority="7593" stopIfTrue="1" operator="equal">
      <formula>"Towel"</formula>
    </cfRule>
    <cfRule type="cellIs" dxfId="15314" priority="7594" stopIfTrue="1" operator="equal">
      <formula>"Napkin Hs"</formula>
    </cfRule>
  </conditionalFormatting>
  <conditionalFormatting sqref="C92">
    <cfRule type="cellIs" dxfId="15313" priority="7591" stopIfTrue="1" operator="equal">
      <formula>"Towel"</formula>
    </cfRule>
    <cfRule type="cellIs" dxfId="15312" priority="7592" stopIfTrue="1" operator="equal">
      <formula>"Napkin Hs"</formula>
    </cfRule>
  </conditionalFormatting>
  <conditionalFormatting sqref="B92:C92">
    <cfRule type="cellIs" dxfId="15311" priority="7587" stopIfTrue="1" operator="equal">
      <formula>"Towel"</formula>
    </cfRule>
    <cfRule type="cellIs" dxfId="15310" priority="7588" stopIfTrue="1" operator="equal">
      <formula>"Napkin Hs"</formula>
    </cfRule>
  </conditionalFormatting>
  <conditionalFormatting sqref="C92">
    <cfRule type="cellIs" dxfId="15309" priority="7585" stopIfTrue="1" operator="equal">
      <formula>"Towel"</formula>
    </cfRule>
    <cfRule type="cellIs" dxfId="15308" priority="7586" stopIfTrue="1" operator="equal">
      <formula>"Napkin Hs"</formula>
    </cfRule>
  </conditionalFormatting>
  <conditionalFormatting sqref="B92:C92">
    <cfRule type="cellIs" dxfId="15307" priority="7581" stopIfTrue="1" operator="equal">
      <formula>"Towel"</formula>
    </cfRule>
    <cfRule type="cellIs" dxfId="15306" priority="7582" stopIfTrue="1" operator="equal">
      <formula>"Napkin Hs"</formula>
    </cfRule>
  </conditionalFormatting>
  <conditionalFormatting sqref="C92">
    <cfRule type="cellIs" dxfId="15305" priority="7579" stopIfTrue="1" operator="equal">
      <formula>"Towel"</formula>
    </cfRule>
    <cfRule type="cellIs" dxfId="15304" priority="7580" stopIfTrue="1" operator="equal">
      <formula>"Napkin Hs"</formula>
    </cfRule>
  </conditionalFormatting>
  <conditionalFormatting sqref="B92:C92">
    <cfRule type="cellIs" dxfId="15303" priority="7575" stopIfTrue="1" operator="equal">
      <formula>"Towel"</formula>
    </cfRule>
    <cfRule type="cellIs" dxfId="15302" priority="7576" stopIfTrue="1" operator="equal">
      <formula>"Napkin Hs"</formula>
    </cfRule>
  </conditionalFormatting>
  <conditionalFormatting sqref="C92">
    <cfRule type="cellIs" dxfId="15301" priority="7573" stopIfTrue="1" operator="equal">
      <formula>"Towel"</formula>
    </cfRule>
    <cfRule type="cellIs" dxfId="15300" priority="7574" stopIfTrue="1" operator="equal">
      <formula>"Napkin Hs"</formula>
    </cfRule>
  </conditionalFormatting>
  <conditionalFormatting sqref="B92:C92">
    <cfRule type="cellIs" dxfId="15299" priority="7558" stopIfTrue="1" operator="equal">
      <formula>"Napkin Hs"</formula>
    </cfRule>
  </conditionalFormatting>
  <conditionalFormatting sqref="B92:C92">
    <cfRule type="cellIs" dxfId="15298" priority="7557" stopIfTrue="1" operator="equal">
      <formula>"Towel"</formula>
    </cfRule>
  </conditionalFormatting>
  <conditionalFormatting sqref="C92">
    <cfRule type="cellIs" dxfId="15297" priority="7556" stopIfTrue="1" operator="equal">
      <formula>"Napkin Hs"</formula>
    </cfRule>
  </conditionalFormatting>
  <conditionalFormatting sqref="C92">
    <cfRule type="cellIs" dxfId="15296" priority="7553" stopIfTrue="1" operator="equal">
      <formula>"Towel"</formula>
    </cfRule>
    <cfRule type="cellIs" dxfId="15295" priority="7554" stopIfTrue="1" operator="equal">
      <formula>"Napkin Hs"</formula>
    </cfRule>
  </conditionalFormatting>
  <conditionalFormatting sqref="C92">
    <cfRule type="cellIs" dxfId="15294" priority="7555" stopIfTrue="1" operator="equal">
      <formula>"Towel"</formula>
    </cfRule>
  </conditionalFormatting>
  <conditionalFormatting sqref="B93:C93">
    <cfRule type="cellIs" dxfId="15293" priority="7552" stopIfTrue="1" operator="equal">
      <formula>"Napkin Hs"</formula>
    </cfRule>
  </conditionalFormatting>
  <conditionalFormatting sqref="B93:C93">
    <cfRule type="cellIs" dxfId="15292" priority="7551" stopIfTrue="1" operator="equal">
      <formula>"Towel"</formula>
    </cfRule>
  </conditionalFormatting>
  <conditionalFormatting sqref="C93">
    <cfRule type="cellIs" dxfId="15291" priority="7550" stopIfTrue="1" operator="equal">
      <formula>"Napkin Hs"</formula>
    </cfRule>
  </conditionalFormatting>
  <conditionalFormatting sqref="C93">
    <cfRule type="cellIs" dxfId="15290" priority="7549" stopIfTrue="1" operator="equal">
      <formula>"Towel"</formula>
    </cfRule>
  </conditionalFormatting>
  <conditionalFormatting sqref="C93">
    <cfRule type="cellIs" dxfId="15289" priority="7547" stopIfTrue="1" operator="equal">
      <formula>"Towel"</formula>
    </cfRule>
    <cfRule type="cellIs" dxfId="15288" priority="7548" stopIfTrue="1" operator="equal">
      <formula>"Napkin Hs"</formula>
    </cfRule>
  </conditionalFormatting>
  <conditionalFormatting sqref="B93:C93">
    <cfRule type="cellIs" dxfId="15287" priority="7545" stopIfTrue="1" operator="equal">
      <formula>"Towel"</formula>
    </cfRule>
    <cfRule type="cellIs" dxfId="15286" priority="7546" stopIfTrue="1" operator="equal">
      <formula>"Napkin Hs"</formula>
    </cfRule>
  </conditionalFormatting>
  <conditionalFormatting sqref="C93">
    <cfRule type="cellIs" dxfId="15285" priority="7541" stopIfTrue="1" operator="equal">
      <formula>"Towel"</formula>
    </cfRule>
    <cfRule type="cellIs" dxfId="15284" priority="7542" stopIfTrue="1" operator="equal">
      <formula>"Napkin Hs"</formula>
    </cfRule>
  </conditionalFormatting>
  <conditionalFormatting sqref="C93">
    <cfRule type="cellIs" dxfId="15283" priority="7543" stopIfTrue="1" operator="equal">
      <formula>"Towel"</formula>
    </cfRule>
    <cfRule type="cellIs" dxfId="15282" priority="7544" stopIfTrue="1" operator="equal">
      <formula>"Napkin Hs"</formula>
    </cfRule>
  </conditionalFormatting>
  <conditionalFormatting sqref="B93:C93">
    <cfRule type="cellIs" dxfId="15281" priority="7540" stopIfTrue="1" operator="equal">
      <formula>"Napkin Hs"</formula>
    </cfRule>
  </conditionalFormatting>
  <conditionalFormatting sqref="B93:C93">
    <cfRule type="cellIs" dxfId="15280" priority="7539" stopIfTrue="1" operator="equal">
      <formula>"Towel"</formula>
    </cfRule>
  </conditionalFormatting>
  <conditionalFormatting sqref="C93">
    <cfRule type="cellIs" dxfId="15279" priority="7538" stopIfTrue="1" operator="equal">
      <formula>"Napkin Hs"</formula>
    </cfRule>
  </conditionalFormatting>
  <conditionalFormatting sqref="C93">
    <cfRule type="cellIs" dxfId="15278" priority="7537" stopIfTrue="1" operator="equal">
      <formula>"Towel"</formula>
    </cfRule>
  </conditionalFormatting>
  <conditionalFormatting sqref="C93">
    <cfRule type="cellIs" dxfId="15277" priority="7535" stopIfTrue="1" operator="equal">
      <formula>"Towel"</formula>
    </cfRule>
    <cfRule type="cellIs" dxfId="15276" priority="7536" stopIfTrue="1" operator="equal">
      <formula>"Napkin Hs"</formula>
    </cfRule>
  </conditionalFormatting>
  <conditionalFormatting sqref="B93:C93">
    <cfRule type="cellIs" dxfId="15275" priority="7533" stopIfTrue="1" operator="equal">
      <formula>"Towel"</formula>
    </cfRule>
    <cfRule type="cellIs" dxfId="15274" priority="7534" stopIfTrue="1" operator="equal">
      <formula>"Napkin Hs"</formula>
    </cfRule>
  </conditionalFormatting>
  <conditionalFormatting sqref="C93">
    <cfRule type="cellIs" dxfId="15273" priority="7531" stopIfTrue="1" operator="equal">
      <formula>"Towel"</formula>
    </cfRule>
    <cfRule type="cellIs" dxfId="15272" priority="7532" stopIfTrue="1" operator="equal">
      <formula>"Napkin Hs"</formula>
    </cfRule>
  </conditionalFormatting>
  <conditionalFormatting sqref="C93">
    <cfRule type="cellIs" dxfId="15271" priority="7529" stopIfTrue="1" operator="equal">
      <formula>"Towel"</formula>
    </cfRule>
    <cfRule type="cellIs" dxfId="15270" priority="7530" stopIfTrue="1" operator="equal">
      <formula>"Napkin Hs"</formula>
    </cfRule>
  </conditionalFormatting>
  <conditionalFormatting sqref="B93:C93">
    <cfRule type="cellIs" dxfId="15269" priority="7527" stopIfTrue="1" operator="equal">
      <formula>"Towel"</formula>
    </cfRule>
    <cfRule type="cellIs" dxfId="15268" priority="7528" stopIfTrue="1" operator="equal">
      <formula>"Napkin Hs"</formula>
    </cfRule>
  </conditionalFormatting>
  <conditionalFormatting sqref="C93">
    <cfRule type="cellIs" dxfId="15267" priority="7525" stopIfTrue="1" operator="equal">
      <formula>"Towel"</formula>
    </cfRule>
    <cfRule type="cellIs" dxfId="15266" priority="7526" stopIfTrue="1" operator="equal">
      <formula>"Napkin Hs"</formula>
    </cfRule>
  </conditionalFormatting>
  <conditionalFormatting sqref="C93">
    <cfRule type="cellIs" dxfId="15265" priority="7523" stopIfTrue="1" operator="equal">
      <formula>"Towel"</formula>
    </cfRule>
    <cfRule type="cellIs" dxfId="15264" priority="7524" stopIfTrue="1" operator="equal">
      <formula>"Napkin Hs"</formula>
    </cfRule>
  </conditionalFormatting>
  <conditionalFormatting sqref="B93:C93">
    <cfRule type="cellIs" dxfId="15263" priority="7521" stopIfTrue="1" operator="equal">
      <formula>"Towel"</formula>
    </cfRule>
    <cfRule type="cellIs" dxfId="15262" priority="7522" stopIfTrue="1" operator="equal">
      <formula>"Napkin Hs"</formula>
    </cfRule>
  </conditionalFormatting>
  <conditionalFormatting sqref="C93">
    <cfRule type="cellIs" dxfId="15261" priority="7519" stopIfTrue="1" operator="equal">
      <formula>"Towel"</formula>
    </cfRule>
    <cfRule type="cellIs" dxfId="15260" priority="7520" stopIfTrue="1" operator="equal">
      <formula>"Napkin Hs"</formula>
    </cfRule>
  </conditionalFormatting>
  <conditionalFormatting sqref="C93">
    <cfRule type="cellIs" dxfId="15259" priority="7517" stopIfTrue="1" operator="equal">
      <formula>"Towel"</formula>
    </cfRule>
    <cfRule type="cellIs" dxfId="15258" priority="7518" stopIfTrue="1" operator="equal">
      <formula>"Napkin Hs"</formula>
    </cfRule>
  </conditionalFormatting>
  <conditionalFormatting sqref="B93:C93">
    <cfRule type="cellIs" dxfId="15257" priority="7515" stopIfTrue="1" operator="equal">
      <formula>"Towel"</formula>
    </cfRule>
    <cfRule type="cellIs" dxfId="15256" priority="7516" stopIfTrue="1" operator="equal">
      <formula>"Napkin Hs"</formula>
    </cfRule>
  </conditionalFormatting>
  <conditionalFormatting sqref="C93">
    <cfRule type="cellIs" dxfId="15255" priority="7513" stopIfTrue="1" operator="equal">
      <formula>"Towel"</formula>
    </cfRule>
    <cfRule type="cellIs" dxfId="15254" priority="7514" stopIfTrue="1" operator="equal">
      <formula>"Napkin Hs"</formula>
    </cfRule>
  </conditionalFormatting>
  <conditionalFormatting sqref="C93">
    <cfRule type="cellIs" dxfId="15253" priority="7511" stopIfTrue="1" operator="equal">
      <formula>"Towel"</formula>
    </cfRule>
    <cfRule type="cellIs" dxfId="15252" priority="7512" stopIfTrue="1" operator="equal">
      <formula>"Napkin Hs"</formula>
    </cfRule>
  </conditionalFormatting>
  <conditionalFormatting sqref="B93:C93">
    <cfRule type="cellIs" dxfId="15251" priority="7509" stopIfTrue="1" operator="equal">
      <formula>"Towel"</formula>
    </cfRule>
    <cfRule type="cellIs" dxfId="15250" priority="7510" stopIfTrue="1" operator="equal">
      <formula>"Napkin Hs"</formula>
    </cfRule>
  </conditionalFormatting>
  <conditionalFormatting sqref="C93">
    <cfRule type="cellIs" dxfId="15249" priority="7507" stopIfTrue="1" operator="equal">
      <formula>"Towel"</formula>
    </cfRule>
    <cfRule type="cellIs" dxfId="15248" priority="7508" stopIfTrue="1" operator="equal">
      <formula>"Napkin Hs"</formula>
    </cfRule>
  </conditionalFormatting>
  <conditionalFormatting sqref="C93">
    <cfRule type="cellIs" dxfId="15247" priority="7505" stopIfTrue="1" operator="equal">
      <formula>"Towel"</formula>
    </cfRule>
    <cfRule type="cellIs" dxfId="15246" priority="7506" stopIfTrue="1" operator="equal">
      <formula>"Napkin Hs"</formula>
    </cfRule>
  </conditionalFormatting>
  <conditionalFormatting sqref="B93:C93">
    <cfRule type="cellIs" dxfId="15245" priority="7504" stopIfTrue="1" operator="equal">
      <formula>"Napkin Hs"</formula>
    </cfRule>
  </conditionalFormatting>
  <conditionalFormatting sqref="B93:C93">
    <cfRule type="cellIs" dxfId="15244" priority="7503" stopIfTrue="1" operator="equal">
      <formula>"Towel"</formula>
    </cfRule>
  </conditionalFormatting>
  <conditionalFormatting sqref="C93">
    <cfRule type="cellIs" dxfId="15243" priority="7502" stopIfTrue="1" operator="equal">
      <formula>"Napkin Hs"</formula>
    </cfRule>
  </conditionalFormatting>
  <conditionalFormatting sqref="C93">
    <cfRule type="cellIs" dxfId="15242" priority="7499" stopIfTrue="1" operator="equal">
      <formula>"Towel"</formula>
    </cfRule>
    <cfRule type="cellIs" dxfId="15241" priority="7500" stopIfTrue="1" operator="equal">
      <formula>"Napkin Hs"</formula>
    </cfRule>
  </conditionalFormatting>
  <conditionalFormatting sqref="C93">
    <cfRule type="cellIs" dxfId="15240" priority="7501" stopIfTrue="1" operator="equal">
      <formula>"Towel"</formula>
    </cfRule>
  </conditionalFormatting>
  <conditionalFormatting sqref="B93:C93">
    <cfRule type="cellIs" dxfId="15239" priority="7498" stopIfTrue="1" operator="equal">
      <formula>"Napkin Hs"</formula>
    </cfRule>
  </conditionalFormatting>
  <conditionalFormatting sqref="B93:C93">
    <cfRule type="cellIs" dxfId="15238" priority="7497" stopIfTrue="1" operator="equal">
      <formula>"Towel"</formula>
    </cfRule>
  </conditionalFormatting>
  <conditionalFormatting sqref="C93">
    <cfRule type="cellIs" dxfId="15237" priority="7496" stopIfTrue="1" operator="equal">
      <formula>"Napkin Hs"</formula>
    </cfRule>
  </conditionalFormatting>
  <conditionalFormatting sqref="C93">
    <cfRule type="cellIs" dxfId="15236" priority="7493" stopIfTrue="1" operator="equal">
      <formula>"Towel"</formula>
    </cfRule>
    <cfRule type="cellIs" dxfId="15235" priority="7494" stopIfTrue="1" operator="equal">
      <formula>"Napkin Hs"</formula>
    </cfRule>
  </conditionalFormatting>
  <conditionalFormatting sqref="C93">
    <cfRule type="cellIs" dxfId="15234" priority="7495" stopIfTrue="1" operator="equal">
      <formula>"Towel"</formula>
    </cfRule>
  </conditionalFormatting>
  <conditionalFormatting sqref="B91:C91">
    <cfRule type="cellIs" dxfId="15233" priority="7485" stopIfTrue="1" operator="equal">
      <formula>"Towel"</formula>
    </cfRule>
    <cfRule type="cellIs" dxfId="15232" priority="7486" stopIfTrue="1" operator="equal">
      <formula>"Napkin Hs"</formula>
    </cfRule>
  </conditionalFormatting>
  <conditionalFormatting sqref="C91">
    <cfRule type="cellIs" dxfId="15231" priority="7481" stopIfTrue="1" operator="equal">
      <formula>"Towel"</formula>
    </cfRule>
    <cfRule type="cellIs" dxfId="15230" priority="7482" stopIfTrue="1" operator="equal">
      <formula>"Napkin Hs"</formula>
    </cfRule>
  </conditionalFormatting>
  <conditionalFormatting sqref="C91">
    <cfRule type="cellIs" dxfId="15229" priority="7483" stopIfTrue="1" operator="equal">
      <formula>"Towel"</formula>
    </cfRule>
    <cfRule type="cellIs" dxfId="15228" priority="7484" stopIfTrue="1" operator="equal">
      <formula>"Napkin Hs"</formula>
    </cfRule>
  </conditionalFormatting>
  <conditionalFormatting sqref="B91:C91">
    <cfRule type="cellIs" dxfId="15227" priority="7480" stopIfTrue="1" operator="equal">
      <formula>"Napkin Hs"</formula>
    </cfRule>
  </conditionalFormatting>
  <conditionalFormatting sqref="B91:C91">
    <cfRule type="cellIs" dxfId="15226" priority="7479" stopIfTrue="1" operator="equal">
      <formula>"Towel"</formula>
    </cfRule>
  </conditionalFormatting>
  <conditionalFormatting sqref="C91">
    <cfRule type="cellIs" dxfId="15225" priority="7478" stopIfTrue="1" operator="equal">
      <formula>"Napkin Hs"</formula>
    </cfRule>
  </conditionalFormatting>
  <conditionalFormatting sqref="C91">
    <cfRule type="cellIs" dxfId="15224" priority="7477" stopIfTrue="1" operator="equal">
      <formula>"Towel"</formula>
    </cfRule>
  </conditionalFormatting>
  <conditionalFormatting sqref="C91">
    <cfRule type="cellIs" dxfId="15223" priority="7475" stopIfTrue="1" operator="equal">
      <formula>"Towel"</formula>
    </cfRule>
    <cfRule type="cellIs" dxfId="15222" priority="7476" stopIfTrue="1" operator="equal">
      <formula>"Napkin Hs"</formula>
    </cfRule>
  </conditionalFormatting>
  <conditionalFormatting sqref="B91:C91">
    <cfRule type="cellIs" dxfId="15221" priority="7473" stopIfTrue="1" operator="equal">
      <formula>"Towel"</formula>
    </cfRule>
    <cfRule type="cellIs" dxfId="15220" priority="7474" stopIfTrue="1" operator="equal">
      <formula>"Napkin Hs"</formula>
    </cfRule>
  </conditionalFormatting>
  <conditionalFormatting sqref="C91">
    <cfRule type="cellIs" dxfId="15219" priority="7471" stopIfTrue="1" operator="equal">
      <formula>"Towel"</formula>
    </cfRule>
    <cfRule type="cellIs" dxfId="15218" priority="7472" stopIfTrue="1" operator="equal">
      <formula>"Napkin Hs"</formula>
    </cfRule>
  </conditionalFormatting>
  <conditionalFormatting sqref="C91">
    <cfRule type="cellIs" dxfId="15217" priority="7469" stopIfTrue="1" operator="equal">
      <formula>"Towel"</formula>
    </cfRule>
    <cfRule type="cellIs" dxfId="15216" priority="7470" stopIfTrue="1" operator="equal">
      <formula>"Napkin Hs"</formula>
    </cfRule>
  </conditionalFormatting>
  <conditionalFormatting sqref="B91:C91">
    <cfRule type="cellIs" dxfId="15215" priority="7467" stopIfTrue="1" operator="equal">
      <formula>"Towel"</formula>
    </cfRule>
    <cfRule type="cellIs" dxfId="15214" priority="7468" stopIfTrue="1" operator="equal">
      <formula>"Napkin Hs"</formula>
    </cfRule>
  </conditionalFormatting>
  <conditionalFormatting sqref="C91">
    <cfRule type="cellIs" dxfId="15213" priority="7465" stopIfTrue="1" operator="equal">
      <formula>"Towel"</formula>
    </cfRule>
    <cfRule type="cellIs" dxfId="15212" priority="7466" stopIfTrue="1" operator="equal">
      <formula>"Napkin Hs"</formula>
    </cfRule>
  </conditionalFormatting>
  <conditionalFormatting sqref="C91">
    <cfRule type="cellIs" dxfId="15211" priority="7463" stopIfTrue="1" operator="equal">
      <formula>"Towel"</formula>
    </cfRule>
    <cfRule type="cellIs" dxfId="15210" priority="7464" stopIfTrue="1" operator="equal">
      <formula>"Napkin Hs"</formula>
    </cfRule>
  </conditionalFormatting>
  <conditionalFormatting sqref="B91:C91">
    <cfRule type="cellIs" dxfId="15209" priority="7461" stopIfTrue="1" operator="equal">
      <formula>"Towel"</formula>
    </cfRule>
    <cfRule type="cellIs" dxfId="15208" priority="7462" stopIfTrue="1" operator="equal">
      <formula>"Napkin Hs"</formula>
    </cfRule>
  </conditionalFormatting>
  <conditionalFormatting sqref="C91">
    <cfRule type="cellIs" dxfId="15207" priority="7459" stopIfTrue="1" operator="equal">
      <formula>"Towel"</formula>
    </cfRule>
    <cfRule type="cellIs" dxfId="15206" priority="7460" stopIfTrue="1" operator="equal">
      <formula>"Napkin Hs"</formula>
    </cfRule>
  </conditionalFormatting>
  <conditionalFormatting sqref="C91">
    <cfRule type="cellIs" dxfId="15205" priority="7457" stopIfTrue="1" operator="equal">
      <formula>"Towel"</formula>
    </cfRule>
    <cfRule type="cellIs" dxfId="15204" priority="7458" stopIfTrue="1" operator="equal">
      <formula>"Napkin Hs"</formula>
    </cfRule>
  </conditionalFormatting>
  <conditionalFormatting sqref="B91:C91">
    <cfRule type="cellIs" dxfId="15203" priority="7455" stopIfTrue="1" operator="equal">
      <formula>"Towel"</formula>
    </cfRule>
    <cfRule type="cellIs" dxfId="15202" priority="7456" stopIfTrue="1" operator="equal">
      <formula>"Napkin Hs"</formula>
    </cfRule>
  </conditionalFormatting>
  <conditionalFormatting sqref="C91">
    <cfRule type="cellIs" dxfId="15201" priority="7453" stopIfTrue="1" operator="equal">
      <formula>"Towel"</formula>
    </cfRule>
    <cfRule type="cellIs" dxfId="15200" priority="7454" stopIfTrue="1" operator="equal">
      <formula>"Napkin Hs"</formula>
    </cfRule>
  </conditionalFormatting>
  <conditionalFormatting sqref="C91">
    <cfRule type="cellIs" dxfId="15199" priority="7451" stopIfTrue="1" operator="equal">
      <formula>"Towel"</formula>
    </cfRule>
    <cfRule type="cellIs" dxfId="15198" priority="7452" stopIfTrue="1" operator="equal">
      <formula>"Napkin Hs"</formula>
    </cfRule>
  </conditionalFormatting>
  <conditionalFormatting sqref="B91:C91">
    <cfRule type="cellIs" dxfId="15197" priority="7449" stopIfTrue="1" operator="equal">
      <formula>"Towel"</formula>
    </cfRule>
    <cfRule type="cellIs" dxfId="15196" priority="7450" stopIfTrue="1" operator="equal">
      <formula>"Napkin Hs"</formula>
    </cfRule>
  </conditionalFormatting>
  <conditionalFormatting sqref="C91">
    <cfRule type="cellIs" dxfId="15195" priority="7447" stopIfTrue="1" operator="equal">
      <formula>"Towel"</formula>
    </cfRule>
    <cfRule type="cellIs" dxfId="15194" priority="7448" stopIfTrue="1" operator="equal">
      <formula>"Napkin Hs"</formula>
    </cfRule>
  </conditionalFormatting>
  <conditionalFormatting sqref="C91">
    <cfRule type="cellIs" dxfId="15193" priority="7445" stopIfTrue="1" operator="equal">
      <formula>"Towel"</formula>
    </cfRule>
    <cfRule type="cellIs" dxfId="15192" priority="7446" stopIfTrue="1" operator="equal">
      <formula>"Napkin Hs"</formula>
    </cfRule>
  </conditionalFormatting>
  <conditionalFormatting sqref="B91:C91">
    <cfRule type="cellIs" dxfId="15191" priority="7444" stopIfTrue="1" operator="equal">
      <formula>"Napkin Hs"</formula>
    </cfRule>
  </conditionalFormatting>
  <conditionalFormatting sqref="B91:C91">
    <cfRule type="cellIs" dxfId="15190" priority="7443" stopIfTrue="1" operator="equal">
      <formula>"Towel"</formula>
    </cfRule>
  </conditionalFormatting>
  <conditionalFormatting sqref="C91">
    <cfRule type="cellIs" dxfId="15189" priority="7442" stopIfTrue="1" operator="equal">
      <formula>"Napkin Hs"</formula>
    </cfRule>
  </conditionalFormatting>
  <conditionalFormatting sqref="C91">
    <cfRule type="cellIs" dxfId="15188" priority="7439" stopIfTrue="1" operator="equal">
      <formula>"Towel"</formula>
    </cfRule>
    <cfRule type="cellIs" dxfId="15187" priority="7440" stopIfTrue="1" operator="equal">
      <formula>"Napkin Hs"</formula>
    </cfRule>
  </conditionalFormatting>
  <conditionalFormatting sqref="C91">
    <cfRule type="cellIs" dxfId="15186" priority="7441" stopIfTrue="1" operator="equal">
      <formula>"Towel"</formula>
    </cfRule>
  </conditionalFormatting>
  <conditionalFormatting sqref="B91:C91">
    <cfRule type="cellIs" dxfId="15185" priority="7438" stopIfTrue="1" operator="equal">
      <formula>"Napkin Hs"</formula>
    </cfRule>
  </conditionalFormatting>
  <conditionalFormatting sqref="B91:C91">
    <cfRule type="cellIs" dxfId="15184" priority="7437" stopIfTrue="1" operator="equal">
      <formula>"Towel"</formula>
    </cfRule>
  </conditionalFormatting>
  <conditionalFormatting sqref="C91">
    <cfRule type="cellIs" dxfId="15183" priority="7436" stopIfTrue="1" operator="equal">
      <formula>"Napkin Hs"</formula>
    </cfRule>
  </conditionalFormatting>
  <conditionalFormatting sqref="C91">
    <cfRule type="cellIs" dxfId="15182" priority="7435" stopIfTrue="1" operator="equal">
      <formula>"Towel"</formula>
    </cfRule>
  </conditionalFormatting>
  <conditionalFormatting sqref="C91">
    <cfRule type="cellIs" dxfId="15181" priority="7433" stopIfTrue="1" operator="equal">
      <formula>"Towel"</formula>
    </cfRule>
    <cfRule type="cellIs" dxfId="15180" priority="7434" stopIfTrue="1" operator="equal">
      <formula>"Napkin Hs"</formula>
    </cfRule>
  </conditionalFormatting>
  <conditionalFormatting sqref="C91">
    <cfRule type="cellIs" dxfId="15179" priority="7427" stopIfTrue="1" operator="equal">
      <formula>"Towel"</formula>
    </cfRule>
    <cfRule type="cellIs" dxfId="15178" priority="7428" stopIfTrue="1" operator="equal">
      <formula>"Napkin Hs"</formula>
    </cfRule>
  </conditionalFormatting>
  <conditionalFormatting sqref="B91:C91">
    <cfRule type="cellIs" dxfId="15177" priority="7426" stopIfTrue="1" operator="equal">
      <formula>"Napkin Hs"</formula>
    </cfRule>
  </conditionalFormatting>
  <conditionalFormatting sqref="B91:C91">
    <cfRule type="cellIs" dxfId="15176" priority="7425" stopIfTrue="1" operator="equal">
      <formula>"Towel"</formula>
    </cfRule>
  </conditionalFormatting>
  <conditionalFormatting sqref="C91">
    <cfRule type="cellIs" dxfId="15175" priority="7424" stopIfTrue="1" operator="equal">
      <formula>"Napkin Hs"</formula>
    </cfRule>
  </conditionalFormatting>
  <conditionalFormatting sqref="C91">
    <cfRule type="cellIs" dxfId="15174" priority="7423" stopIfTrue="1" operator="equal">
      <formula>"Towel"</formula>
    </cfRule>
  </conditionalFormatting>
  <conditionalFormatting sqref="C91">
    <cfRule type="cellIs" dxfId="15173" priority="7421" stopIfTrue="1" operator="equal">
      <formula>"Towel"</formula>
    </cfRule>
    <cfRule type="cellIs" dxfId="15172" priority="7422" stopIfTrue="1" operator="equal">
      <formula>"Napkin Hs"</formula>
    </cfRule>
  </conditionalFormatting>
  <conditionalFormatting sqref="C91">
    <cfRule type="cellIs" dxfId="15171" priority="7415" stopIfTrue="1" operator="equal">
      <formula>"Towel"</formula>
    </cfRule>
    <cfRule type="cellIs" dxfId="15170" priority="7416" stopIfTrue="1" operator="equal">
      <formula>"Napkin Hs"</formula>
    </cfRule>
  </conditionalFormatting>
  <conditionalFormatting sqref="C91">
    <cfRule type="cellIs" dxfId="15169" priority="7409" stopIfTrue="1" operator="equal">
      <formula>"Towel"</formula>
    </cfRule>
    <cfRule type="cellIs" dxfId="15168" priority="7410" stopIfTrue="1" operator="equal">
      <formula>"Napkin Hs"</formula>
    </cfRule>
  </conditionalFormatting>
  <conditionalFormatting sqref="C91">
    <cfRule type="cellIs" dxfId="15167" priority="7403" stopIfTrue="1" operator="equal">
      <formula>"Towel"</formula>
    </cfRule>
    <cfRule type="cellIs" dxfId="15166" priority="7404" stopIfTrue="1" operator="equal">
      <formula>"Napkin Hs"</formula>
    </cfRule>
  </conditionalFormatting>
  <conditionalFormatting sqref="C91">
    <cfRule type="cellIs" dxfId="15165" priority="7397" stopIfTrue="1" operator="equal">
      <formula>"Towel"</formula>
    </cfRule>
    <cfRule type="cellIs" dxfId="15164" priority="7398" stopIfTrue="1" operator="equal">
      <formula>"Napkin Hs"</formula>
    </cfRule>
  </conditionalFormatting>
  <conditionalFormatting sqref="C91">
    <cfRule type="cellIs" dxfId="15163" priority="7391" stopIfTrue="1" operator="equal">
      <formula>"Towel"</formula>
    </cfRule>
    <cfRule type="cellIs" dxfId="15162" priority="7392" stopIfTrue="1" operator="equal">
      <formula>"Napkin Hs"</formula>
    </cfRule>
  </conditionalFormatting>
  <conditionalFormatting sqref="B91:C91">
    <cfRule type="cellIs" dxfId="15161" priority="7390" stopIfTrue="1" operator="equal">
      <formula>"Napkin Hs"</formula>
    </cfRule>
  </conditionalFormatting>
  <conditionalFormatting sqref="B91:C91">
    <cfRule type="cellIs" dxfId="15160" priority="7389" stopIfTrue="1" operator="equal">
      <formula>"Towel"</formula>
    </cfRule>
  </conditionalFormatting>
  <conditionalFormatting sqref="C91">
    <cfRule type="cellIs" dxfId="15159" priority="7388" stopIfTrue="1" operator="equal">
      <formula>"Napkin Hs"</formula>
    </cfRule>
  </conditionalFormatting>
  <conditionalFormatting sqref="C91">
    <cfRule type="cellIs" dxfId="15158" priority="7385" stopIfTrue="1" operator="equal">
      <formula>"Towel"</formula>
    </cfRule>
    <cfRule type="cellIs" dxfId="15157" priority="7386" stopIfTrue="1" operator="equal">
      <formula>"Napkin Hs"</formula>
    </cfRule>
  </conditionalFormatting>
  <conditionalFormatting sqref="C91">
    <cfRule type="cellIs" dxfId="15156" priority="7387" stopIfTrue="1" operator="equal">
      <formula>"Towel"</formula>
    </cfRule>
  </conditionalFormatting>
  <conditionalFormatting sqref="B91:C91">
    <cfRule type="cellIs" dxfId="15155" priority="7384" stopIfTrue="1" operator="equal">
      <formula>"Napkin Hs"</formula>
    </cfRule>
  </conditionalFormatting>
  <conditionalFormatting sqref="B91:C91">
    <cfRule type="cellIs" dxfId="15154" priority="7383" stopIfTrue="1" operator="equal">
      <formula>"Towel"</formula>
    </cfRule>
  </conditionalFormatting>
  <conditionalFormatting sqref="C91">
    <cfRule type="cellIs" dxfId="15153" priority="7382" stopIfTrue="1" operator="equal">
      <formula>"Napkin Hs"</formula>
    </cfRule>
  </conditionalFormatting>
  <conditionalFormatting sqref="C91">
    <cfRule type="cellIs" dxfId="15152" priority="7379" stopIfTrue="1" operator="equal">
      <formula>"Towel"</formula>
    </cfRule>
    <cfRule type="cellIs" dxfId="15151" priority="7380" stopIfTrue="1" operator="equal">
      <formula>"Napkin Hs"</formula>
    </cfRule>
  </conditionalFormatting>
  <conditionalFormatting sqref="C91">
    <cfRule type="cellIs" dxfId="15150" priority="7381" stopIfTrue="1" operator="equal">
      <formula>"Towel"</formula>
    </cfRule>
  </conditionalFormatting>
  <conditionalFormatting sqref="B91:C91">
    <cfRule type="cellIs" dxfId="15149" priority="7431" stopIfTrue="1" operator="equal">
      <formula>"Towel"</formula>
    </cfRule>
    <cfRule type="cellIs" dxfId="15148" priority="7432" stopIfTrue="1" operator="equal">
      <formula>"Napkin Hs"</formula>
    </cfRule>
  </conditionalFormatting>
  <conditionalFormatting sqref="C91">
    <cfRule type="cellIs" dxfId="15147" priority="7429" stopIfTrue="1" operator="equal">
      <formula>"Towel"</formula>
    </cfRule>
    <cfRule type="cellIs" dxfId="15146" priority="7430" stopIfTrue="1" operator="equal">
      <formula>"Napkin Hs"</formula>
    </cfRule>
  </conditionalFormatting>
  <conditionalFormatting sqref="B91:C91">
    <cfRule type="cellIs" dxfId="15145" priority="7419" stopIfTrue="1" operator="equal">
      <formula>"Towel"</formula>
    </cfRule>
    <cfRule type="cellIs" dxfId="15144" priority="7420" stopIfTrue="1" operator="equal">
      <formula>"Napkin Hs"</formula>
    </cfRule>
  </conditionalFormatting>
  <conditionalFormatting sqref="C91">
    <cfRule type="cellIs" dxfId="15143" priority="7417" stopIfTrue="1" operator="equal">
      <formula>"Towel"</formula>
    </cfRule>
    <cfRule type="cellIs" dxfId="15142" priority="7418" stopIfTrue="1" operator="equal">
      <formula>"Napkin Hs"</formula>
    </cfRule>
  </conditionalFormatting>
  <conditionalFormatting sqref="B91:C91">
    <cfRule type="cellIs" dxfId="15141" priority="7413" stopIfTrue="1" operator="equal">
      <formula>"Towel"</formula>
    </cfRule>
    <cfRule type="cellIs" dxfId="15140" priority="7414" stopIfTrue="1" operator="equal">
      <formula>"Napkin Hs"</formula>
    </cfRule>
  </conditionalFormatting>
  <conditionalFormatting sqref="C91">
    <cfRule type="cellIs" dxfId="15139" priority="7411" stopIfTrue="1" operator="equal">
      <formula>"Towel"</formula>
    </cfRule>
    <cfRule type="cellIs" dxfId="15138" priority="7412" stopIfTrue="1" operator="equal">
      <formula>"Napkin Hs"</formula>
    </cfRule>
  </conditionalFormatting>
  <conditionalFormatting sqref="B91:C91">
    <cfRule type="cellIs" dxfId="15137" priority="7407" stopIfTrue="1" operator="equal">
      <formula>"Towel"</formula>
    </cfRule>
    <cfRule type="cellIs" dxfId="15136" priority="7408" stopIfTrue="1" operator="equal">
      <formula>"Napkin Hs"</formula>
    </cfRule>
  </conditionalFormatting>
  <conditionalFormatting sqref="C91">
    <cfRule type="cellIs" dxfId="15135" priority="7405" stopIfTrue="1" operator="equal">
      <formula>"Towel"</formula>
    </cfRule>
    <cfRule type="cellIs" dxfId="15134" priority="7406" stopIfTrue="1" operator="equal">
      <formula>"Napkin Hs"</formula>
    </cfRule>
  </conditionalFormatting>
  <conditionalFormatting sqref="B91:C91">
    <cfRule type="cellIs" dxfId="15133" priority="7401" stopIfTrue="1" operator="equal">
      <formula>"Towel"</formula>
    </cfRule>
    <cfRule type="cellIs" dxfId="15132" priority="7402" stopIfTrue="1" operator="equal">
      <formula>"Napkin Hs"</formula>
    </cfRule>
  </conditionalFormatting>
  <conditionalFormatting sqref="C91">
    <cfRule type="cellIs" dxfId="15131" priority="7399" stopIfTrue="1" operator="equal">
      <formula>"Towel"</formula>
    </cfRule>
    <cfRule type="cellIs" dxfId="15130" priority="7400" stopIfTrue="1" operator="equal">
      <formula>"Napkin Hs"</formula>
    </cfRule>
  </conditionalFormatting>
  <conditionalFormatting sqref="B91:C91">
    <cfRule type="cellIs" dxfId="15129" priority="7395" stopIfTrue="1" operator="equal">
      <formula>"Towel"</formula>
    </cfRule>
    <cfRule type="cellIs" dxfId="15128" priority="7396" stopIfTrue="1" operator="equal">
      <formula>"Napkin Hs"</formula>
    </cfRule>
  </conditionalFormatting>
  <conditionalFormatting sqref="C91">
    <cfRule type="cellIs" dxfId="15127" priority="7393" stopIfTrue="1" operator="equal">
      <formula>"Towel"</formula>
    </cfRule>
    <cfRule type="cellIs" dxfId="15126" priority="7394" stopIfTrue="1" operator="equal">
      <formula>"Napkin Hs"</formula>
    </cfRule>
  </conditionalFormatting>
  <conditionalFormatting sqref="B91:C91">
    <cfRule type="cellIs" dxfId="15125" priority="7378" stopIfTrue="1" operator="equal">
      <formula>"Napkin Hs"</formula>
    </cfRule>
  </conditionalFormatting>
  <conditionalFormatting sqref="B91:C91">
    <cfRule type="cellIs" dxfId="15124" priority="7377" stopIfTrue="1" operator="equal">
      <formula>"Towel"</formula>
    </cfRule>
  </conditionalFormatting>
  <conditionalFormatting sqref="C91">
    <cfRule type="cellIs" dxfId="15123" priority="7376" stopIfTrue="1" operator="equal">
      <formula>"Napkin Hs"</formula>
    </cfRule>
  </conditionalFormatting>
  <conditionalFormatting sqref="C91">
    <cfRule type="cellIs" dxfId="15122" priority="7373" stopIfTrue="1" operator="equal">
      <formula>"Towel"</formula>
    </cfRule>
    <cfRule type="cellIs" dxfId="15121" priority="7374" stopIfTrue="1" operator="equal">
      <formula>"Napkin Hs"</formula>
    </cfRule>
  </conditionalFormatting>
  <conditionalFormatting sqref="C91">
    <cfRule type="cellIs" dxfId="15120" priority="7375" stopIfTrue="1" operator="equal">
      <formula>"Towel"</formula>
    </cfRule>
  </conditionalFormatting>
  <conditionalFormatting sqref="B97:C97">
    <cfRule type="cellIs" dxfId="15119" priority="7371" stopIfTrue="1" operator="equal">
      <formula>"Towel"</formula>
    </cfRule>
    <cfRule type="cellIs" dxfId="15118" priority="7372" stopIfTrue="1" operator="equal">
      <formula>"Napkin Hs"</formula>
    </cfRule>
  </conditionalFormatting>
  <conditionalFormatting sqref="C97">
    <cfRule type="cellIs" dxfId="15117" priority="7369" stopIfTrue="1" operator="equal">
      <formula>"Towel"</formula>
    </cfRule>
    <cfRule type="cellIs" dxfId="15116" priority="7370" stopIfTrue="1" operator="equal">
      <formula>"Napkin Hs"</formula>
    </cfRule>
  </conditionalFormatting>
  <conditionalFormatting sqref="C97">
    <cfRule type="cellIs" dxfId="15115" priority="7367" stopIfTrue="1" operator="equal">
      <formula>"Towel"</formula>
    </cfRule>
    <cfRule type="cellIs" dxfId="15114" priority="7368" stopIfTrue="1" operator="equal">
      <formula>"Napkin Hs"</formula>
    </cfRule>
  </conditionalFormatting>
  <conditionalFormatting sqref="B98:C98">
    <cfRule type="cellIs" dxfId="15113" priority="7365" stopIfTrue="1" operator="equal">
      <formula>"Towel"</formula>
    </cfRule>
    <cfRule type="cellIs" dxfId="15112" priority="7366" stopIfTrue="1" operator="equal">
      <formula>"Napkin Hs"</formula>
    </cfRule>
  </conditionalFormatting>
  <conditionalFormatting sqref="C98">
    <cfRule type="cellIs" dxfId="15111" priority="7361" stopIfTrue="1" operator="equal">
      <formula>"Towel"</formula>
    </cfRule>
    <cfRule type="cellIs" dxfId="15110" priority="7362" stopIfTrue="1" operator="equal">
      <formula>"Napkin Hs"</formula>
    </cfRule>
  </conditionalFormatting>
  <conditionalFormatting sqref="C98">
    <cfRule type="cellIs" dxfId="15109" priority="7363" stopIfTrue="1" operator="equal">
      <formula>"Towel"</formula>
    </cfRule>
    <cfRule type="cellIs" dxfId="15108" priority="7364" stopIfTrue="1" operator="equal">
      <formula>"Napkin Hs"</formula>
    </cfRule>
  </conditionalFormatting>
  <conditionalFormatting sqref="B98:C98">
    <cfRule type="cellIs" dxfId="15107" priority="7360" stopIfTrue="1" operator="equal">
      <formula>"Napkin Hs"</formula>
    </cfRule>
  </conditionalFormatting>
  <conditionalFormatting sqref="B98:C98">
    <cfRule type="cellIs" dxfId="15106" priority="7359" stopIfTrue="1" operator="equal">
      <formula>"Towel"</formula>
    </cfRule>
  </conditionalFormatting>
  <conditionalFormatting sqref="C98">
    <cfRule type="cellIs" dxfId="15105" priority="7358" stopIfTrue="1" operator="equal">
      <formula>"Napkin Hs"</formula>
    </cfRule>
  </conditionalFormatting>
  <conditionalFormatting sqref="C98">
    <cfRule type="cellIs" dxfId="15104" priority="7357" stopIfTrue="1" operator="equal">
      <formula>"Towel"</formula>
    </cfRule>
  </conditionalFormatting>
  <conditionalFormatting sqref="C98">
    <cfRule type="cellIs" dxfId="15103" priority="7355" stopIfTrue="1" operator="equal">
      <formula>"Towel"</formula>
    </cfRule>
    <cfRule type="cellIs" dxfId="15102" priority="7356" stopIfTrue="1" operator="equal">
      <formula>"Napkin Hs"</formula>
    </cfRule>
  </conditionalFormatting>
  <conditionalFormatting sqref="B98:C98">
    <cfRule type="cellIs" dxfId="15101" priority="7353" stopIfTrue="1" operator="equal">
      <formula>"Towel"</formula>
    </cfRule>
    <cfRule type="cellIs" dxfId="15100" priority="7354" stopIfTrue="1" operator="equal">
      <formula>"Napkin Hs"</formula>
    </cfRule>
  </conditionalFormatting>
  <conditionalFormatting sqref="C98">
    <cfRule type="cellIs" dxfId="15099" priority="7351" stopIfTrue="1" operator="equal">
      <formula>"Towel"</formula>
    </cfRule>
    <cfRule type="cellIs" dxfId="15098" priority="7352" stopIfTrue="1" operator="equal">
      <formula>"Napkin Hs"</formula>
    </cfRule>
  </conditionalFormatting>
  <conditionalFormatting sqref="C98">
    <cfRule type="cellIs" dxfId="15097" priority="7349" stopIfTrue="1" operator="equal">
      <formula>"Towel"</formula>
    </cfRule>
    <cfRule type="cellIs" dxfId="15096" priority="7350" stopIfTrue="1" operator="equal">
      <formula>"Napkin Hs"</formula>
    </cfRule>
  </conditionalFormatting>
  <conditionalFormatting sqref="B98:C98">
    <cfRule type="cellIs" dxfId="15095" priority="7347" stopIfTrue="1" operator="equal">
      <formula>"Towel"</formula>
    </cfRule>
    <cfRule type="cellIs" dxfId="15094" priority="7348" stopIfTrue="1" operator="equal">
      <formula>"Napkin Hs"</formula>
    </cfRule>
  </conditionalFormatting>
  <conditionalFormatting sqref="C98">
    <cfRule type="cellIs" dxfId="15093" priority="7345" stopIfTrue="1" operator="equal">
      <formula>"Towel"</formula>
    </cfRule>
    <cfRule type="cellIs" dxfId="15092" priority="7346" stopIfTrue="1" operator="equal">
      <formula>"Napkin Hs"</formula>
    </cfRule>
  </conditionalFormatting>
  <conditionalFormatting sqref="C98">
    <cfRule type="cellIs" dxfId="15091" priority="7343" stopIfTrue="1" operator="equal">
      <formula>"Towel"</formula>
    </cfRule>
    <cfRule type="cellIs" dxfId="15090" priority="7344" stopIfTrue="1" operator="equal">
      <formula>"Napkin Hs"</formula>
    </cfRule>
  </conditionalFormatting>
  <conditionalFormatting sqref="B98:C98">
    <cfRule type="cellIs" dxfId="15089" priority="7341" stopIfTrue="1" operator="equal">
      <formula>"Towel"</formula>
    </cfRule>
    <cfRule type="cellIs" dxfId="15088" priority="7342" stopIfTrue="1" operator="equal">
      <formula>"Napkin Hs"</formula>
    </cfRule>
  </conditionalFormatting>
  <conditionalFormatting sqref="C98">
    <cfRule type="cellIs" dxfId="15087" priority="7339" stopIfTrue="1" operator="equal">
      <formula>"Towel"</formula>
    </cfRule>
    <cfRule type="cellIs" dxfId="15086" priority="7340" stopIfTrue="1" operator="equal">
      <formula>"Napkin Hs"</formula>
    </cfRule>
  </conditionalFormatting>
  <conditionalFormatting sqref="C98">
    <cfRule type="cellIs" dxfId="15085" priority="7337" stopIfTrue="1" operator="equal">
      <formula>"Towel"</formula>
    </cfRule>
    <cfRule type="cellIs" dxfId="15084" priority="7338" stopIfTrue="1" operator="equal">
      <formula>"Napkin Hs"</formula>
    </cfRule>
  </conditionalFormatting>
  <conditionalFormatting sqref="B98:C98">
    <cfRule type="cellIs" dxfId="15083" priority="7335" stopIfTrue="1" operator="equal">
      <formula>"Towel"</formula>
    </cfRule>
    <cfRule type="cellIs" dxfId="15082" priority="7336" stopIfTrue="1" operator="equal">
      <formula>"Napkin Hs"</formula>
    </cfRule>
  </conditionalFormatting>
  <conditionalFormatting sqref="C98">
    <cfRule type="cellIs" dxfId="15081" priority="7333" stopIfTrue="1" operator="equal">
      <formula>"Towel"</formula>
    </cfRule>
    <cfRule type="cellIs" dxfId="15080" priority="7334" stopIfTrue="1" operator="equal">
      <formula>"Napkin Hs"</formula>
    </cfRule>
  </conditionalFormatting>
  <conditionalFormatting sqref="C98">
    <cfRule type="cellIs" dxfId="15079" priority="7331" stopIfTrue="1" operator="equal">
      <formula>"Towel"</formula>
    </cfRule>
    <cfRule type="cellIs" dxfId="15078" priority="7332" stopIfTrue="1" operator="equal">
      <formula>"Napkin Hs"</formula>
    </cfRule>
  </conditionalFormatting>
  <conditionalFormatting sqref="B98:C98">
    <cfRule type="cellIs" dxfId="15077" priority="7329" stopIfTrue="1" operator="equal">
      <formula>"Towel"</formula>
    </cfRule>
    <cfRule type="cellIs" dxfId="15076" priority="7330" stopIfTrue="1" operator="equal">
      <formula>"Napkin Hs"</formula>
    </cfRule>
  </conditionalFormatting>
  <conditionalFormatting sqref="C98">
    <cfRule type="cellIs" dxfId="15075" priority="7327" stopIfTrue="1" operator="equal">
      <formula>"Towel"</formula>
    </cfRule>
    <cfRule type="cellIs" dxfId="15074" priority="7328" stopIfTrue="1" operator="equal">
      <formula>"Napkin Hs"</formula>
    </cfRule>
  </conditionalFormatting>
  <conditionalFormatting sqref="C98">
    <cfRule type="cellIs" dxfId="15073" priority="7325" stopIfTrue="1" operator="equal">
      <formula>"Towel"</formula>
    </cfRule>
    <cfRule type="cellIs" dxfId="15072" priority="7326" stopIfTrue="1" operator="equal">
      <formula>"Napkin Hs"</formula>
    </cfRule>
  </conditionalFormatting>
  <conditionalFormatting sqref="B98:C98">
    <cfRule type="cellIs" dxfId="15071" priority="7324" stopIfTrue="1" operator="equal">
      <formula>"Napkin Hs"</formula>
    </cfRule>
  </conditionalFormatting>
  <conditionalFormatting sqref="B98:C98">
    <cfRule type="cellIs" dxfId="15070" priority="7323" stopIfTrue="1" operator="equal">
      <formula>"Towel"</formula>
    </cfRule>
  </conditionalFormatting>
  <conditionalFormatting sqref="C98">
    <cfRule type="cellIs" dxfId="15069" priority="7322" stopIfTrue="1" operator="equal">
      <formula>"Napkin Hs"</formula>
    </cfRule>
  </conditionalFormatting>
  <conditionalFormatting sqref="C98">
    <cfRule type="cellIs" dxfId="15068" priority="7319" stopIfTrue="1" operator="equal">
      <formula>"Towel"</formula>
    </cfRule>
    <cfRule type="cellIs" dxfId="15067" priority="7320" stopIfTrue="1" operator="equal">
      <formula>"Napkin Hs"</formula>
    </cfRule>
  </conditionalFormatting>
  <conditionalFormatting sqref="C98">
    <cfRule type="cellIs" dxfId="15066" priority="7321" stopIfTrue="1" operator="equal">
      <formula>"Towel"</formula>
    </cfRule>
  </conditionalFormatting>
  <conditionalFormatting sqref="B98:C98">
    <cfRule type="cellIs" dxfId="15065" priority="7269" stopIfTrue="1" operator="equal">
      <formula>"Towel"</formula>
    </cfRule>
    <cfRule type="cellIs" dxfId="15064" priority="7270" stopIfTrue="1" operator="equal">
      <formula>"Napkin Hs"</formula>
    </cfRule>
  </conditionalFormatting>
  <conditionalFormatting sqref="C98">
    <cfRule type="cellIs" dxfId="15063" priority="7265" stopIfTrue="1" operator="equal">
      <formula>"Towel"</formula>
    </cfRule>
    <cfRule type="cellIs" dxfId="15062" priority="7266" stopIfTrue="1" operator="equal">
      <formula>"Napkin Hs"</formula>
    </cfRule>
  </conditionalFormatting>
  <conditionalFormatting sqref="C98">
    <cfRule type="cellIs" dxfId="15061" priority="7267" stopIfTrue="1" operator="equal">
      <formula>"Towel"</formula>
    </cfRule>
    <cfRule type="cellIs" dxfId="15060" priority="7268" stopIfTrue="1" operator="equal">
      <formula>"Napkin Hs"</formula>
    </cfRule>
  </conditionalFormatting>
  <conditionalFormatting sqref="B97:C97">
    <cfRule type="cellIs" dxfId="15059" priority="7138" stopIfTrue="1" operator="equal">
      <formula>"Napkin Hs"</formula>
    </cfRule>
  </conditionalFormatting>
  <conditionalFormatting sqref="B97:C97">
    <cfRule type="cellIs" dxfId="15058" priority="7137" stopIfTrue="1" operator="equal">
      <formula>"Towel"</formula>
    </cfRule>
  </conditionalFormatting>
  <conditionalFormatting sqref="C97">
    <cfRule type="cellIs" dxfId="15057" priority="7136" stopIfTrue="1" operator="equal">
      <formula>"Napkin Hs"</formula>
    </cfRule>
  </conditionalFormatting>
  <conditionalFormatting sqref="C97">
    <cfRule type="cellIs" dxfId="15056" priority="7133" stopIfTrue="1" operator="equal">
      <formula>"Towel"</formula>
    </cfRule>
    <cfRule type="cellIs" dxfId="15055" priority="7134" stopIfTrue="1" operator="equal">
      <formula>"Napkin Hs"</formula>
    </cfRule>
  </conditionalFormatting>
  <conditionalFormatting sqref="C97">
    <cfRule type="cellIs" dxfId="15054" priority="7135" stopIfTrue="1" operator="equal">
      <formula>"Towel"</formula>
    </cfRule>
  </conditionalFormatting>
  <conditionalFormatting sqref="B97:C97">
    <cfRule type="cellIs" dxfId="15053" priority="7198" stopIfTrue="1" operator="equal">
      <formula>"Napkin Hs"</formula>
    </cfRule>
  </conditionalFormatting>
  <conditionalFormatting sqref="B97:C97">
    <cfRule type="cellIs" dxfId="15052" priority="7197" stopIfTrue="1" operator="equal">
      <formula>"Towel"</formula>
    </cfRule>
  </conditionalFormatting>
  <conditionalFormatting sqref="C97">
    <cfRule type="cellIs" dxfId="15051" priority="7196" stopIfTrue="1" operator="equal">
      <formula>"Napkin Hs"</formula>
    </cfRule>
  </conditionalFormatting>
  <conditionalFormatting sqref="C97">
    <cfRule type="cellIs" dxfId="15050" priority="7195" stopIfTrue="1" operator="equal">
      <formula>"Towel"</formula>
    </cfRule>
  </conditionalFormatting>
  <conditionalFormatting sqref="C97">
    <cfRule type="cellIs" dxfId="15049" priority="7193" stopIfTrue="1" operator="equal">
      <formula>"Towel"</formula>
    </cfRule>
    <cfRule type="cellIs" dxfId="15048" priority="7194" stopIfTrue="1" operator="equal">
      <formula>"Napkin Hs"</formula>
    </cfRule>
  </conditionalFormatting>
  <conditionalFormatting sqref="B97:C97">
    <cfRule type="cellIs" dxfId="15047" priority="7191" stopIfTrue="1" operator="equal">
      <formula>"Towel"</formula>
    </cfRule>
    <cfRule type="cellIs" dxfId="15046" priority="7192" stopIfTrue="1" operator="equal">
      <formula>"Napkin Hs"</formula>
    </cfRule>
  </conditionalFormatting>
  <conditionalFormatting sqref="C97">
    <cfRule type="cellIs" dxfId="15045" priority="7187" stopIfTrue="1" operator="equal">
      <formula>"Towel"</formula>
    </cfRule>
    <cfRule type="cellIs" dxfId="15044" priority="7188" stopIfTrue="1" operator="equal">
      <formula>"Napkin Hs"</formula>
    </cfRule>
  </conditionalFormatting>
  <conditionalFormatting sqref="C97">
    <cfRule type="cellIs" dxfId="15043" priority="7189" stopIfTrue="1" operator="equal">
      <formula>"Towel"</formula>
    </cfRule>
    <cfRule type="cellIs" dxfId="15042" priority="7190" stopIfTrue="1" operator="equal">
      <formula>"Napkin Hs"</formula>
    </cfRule>
  </conditionalFormatting>
  <conditionalFormatting sqref="B97:C97">
    <cfRule type="cellIs" dxfId="15041" priority="7186" stopIfTrue="1" operator="equal">
      <formula>"Napkin Hs"</formula>
    </cfRule>
  </conditionalFormatting>
  <conditionalFormatting sqref="B97:C97">
    <cfRule type="cellIs" dxfId="15040" priority="7185" stopIfTrue="1" operator="equal">
      <formula>"Towel"</formula>
    </cfRule>
  </conditionalFormatting>
  <conditionalFormatting sqref="C97">
    <cfRule type="cellIs" dxfId="15039" priority="7184" stopIfTrue="1" operator="equal">
      <formula>"Napkin Hs"</formula>
    </cfRule>
  </conditionalFormatting>
  <conditionalFormatting sqref="C97">
    <cfRule type="cellIs" dxfId="15038" priority="7183" stopIfTrue="1" operator="equal">
      <formula>"Towel"</formula>
    </cfRule>
  </conditionalFormatting>
  <conditionalFormatting sqref="C97">
    <cfRule type="cellIs" dxfId="15037" priority="7181" stopIfTrue="1" operator="equal">
      <formula>"Towel"</formula>
    </cfRule>
    <cfRule type="cellIs" dxfId="15036" priority="7182" stopIfTrue="1" operator="equal">
      <formula>"Napkin Hs"</formula>
    </cfRule>
  </conditionalFormatting>
  <conditionalFormatting sqref="B97:C97">
    <cfRule type="cellIs" dxfId="15035" priority="7179" stopIfTrue="1" operator="equal">
      <formula>"Towel"</formula>
    </cfRule>
    <cfRule type="cellIs" dxfId="15034" priority="7180" stopIfTrue="1" operator="equal">
      <formula>"Napkin Hs"</formula>
    </cfRule>
  </conditionalFormatting>
  <conditionalFormatting sqref="C97">
    <cfRule type="cellIs" dxfId="15033" priority="7177" stopIfTrue="1" operator="equal">
      <formula>"Towel"</formula>
    </cfRule>
    <cfRule type="cellIs" dxfId="15032" priority="7178" stopIfTrue="1" operator="equal">
      <formula>"Napkin Hs"</formula>
    </cfRule>
  </conditionalFormatting>
  <conditionalFormatting sqref="C97">
    <cfRule type="cellIs" dxfId="15031" priority="7175" stopIfTrue="1" operator="equal">
      <formula>"Towel"</formula>
    </cfRule>
    <cfRule type="cellIs" dxfId="15030" priority="7176" stopIfTrue="1" operator="equal">
      <formula>"Napkin Hs"</formula>
    </cfRule>
  </conditionalFormatting>
  <conditionalFormatting sqref="B97:C97">
    <cfRule type="cellIs" dxfId="15029" priority="7173" stopIfTrue="1" operator="equal">
      <formula>"Towel"</formula>
    </cfRule>
    <cfRule type="cellIs" dxfId="15028" priority="7174" stopIfTrue="1" operator="equal">
      <formula>"Napkin Hs"</formula>
    </cfRule>
  </conditionalFormatting>
  <conditionalFormatting sqref="C97">
    <cfRule type="cellIs" dxfId="15027" priority="7171" stopIfTrue="1" operator="equal">
      <formula>"Towel"</formula>
    </cfRule>
    <cfRule type="cellIs" dxfId="15026" priority="7172" stopIfTrue="1" operator="equal">
      <formula>"Napkin Hs"</formula>
    </cfRule>
  </conditionalFormatting>
  <conditionalFormatting sqref="C97">
    <cfRule type="cellIs" dxfId="15025" priority="7169" stopIfTrue="1" operator="equal">
      <formula>"Towel"</formula>
    </cfRule>
    <cfRule type="cellIs" dxfId="15024" priority="7170" stopIfTrue="1" operator="equal">
      <formula>"Napkin Hs"</formula>
    </cfRule>
  </conditionalFormatting>
  <conditionalFormatting sqref="B97:C97">
    <cfRule type="cellIs" dxfId="15023" priority="7167" stopIfTrue="1" operator="equal">
      <formula>"Towel"</formula>
    </cfRule>
    <cfRule type="cellIs" dxfId="15022" priority="7168" stopIfTrue="1" operator="equal">
      <formula>"Napkin Hs"</formula>
    </cfRule>
  </conditionalFormatting>
  <conditionalFormatting sqref="C97">
    <cfRule type="cellIs" dxfId="15021" priority="7165" stopIfTrue="1" operator="equal">
      <formula>"Towel"</formula>
    </cfRule>
    <cfRule type="cellIs" dxfId="15020" priority="7166" stopIfTrue="1" operator="equal">
      <formula>"Napkin Hs"</formula>
    </cfRule>
  </conditionalFormatting>
  <conditionalFormatting sqref="C97">
    <cfRule type="cellIs" dxfId="15019" priority="7163" stopIfTrue="1" operator="equal">
      <formula>"Towel"</formula>
    </cfRule>
    <cfRule type="cellIs" dxfId="15018" priority="7164" stopIfTrue="1" operator="equal">
      <formula>"Napkin Hs"</formula>
    </cfRule>
  </conditionalFormatting>
  <conditionalFormatting sqref="B97:C97">
    <cfRule type="cellIs" dxfId="15017" priority="7161" stopIfTrue="1" operator="equal">
      <formula>"Towel"</formula>
    </cfRule>
    <cfRule type="cellIs" dxfId="15016" priority="7162" stopIfTrue="1" operator="equal">
      <formula>"Napkin Hs"</formula>
    </cfRule>
  </conditionalFormatting>
  <conditionalFormatting sqref="C97">
    <cfRule type="cellIs" dxfId="15015" priority="7159" stopIfTrue="1" operator="equal">
      <formula>"Towel"</formula>
    </cfRule>
    <cfRule type="cellIs" dxfId="15014" priority="7160" stopIfTrue="1" operator="equal">
      <formula>"Napkin Hs"</formula>
    </cfRule>
  </conditionalFormatting>
  <conditionalFormatting sqref="C97">
    <cfRule type="cellIs" dxfId="15013" priority="7157" stopIfTrue="1" operator="equal">
      <formula>"Towel"</formula>
    </cfRule>
    <cfRule type="cellIs" dxfId="15012" priority="7158" stopIfTrue="1" operator="equal">
      <formula>"Napkin Hs"</formula>
    </cfRule>
  </conditionalFormatting>
  <conditionalFormatting sqref="B97:C97">
    <cfRule type="cellIs" dxfId="15011" priority="7155" stopIfTrue="1" operator="equal">
      <formula>"Towel"</formula>
    </cfRule>
    <cfRule type="cellIs" dxfId="15010" priority="7156" stopIfTrue="1" operator="equal">
      <formula>"Napkin Hs"</formula>
    </cfRule>
  </conditionalFormatting>
  <conditionalFormatting sqref="C97">
    <cfRule type="cellIs" dxfId="15009" priority="7153" stopIfTrue="1" operator="equal">
      <formula>"Towel"</formula>
    </cfRule>
    <cfRule type="cellIs" dxfId="15008" priority="7154" stopIfTrue="1" operator="equal">
      <formula>"Napkin Hs"</formula>
    </cfRule>
  </conditionalFormatting>
  <conditionalFormatting sqref="C97">
    <cfRule type="cellIs" dxfId="15007" priority="7151" stopIfTrue="1" operator="equal">
      <formula>"Towel"</formula>
    </cfRule>
    <cfRule type="cellIs" dxfId="15006" priority="7152" stopIfTrue="1" operator="equal">
      <formula>"Napkin Hs"</formula>
    </cfRule>
  </conditionalFormatting>
  <conditionalFormatting sqref="B97:C97">
    <cfRule type="cellIs" dxfId="15005" priority="7150" stopIfTrue="1" operator="equal">
      <formula>"Napkin Hs"</formula>
    </cfRule>
  </conditionalFormatting>
  <conditionalFormatting sqref="B97:C97">
    <cfRule type="cellIs" dxfId="15004" priority="7149" stopIfTrue="1" operator="equal">
      <formula>"Towel"</formula>
    </cfRule>
  </conditionalFormatting>
  <conditionalFormatting sqref="C97">
    <cfRule type="cellIs" dxfId="15003" priority="7148" stopIfTrue="1" operator="equal">
      <formula>"Napkin Hs"</formula>
    </cfRule>
  </conditionalFormatting>
  <conditionalFormatting sqref="C97">
    <cfRule type="cellIs" dxfId="15002" priority="7145" stopIfTrue="1" operator="equal">
      <formula>"Towel"</formula>
    </cfRule>
    <cfRule type="cellIs" dxfId="15001" priority="7146" stopIfTrue="1" operator="equal">
      <formula>"Napkin Hs"</formula>
    </cfRule>
  </conditionalFormatting>
  <conditionalFormatting sqref="C97">
    <cfRule type="cellIs" dxfId="15000" priority="7147" stopIfTrue="1" operator="equal">
      <formula>"Towel"</formula>
    </cfRule>
  </conditionalFormatting>
  <conditionalFormatting sqref="B97:C97">
    <cfRule type="cellIs" dxfId="14999" priority="7144" stopIfTrue="1" operator="equal">
      <formula>"Napkin Hs"</formula>
    </cfRule>
  </conditionalFormatting>
  <conditionalFormatting sqref="B97:C97">
    <cfRule type="cellIs" dxfId="14998" priority="7143" stopIfTrue="1" operator="equal">
      <formula>"Towel"</formula>
    </cfRule>
  </conditionalFormatting>
  <conditionalFormatting sqref="C97">
    <cfRule type="cellIs" dxfId="14997" priority="7142" stopIfTrue="1" operator="equal">
      <formula>"Napkin Hs"</formula>
    </cfRule>
  </conditionalFormatting>
  <conditionalFormatting sqref="C97">
    <cfRule type="cellIs" dxfId="14996" priority="7139" stopIfTrue="1" operator="equal">
      <formula>"Towel"</formula>
    </cfRule>
    <cfRule type="cellIs" dxfId="14995" priority="7140" stopIfTrue="1" operator="equal">
      <formula>"Napkin Hs"</formula>
    </cfRule>
  </conditionalFormatting>
  <conditionalFormatting sqref="C97">
    <cfRule type="cellIs" dxfId="14994" priority="7141" stopIfTrue="1" operator="equal">
      <formula>"Towel"</formula>
    </cfRule>
  </conditionalFormatting>
  <conditionalFormatting sqref="B95:C95">
    <cfRule type="cellIs" dxfId="14993" priority="7131" stopIfTrue="1" operator="equal">
      <formula>"Towel"</formula>
    </cfRule>
    <cfRule type="cellIs" dxfId="14992" priority="7132" stopIfTrue="1" operator="equal">
      <formula>"Napkin Hs"</formula>
    </cfRule>
  </conditionalFormatting>
  <conditionalFormatting sqref="C95">
    <cfRule type="cellIs" dxfId="14991" priority="7127" stopIfTrue="1" operator="equal">
      <formula>"Towel"</formula>
    </cfRule>
    <cfRule type="cellIs" dxfId="14990" priority="7128" stopIfTrue="1" operator="equal">
      <formula>"Napkin Hs"</formula>
    </cfRule>
  </conditionalFormatting>
  <conditionalFormatting sqref="C95">
    <cfRule type="cellIs" dxfId="14989" priority="7129" stopIfTrue="1" operator="equal">
      <formula>"Towel"</formula>
    </cfRule>
    <cfRule type="cellIs" dxfId="14988" priority="7130" stopIfTrue="1" operator="equal">
      <formula>"Napkin Hs"</formula>
    </cfRule>
  </conditionalFormatting>
  <conditionalFormatting sqref="B95:C95">
    <cfRule type="cellIs" dxfId="14987" priority="7126" stopIfTrue="1" operator="equal">
      <formula>"Napkin Hs"</formula>
    </cfRule>
  </conditionalFormatting>
  <conditionalFormatting sqref="B95:C95">
    <cfRule type="cellIs" dxfId="14986" priority="7125" stopIfTrue="1" operator="equal">
      <formula>"Towel"</formula>
    </cfRule>
  </conditionalFormatting>
  <conditionalFormatting sqref="C95">
    <cfRule type="cellIs" dxfId="14985" priority="7124" stopIfTrue="1" operator="equal">
      <formula>"Napkin Hs"</formula>
    </cfRule>
  </conditionalFormatting>
  <conditionalFormatting sqref="C95">
    <cfRule type="cellIs" dxfId="14984" priority="7123" stopIfTrue="1" operator="equal">
      <formula>"Towel"</formula>
    </cfRule>
  </conditionalFormatting>
  <conditionalFormatting sqref="C95">
    <cfRule type="cellIs" dxfId="14983" priority="7121" stopIfTrue="1" operator="equal">
      <formula>"Towel"</formula>
    </cfRule>
    <cfRule type="cellIs" dxfId="14982" priority="7122" stopIfTrue="1" operator="equal">
      <formula>"Napkin Hs"</formula>
    </cfRule>
  </conditionalFormatting>
  <conditionalFormatting sqref="B95:C95">
    <cfRule type="cellIs" dxfId="14981" priority="7119" stopIfTrue="1" operator="equal">
      <formula>"Towel"</formula>
    </cfRule>
    <cfRule type="cellIs" dxfId="14980" priority="7120" stopIfTrue="1" operator="equal">
      <formula>"Napkin Hs"</formula>
    </cfRule>
  </conditionalFormatting>
  <conditionalFormatting sqref="C95">
    <cfRule type="cellIs" dxfId="14979" priority="7117" stopIfTrue="1" operator="equal">
      <formula>"Towel"</formula>
    </cfRule>
    <cfRule type="cellIs" dxfId="14978" priority="7118" stopIfTrue="1" operator="equal">
      <formula>"Napkin Hs"</formula>
    </cfRule>
  </conditionalFormatting>
  <conditionalFormatting sqref="C95">
    <cfRule type="cellIs" dxfId="14977" priority="7115" stopIfTrue="1" operator="equal">
      <formula>"Towel"</formula>
    </cfRule>
    <cfRule type="cellIs" dxfId="14976" priority="7116" stopIfTrue="1" operator="equal">
      <formula>"Napkin Hs"</formula>
    </cfRule>
  </conditionalFormatting>
  <conditionalFormatting sqref="B95:C95">
    <cfRule type="cellIs" dxfId="14975" priority="7113" stopIfTrue="1" operator="equal">
      <formula>"Towel"</formula>
    </cfRule>
    <cfRule type="cellIs" dxfId="14974" priority="7114" stopIfTrue="1" operator="equal">
      <formula>"Napkin Hs"</formula>
    </cfRule>
  </conditionalFormatting>
  <conditionalFormatting sqref="C95">
    <cfRule type="cellIs" dxfId="14973" priority="7111" stopIfTrue="1" operator="equal">
      <formula>"Towel"</formula>
    </cfRule>
    <cfRule type="cellIs" dxfId="14972" priority="7112" stopIfTrue="1" operator="equal">
      <formula>"Napkin Hs"</formula>
    </cfRule>
  </conditionalFormatting>
  <conditionalFormatting sqref="C95">
    <cfRule type="cellIs" dxfId="14971" priority="7109" stopIfTrue="1" operator="equal">
      <formula>"Towel"</formula>
    </cfRule>
    <cfRule type="cellIs" dxfId="14970" priority="7110" stopIfTrue="1" operator="equal">
      <formula>"Napkin Hs"</formula>
    </cfRule>
  </conditionalFormatting>
  <conditionalFormatting sqref="B95:C95">
    <cfRule type="cellIs" dxfId="14969" priority="7107" stopIfTrue="1" operator="equal">
      <formula>"Towel"</formula>
    </cfRule>
    <cfRule type="cellIs" dxfId="14968" priority="7108" stopIfTrue="1" operator="equal">
      <formula>"Napkin Hs"</formula>
    </cfRule>
  </conditionalFormatting>
  <conditionalFormatting sqref="C95">
    <cfRule type="cellIs" dxfId="14967" priority="7105" stopIfTrue="1" operator="equal">
      <formula>"Towel"</formula>
    </cfRule>
    <cfRule type="cellIs" dxfId="14966" priority="7106" stopIfTrue="1" operator="equal">
      <formula>"Napkin Hs"</formula>
    </cfRule>
  </conditionalFormatting>
  <conditionalFormatting sqref="C95">
    <cfRule type="cellIs" dxfId="14965" priority="7103" stopIfTrue="1" operator="equal">
      <formula>"Towel"</formula>
    </cfRule>
    <cfRule type="cellIs" dxfId="14964" priority="7104" stopIfTrue="1" operator="equal">
      <formula>"Napkin Hs"</formula>
    </cfRule>
  </conditionalFormatting>
  <conditionalFormatting sqref="B95:C95">
    <cfRule type="cellIs" dxfId="14963" priority="7101" stopIfTrue="1" operator="equal">
      <formula>"Towel"</formula>
    </cfRule>
    <cfRule type="cellIs" dxfId="14962" priority="7102" stopIfTrue="1" operator="equal">
      <formula>"Napkin Hs"</formula>
    </cfRule>
  </conditionalFormatting>
  <conditionalFormatting sqref="C95">
    <cfRule type="cellIs" dxfId="14961" priority="7099" stopIfTrue="1" operator="equal">
      <formula>"Towel"</formula>
    </cfRule>
    <cfRule type="cellIs" dxfId="14960" priority="7100" stopIfTrue="1" operator="equal">
      <formula>"Napkin Hs"</formula>
    </cfRule>
  </conditionalFormatting>
  <conditionalFormatting sqref="C95">
    <cfRule type="cellIs" dxfId="14959" priority="7097" stopIfTrue="1" operator="equal">
      <formula>"Towel"</formula>
    </cfRule>
    <cfRule type="cellIs" dxfId="14958" priority="7098" stopIfTrue="1" operator="equal">
      <formula>"Napkin Hs"</formula>
    </cfRule>
  </conditionalFormatting>
  <conditionalFormatting sqref="B95:C95">
    <cfRule type="cellIs" dxfId="14957" priority="7095" stopIfTrue="1" operator="equal">
      <formula>"Towel"</formula>
    </cfRule>
    <cfRule type="cellIs" dxfId="14956" priority="7096" stopIfTrue="1" operator="equal">
      <formula>"Napkin Hs"</formula>
    </cfRule>
  </conditionalFormatting>
  <conditionalFormatting sqref="C95">
    <cfRule type="cellIs" dxfId="14955" priority="7093" stopIfTrue="1" operator="equal">
      <formula>"Towel"</formula>
    </cfRule>
    <cfRule type="cellIs" dxfId="14954" priority="7094" stopIfTrue="1" operator="equal">
      <formula>"Napkin Hs"</formula>
    </cfRule>
  </conditionalFormatting>
  <conditionalFormatting sqref="C95">
    <cfRule type="cellIs" dxfId="14953" priority="7091" stopIfTrue="1" operator="equal">
      <formula>"Towel"</formula>
    </cfRule>
    <cfRule type="cellIs" dxfId="14952" priority="7092" stopIfTrue="1" operator="equal">
      <formula>"Napkin Hs"</formula>
    </cfRule>
  </conditionalFormatting>
  <conditionalFormatting sqref="B95:C95">
    <cfRule type="cellIs" dxfId="14951" priority="7090" stopIfTrue="1" operator="equal">
      <formula>"Napkin Hs"</formula>
    </cfRule>
  </conditionalFormatting>
  <conditionalFormatting sqref="B95:C95">
    <cfRule type="cellIs" dxfId="14950" priority="7089" stopIfTrue="1" operator="equal">
      <formula>"Towel"</formula>
    </cfRule>
  </conditionalFormatting>
  <conditionalFormatting sqref="C95">
    <cfRule type="cellIs" dxfId="14949" priority="7088" stopIfTrue="1" operator="equal">
      <formula>"Napkin Hs"</formula>
    </cfRule>
  </conditionalFormatting>
  <conditionalFormatting sqref="C95">
    <cfRule type="cellIs" dxfId="14948" priority="7085" stopIfTrue="1" operator="equal">
      <formula>"Towel"</formula>
    </cfRule>
    <cfRule type="cellIs" dxfId="14947" priority="7086" stopIfTrue="1" operator="equal">
      <formula>"Napkin Hs"</formula>
    </cfRule>
  </conditionalFormatting>
  <conditionalFormatting sqref="C95">
    <cfRule type="cellIs" dxfId="14946" priority="7087" stopIfTrue="1" operator="equal">
      <formula>"Towel"</formula>
    </cfRule>
  </conditionalFormatting>
  <conditionalFormatting sqref="B95:C95">
    <cfRule type="cellIs" dxfId="14945" priority="7084" stopIfTrue="1" operator="equal">
      <formula>"Napkin Hs"</formula>
    </cfRule>
  </conditionalFormatting>
  <conditionalFormatting sqref="B95:C95">
    <cfRule type="cellIs" dxfId="14944" priority="7083" stopIfTrue="1" operator="equal">
      <formula>"Towel"</formula>
    </cfRule>
  </conditionalFormatting>
  <conditionalFormatting sqref="C95">
    <cfRule type="cellIs" dxfId="14943" priority="7082" stopIfTrue="1" operator="equal">
      <formula>"Napkin Hs"</formula>
    </cfRule>
  </conditionalFormatting>
  <conditionalFormatting sqref="C95">
    <cfRule type="cellIs" dxfId="14942" priority="7081" stopIfTrue="1" operator="equal">
      <formula>"Towel"</formula>
    </cfRule>
  </conditionalFormatting>
  <conditionalFormatting sqref="C95">
    <cfRule type="cellIs" dxfId="14941" priority="7079" stopIfTrue="1" operator="equal">
      <formula>"Towel"</formula>
    </cfRule>
    <cfRule type="cellIs" dxfId="14940" priority="7080" stopIfTrue="1" operator="equal">
      <formula>"Napkin Hs"</formula>
    </cfRule>
  </conditionalFormatting>
  <conditionalFormatting sqref="C95">
    <cfRule type="cellIs" dxfId="14939" priority="7073" stopIfTrue="1" operator="equal">
      <formula>"Towel"</formula>
    </cfRule>
    <cfRule type="cellIs" dxfId="14938" priority="7074" stopIfTrue="1" operator="equal">
      <formula>"Napkin Hs"</formula>
    </cfRule>
  </conditionalFormatting>
  <conditionalFormatting sqref="B95:C95">
    <cfRule type="cellIs" dxfId="14937" priority="7072" stopIfTrue="1" operator="equal">
      <formula>"Napkin Hs"</formula>
    </cfRule>
  </conditionalFormatting>
  <conditionalFormatting sqref="B95:C95">
    <cfRule type="cellIs" dxfId="14936" priority="7071" stopIfTrue="1" operator="equal">
      <formula>"Towel"</formula>
    </cfRule>
  </conditionalFormatting>
  <conditionalFormatting sqref="C95">
    <cfRule type="cellIs" dxfId="14935" priority="7070" stopIfTrue="1" operator="equal">
      <formula>"Napkin Hs"</formula>
    </cfRule>
  </conditionalFormatting>
  <conditionalFormatting sqref="C95">
    <cfRule type="cellIs" dxfId="14934" priority="7069" stopIfTrue="1" operator="equal">
      <formula>"Towel"</formula>
    </cfRule>
  </conditionalFormatting>
  <conditionalFormatting sqref="C95">
    <cfRule type="cellIs" dxfId="14933" priority="7067" stopIfTrue="1" operator="equal">
      <formula>"Towel"</formula>
    </cfRule>
    <cfRule type="cellIs" dxfId="14932" priority="7068" stopIfTrue="1" operator="equal">
      <formula>"Napkin Hs"</formula>
    </cfRule>
  </conditionalFormatting>
  <conditionalFormatting sqref="C95">
    <cfRule type="cellIs" dxfId="14931" priority="7061" stopIfTrue="1" operator="equal">
      <formula>"Towel"</formula>
    </cfRule>
    <cfRule type="cellIs" dxfId="14930" priority="7062" stopIfTrue="1" operator="equal">
      <formula>"Napkin Hs"</formula>
    </cfRule>
  </conditionalFormatting>
  <conditionalFormatting sqref="C95">
    <cfRule type="cellIs" dxfId="14929" priority="7055" stopIfTrue="1" operator="equal">
      <formula>"Towel"</formula>
    </cfRule>
    <cfRule type="cellIs" dxfId="14928" priority="7056" stopIfTrue="1" operator="equal">
      <formula>"Napkin Hs"</formula>
    </cfRule>
  </conditionalFormatting>
  <conditionalFormatting sqref="C95">
    <cfRule type="cellIs" dxfId="14927" priority="7049" stopIfTrue="1" operator="equal">
      <formula>"Towel"</formula>
    </cfRule>
    <cfRule type="cellIs" dxfId="14926" priority="7050" stopIfTrue="1" operator="equal">
      <formula>"Napkin Hs"</formula>
    </cfRule>
  </conditionalFormatting>
  <conditionalFormatting sqref="C95">
    <cfRule type="cellIs" dxfId="14925" priority="7043" stopIfTrue="1" operator="equal">
      <formula>"Towel"</formula>
    </cfRule>
    <cfRule type="cellIs" dxfId="14924" priority="7044" stopIfTrue="1" operator="equal">
      <formula>"Napkin Hs"</formula>
    </cfRule>
  </conditionalFormatting>
  <conditionalFormatting sqref="C95">
    <cfRule type="cellIs" dxfId="14923" priority="7037" stopIfTrue="1" operator="equal">
      <formula>"Towel"</formula>
    </cfRule>
    <cfRule type="cellIs" dxfId="14922" priority="7038" stopIfTrue="1" operator="equal">
      <formula>"Napkin Hs"</formula>
    </cfRule>
  </conditionalFormatting>
  <conditionalFormatting sqref="B95:C95">
    <cfRule type="cellIs" dxfId="14921" priority="7036" stopIfTrue="1" operator="equal">
      <formula>"Napkin Hs"</formula>
    </cfRule>
  </conditionalFormatting>
  <conditionalFormatting sqref="B95:C95">
    <cfRule type="cellIs" dxfId="14920" priority="7035" stopIfTrue="1" operator="equal">
      <formula>"Towel"</formula>
    </cfRule>
  </conditionalFormatting>
  <conditionalFormatting sqref="C95">
    <cfRule type="cellIs" dxfId="14919" priority="7034" stopIfTrue="1" operator="equal">
      <formula>"Napkin Hs"</formula>
    </cfRule>
  </conditionalFormatting>
  <conditionalFormatting sqref="C95">
    <cfRule type="cellIs" dxfId="14918" priority="7031" stopIfTrue="1" operator="equal">
      <formula>"Towel"</formula>
    </cfRule>
    <cfRule type="cellIs" dxfId="14917" priority="7032" stopIfTrue="1" operator="equal">
      <formula>"Napkin Hs"</formula>
    </cfRule>
  </conditionalFormatting>
  <conditionalFormatting sqref="C95">
    <cfRule type="cellIs" dxfId="14916" priority="7033" stopIfTrue="1" operator="equal">
      <formula>"Towel"</formula>
    </cfRule>
  </conditionalFormatting>
  <conditionalFormatting sqref="B95:C95">
    <cfRule type="cellIs" dxfId="14915" priority="7030" stopIfTrue="1" operator="equal">
      <formula>"Napkin Hs"</formula>
    </cfRule>
  </conditionalFormatting>
  <conditionalFormatting sqref="B95:C95">
    <cfRule type="cellIs" dxfId="14914" priority="7029" stopIfTrue="1" operator="equal">
      <formula>"Towel"</formula>
    </cfRule>
  </conditionalFormatting>
  <conditionalFormatting sqref="C95">
    <cfRule type="cellIs" dxfId="14913" priority="7028" stopIfTrue="1" operator="equal">
      <formula>"Napkin Hs"</formula>
    </cfRule>
  </conditionalFormatting>
  <conditionalFormatting sqref="C95">
    <cfRule type="cellIs" dxfId="14912" priority="7025" stopIfTrue="1" operator="equal">
      <formula>"Towel"</formula>
    </cfRule>
    <cfRule type="cellIs" dxfId="14911" priority="7026" stopIfTrue="1" operator="equal">
      <formula>"Napkin Hs"</formula>
    </cfRule>
  </conditionalFormatting>
  <conditionalFormatting sqref="C95">
    <cfRule type="cellIs" dxfId="14910" priority="7027" stopIfTrue="1" operator="equal">
      <formula>"Towel"</formula>
    </cfRule>
  </conditionalFormatting>
  <conditionalFormatting sqref="B95:C95">
    <cfRule type="cellIs" dxfId="14909" priority="7077" stopIfTrue="1" operator="equal">
      <formula>"Towel"</formula>
    </cfRule>
    <cfRule type="cellIs" dxfId="14908" priority="7078" stopIfTrue="1" operator="equal">
      <formula>"Napkin Hs"</formula>
    </cfRule>
  </conditionalFormatting>
  <conditionalFormatting sqref="C95">
    <cfRule type="cellIs" dxfId="14907" priority="7075" stopIfTrue="1" operator="equal">
      <formula>"Towel"</formula>
    </cfRule>
    <cfRule type="cellIs" dxfId="14906" priority="7076" stopIfTrue="1" operator="equal">
      <formula>"Napkin Hs"</formula>
    </cfRule>
  </conditionalFormatting>
  <conditionalFormatting sqref="B95:C95">
    <cfRule type="cellIs" dxfId="14905" priority="7065" stopIfTrue="1" operator="equal">
      <formula>"Towel"</formula>
    </cfRule>
    <cfRule type="cellIs" dxfId="14904" priority="7066" stopIfTrue="1" operator="equal">
      <formula>"Napkin Hs"</formula>
    </cfRule>
  </conditionalFormatting>
  <conditionalFormatting sqref="C95">
    <cfRule type="cellIs" dxfId="14903" priority="7063" stopIfTrue="1" operator="equal">
      <formula>"Towel"</formula>
    </cfRule>
    <cfRule type="cellIs" dxfId="14902" priority="7064" stopIfTrue="1" operator="equal">
      <formula>"Napkin Hs"</formula>
    </cfRule>
  </conditionalFormatting>
  <conditionalFormatting sqref="B95:C95">
    <cfRule type="cellIs" dxfId="14901" priority="7059" stopIfTrue="1" operator="equal">
      <formula>"Towel"</formula>
    </cfRule>
    <cfRule type="cellIs" dxfId="14900" priority="7060" stopIfTrue="1" operator="equal">
      <formula>"Napkin Hs"</formula>
    </cfRule>
  </conditionalFormatting>
  <conditionalFormatting sqref="C95">
    <cfRule type="cellIs" dxfId="14899" priority="7057" stopIfTrue="1" operator="equal">
      <formula>"Towel"</formula>
    </cfRule>
    <cfRule type="cellIs" dxfId="14898" priority="7058" stopIfTrue="1" operator="equal">
      <formula>"Napkin Hs"</formula>
    </cfRule>
  </conditionalFormatting>
  <conditionalFormatting sqref="B95:C95">
    <cfRule type="cellIs" dxfId="14897" priority="7053" stopIfTrue="1" operator="equal">
      <formula>"Towel"</formula>
    </cfRule>
    <cfRule type="cellIs" dxfId="14896" priority="7054" stopIfTrue="1" operator="equal">
      <formula>"Napkin Hs"</formula>
    </cfRule>
  </conditionalFormatting>
  <conditionalFormatting sqref="C95">
    <cfRule type="cellIs" dxfId="14895" priority="7051" stopIfTrue="1" operator="equal">
      <formula>"Towel"</formula>
    </cfRule>
    <cfRule type="cellIs" dxfId="14894" priority="7052" stopIfTrue="1" operator="equal">
      <formula>"Napkin Hs"</formula>
    </cfRule>
  </conditionalFormatting>
  <conditionalFormatting sqref="B95:C95">
    <cfRule type="cellIs" dxfId="14893" priority="7047" stopIfTrue="1" operator="equal">
      <formula>"Towel"</formula>
    </cfRule>
    <cfRule type="cellIs" dxfId="14892" priority="7048" stopIfTrue="1" operator="equal">
      <formula>"Napkin Hs"</formula>
    </cfRule>
  </conditionalFormatting>
  <conditionalFormatting sqref="C95">
    <cfRule type="cellIs" dxfId="14891" priority="7045" stopIfTrue="1" operator="equal">
      <formula>"Towel"</formula>
    </cfRule>
    <cfRule type="cellIs" dxfId="14890" priority="7046" stopIfTrue="1" operator="equal">
      <formula>"Napkin Hs"</formula>
    </cfRule>
  </conditionalFormatting>
  <conditionalFormatting sqref="B95:C95">
    <cfRule type="cellIs" dxfId="14889" priority="7041" stopIfTrue="1" operator="equal">
      <formula>"Towel"</formula>
    </cfRule>
    <cfRule type="cellIs" dxfId="14888" priority="7042" stopIfTrue="1" operator="equal">
      <formula>"Napkin Hs"</formula>
    </cfRule>
  </conditionalFormatting>
  <conditionalFormatting sqref="C95">
    <cfRule type="cellIs" dxfId="14887" priority="7039" stopIfTrue="1" operator="equal">
      <formula>"Towel"</formula>
    </cfRule>
    <cfRule type="cellIs" dxfId="14886" priority="7040" stopIfTrue="1" operator="equal">
      <formula>"Napkin Hs"</formula>
    </cfRule>
  </conditionalFormatting>
  <conditionalFormatting sqref="B95:C95">
    <cfRule type="cellIs" dxfId="14885" priority="7024" stopIfTrue="1" operator="equal">
      <formula>"Napkin Hs"</formula>
    </cfRule>
  </conditionalFormatting>
  <conditionalFormatting sqref="B95:C95">
    <cfRule type="cellIs" dxfId="14884" priority="7023" stopIfTrue="1" operator="equal">
      <formula>"Towel"</formula>
    </cfRule>
  </conditionalFormatting>
  <conditionalFormatting sqref="C95">
    <cfRule type="cellIs" dxfId="14883" priority="7022" stopIfTrue="1" operator="equal">
      <formula>"Napkin Hs"</formula>
    </cfRule>
  </conditionalFormatting>
  <conditionalFormatting sqref="C95">
    <cfRule type="cellIs" dxfId="14882" priority="7019" stopIfTrue="1" operator="equal">
      <formula>"Towel"</formula>
    </cfRule>
    <cfRule type="cellIs" dxfId="14881" priority="7020" stopIfTrue="1" operator="equal">
      <formula>"Napkin Hs"</formula>
    </cfRule>
  </conditionalFormatting>
  <conditionalFormatting sqref="C95">
    <cfRule type="cellIs" dxfId="14880" priority="7021" stopIfTrue="1" operator="equal">
      <formula>"Towel"</formula>
    </cfRule>
  </conditionalFormatting>
  <conditionalFormatting sqref="B101:C101">
    <cfRule type="cellIs" dxfId="14879" priority="7017" stopIfTrue="1" operator="equal">
      <formula>"Towel"</formula>
    </cfRule>
    <cfRule type="cellIs" dxfId="14878" priority="7018" stopIfTrue="1" operator="equal">
      <formula>"Napkin Hs"</formula>
    </cfRule>
  </conditionalFormatting>
  <conditionalFormatting sqref="C101">
    <cfRule type="cellIs" dxfId="14877" priority="7015" stopIfTrue="1" operator="equal">
      <formula>"Towel"</formula>
    </cfRule>
    <cfRule type="cellIs" dxfId="14876" priority="7016" stopIfTrue="1" operator="equal">
      <formula>"Napkin Hs"</formula>
    </cfRule>
  </conditionalFormatting>
  <conditionalFormatting sqref="C101">
    <cfRule type="cellIs" dxfId="14875" priority="7013" stopIfTrue="1" operator="equal">
      <formula>"Towel"</formula>
    </cfRule>
    <cfRule type="cellIs" dxfId="14874" priority="7014" stopIfTrue="1" operator="equal">
      <formula>"Napkin Hs"</formula>
    </cfRule>
  </conditionalFormatting>
  <conditionalFormatting sqref="B100:C100">
    <cfRule type="cellIs" dxfId="14873" priority="7011" stopIfTrue="1" operator="equal">
      <formula>"Towel"</formula>
    </cfRule>
    <cfRule type="cellIs" dxfId="14872" priority="7012" stopIfTrue="1" operator="equal">
      <formula>"Napkin Hs"</formula>
    </cfRule>
  </conditionalFormatting>
  <conditionalFormatting sqref="C100">
    <cfRule type="cellIs" dxfId="14871" priority="7007" stopIfTrue="1" operator="equal">
      <formula>"Towel"</formula>
    </cfRule>
    <cfRule type="cellIs" dxfId="14870" priority="7008" stopIfTrue="1" operator="equal">
      <formula>"Napkin Hs"</formula>
    </cfRule>
  </conditionalFormatting>
  <conditionalFormatting sqref="C100">
    <cfRule type="cellIs" dxfId="14869" priority="7009" stopIfTrue="1" operator="equal">
      <formula>"Towel"</formula>
    </cfRule>
    <cfRule type="cellIs" dxfId="14868" priority="7010" stopIfTrue="1" operator="equal">
      <formula>"Napkin Hs"</formula>
    </cfRule>
  </conditionalFormatting>
  <conditionalFormatting sqref="B100:C100">
    <cfRule type="cellIs" dxfId="14867" priority="7006" stopIfTrue="1" operator="equal">
      <formula>"Napkin Hs"</formula>
    </cfRule>
  </conditionalFormatting>
  <conditionalFormatting sqref="B100:C100">
    <cfRule type="cellIs" dxfId="14866" priority="7005" stopIfTrue="1" operator="equal">
      <formula>"Towel"</formula>
    </cfRule>
  </conditionalFormatting>
  <conditionalFormatting sqref="C100">
    <cfRule type="cellIs" dxfId="14865" priority="7004" stopIfTrue="1" operator="equal">
      <formula>"Napkin Hs"</formula>
    </cfRule>
  </conditionalFormatting>
  <conditionalFormatting sqref="C100">
    <cfRule type="cellIs" dxfId="14864" priority="7003" stopIfTrue="1" operator="equal">
      <formula>"Towel"</formula>
    </cfRule>
  </conditionalFormatting>
  <conditionalFormatting sqref="C100">
    <cfRule type="cellIs" dxfId="14863" priority="7001" stopIfTrue="1" operator="equal">
      <formula>"Towel"</formula>
    </cfRule>
    <cfRule type="cellIs" dxfId="14862" priority="7002" stopIfTrue="1" operator="equal">
      <formula>"Napkin Hs"</formula>
    </cfRule>
  </conditionalFormatting>
  <conditionalFormatting sqref="B100:C100">
    <cfRule type="cellIs" dxfId="14861" priority="6999" stopIfTrue="1" operator="equal">
      <formula>"Towel"</formula>
    </cfRule>
    <cfRule type="cellIs" dxfId="14860" priority="7000" stopIfTrue="1" operator="equal">
      <formula>"Napkin Hs"</formula>
    </cfRule>
  </conditionalFormatting>
  <conditionalFormatting sqref="C100">
    <cfRule type="cellIs" dxfId="14859" priority="6997" stopIfTrue="1" operator="equal">
      <formula>"Towel"</formula>
    </cfRule>
    <cfRule type="cellIs" dxfId="14858" priority="6998" stopIfTrue="1" operator="equal">
      <formula>"Napkin Hs"</formula>
    </cfRule>
  </conditionalFormatting>
  <conditionalFormatting sqref="C100">
    <cfRule type="cellIs" dxfId="14857" priority="6995" stopIfTrue="1" operator="equal">
      <formula>"Towel"</formula>
    </cfRule>
    <cfRule type="cellIs" dxfId="14856" priority="6996" stopIfTrue="1" operator="equal">
      <formula>"Napkin Hs"</formula>
    </cfRule>
  </conditionalFormatting>
  <conditionalFormatting sqref="B100:C100">
    <cfRule type="cellIs" dxfId="14855" priority="6993" stopIfTrue="1" operator="equal">
      <formula>"Towel"</formula>
    </cfRule>
    <cfRule type="cellIs" dxfId="14854" priority="6994" stopIfTrue="1" operator="equal">
      <formula>"Napkin Hs"</formula>
    </cfRule>
  </conditionalFormatting>
  <conditionalFormatting sqref="C100">
    <cfRule type="cellIs" dxfId="14853" priority="6991" stopIfTrue="1" operator="equal">
      <formula>"Towel"</formula>
    </cfRule>
    <cfRule type="cellIs" dxfId="14852" priority="6992" stopIfTrue="1" operator="equal">
      <formula>"Napkin Hs"</formula>
    </cfRule>
  </conditionalFormatting>
  <conditionalFormatting sqref="C100">
    <cfRule type="cellIs" dxfId="14851" priority="6989" stopIfTrue="1" operator="equal">
      <formula>"Towel"</formula>
    </cfRule>
    <cfRule type="cellIs" dxfId="14850" priority="6990" stopIfTrue="1" operator="equal">
      <formula>"Napkin Hs"</formula>
    </cfRule>
  </conditionalFormatting>
  <conditionalFormatting sqref="B100:C100">
    <cfRule type="cellIs" dxfId="14849" priority="6987" stopIfTrue="1" operator="equal">
      <formula>"Towel"</formula>
    </cfRule>
    <cfRule type="cellIs" dxfId="14848" priority="6988" stopIfTrue="1" operator="equal">
      <formula>"Napkin Hs"</formula>
    </cfRule>
  </conditionalFormatting>
  <conditionalFormatting sqref="C100">
    <cfRule type="cellIs" dxfId="14847" priority="6985" stopIfTrue="1" operator="equal">
      <formula>"Towel"</formula>
    </cfRule>
    <cfRule type="cellIs" dxfId="14846" priority="6986" stopIfTrue="1" operator="equal">
      <formula>"Napkin Hs"</formula>
    </cfRule>
  </conditionalFormatting>
  <conditionalFormatting sqref="C100">
    <cfRule type="cellIs" dxfId="14845" priority="6983" stopIfTrue="1" operator="equal">
      <formula>"Towel"</formula>
    </cfRule>
    <cfRule type="cellIs" dxfId="14844" priority="6984" stopIfTrue="1" operator="equal">
      <formula>"Napkin Hs"</formula>
    </cfRule>
  </conditionalFormatting>
  <conditionalFormatting sqref="B100:C100">
    <cfRule type="cellIs" dxfId="14843" priority="6981" stopIfTrue="1" operator="equal">
      <formula>"Towel"</formula>
    </cfRule>
    <cfRule type="cellIs" dxfId="14842" priority="6982" stopIfTrue="1" operator="equal">
      <formula>"Napkin Hs"</formula>
    </cfRule>
  </conditionalFormatting>
  <conditionalFormatting sqref="C100">
    <cfRule type="cellIs" dxfId="14841" priority="6979" stopIfTrue="1" operator="equal">
      <formula>"Towel"</formula>
    </cfRule>
    <cfRule type="cellIs" dxfId="14840" priority="6980" stopIfTrue="1" operator="equal">
      <formula>"Napkin Hs"</formula>
    </cfRule>
  </conditionalFormatting>
  <conditionalFormatting sqref="C100">
    <cfRule type="cellIs" dxfId="14839" priority="6977" stopIfTrue="1" operator="equal">
      <formula>"Towel"</formula>
    </cfRule>
    <cfRule type="cellIs" dxfId="14838" priority="6978" stopIfTrue="1" operator="equal">
      <formula>"Napkin Hs"</formula>
    </cfRule>
  </conditionalFormatting>
  <conditionalFormatting sqref="B100:C100">
    <cfRule type="cellIs" dxfId="14837" priority="6975" stopIfTrue="1" operator="equal">
      <formula>"Towel"</formula>
    </cfRule>
    <cfRule type="cellIs" dxfId="14836" priority="6976" stopIfTrue="1" operator="equal">
      <formula>"Napkin Hs"</formula>
    </cfRule>
  </conditionalFormatting>
  <conditionalFormatting sqref="C100">
    <cfRule type="cellIs" dxfId="14835" priority="6973" stopIfTrue="1" operator="equal">
      <formula>"Towel"</formula>
    </cfRule>
    <cfRule type="cellIs" dxfId="14834" priority="6974" stopIfTrue="1" operator="equal">
      <formula>"Napkin Hs"</formula>
    </cfRule>
  </conditionalFormatting>
  <conditionalFormatting sqref="C100">
    <cfRule type="cellIs" dxfId="14833" priority="6971" stopIfTrue="1" operator="equal">
      <formula>"Towel"</formula>
    </cfRule>
    <cfRule type="cellIs" dxfId="14832" priority="6972" stopIfTrue="1" operator="equal">
      <formula>"Napkin Hs"</formula>
    </cfRule>
  </conditionalFormatting>
  <conditionalFormatting sqref="B100:C100">
    <cfRule type="cellIs" dxfId="14831" priority="6970" stopIfTrue="1" operator="equal">
      <formula>"Napkin Hs"</formula>
    </cfRule>
  </conditionalFormatting>
  <conditionalFormatting sqref="B100:C100">
    <cfRule type="cellIs" dxfId="14830" priority="6969" stopIfTrue="1" operator="equal">
      <formula>"Towel"</formula>
    </cfRule>
  </conditionalFormatting>
  <conditionalFormatting sqref="C100">
    <cfRule type="cellIs" dxfId="14829" priority="6968" stopIfTrue="1" operator="equal">
      <formula>"Napkin Hs"</formula>
    </cfRule>
  </conditionalFormatting>
  <conditionalFormatting sqref="C100">
    <cfRule type="cellIs" dxfId="14828" priority="6965" stopIfTrue="1" operator="equal">
      <formula>"Towel"</formula>
    </cfRule>
    <cfRule type="cellIs" dxfId="14827" priority="6966" stopIfTrue="1" operator="equal">
      <formula>"Napkin Hs"</formula>
    </cfRule>
  </conditionalFormatting>
  <conditionalFormatting sqref="C100">
    <cfRule type="cellIs" dxfId="14826" priority="6967" stopIfTrue="1" operator="equal">
      <formula>"Towel"</formula>
    </cfRule>
  </conditionalFormatting>
  <conditionalFormatting sqref="B100:C100">
    <cfRule type="cellIs" dxfId="14825" priority="6964" stopIfTrue="1" operator="equal">
      <formula>"Napkin Hs"</formula>
    </cfRule>
  </conditionalFormatting>
  <conditionalFormatting sqref="B100:C100">
    <cfRule type="cellIs" dxfId="14824" priority="6963" stopIfTrue="1" operator="equal">
      <formula>"Towel"</formula>
    </cfRule>
  </conditionalFormatting>
  <conditionalFormatting sqref="C100">
    <cfRule type="cellIs" dxfId="14823" priority="6962" stopIfTrue="1" operator="equal">
      <formula>"Napkin Hs"</formula>
    </cfRule>
  </conditionalFormatting>
  <conditionalFormatting sqref="C100">
    <cfRule type="cellIs" dxfId="14822" priority="6961" stopIfTrue="1" operator="equal">
      <formula>"Towel"</formula>
    </cfRule>
  </conditionalFormatting>
  <conditionalFormatting sqref="C100">
    <cfRule type="cellIs" dxfId="14821" priority="6959" stopIfTrue="1" operator="equal">
      <formula>"Towel"</formula>
    </cfRule>
    <cfRule type="cellIs" dxfId="14820" priority="6960" stopIfTrue="1" operator="equal">
      <formula>"Napkin Hs"</formula>
    </cfRule>
  </conditionalFormatting>
  <conditionalFormatting sqref="C100">
    <cfRule type="cellIs" dxfId="14819" priority="6953" stopIfTrue="1" operator="equal">
      <formula>"Towel"</formula>
    </cfRule>
    <cfRule type="cellIs" dxfId="14818" priority="6954" stopIfTrue="1" operator="equal">
      <formula>"Napkin Hs"</formula>
    </cfRule>
  </conditionalFormatting>
  <conditionalFormatting sqref="B100:C100">
    <cfRule type="cellIs" dxfId="14817" priority="6952" stopIfTrue="1" operator="equal">
      <formula>"Napkin Hs"</formula>
    </cfRule>
  </conditionalFormatting>
  <conditionalFormatting sqref="B100:C100">
    <cfRule type="cellIs" dxfId="14816" priority="6951" stopIfTrue="1" operator="equal">
      <formula>"Towel"</formula>
    </cfRule>
  </conditionalFormatting>
  <conditionalFormatting sqref="C100">
    <cfRule type="cellIs" dxfId="14815" priority="6950" stopIfTrue="1" operator="equal">
      <formula>"Napkin Hs"</formula>
    </cfRule>
  </conditionalFormatting>
  <conditionalFormatting sqref="C100">
    <cfRule type="cellIs" dxfId="14814" priority="6949" stopIfTrue="1" operator="equal">
      <formula>"Towel"</formula>
    </cfRule>
  </conditionalFormatting>
  <conditionalFormatting sqref="C100">
    <cfRule type="cellIs" dxfId="14813" priority="6947" stopIfTrue="1" operator="equal">
      <formula>"Towel"</formula>
    </cfRule>
    <cfRule type="cellIs" dxfId="14812" priority="6948" stopIfTrue="1" operator="equal">
      <formula>"Napkin Hs"</formula>
    </cfRule>
  </conditionalFormatting>
  <conditionalFormatting sqref="C100">
    <cfRule type="cellIs" dxfId="14811" priority="6941" stopIfTrue="1" operator="equal">
      <formula>"Towel"</formula>
    </cfRule>
    <cfRule type="cellIs" dxfId="14810" priority="6942" stopIfTrue="1" operator="equal">
      <formula>"Napkin Hs"</formula>
    </cfRule>
  </conditionalFormatting>
  <conditionalFormatting sqref="C100">
    <cfRule type="cellIs" dxfId="14809" priority="6935" stopIfTrue="1" operator="equal">
      <formula>"Towel"</formula>
    </cfRule>
    <cfRule type="cellIs" dxfId="14808" priority="6936" stopIfTrue="1" operator="equal">
      <formula>"Napkin Hs"</formula>
    </cfRule>
  </conditionalFormatting>
  <conditionalFormatting sqref="C100">
    <cfRule type="cellIs" dxfId="14807" priority="6929" stopIfTrue="1" operator="equal">
      <formula>"Towel"</formula>
    </cfRule>
    <cfRule type="cellIs" dxfId="14806" priority="6930" stopIfTrue="1" operator="equal">
      <formula>"Napkin Hs"</formula>
    </cfRule>
  </conditionalFormatting>
  <conditionalFormatting sqref="C100">
    <cfRule type="cellIs" dxfId="14805" priority="6923" stopIfTrue="1" operator="equal">
      <formula>"Towel"</formula>
    </cfRule>
    <cfRule type="cellIs" dxfId="14804" priority="6924" stopIfTrue="1" operator="equal">
      <formula>"Napkin Hs"</formula>
    </cfRule>
  </conditionalFormatting>
  <conditionalFormatting sqref="C100">
    <cfRule type="cellIs" dxfId="14803" priority="6917" stopIfTrue="1" operator="equal">
      <formula>"Towel"</formula>
    </cfRule>
    <cfRule type="cellIs" dxfId="14802" priority="6918" stopIfTrue="1" operator="equal">
      <formula>"Napkin Hs"</formula>
    </cfRule>
  </conditionalFormatting>
  <conditionalFormatting sqref="B100:C100">
    <cfRule type="cellIs" dxfId="14801" priority="6916" stopIfTrue="1" operator="equal">
      <formula>"Napkin Hs"</formula>
    </cfRule>
  </conditionalFormatting>
  <conditionalFormatting sqref="B100:C100">
    <cfRule type="cellIs" dxfId="14800" priority="6915" stopIfTrue="1" operator="equal">
      <formula>"Towel"</formula>
    </cfRule>
  </conditionalFormatting>
  <conditionalFormatting sqref="C100">
    <cfRule type="cellIs" dxfId="14799" priority="6914" stopIfTrue="1" operator="equal">
      <formula>"Napkin Hs"</formula>
    </cfRule>
  </conditionalFormatting>
  <conditionalFormatting sqref="C100">
    <cfRule type="cellIs" dxfId="14798" priority="6911" stopIfTrue="1" operator="equal">
      <formula>"Towel"</formula>
    </cfRule>
    <cfRule type="cellIs" dxfId="14797" priority="6912" stopIfTrue="1" operator="equal">
      <formula>"Napkin Hs"</formula>
    </cfRule>
  </conditionalFormatting>
  <conditionalFormatting sqref="C100">
    <cfRule type="cellIs" dxfId="14796" priority="6913" stopIfTrue="1" operator="equal">
      <formula>"Towel"</formula>
    </cfRule>
  </conditionalFormatting>
  <conditionalFormatting sqref="B100:C100">
    <cfRule type="cellIs" dxfId="14795" priority="6910" stopIfTrue="1" operator="equal">
      <formula>"Napkin Hs"</formula>
    </cfRule>
  </conditionalFormatting>
  <conditionalFormatting sqref="B100:C100">
    <cfRule type="cellIs" dxfId="14794" priority="6909" stopIfTrue="1" operator="equal">
      <formula>"Towel"</formula>
    </cfRule>
  </conditionalFormatting>
  <conditionalFormatting sqref="C100">
    <cfRule type="cellIs" dxfId="14793" priority="6908" stopIfTrue="1" operator="equal">
      <formula>"Napkin Hs"</formula>
    </cfRule>
  </conditionalFormatting>
  <conditionalFormatting sqref="C100">
    <cfRule type="cellIs" dxfId="14792" priority="6905" stopIfTrue="1" operator="equal">
      <formula>"Towel"</formula>
    </cfRule>
    <cfRule type="cellIs" dxfId="14791" priority="6906" stopIfTrue="1" operator="equal">
      <formula>"Napkin Hs"</formula>
    </cfRule>
  </conditionalFormatting>
  <conditionalFormatting sqref="C100">
    <cfRule type="cellIs" dxfId="14790" priority="6907" stopIfTrue="1" operator="equal">
      <formula>"Towel"</formula>
    </cfRule>
  </conditionalFormatting>
  <conditionalFormatting sqref="B101:C101">
    <cfRule type="cellIs" dxfId="14789" priority="6838" stopIfTrue="1" operator="equal">
      <formula>"Napkin Hs"</formula>
    </cfRule>
  </conditionalFormatting>
  <conditionalFormatting sqref="B101:C101">
    <cfRule type="cellIs" dxfId="14788" priority="6837" stopIfTrue="1" operator="equal">
      <formula>"Towel"</formula>
    </cfRule>
  </conditionalFormatting>
  <conditionalFormatting sqref="C101">
    <cfRule type="cellIs" dxfId="14787" priority="6836" stopIfTrue="1" operator="equal">
      <formula>"Napkin Hs"</formula>
    </cfRule>
  </conditionalFormatting>
  <conditionalFormatting sqref="C101">
    <cfRule type="cellIs" dxfId="14786" priority="6833" stopIfTrue="1" operator="equal">
      <formula>"Towel"</formula>
    </cfRule>
    <cfRule type="cellIs" dxfId="14785" priority="6834" stopIfTrue="1" operator="equal">
      <formula>"Napkin Hs"</formula>
    </cfRule>
  </conditionalFormatting>
  <conditionalFormatting sqref="C101">
    <cfRule type="cellIs" dxfId="14784" priority="6835" stopIfTrue="1" operator="equal">
      <formula>"Towel"</formula>
    </cfRule>
  </conditionalFormatting>
  <conditionalFormatting sqref="B100:C100">
    <cfRule type="cellIs" dxfId="14783" priority="6957" stopIfTrue="1" operator="equal">
      <formula>"Towel"</formula>
    </cfRule>
    <cfRule type="cellIs" dxfId="14782" priority="6958" stopIfTrue="1" operator="equal">
      <formula>"Napkin Hs"</formula>
    </cfRule>
  </conditionalFormatting>
  <conditionalFormatting sqref="C100">
    <cfRule type="cellIs" dxfId="14781" priority="6955" stopIfTrue="1" operator="equal">
      <formula>"Towel"</formula>
    </cfRule>
    <cfRule type="cellIs" dxfId="14780" priority="6956" stopIfTrue="1" operator="equal">
      <formula>"Napkin Hs"</formula>
    </cfRule>
  </conditionalFormatting>
  <conditionalFormatting sqref="B100:C100">
    <cfRule type="cellIs" dxfId="14779" priority="6945" stopIfTrue="1" operator="equal">
      <formula>"Towel"</formula>
    </cfRule>
    <cfRule type="cellIs" dxfId="14778" priority="6946" stopIfTrue="1" operator="equal">
      <formula>"Napkin Hs"</formula>
    </cfRule>
  </conditionalFormatting>
  <conditionalFormatting sqref="C100">
    <cfRule type="cellIs" dxfId="14777" priority="6943" stopIfTrue="1" operator="equal">
      <formula>"Towel"</formula>
    </cfRule>
    <cfRule type="cellIs" dxfId="14776" priority="6944" stopIfTrue="1" operator="equal">
      <formula>"Napkin Hs"</formula>
    </cfRule>
  </conditionalFormatting>
  <conditionalFormatting sqref="B100:C100">
    <cfRule type="cellIs" dxfId="14775" priority="6939" stopIfTrue="1" operator="equal">
      <formula>"Towel"</formula>
    </cfRule>
    <cfRule type="cellIs" dxfId="14774" priority="6940" stopIfTrue="1" operator="equal">
      <formula>"Napkin Hs"</formula>
    </cfRule>
  </conditionalFormatting>
  <conditionalFormatting sqref="C100">
    <cfRule type="cellIs" dxfId="14773" priority="6937" stopIfTrue="1" operator="equal">
      <formula>"Towel"</formula>
    </cfRule>
    <cfRule type="cellIs" dxfId="14772" priority="6938" stopIfTrue="1" operator="equal">
      <formula>"Napkin Hs"</formula>
    </cfRule>
  </conditionalFormatting>
  <conditionalFormatting sqref="B100:C100">
    <cfRule type="cellIs" dxfId="14771" priority="6933" stopIfTrue="1" operator="equal">
      <formula>"Towel"</formula>
    </cfRule>
    <cfRule type="cellIs" dxfId="14770" priority="6934" stopIfTrue="1" operator="equal">
      <formula>"Napkin Hs"</formula>
    </cfRule>
  </conditionalFormatting>
  <conditionalFormatting sqref="C100">
    <cfRule type="cellIs" dxfId="14769" priority="6931" stopIfTrue="1" operator="equal">
      <formula>"Towel"</formula>
    </cfRule>
    <cfRule type="cellIs" dxfId="14768" priority="6932" stopIfTrue="1" operator="equal">
      <formula>"Napkin Hs"</formula>
    </cfRule>
  </conditionalFormatting>
  <conditionalFormatting sqref="B100:C100">
    <cfRule type="cellIs" dxfId="14767" priority="6927" stopIfTrue="1" operator="equal">
      <formula>"Towel"</formula>
    </cfRule>
    <cfRule type="cellIs" dxfId="14766" priority="6928" stopIfTrue="1" operator="equal">
      <formula>"Napkin Hs"</formula>
    </cfRule>
  </conditionalFormatting>
  <conditionalFormatting sqref="C100">
    <cfRule type="cellIs" dxfId="14765" priority="6925" stopIfTrue="1" operator="equal">
      <formula>"Towel"</formula>
    </cfRule>
    <cfRule type="cellIs" dxfId="14764" priority="6926" stopIfTrue="1" operator="equal">
      <formula>"Napkin Hs"</formula>
    </cfRule>
  </conditionalFormatting>
  <conditionalFormatting sqref="B100:C100">
    <cfRule type="cellIs" dxfId="14763" priority="6921" stopIfTrue="1" operator="equal">
      <formula>"Towel"</formula>
    </cfRule>
    <cfRule type="cellIs" dxfId="14762" priority="6922" stopIfTrue="1" operator="equal">
      <formula>"Napkin Hs"</formula>
    </cfRule>
  </conditionalFormatting>
  <conditionalFormatting sqref="C100">
    <cfRule type="cellIs" dxfId="14761" priority="6919" stopIfTrue="1" operator="equal">
      <formula>"Towel"</formula>
    </cfRule>
    <cfRule type="cellIs" dxfId="14760" priority="6920" stopIfTrue="1" operator="equal">
      <formula>"Napkin Hs"</formula>
    </cfRule>
  </conditionalFormatting>
  <conditionalFormatting sqref="B100:C100">
    <cfRule type="cellIs" dxfId="14759" priority="6904" stopIfTrue="1" operator="equal">
      <formula>"Napkin Hs"</formula>
    </cfRule>
  </conditionalFormatting>
  <conditionalFormatting sqref="B100:C100">
    <cfRule type="cellIs" dxfId="14758" priority="6903" stopIfTrue="1" operator="equal">
      <formula>"Towel"</formula>
    </cfRule>
  </conditionalFormatting>
  <conditionalFormatting sqref="C100">
    <cfRule type="cellIs" dxfId="14757" priority="6902" stopIfTrue="1" operator="equal">
      <formula>"Napkin Hs"</formula>
    </cfRule>
  </conditionalFormatting>
  <conditionalFormatting sqref="C100">
    <cfRule type="cellIs" dxfId="14756" priority="6899" stopIfTrue="1" operator="equal">
      <formula>"Towel"</formula>
    </cfRule>
    <cfRule type="cellIs" dxfId="14755" priority="6900" stopIfTrue="1" operator="equal">
      <formula>"Napkin Hs"</formula>
    </cfRule>
  </conditionalFormatting>
  <conditionalFormatting sqref="C100">
    <cfRule type="cellIs" dxfId="14754" priority="6901" stopIfTrue="1" operator="equal">
      <formula>"Towel"</formula>
    </cfRule>
  </conditionalFormatting>
  <conditionalFormatting sqref="B101:C101">
    <cfRule type="cellIs" dxfId="14753" priority="6898" stopIfTrue="1" operator="equal">
      <formula>"Napkin Hs"</formula>
    </cfRule>
  </conditionalFormatting>
  <conditionalFormatting sqref="B101:C101">
    <cfRule type="cellIs" dxfId="14752" priority="6897" stopIfTrue="1" operator="equal">
      <formula>"Towel"</formula>
    </cfRule>
  </conditionalFormatting>
  <conditionalFormatting sqref="C101">
    <cfRule type="cellIs" dxfId="14751" priority="6896" stopIfTrue="1" operator="equal">
      <formula>"Napkin Hs"</formula>
    </cfRule>
  </conditionalFormatting>
  <conditionalFormatting sqref="C101">
    <cfRule type="cellIs" dxfId="14750" priority="6895" stopIfTrue="1" operator="equal">
      <formula>"Towel"</formula>
    </cfRule>
  </conditionalFormatting>
  <conditionalFormatting sqref="C101">
    <cfRule type="cellIs" dxfId="14749" priority="6893" stopIfTrue="1" operator="equal">
      <formula>"Towel"</formula>
    </cfRule>
    <cfRule type="cellIs" dxfId="14748" priority="6894" stopIfTrue="1" operator="equal">
      <formula>"Napkin Hs"</formula>
    </cfRule>
  </conditionalFormatting>
  <conditionalFormatting sqref="B101:C101">
    <cfRule type="cellIs" dxfId="14747" priority="6891" stopIfTrue="1" operator="equal">
      <formula>"Towel"</formula>
    </cfRule>
    <cfRule type="cellIs" dxfId="14746" priority="6892" stopIfTrue="1" operator="equal">
      <formula>"Napkin Hs"</formula>
    </cfRule>
  </conditionalFormatting>
  <conditionalFormatting sqref="C101">
    <cfRule type="cellIs" dxfId="14745" priority="6887" stopIfTrue="1" operator="equal">
      <formula>"Towel"</formula>
    </cfRule>
    <cfRule type="cellIs" dxfId="14744" priority="6888" stopIfTrue="1" operator="equal">
      <formula>"Napkin Hs"</formula>
    </cfRule>
  </conditionalFormatting>
  <conditionalFormatting sqref="C101">
    <cfRule type="cellIs" dxfId="14743" priority="6889" stopIfTrue="1" operator="equal">
      <formula>"Towel"</formula>
    </cfRule>
    <cfRule type="cellIs" dxfId="14742" priority="6890" stopIfTrue="1" operator="equal">
      <formula>"Napkin Hs"</formula>
    </cfRule>
  </conditionalFormatting>
  <conditionalFormatting sqref="B101:C101">
    <cfRule type="cellIs" dxfId="14741" priority="6886" stopIfTrue="1" operator="equal">
      <formula>"Napkin Hs"</formula>
    </cfRule>
  </conditionalFormatting>
  <conditionalFormatting sqref="B101:C101">
    <cfRule type="cellIs" dxfId="14740" priority="6885" stopIfTrue="1" operator="equal">
      <formula>"Towel"</formula>
    </cfRule>
  </conditionalFormatting>
  <conditionalFormatting sqref="C101">
    <cfRule type="cellIs" dxfId="14739" priority="6884" stopIfTrue="1" operator="equal">
      <formula>"Napkin Hs"</formula>
    </cfRule>
  </conditionalFormatting>
  <conditionalFormatting sqref="C101">
    <cfRule type="cellIs" dxfId="14738" priority="6883" stopIfTrue="1" operator="equal">
      <formula>"Towel"</formula>
    </cfRule>
  </conditionalFormatting>
  <conditionalFormatting sqref="C101">
    <cfRule type="cellIs" dxfId="14737" priority="6881" stopIfTrue="1" operator="equal">
      <formula>"Towel"</formula>
    </cfRule>
    <cfRule type="cellIs" dxfId="14736" priority="6882" stopIfTrue="1" operator="equal">
      <formula>"Napkin Hs"</formula>
    </cfRule>
  </conditionalFormatting>
  <conditionalFormatting sqref="B101:C101">
    <cfRule type="cellIs" dxfId="14735" priority="6879" stopIfTrue="1" operator="equal">
      <formula>"Towel"</formula>
    </cfRule>
    <cfRule type="cellIs" dxfId="14734" priority="6880" stopIfTrue="1" operator="equal">
      <formula>"Napkin Hs"</formula>
    </cfRule>
  </conditionalFormatting>
  <conditionalFormatting sqref="C101">
    <cfRule type="cellIs" dxfId="14733" priority="6877" stopIfTrue="1" operator="equal">
      <formula>"Towel"</formula>
    </cfRule>
    <cfRule type="cellIs" dxfId="14732" priority="6878" stopIfTrue="1" operator="equal">
      <formula>"Napkin Hs"</formula>
    </cfRule>
  </conditionalFormatting>
  <conditionalFormatting sqref="C101">
    <cfRule type="cellIs" dxfId="14731" priority="6875" stopIfTrue="1" operator="equal">
      <formula>"Towel"</formula>
    </cfRule>
    <cfRule type="cellIs" dxfId="14730" priority="6876" stopIfTrue="1" operator="equal">
      <formula>"Napkin Hs"</formula>
    </cfRule>
  </conditionalFormatting>
  <conditionalFormatting sqref="B101:C101">
    <cfRule type="cellIs" dxfId="14729" priority="6873" stopIfTrue="1" operator="equal">
      <formula>"Towel"</formula>
    </cfRule>
    <cfRule type="cellIs" dxfId="14728" priority="6874" stopIfTrue="1" operator="equal">
      <formula>"Napkin Hs"</formula>
    </cfRule>
  </conditionalFormatting>
  <conditionalFormatting sqref="C101">
    <cfRule type="cellIs" dxfId="14727" priority="6871" stopIfTrue="1" operator="equal">
      <formula>"Towel"</formula>
    </cfRule>
    <cfRule type="cellIs" dxfId="14726" priority="6872" stopIfTrue="1" operator="equal">
      <formula>"Napkin Hs"</formula>
    </cfRule>
  </conditionalFormatting>
  <conditionalFormatting sqref="C101">
    <cfRule type="cellIs" dxfId="14725" priority="6869" stopIfTrue="1" operator="equal">
      <formula>"Towel"</formula>
    </cfRule>
    <cfRule type="cellIs" dxfId="14724" priority="6870" stopIfTrue="1" operator="equal">
      <formula>"Napkin Hs"</formula>
    </cfRule>
  </conditionalFormatting>
  <conditionalFormatting sqref="B101:C101">
    <cfRule type="cellIs" dxfId="14723" priority="6867" stopIfTrue="1" operator="equal">
      <formula>"Towel"</formula>
    </cfRule>
    <cfRule type="cellIs" dxfId="14722" priority="6868" stopIfTrue="1" operator="equal">
      <formula>"Napkin Hs"</formula>
    </cfRule>
  </conditionalFormatting>
  <conditionalFormatting sqref="C101">
    <cfRule type="cellIs" dxfId="14721" priority="6865" stopIfTrue="1" operator="equal">
      <formula>"Towel"</formula>
    </cfRule>
    <cfRule type="cellIs" dxfId="14720" priority="6866" stopIfTrue="1" operator="equal">
      <formula>"Napkin Hs"</formula>
    </cfRule>
  </conditionalFormatting>
  <conditionalFormatting sqref="C101">
    <cfRule type="cellIs" dxfId="14719" priority="6863" stopIfTrue="1" operator="equal">
      <formula>"Towel"</formula>
    </cfRule>
    <cfRule type="cellIs" dxfId="14718" priority="6864" stopIfTrue="1" operator="equal">
      <formula>"Napkin Hs"</formula>
    </cfRule>
  </conditionalFormatting>
  <conditionalFormatting sqref="B101:C101">
    <cfRule type="cellIs" dxfId="14717" priority="6861" stopIfTrue="1" operator="equal">
      <formula>"Towel"</formula>
    </cfRule>
    <cfRule type="cellIs" dxfId="14716" priority="6862" stopIfTrue="1" operator="equal">
      <formula>"Napkin Hs"</formula>
    </cfRule>
  </conditionalFormatting>
  <conditionalFormatting sqref="C101">
    <cfRule type="cellIs" dxfId="14715" priority="6859" stopIfTrue="1" operator="equal">
      <formula>"Towel"</formula>
    </cfRule>
    <cfRule type="cellIs" dxfId="14714" priority="6860" stopIfTrue="1" operator="equal">
      <formula>"Napkin Hs"</formula>
    </cfRule>
  </conditionalFormatting>
  <conditionalFormatting sqref="C101">
    <cfRule type="cellIs" dxfId="14713" priority="6857" stopIfTrue="1" operator="equal">
      <formula>"Towel"</formula>
    </cfRule>
    <cfRule type="cellIs" dxfId="14712" priority="6858" stopIfTrue="1" operator="equal">
      <formula>"Napkin Hs"</formula>
    </cfRule>
  </conditionalFormatting>
  <conditionalFormatting sqref="B101:C101">
    <cfRule type="cellIs" dxfId="14711" priority="6855" stopIfTrue="1" operator="equal">
      <formula>"Towel"</formula>
    </cfRule>
    <cfRule type="cellIs" dxfId="14710" priority="6856" stopIfTrue="1" operator="equal">
      <formula>"Napkin Hs"</formula>
    </cfRule>
  </conditionalFormatting>
  <conditionalFormatting sqref="C101">
    <cfRule type="cellIs" dxfId="14709" priority="6853" stopIfTrue="1" operator="equal">
      <formula>"Towel"</formula>
    </cfRule>
    <cfRule type="cellIs" dxfId="14708" priority="6854" stopIfTrue="1" operator="equal">
      <formula>"Napkin Hs"</formula>
    </cfRule>
  </conditionalFormatting>
  <conditionalFormatting sqref="C101">
    <cfRule type="cellIs" dxfId="14707" priority="6851" stopIfTrue="1" operator="equal">
      <formula>"Towel"</formula>
    </cfRule>
    <cfRule type="cellIs" dxfId="14706" priority="6852" stopIfTrue="1" operator="equal">
      <formula>"Napkin Hs"</formula>
    </cfRule>
  </conditionalFormatting>
  <conditionalFormatting sqref="B101:C101">
    <cfRule type="cellIs" dxfId="14705" priority="6850" stopIfTrue="1" operator="equal">
      <formula>"Napkin Hs"</formula>
    </cfRule>
  </conditionalFormatting>
  <conditionalFormatting sqref="B101:C101">
    <cfRule type="cellIs" dxfId="14704" priority="6849" stopIfTrue="1" operator="equal">
      <formula>"Towel"</formula>
    </cfRule>
  </conditionalFormatting>
  <conditionalFormatting sqref="C101">
    <cfRule type="cellIs" dxfId="14703" priority="6848" stopIfTrue="1" operator="equal">
      <formula>"Napkin Hs"</formula>
    </cfRule>
  </conditionalFormatting>
  <conditionalFormatting sqref="C101">
    <cfRule type="cellIs" dxfId="14702" priority="6845" stopIfTrue="1" operator="equal">
      <formula>"Towel"</formula>
    </cfRule>
    <cfRule type="cellIs" dxfId="14701" priority="6846" stopIfTrue="1" operator="equal">
      <formula>"Napkin Hs"</formula>
    </cfRule>
  </conditionalFormatting>
  <conditionalFormatting sqref="C101">
    <cfRule type="cellIs" dxfId="14700" priority="6847" stopIfTrue="1" operator="equal">
      <formula>"Towel"</formula>
    </cfRule>
  </conditionalFormatting>
  <conditionalFormatting sqref="B101:C101">
    <cfRule type="cellIs" dxfId="14699" priority="6844" stopIfTrue="1" operator="equal">
      <formula>"Napkin Hs"</formula>
    </cfRule>
  </conditionalFormatting>
  <conditionalFormatting sqref="B101:C101">
    <cfRule type="cellIs" dxfId="14698" priority="6843" stopIfTrue="1" operator="equal">
      <formula>"Towel"</formula>
    </cfRule>
  </conditionalFormatting>
  <conditionalFormatting sqref="C101">
    <cfRule type="cellIs" dxfId="14697" priority="6842" stopIfTrue="1" operator="equal">
      <formula>"Napkin Hs"</formula>
    </cfRule>
  </conditionalFormatting>
  <conditionalFormatting sqref="C101">
    <cfRule type="cellIs" dxfId="14696" priority="6839" stopIfTrue="1" operator="equal">
      <formula>"Towel"</formula>
    </cfRule>
    <cfRule type="cellIs" dxfId="14695" priority="6840" stopIfTrue="1" operator="equal">
      <formula>"Napkin Hs"</formula>
    </cfRule>
  </conditionalFormatting>
  <conditionalFormatting sqref="C101">
    <cfRule type="cellIs" dxfId="14694" priority="6841" stopIfTrue="1" operator="equal">
      <formula>"Towel"</formula>
    </cfRule>
  </conditionalFormatting>
  <conditionalFormatting sqref="B99:C99">
    <cfRule type="cellIs" dxfId="14693" priority="6831" stopIfTrue="1" operator="equal">
      <formula>"Towel"</formula>
    </cfRule>
    <cfRule type="cellIs" dxfId="14692" priority="6832" stopIfTrue="1" operator="equal">
      <formula>"Napkin Hs"</formula>
    </cfRule>
  </conditionalFormatting>
  <conditionalFormatting sqref="C99">
    <cfRule type="cellIs" dxfId="14691" priority="6827" stopIfTrue="1" operator="equal">
      <formula>"Towel"</formula>
    </cfRule>
    <cfRule type="cellIs" dxfId="14690" priority="6828" stopIfTrue="1" operator="equal">
      <formula>"Napkin Hs"</formula>
    </cfRule>
  </conditionalFormatting>
  <conditionalFormatting sqref="C99">
    <cfRule type="cellIs" dxfId="14689" priority="6829" stopIfTrue="1" operator="equal">
      <formula>"Towel"</formula>
    </cfRule>
    <cfRule type="cellIs" dxfId="14688" priority="6830" stopIfTrue="1" operator="equal">
      <formula>"Napkin Hs"</formula>
    </cfRule>
  </conditionalFormatting>
  <conditionalFormatting sqref="B99:C99">
    <cfRule type="cellIs" dxfId="14687" priority="6826" stopIfTrue="1" operator="equal">
      <formula>"Napkin Hs"</formula>
    </cfRule>
  </conditionalFormatting>
  <conditionalFormatting sqref="B99:C99">
    <cfRule type="cellIs" dxfId="14686" priority="6825" stopIfTrue="1" operator="equal">
      <formula>"Towel"</formula>
    </cfRule>
  </conditionalFormatting>
  <conditionalFormatting sqref="C99">
    <cfRule type="cellIs" dxfId="14685" priority="6824" stopIfTrue="1" operator="equal">
      <formula>"Napkin Hs"</formula>
    </cfRule>
  </conditionalFormatting>
  <conditionalFormatting sqref="C99">
    <cfRule type="cellIs" dxfId="14684" priority="6823" stopIfTrue="1" operator="equal">
      <formula>"Towel"</formula>
    </cfRule>
  </conditionalFormatting>
  <conditionalFormatting sqref="C99">
    <cfRule type="cellIs" dxfId="14683" priority="6821" stopIfTrue="1" operator="equal">
      <formula>"Towel"</formula>
    </cfRule>
    <cfRule type="cellIs" dxfId="14682" priority="6822" stopIfTrue="1" operator="equal">
      <formula>"Napkin Hs"</formula>
    </cfRule>
  </conditionalFormatting>
  <conditionalFormatting sqref="B99:C99">
    <cfRule type="cellIs" dxfId="14681" priority="6819" stopIfTrue="1" operator="equal">
      <formula>"Towel"</formula>
    </cfRule>
    <cfRule type="cellIs" dxfId="14680" priority="6820" stopIfTrue="1" operator="equal">
      <formula>"Napkin Hs"</formula>
    </cfRule>
  </conditionalFormatting>
  <conditionalFormatting sqref="C99">
    <cfRule type="cellIs" dxfId="14679" priority="6817" stopIfTrue="1" operator="equal">
      <formula>"Towel"</formula>
    </cfRule>
    <cfRule type="cellIs" dxfId="14678" priority="6818" stopIfTrue="1" operator="equal">
      <formula>"Napkin Hs"</formula>
    </cfRule>
  </conditionalFormatting>
  <conditionalFormatting sqref="C99">
    <cfRule type="cellIs" dxfId="14677" priority="6815" stopIfTrue="1" operator="equal">
      <formula>"Towel"</formula>
    </cfRule>
    <cfRule type="cellIs" dxfId="14676" priority="6816" stopIfTrue="1" operator="equal">
      <formula>"Napkin Hs"</formula>
    </cfRule>
  </conditionalFormatting>
  <conditionalFormatting sqref="B99:C99">
    <cfRule type="cellIs" dxfId="14675" priority="6813" stopIfTrue="1" operator="equal">
      <formula>"Towel"</formula>
    </cfRule>
    <cfRule type="cellIs" dxfId="14674" priority="6814" stopIfTrue="1" operator="equal">
      <formula>"Napkin Hs"</formula>
    </cfRule>
  </conditionalFormatting>
  <conditionalFormatting sqref="C99">
    <cfRule type="cellIs" dxfId="14673" priority="6811" stopIfTrue="1" operator="equal">
      <formula>"Towel"</formula>
    </cfRule>
    <cfRule type="cellIs" dxfId="14672" priority="6812" stopIfTrue="1" operator="equal">
      <formula>"Napkin Hs"</formula>
    </cfRule>
  </conditionalFormatting>
  <conditionalFormatting sqref="C99">
    <cfRule type="cellIs" dxfId="14671" priority="6809" stopIfTrue="1" operator="equal">
      <formula>"Towel"</formula>
    </cfRule>
    <cfRule type="cellIs" dxfId="14670" priority="6810" stopIfTrue="1" operator="equal">
      <formula>"Napkin Hs"</formula>
    </cfRule>
  </conditionalFormatting>
  <conditionalFormatting sqref="B99:C99">
    <cfRule type="cellIs" dxfId="14669" priority="6807" stopIfTrue="1" operator="equal">
      <formula>"Towel"</formula>
    </cfRule>
    <cfRule type="cellIs" dxfId="14668" priority="6808" stopIfTrue="1" operator="equal">
      <formula>"Napkin Hs"</formula>
    </cfRule>
  </conditionalFormatting>
  <conditionalFormatting sqref="C99">
    <cfRule type="cellIs" dxfId="14667" priority="6805" stopIfTrue="1" operator="equal">
      <formula>"Towel"</formula>
    </cfRule>
    <cfRule type="cellIs" dxfId="14666" priority="6806" stopIfTrue="1" operator="equal">
      <formula>"Napkin Hs"</formula>
    </cfRule>
  </conditionalFormatting>
  <conditionalFormatting sqref="C99">
    <cfRule type="cellIs" dxfId="14665" priority="6803" stopIfTrue="1" operator="equal">
      <formula>"Towel"</formula>
    </cfRule>
    <cfRule type="cellIs" dxfId="14664" priority="6804" stopIfTrue="1" operator="equal">
      <formula>"Napkin Hs"</formula>
    </cfRule>
  </conditionalFormatting>
  <conditionalFormatting sqref="B99:C99">
    <cfRule type="cellIs" dxfId="14663" priority="6801" stopIfTrue="1" operator="equal">
      <formula>"Towel"</formula>
    </cfRule>
    <cfRule type="cellIs" dxfId="14662" priority="6802" stopIfTrue="1" operator="equal">
      <formula>"Napkin Hs"</formula>
    </cfRule>
  </conditionalFormatting>
  <conditionalFormatting sqref="C99">
    <cfRule type="cellIs" dxfId="14661" priority="6799" stopIfTrue="1" operator="equal">
      <formula>"Towel"</formula>
    </cfRule>
    <cfRule type="cellIs" dxfId="14660" priority="6800" stopIfTrue="1" operator="equal">
      <formula>"Napkin Hs"</formula>
    </cfRule>
  </conditionalFormatting>
  <conditionalFormatting sqref="C99">
    <cfRule type="cellIs" dxfId="14659" priority="6797" stopIfTrue="1" operator="equal">
      <formula>"Towel"</formula>
    </cfRule>
    <cfRule type="cellIs" dxfId="14658" priority="6798" stopIfTrue="1" operator="equal">
      <formula>"Napkin Hs"</formula>
    </cfRule>
  </conditionalFormatting>
  <conditionalFormatting sqref="B99:C99">
    <cfRule type="cellIs" dxfId="14657" priority="6795" stopIfTrue="1" operator="equal">
      <formula>"Towel"</formula>
    </cfRule>
    <cfRule type="cellIs" dxfId="14656" priority="6796" stopIfTrue="1" operator="equal">
      <formula>"Napkin Hs"</formula>
    </cfRule>
  </conditionalFormatting>
  <conditionalFormatting sqref="C99">
    <cfRule type="cellIs" dxfId="14655" priority="6793" stopIfTrue="1" operator="equal">
      <formula>"Towel"</formula>
    </cfRule>
    <cfRule type="cellIs" dxfId="14654" priority="6794" stopIfTrue="1" operator="equal">
      <formula>"Napkin Hs"</formula>
    </cfRule>
  </conditionalFormatting>
  <conditionalFormatting sqref="C99">
    <cfRule type="cellIs" dxfId="14653" priority="6791" stopIfTrue="1" operator="equal">
      <formula>"Towel"</formula>
    </cfRule>
    <cfRule type="cellIs" dxfId="14652" priority="6792" stopIfTrue="1" operator="equal">
      <formula>"Napkin Hs"</formula>
    </cfRule>
  </conditionalFormatting>
  <conditionalFormatting sqref="B99:C99">
    <cfRule type="cellIs" dxfId="14651" priority="6790" stopIfTrue="1" operator="equal">
      <formula>"Napkin Hs"</formula>
    </cfRule>
  </conditionalFormatting>
  <conditionalFormatting sqref="B99:C99">
    <cfRule type="cellIs" dxfId="14650" priority="6789" stopIfTrue="1" operator="equal">
      <formula>"Towel"</formula>
    </cfRule>
  </conditionalFormatting>
  <conditionalFormatting sqref="C99">
    <cfRule type="cellIs" dxfId="14649" priority="6788" stopIfTrue="1" operator="equal">
      <formula>"Napkin Hs"</formula>
    </cfRule>
  </conditionalFormatting>
  <conditionalFormatting sqref="C99">
    <cfRule type="cellIs" dxfId="14648" priority="6785" stopIfTrue="1" operator="equal">
      <formula>"Towel"</formula>
    </cfRule>
    <cfRule type="cellIs" dxfId="14647" priority="6786" stopIfTrue="1" operator="equal">
      <formula>"Napkin Hs"</formula>
    </cfRule>
  </conditionalFormatting>
  <conditionalFormatting sqref="C99">
    <cfRule type="cellIs" dxfId="14646" priority="6787" stopIfTrue="1" operator="equal">
      <formula>"Towel"</formula>
    </cfRule>
  </conditionalFormatting>
  <conditionalFormatting sqref="B99:C99">
    <cfRule type="cellIs" dxfId="14645" priority="6784" stopIfTrue="1" operator="equal">
      <formula>"Napkin Hs"</formula>
    </cfRule>
  </conditionalFormatting>
  <conditionalFormatting sqref="B99:C99">
    <cfRule type="cellIs" dxfId="14644" priority="6783" stopIfTrue="1" operator="equal">
      <formula>"Towel"</formula>
    </cfRule>
  </conditionalFormatting>
  <conditionalFormatting sqref="C99">
    <cfRule type="cellIs" dxfId="14643" priority="6782" stopIfTrue="1" operator="equal">
      <formula>"Napkin Hs"</formula>
    </cfRule>
  </conditionalFormatting>
  <conditionalFormatting sqref="C99">
    <cfRule type="cellIs" dxfId="14642" priority="6781" stopIfTrue="1" operator="equal">
      <formula>"Towel"</formula>
    </cfRule>
  </conditionalFormatting>
  <conditionalFormatting sqref="C99">
    <cfRule type="cellIs" dxfId="14641" priority="6779" stopIfTrue="1" operator="equal">
      <formula>"Towel"</formula>
    </cfRule>
    <cfRule type="cellIs" dxfId="14640" priority="6780" stopIfTrue="1" operator="equal">
      <formula>"Napkin Hs"</formula>
    </cfRule>
  </conditionalFormatting>
  <conditionalFormatting sqref="C99">
    <cfRule type="cellIs" dxfId="14639" priority="6773" stopIfTrue="1" operator="equal">
      <formula>"Towel"</formula>
    </cfRule>
    <cfRule type="cellIs" dxfId="14638" priority="6774" stopIfTrue="1" operator="equal">
      <formula>"Napkin Hs"</formula>
    </cfRule>
  </conditionalFormatting>
  <conditionalFormatting sqref="B99:C99">
    <cfRule type="cellIs" dxfId="14637" priority="6772" stopIfTrue="1" operator="equal">
      <formula>"Napkin Hs"</formula>
    </cfRule>
  </conditionalFormatting>
  <conditionalFormatting sqref="B99:C99">
    <cfRule type="cellIs" dxfId="14636" priority="6771" stopIfTrue="1" operator="equal">
      <formula>"Towel"</formula>
    </cfRule>
  </conditionalFormatting>
  <conditionalFormatting sqref="C99">
    <cfRule type="cellIs" dxfId="14635" priority="6770" stopIfTrue="1" operator="equal">
      <formula>"Napkin Hs"</formula>
    </cfRule>
  </conditionalFormatting>
  <conditionalFormatting sqref="C99">
    <cfRule type="cellIs" dxfId="14634" priority="6769" stopIfTrue="1" operator="equal">
      <formula>"Towel"</formula>
    </cfRule>
  </conditionalFormatting>
  <conditionalFormatting sqref="C99">
    <cfRule type="cellIs" dxfId="14633" priority="6767" stopIfTrue="1" operator="equal">
      <formula>"Towel"</formula>
    </cfRule>
    <cfRule type="cellIs" dxfId="14632" priority="6768" stopIfTrue="1" operator="equal">
      <formula>"Napkin Hs"</formula>
    </cfRule>
  </conditionalFormatting>
  <conditionalFormatting sqref="C99">
    <cfRule type="cellIs" dxfId="14631" priority="6761" stopIfTrue="1" operator="equal">
      <formula>"Towel"</formula>
    </cfRule>
    <cfRule type="cellIs" dxfId="14630" priority="6762" stopIfTrue="1" operator="equal">
      <formula>"Napkin Hs"</formula>
    </cfRule>
  </conditionalFormatting>
  <conditionalFormatting sqref="C99">
    <cfRule type="cellIs" dxfId="14629" priority="6755" stopIfTrue="1" operator="equal">
      <formula>"Towel"</formula>
    </cfRule>
    <cfRule type="cellIs" dxfId="14628" priority="6756" stopIfTrue="1" operator="equal">
      <formula>"Napkin Hs"</formula>
    </cfRule>
  </conditionalFormatting>
  <conditionalFormatting sqref="C99">
    <cfRule type="cellIs" dxfId="14627" priority="6749" stopIfTrue="1" operator="equal">
      <formula>"Towel"</formula>
    </cfRule>
    <cfRule type="cellIs" dxfId="14626" priority="6750" stopIfTrue="1" operator="equal">
      <formula>"Napkin Hs"</formula>
    </cfRule>
  </conditionalFormatting>
  <conditionalFormatting sqref="C99">
    <cfRule type="cellIs" dxfId="14625" priority="6743" stopIfTrue="1" operator="equal">
      <formula>"Towel"</formula>
    </cfRule>
    <cfRule type="cellIs" dxfId="14624" priority="6744" stopIfTrue="1" operator="equal">
      <formula>"Napkin Hs"</formula>
    </cfRule>
  </conditionalFormatting>
  <conditionalFormatting sqref="C99">
    <cfRule type="cellIs" dxfId="14623" priority="6737" stopIfTrue="1" operator="equal">
      <formula>"Towel"</formula>
    </cfRule>
    <cfRule type="cellIs" dxfId="14622" priority="6738" stopIfTrue="1" operator="equal">
      <formula>"Napkin Hs"</formula>
    </cfRule>
  </conditionalFormatting>
  <conditionalFormatting sqref="B99:C99">
    <cfRule type="cellIs" dxfId="14621" priority="6736" stopIfTrue="1" operator="equal">
      <formula>"Napkin Hs"</formula>
    </cfRule>
  </conditionalFormatting>
  <conditionalFormatting sqref="B99:C99">
    <cfRule type="cellIs" dxfId="14620" priority="6735" stopIfTrue="1" operator="equal">
      <formula>"Towel"</formula>
    </cfRule>
  </conditionalFormatting>
  <conditionalFormatting sqref="C99">
    <cfRule type="cellIs" dxfId="14619" priority="6734" stopIfTrue="1" operator="equal">
      <formula>"Napkin Hs"</formula>
    </cfRule>
  </conditionalFormatting>
  <conditionalFormatting sqref="C99">
    <cfRule type="cellIs" dxfId="14618" priority="6731" stopIfTrue="1" operator="equal">
      <formula>"Towel"</formula>
    </cfRule>
    <cfRule type="cellIs" dxfId="14617" priority="6732" stopIfTrue="1" operator="equal">
      <formula>"Napkin Hs"</formula>
    </cfRule>
  </conditionalFormatting>
  <conditionalFormatting sqref="C99">
    <cfRule type="cellIs" dxfId="14616" priority="6733" stopIfTrue="1" operator="equal">
      <formula>"Towel"</formula>
    </cfRule>
  </conditionalFormatting>
  <conditionalFormatting sqref="B99:C99">
    <cfRule type="cellIs" dxfId="14615" priority="6730" stopIfTrue="1" operator="equal">
      <formula>"Napkin Hs"</formula>
    </cfRule>
  </conditionalFormatting>
  <conditionalFormatting sqref="B99:C99">
    <cfRule type="cellIs" dxfId="14614" priority="6729" stopIfTrue="1" operator="equal">
      <formula>"Towel"</formula>
    </cfRule>
  </conditionalFormatting>
  <conditionalFormatting sqref="C99">
    <cfRule type="cellIs" dxfId="14613" priority="6728" stopIfTrue="1" operator="equal">
      <formula>"Napkin Hs"</formula>
    </cfRule>
  </conditionalFormatting>
  <conditionalFormatting sqref="C99">
    <cfRule type="cellIs" dxfId="14612" priority="6725" stopIfTrue="1" operator="equal">
      <formula>"Towel"</formula>
    </cfRule>
    <cfRule type="cellIs" dxfId="14611" priority="6726" stopIfTrue="1" operator="equal">
      <formula>"Napkin Hs"</formula>
    </cfRule>
  </conditionalFormatting>
  <conditionalFormatting sqref="C99">
    <cfRule type="cellIs" dxfId="14610" priority="6727" stopIfTrue="1" operator="equal">
      <formula>"Towel"</formula>
    </cfRule>
  </conditionalFormatting>
  <conditionalFormatting sqref="B99:C99">
    <cfRule type="cellIs" dxfId="14609" priority="6777" stopIfTrue="1" operator="equal">
      <formula>"Towel"</formula>
    </cfRule>
    <cfRule type="cellIs" dxfId="14608" priority="6778" stopIfTrue="1" operator="equal">
      <formula>"Napkin Hs"</formula>
    </cfRule>
  </conditionalFormatting>
  <conditionalFormatting sqref="C99">
    <cfRule type="cellIs" dxfId="14607" priority="6775" stopIfTrue="1" operator="equal">
      <formula>"Towel"</formula>
    </cfRule>
    <cfRule type="cellIs" dxfId="14606" priority="6776" stopIfTrue="1" operator="equal">
      <formula>"Napkin Hs"</formula>
    </cfRule>
  </conditionalFormatting>
  <conditionalFormatting sqref="B99:C99">
    <cfRule type="cellIs" dxfId="14605" priority="6765" stopIfTrue="1" operator="equal">
      <formula>"Towel"</formula>
    </cfRule>
    <cfRule type="cellIs" dxfId="14604" priority="6766" stopIfTrue="1" operator="equal">
      <formula>"Napkin Hs"</formula>
    </cfRule>
  </conditionalFormatting>
  <conditionalFormatting sqref="C99">
    <cfRule type="cellIs" dxfId="14603" priority="6763" stopIfTrue="1" operator="equal">
      <formula>"Towel"</formula>
    </cfRule>
    <cfRule type="cellIs" dxfId="14602" priority="6764" stopIfTrue="1" operator="equal">
      <formula>"Napkin Hs"</formula>
    </cfRule>
  </conditionalFormatting>
  <conditionalFormatting sqref="B99:C99">
    <cfRule type="cellIs" dxfId="14601" priority="6759" stopIfTrue="1" operator="equal">
      <formula>"Towel"</formula>
    </cfRule>
    <cfRule type="cellIs" dxfId="14600" priority="6760" stopIfTrue="1" operator="equal">
      <formula>"Napkin Hs"</formula>
    </cfRule>
  </conditionalFormatting>
  <conditionalFormatting sqref="C99">
    <cfRule type="cellIs" dxfId="14599" priority="6757" stopIfTrue="1" operator="equal">
      <formula>"Towel"</formula>
    </cfRule>
    <cfRule type="cellIs" dxfId="14598" priority="6758" stopIfTrue="1" operator="equal">
      <formula>"Napkin Hs"</formula>
    </cfRule>
  </conditionalFormatting>
  <conditionalFormatting sqref="B99:C99">
    <cfRule type="cellIs" dxfId="14597" priority="6753" stopIfTrue="1" operator="equal">
      <formula>"Towel"</formula>
    </cfRule>
    <cfRule type="cellIs" dxfId="14596" priority="6754" stopIfTrue="1" operator="equal">
      <formula>"Napkin Hs"</formula>
    </cfRule>
  </conditionalFormatting>
  <conditionalFormatting sqref="C99">
    <cfRule type="cellIs" dxfId="14595" priority="6751" stopIfTrue="1" operator="equal">
      <formula>"Towel"</formula>
    </cfRule>
    <cfRule type="cellIs" dxfId="14594" priority="6752" stopIfTrue="1" operator="equal">
      <formula>"Napkin Hs"</formula>
    </cfRule>
  </conditionalFormatting>
  <conditionalFormatting sqref="B99:C99">
    <cfRule type="cellIs" dxfId="14593" priority="6747" stopIfTrue="1" operator="equal">
      <formula>"Towel"</formula>
    </cfRule>
    <cfRule type="cellIs" dxfId="14592" priority="6748" stopIfTrue="1" operator="equal">
      <formula>"Napkin Hs"</formula>
    </cfRule>
  </conditionalFormatting>
  <conditionalFormatting sqref="C99">
    <cfRule type="cellIs" dxfId="14591" priority="6745" stopIfTrue="1" operator="equal">
      <formula>"Towel"</formula>
    </cfRule>
    <cfRule type="cellIs" dxfId="14590" priority="6746" stopIfTrue="1" operator="equal">
      <formula>"Napkin Hs"</formula>
    </cfRule>
  </conditionalFormatting>
  <conditionalFormatting sqref="B99:C99">
    <cfRule type="cellIs" dxfId="14589" priority="6741" stopIfTrue="1" operator="equal">
      <formula>"Towel"</formula>
    </cfRule>
    <cfRule type="cellIs" dxfId="14588" priority="6742" stopIfTrue="1" operator="equal">
      <formula>"Napkin Hs"</formula>
    </cfRule>
  </conditionalFormatting>
  <conditionalFormatting sqref="C99">
    <cfRule type="cellIs" dxfId="14587" priority="6739" stopIfTrue="1" operator="equal">
      <formula>"Towel"</formula>
    </cfRule>
    <cfRule type="cellIs" dxfId="14586" priority="6740" stopIfTrue="1" operator="equal">
      <formula>"Napkin Hs"</formula>
    </cfRule>
  </conditionalFormatting>
  <conditionalFormatting sqref="B99:C99">
    <cfRule type="cellIs" dxfId="14585" priority="6724" stopIfTrue="1" operator="equal">
      <formula>"Napkin Hs"</formula>
    </cfRule>
  </conditionalFormatting>
  <conditionalFormatting sqref="B99:C99">
    <cfRule type="cellIs" dxfId="14584" priority="6723" stopIfTrue="1" operator="equal">
      <formula>"Towel"</formula>
    </cfRule>
  </conditionalFormatting>
  <conditionalFormatting sqref="C99">
    <cfRule type="cellIs" dxfId="14583" priority="6722" stopIfTrue="1" operator="equal">
      <formula>"Napkin Hs"</formula>
    </cfRule>
  </conditionalFormatting>
  <conditionalFormatting sqref="C99">
    <cfRule type="cellIs" dxfId="14582" priority="6719" stopIfTrue="1" operator="equal">
      <formula>"Towel"</formula>
    </cfRule>
    <cfRule type="cellIs" dxfId="14581" priority="6720" stopIfTrue="1" operator="equal">
      <formula>"Napkin Hs"</formula>
    </cfRule>
  </conditionalFormatting>
  <conditionalFormatting sqref="C99">
    <cfRule type="cellIs" dxfId="14580" priority="6721" stopIfTrue="1" operator="equal">
      <formula>"Towel"</formula>
    </cfRule>
  </conditionalFormatting>
  <conditionalFormatting sqref="B96:C96">
    <cfRule type="cellIs" dxfId="14579" priority="6717" stopIfTrue="1" operator="equal">
      <formula>"Towel"</formula>
    </cfRule>
    <cfRule type="cellIs" dxfId="14578" priority="6718" stopIfTrue="1" operator="equal">
      <formula>"Napkin Hs"</formula>
    </cfRule>
  </conditionalFormatting>
  <conditionalFormatting sqref="C96">
    <cfRule type="cellIs" dxfId="14577" priority="6713" stopIfTrue="1" operator="equal">
      <formula>"Towel"</formula>
    </cfRule>
    <cfRule type="cellIs" dxfId="14576" priority="6714" stopIfTrue="1" operator="equal">
      <formula>"Napkin Hs"</formula>
    </cfRule>
  </conditionalFormatting>
  <conditionalFormatting sqref="C96">
    <cfRule type="cellIs" dxfId="14575" priority="6715" stopIfTrue="1" operator="equal">
      <formula>"Towel"</formula>
    </cfRule>
    <cfRule type="cellIs" dxfId="14574" priority="6716" stopIfTrue="1" operator="equal">
      <formula>"Napkin Hs"</formula>
    </cfRule>
  </conditionalFormatting>
  <conditionalFormatting sqref="B96:C96">
    <cfRule type="cellIs" dxfId="14573" priority="6712" stopIfTrue="1" operator="equal">
      <formula>"Napkin Hs"</formula>
    </cfRule>
  </conditionalFormatting>
  <conditionalFormatting sqref="B96:C96">
    <cfRule type="cellIs" dxfId="14572" priority="6711" stopIfTrue="1" operator="equal">
      <formula>"Towel"</formula>
    </cfRule>
  </conditionalFormatting>
  <conditionalFormatting sqref="C96">
    <cfRule type="cellIs" dxfId="14571" priority="6710" stopIfTrue="1" operator="equal">
      <formula>"Napkin Hs"</formula>
    </cfRule>
  </conditionalFormatting>
  <conditionalFormatting sqref="C96">
    <cfRule type="cellIs" dxfId="14570" priority="6709" stopIfTrue="1" operator="equal">
      <formula>"Towel"</formula>
    </cfRule>
  </conditionalFormatting>
  <conditionalFormatting sqref="C96">
    <cfRule type="cellIs" dxfId="14569" priority="6707" stopIfTrue="1" operator="equal">
      <formula>"Towel"</formula>
    </cfRule>
    <cfRule type="cellIs" dxfId="14568" priority="6708" stopIfTrue="1" operator="equal">
      <formula>"Napkin Hs"</formula>
    </cfRule>
  </conditionalFormatting>
  <conditionalFormatting sqref="B96:C96">
    <cfRule type="cellIs" dxfId="14567" priority="6705" stopIfTrue="1" operator="equal">
      <formula>"Towel"</formula>
    </cfRule>
    <cfRule type="cellIs" dxfId="14566" priority="6706" stopIfTrue="1" operator="equal">
      <formula>"Napkin Hs"</formula>
    </cfRule>
  </conditionalFormatting>
  <conditionalFormatting sqref="C96">
    <cfRule type="cellIs" dxfId="14565" priority="6703" stopIfTrue="1" operator="equal">
      <formula>"Towel"</formula>
    </cfRule>
    <cfRule type="cellIs" dxfId="14564" priority="6704" stopIfTrue="1" operator="equal">
      <formula>"Napkin Hs"</formula>
    </cfRule>
  </conditionalFormatting>
  <conditionalFormatting sqref="C96">
    <cfRule type="cellIs" dxfId="14563" priority="6701" stopIfTrue="1" operator="equal">
      <formula>"Towel"</formula>
    </cfRule>
    <cfRule type="cellIs" dxfId="14562" priority="6702" stopIfTrue="1" operator="equal">
      <formula>"Napkin Hs"</formula>
    </cfRule>
  </conditionalFormatting>
  <conditionalFormatting sqref="B96:C96">
    <cfRule type="cellIs" dxfId="14561" priority="6699" stopIfTrue="1" operator="equal">
      <formula>"Towel"</formula>
    </cfRule>
    <cfRule type="cellIs" dxfId="14560" priority="6700" stopIfTrue="1" operator="equal">
      <formula>"Napkin Hs"</formula>
    </cfRule>
  </conditionalFormatting>
  <conditionalFormatting sqref="C96">
    <cfRule type="cellIs" dxfId="14559" priority="6697" stopIfTrue="1" operator="equal">
      <formula>"Towel"</formula>
    </cfRule>
    <cfRule type="cellIs" dxfId="14558" priority="6698" stopIfTrue="1" operator="equal">
      <formula>"Napkin Hs"</formula>
    </cfRule>
  </conditionalFormatting>
  <conditionalFormatting sqref="C96">
    <cfRule type="cellIs" dxfId="14557" priority="6695" stopIfTrue="1" operator="equal">
      <formula>"Towel"</formula>
    </cfRule>
    <cfRule type="cellIs" dxfId="14556" priority="6696" stopIfTrue="1" operator="equal">
      <formula>"Napkin Hs"</formula>
    </cfRule>
  </conditionalFormatting>
  <conditionalFormatting sqref="B96:C96">
    <cfRule type="cellIs" dxfId="14555" priority="6693" stopIfTrue="1" operator="equal">
      <formula>"Towel"</formula>
    </cfRule>
    <cfRule type="cellIs" dxfId="14554" priority="6694" stopIfTrue="1" operator="equal">
      <formula>"Napkin Hs"</formula>
    </cfRule>
  </conditionalFormatting>
  <conditionalFormatting sqref="C96">
    <cfRule type="cellIs" dxfId="14553" priority="6691" stopIfTrue="1" operator="equal">
      <formula>"Towel"</formula>
    </cfRule>
    <cfRule type="cellIs" dxfId="14552" priority="6692" stopIfTrue="1" operator="equal">
      <formula>"Napkin Hs"</formula>
    </cfRule>
  </conditionalFormatting>
  <conditionalFormatting sqref="C96">
    <cfRule type="cellIs" dxfId="14551" priority="6689" stopIfTrue="1" operator="equal">
      <formula>"Towel"</formula>
    </cfRule>
    <cfRule type="cellIs" dxfId="14550" priority="6690" stopIfTrue="1" operator="equal">
      <formula>"Napkin Hs"</formula>
    </cfRule>
  </conditionalFormatting>
  <conditionalFormatting sqref="B96:C96">
    <cfRule type="cellIs" dxfId="14549" priority="6687" stopIfTrue="1" operator="equal">
      <formula>"Towel"</formula>
    </cfRule>
    <cfRule type="cellIs" dxfId="14548" priority="6688" stopIfTrue="1" operator="equal">
      <formula>"Napkin Hs"</formula>
    </cfRule>
  </conditionalFormatting>
  <conditionalFormatting sqref="C96">
    <cfRule type="cellIs" dxfId="14547" priority="6685" stopIfTrue="1" operator="equal">
      <formula>"Towel"</formula>
    </cfRule>
    <cfRule type="cellIs" dxfId="14546" priority="6686" stopIfTrue="1" operator="equal">
      <formula>"Napkin Hs"</formula>
    </cfRule>
  </conditionalFormatting>
  <conditionalFormatting sqref="C96">
    <cfRule type="cellIs" dxfId="14545" priority="6683" stopIfTrue="1" operator="equal">
      <formula>"Towel"</formula>
    </cfRule>
    <cfRule type="cellIs" dxfId="14544" priority="6684" stopIfTrue="1" operator="equal">
      <formula>"Napkin Hs"</formula>
    </cfRule>
  </conditionalFormatting>
  <conditionalFormatting sqref="B96:C96">
    <cfRule type="cellIs" dxfId="14543" priority="6681" stopIfTrue="1" operator="equal">
      <formula>"Towel"</formula>
    </cfRule>
    <cfRule type="cellIs" dxfId="14542" priority="6682" stopIfTrue="1" operator="equal">
      <formula>"Napkin Hs"</formula>
    </cfRule>
  </conditionalFormatting>
  <conditionalFormatting sqref="C96">
    <cfRule type="cellIs" dxfId="14541" priority="6679" stopIfTrue="1" operator="equal">
      <formula>"Towel"</formula>
    </cfRule>
    <cfRule type="cellIs" dxfId="14540" priority="6680" stopIfTrue="1" operator="equal">
      <formula>"Napkin Hs"</formula>
    </cfRule>
  </conditionalFormatting>
  <conditionalFormatting sqref="C96">
    <cfRule type="cellIs" dxfId="14539" priority="6677" stopIfTrue="1" operator="equal">
      <formula>"Towel"</formula>
    </cfRule>
    <cfRule type="cellIs" dxfId="14538" priority="6678" stopIfTrue="1" operator="equal">
      <formula>"Napkin Hs"</formula>
    </cfRule>
  </conditionalFormatting>
  <conditionalFormatting sqref="B96:C96">
    <cfRule type="cellIs" dxfId="14537" priority="6676" stopIfTrue="1" operator="equal">
      <formula>"Napkin Hs"</formula>
    </cfRule>
  </conditionalFormatting>
  <conditionalFormatting sqref="B96:C96">
    <cfRule type="cellIs" dxfId="14536" priority="6675" stopIfTrue="1" operator="equal">
      <formula>"Towel"</formula>
    </cfRule>
  </conditionalFormatting>
  <conditionalFormatting sqref="C96">
    <cfRule type="cellIs" dxfId="14535" priority="6674" stopIfTrue="1" operator="equal">
      <formula>"Napkin Hs"</formula>
    </cfRule>
  </conditionalFormatting>
  <conditionalFormatting sqref="C96">
    <cfRule type="cellIs" dxfId="14534" priority="6671" stopIfTrue="1" operator="equal">
      <formula>"Towel"</formula>
    </cfRule>
    <cfRule type="cellIs" dxfId="14533" priority="6672" stopIfTrue="1" operator="equal">
      <formula>"Napkin Hs"</formula>
    </cfRule>
  </conditionalFormatting>
  <conditionalFormatting sqref="C96">
    <cfRule type="cellIs" dxfId="14532" priority="6673" stopIfTrue="1" operator="equal">
      <formula>"Towel"</formula>
    </cfRule>
  </conditionalFormatting>
  <conditionalFormatting sqref="B96:C96">
    <cfRule type="cellIs" dxfId="14531" priority="6670" stopIfTrue="1" operator="equal">
      <formula>"Napkin Hs"</formula>
    </cfRule>
  </conditionalFormatting>
  <conditionalFormatting sqref="B96:C96">
    <cfRule type="cellIs" dxfId="14530" priority="6669" stopIfTrue="1" operator="equal">
      <formula>"Towel"</formula>
    </cfRule>
  </conditionalFormatting>
  <conditionalFormatting sqref="C96">
    <cfRule type="cellIs" dxfId="14529" priority="6668" stopIfTrue="1" operator="equal">
      <formula>"Napkin Hs"</formula>
    </cfRule>
  </conditionalFormatting>
  <conditionalFormatting sqref="C96">
    <cfRule type="cellIs" dxfId="14528" priority="6667" stopIfTrue="1" operator="equal">
      <formula>"Towel"</formula>
    </cfRule>
  </conditionalFormatting>
  <conditionalFormatting sqref="C96">
    <cfRule type="cellIs" dxfId="14527" priority="6665" stopIfTrue="1" operator="equal">
      <formula>"Towel"</formula>
    </cfRule>
    <cfRule type="cellIs" dxfId="14526" priority="6666" stopIfTrue="1" operator="equal">
      <formula>"Napkin Hs"</formula>
    </cfRule>
  </conditionalFormatting>
  <conditionalFormatting sqref="C96">
    <cfRule type="cellIs" dxfId="14525" priority="6659" stopIfTrue="1" operator="equal">
      <formula>"Towel"</formula>
    </cfRule>
    <cfRule type="cellIs" dxfId="14524" priority="6660" stopIfTrue="1" operator="equal">
      <formula>"Napkin Hs"</formula>
    </cfRule>
  </conditionalFormatting>
  <conditionalFormatting sqref="B96:C96">
    <cfRule type="cellIs" dxfId="14523" priority="6658" stopIfTrue="1" operator="equal">
      <formula>"Napkin Hs"</formula>
    </cfRule>
  </conditionalFormatting>
  <conditionalFormatting sqref="B96:C96">
    <cfRule type="cellIs" dxfId="14522" priority="6657" stopIfTrue="1" operator="equal">
      <formula>"Towel"</formula>
    </cfRule>
  </conditionalFormatting>
  <conditionalFormatting sqref="C96">
    <cfRule type="cellIs" dxfId="14521" priority="6656" stopIfTrue="1" operator="equal">
      <formula>"Napkin Hs"</formula>
    </cfRule>
  </conditionalFormatting>
  <conditionalFormatting sqref="C96">
    <cfRule type="cellIs" dxfId="14520" priority="6655" stopIfTrue="1" operator="equal">
      <formula>"Towel"</formula>
    </cfRule>
  </conditionalFormatting>
  <conditionalFormatting sqref="C96">
    <cfRule type="cellIs" dxfId="14519" priority="6653" stopIfTrue="1" operator="equal">
      <formula>"Towel"</formula>
    </cfRule>
    <cfRule type="cellIs" dxfId="14518" priority="6654" stopIfTrue="1" operator="equal">
      <formula>"Napkin Hs"</formula>
    </cfRule>
  </conditionalFormatting>
  <conditionalFormatting sqref="C96">
    <cfRule type="cellIs" dxfId="14517" priority="6647" stopIfTrue="1" operator="equal">
      <formula>"Towel"</formula>
    </cfRule>
    <cfRule type="cellIs" dxfId="14516" priority="6648" stopIfTrue="1" operator="equal">
      <formula>"Napkin Hs"</formula>
    </cfRule>
  </conditionalFormatting>
  <conditionalFormatting sqref="C96">
    <cfRule type="cellIs" dxfId="14515" priority="6641" stopIfTrue="1" operator="equal">
      <formula>"Towel"</formula>
    </cfRule>
    <cfRule type="cellIs" dxfId="14514" priority="6642" stopIfTrue="1" operator="equal">
      <formula>"Napkin Hs"</formula>
    </cfRule>
  </conditionalFormatting>
  <conditionalFormatting sqref="C96">
    <cfRule type="cellIs" dxfId="14513" priority="6635" stopIfTrue="1" operator="equal">
      <formula>"Towel"</formula>
    </cfRule>
    <cfRule type="cellIs" dxfId="14512" priority="6636" stopIfTrue="1" operator="equal">
      <formula>"Napkin Hs"</formula>
    </cfRule>
  </conditionalFormatting>
  <conditionalFormatting sqref="C96">
    <cfRule type="cellIs" dxfId="14511" priority="6629" stopIfTrue="1" operator="equal">
      <formula>"Towel"</formula>
    </cfRule>
    <cfRule type="cellIs" dxfId="14510" priority="6630" stopIfTrue="1" operator="equal">
      <formula>"Napkin Hs"</formula>
    </cfRule>
  </conditionalFormatting>
  <conditionalFormatting sqref="C96">
    <cfRule type="cellIs" dxfId="14509" priority="6623" stopIfTrue="1" operator="equal">
      <formula>"Towel"</formula>
    </cfRule>
    <cfRule type="cellIs" dxfId="14508" priority="6624" stopIfTrue="1" operator="equal">
      <formula>"Napkin Hs"</formula>
    </cfRule>
  </conditionalFormatting>
  <conditionalFormatting sqref="B96:C96">
    <cfRule type="cellIs" dxfId="14507" priority="6622" stopIfTrue="1" operator="equal">
      <formula>"Napkin Hs"</formula>
    </cfRule>
  </conditionalFormatting>
  <conditionalFormatting sqref="B96:C96">
    <cfRule type="cellIs" dxfId="14506" priority="6621" stopIfTrue="1" operator="equal">
      <formula>"Towel"</formula>
    </cfRule>
  </conditionalFormatting>
  <conditionalFormatting sqref="C96">
    <cfRule type="cellIs" dxfId="14505" priority="6620" stopIfTrue="1" operator="equal">
      <formula>"Napkin Hs"</formula>
    </cfRule>
  </conditionalFormatting>
  <conditionalFormatting sqref="C96">
    <cfRule type="cellIs" dxfId="14504" priority="6617" stopIfTrue="1" operator="equal">
      <formula>"Towel"</formula>
    </cfRule>
    <cfRule type="cellIs" dxfId="14503" priority="6618" stopIfTrue="1" operator="equal">
      <formula>"Napkin Hs"</formula>
    </cfRule>
  </conditionalFormatting>
  <conditionalFormatting sqref="C96">
    <cfRule type="cellIs" dxfId="14502" priority="6619" stopIfTrue="1" operator="equal">
      <formula>"Towel"</formula>
    </cfRule>
  </conditionalFormatting>
  <conditionalFormatting sqref="B96:C96">
    <cfRule type="cellIs" dxfId="14501" priority="6616" stopIfTrue="1" operator="equal">
      <formula>"Napkin Hs"</formula>
    </cfRule>
  </conditionalFormatting>
  <conditionalFormatting sqref="B96:C96">
    <cfRule type="cellIs" dxfId="14500" priority="6615" stopIfTrue="1" operator="equal">
      <formula>"Towel"</formula>
    </cfRule>
  </conditionalFormatting>
  <conditionalFormatting sqref="C96">
    <cfRule type="cellIs" dxfId="14499" priority="6614" stopIfTrue="1" operator="equal">
      <formula>"Napkin Hs"</formula>
    </cfRule>
  </conditionalFormatting>
  <conditionalFormatting sqref="C96">
    <cfRule type="cellIs" dxfId="14498" priority="6611" stopIfTrue="1" operator="equal">
      <formula>"Towel"</formula>
    </cfRule>
    <cfRule type="cellIs" dxfId="14497" priority="6612" stopIfTrue="1" operator="equal">
      <formula>"Napkin Hs"</formula>
    </cfRule>
  </conditionalFormatting>
  <conditionalFormatting sqref="C96">
    <cfRule type="cellIs" dxfId="14496" priority="6613" stopIfTrue="1" operator="equal">
      <formula>"Towel"</formula>
    </cfRule>
  </conditionalFormatting>
  <conditionalFormatting sqref="B96:C96">
    <cfRule type="cellIs" dxfId="14495" priority="6663" stopIfTrue="1" operator="equal">
      <formula>"Towel"</formula>
    </cfRule>
    <cfRule type="cellIs" dxfId="14494" priority="6664" stopIfTrue="1" operator="equal">
      <formula>"Napkin Hs"</formula>
    </cfRule>
  </conditionalFormatting>
  <conditionalFormatting sqref="C96">
    <cfRule type="cellIs" dxfId="14493" priority="6661" stopIfTrue="1" operator="equal">
      <formula>"Towel"</formula>
    </cfRule>
    <cfRule type="cellIs" dxfId="14492" priority="6662" stopIfTrue="1" operator="equal">
      <formula>"Napkin Hs"</formula>
    </cfRule>
  </conditionalFormatting>
  <conditionalFormatting sqref="B96:C96">
    <cfRule type="cellIs" dxfId="14491" priority="6651" stopIfTrue="1" operator="equal">
      <formula>"Towel"</formula>
    </cfRule>
    <cfRule type="cellIs" dxfId="14490" priority="6652" stopIfTrue="1" operator="equal">
      <formula>"Napkin Hs"</formula>
    </cfRule>
  </conditionalFormatting>
  <conditionalFormatting sqref="C96">
    <cfRule type="cellIs" dxfId="14489" priority="6649" stopIfTrue="1" operator="equal">
      <formula>"Towel"</formula>
    </cfRule>
    <cfRule type="cellIs" dxfId="14488" priority="6650" stopIfTrue="1" operator="equal">
      <formula>"Napkin Hs"</formula>
    </cfRule>
  </conditionalFormatting>
  <conditionalFormatting sqref="B96:C96">
    <cfRule type="cellIs" dxfId="14487" priority="6645" stopIfTrue="1" operator="equal">
      <formula>"Towel"</formula>
    </cfRule>
    <cfRule type="cellIs" dxfId="14486" priority="6646" stopIfTrue="1" operator="equal">
      <formula>"Napkin Hs"</formula>
    </cfRule>
  </conditionalFormatting>
  <conditionalFormatting sqref="C96">
    <cfRule type="cellIs" dxfId="14485" priority="6643" stopIfTrue="1" operator="equal">
      <formula>"Towel"</formula>
    </cfRule>
    <cfRule type="cellIs" dxfId="14484" priority="6644" stopIfTrue="1" operator="equal">
      <formula>"Napkin Hs"</formula>
    </cfRule>
  </conditionalFormatting>
  <conditionalFormatting sqref="B96:C96">
    <cfRule type="cellIs" dxfId="14483" priority="6639" stopIfTrue="1" operator="equal">
      <formula>"Towel"</formula>
    </cfRule>
    <cfRule type="cellIs" dxfId="14482" priority="6640" stopIfTrue="1" operator="equal">
      <formula>"Napkin Hs"</formula>
    </cfRule>
  </conditionalFormatting>
  <conditionalFormatting sqref="C96">
    <cfRule type="cellIs" dxfId="14481" priority="6637" stopIfTrue="1" operator="equal">
      <formula>"Towel"</formula>
    </cfRule>
    <cfRule type="cellIs" dxfId="14480" priority="6638" stopIfTrue="1" operator="equal">
      <formula>"Napkin Hs"</formula>
    </cfRule>
  </conditionalFormatting>
  <conditionalFormatting sqref="B96:C96">
    <cfRule type="cellIs" dxfId="14479" priority="6633" stopIfTrue="1" operator="equal">
      <formula>"Towel"</formula>
    </cfRule>
    <cfRule type="cellIs" dxfId="14478" priority="6634" stopIfTrue="1" operator="equal">
      <formula>"Napkin Hs"</formula>
    </cfRule>
  </conditionalFormatting>
  <conditionalFormatting sqref="C96">
    <cfRule type="cellIs" dxfId="14477" priority="6631" stopIfTrue="1" operator="equal">
      <formula>"Towel"</formula>
    </cfRule>
    <cfRule type="cellIs" dxfId="14476" priority="6632" stopIfTrue="1" operator="equal">
      <formula>"Napkin Hs"</formula>
    </cfRule>
  </conditionalFormatting>
  <conditionalFormatting sqref="B96:C96">
    <cfRule type="cellIs" dxfId="14475" priority="6627" stopIfTrue="1" operator="equal">
      <formula>"Towel"</formula>
    </cfRule>
    <cfRule type="cellIs" dxfId="14474" priority="6628" stopIfTrue="1" operator="equal">
      <formula>"Napkin Hs"</formula>
    </cfRule>
  </conditionalFormatting>
  <conditionalFormatting sqref="C96">
    <cfRule type="cellIs" dxfId="14473" priority="6625" stopIfTrue="1" operator="equal">
      <formula>"Towel"</formula>
    </cfRule>
    <cfRule type="cellIs" dxfId="14472" priority="6626" stopIfTrue="1" operator="equal">
      <formula>"Napkin Hs"</formula>
    </cfRule>
  </conditionalFormatting>
  <conditionalFormatting sqref="B96:C96">
    <cfRule type="cellIs" dxfId="14471" priority="6610" stopIfTrue="1" operator="equal">
      <formula>"Napkin Hs"</formula>
    </cfRule>
  </conditionalFormatting>
  <conditionalFormatting sqref="B96:C96">
    <cfRule type="cellIs" dxfId="14470" priority="6609" stopIfTrue="1" operator="equal">
      <formula>"Towel"</formula>
    </cfRule>
  </conditionalFormatting>
  <conditionalFormatting sqref="C96">
    <cfRule type="cellIs" dxfId="14469" priority="6608" stopIfTrue="1" operator="equal">
      <formula>"Napkin Hs"</formula>
    </cfRule>
  </conditionalFormatting>
  <conditionalFormatting sqref="C96">
    <cfRule type="cellIs" dxfId="14468" priority="6605" stopIfTrue="1" operator="equal">
      <formula>"Towel"</formula>
    </cfRule>
    <cfRule type="cellIs" dxfId="14467" priority="6606" stopIfTrue="1" operator="equal">
      <formula>"Napkin Hs"</formula>
    </cfRule>
  </conditionalFormatting>
  <conditionalFormatting sqref="C96">
    <cfRule type="cellIs" dxfId="14466" priority="6607" stopIfTrue="1" operator="equal">
      <formula>"Towel"</formula>
    </cfRule>
  </conditionalFormatting>
  <conditionalFormatting sqref="B106:C106">
    <cfRule type="cellIs" dxfId="14465" priority="6601" stopIfTrue="1" operator="equal">
      <formula>"Towel"</formula>
    </cfRule>
    <cfRule type="cellIs" dxfId="14464" priority="6602" stopIfTrue="1" operator="equal">
      <formula>"Napkin Hs"</formula>
    </cfRule>
  </conditionalFormatting>
  <conditionalFormatting sqref="C106">
    <cfRule type="cellIs" dxfId="14463" priority="6603" stopIfTrue="1" operator="equal">
      <formula>"Towel"</formula>
    </cfRule>
    <cfRule type="cellIs" dxfId="14462" priority="6604" stopIfTrue="1" operator="equal">
      <formula>"Napkin Hs"</formula>
    </cfRule>
  </conditionalFormatting>
  <conditionalFormatting sqref="C106">
    <cfRule type="cellIs" dxfId="14461" priority="6599" stopIfTrue="1" operator="equal">
      <formula>"Towel"</formula>
    </cfRule>
    <cfRule type="cellIs" dxfId="14460" priority="6600" stopIfTrue="1" operator="equal">
      <formula>"Napkin Hs"</formula>
    </cfRule>
  </conditionalFormatting>
  <conditionalFormatting sqref="B106:C106">
    <cfRule type="cellIs" dxfId="14459" priority="6594" stopIfTrue="1" operator="equal">
      <formula>"Napkin Hs"</formula>
    </cfRule>
  </conditionalFormatting>
  <conditionalFormatting sqref="B106:C106">
    <cfRule type="cellIs" dxfId="14458" priority="6593" stopIfTrue="1" operator="equal">
      <formula>"Towel"</formula>
    </cfRule>
  </conditionalFormatting>
  <conditionalFormatting sqref="C106">
    <cfRule type="cellIs" dxfId="14457" priority="6592" stopIfTrue="1" operator="equal">
      <formula>"Napkin Hs"</formula>
    </cfRule>
  </conditionalFormatting>
  <conditionalFormatting sqref="C106">
    <cfRule type="cellIs" dxfId="14456" priority="6591" stopIfTrue="1" operator="equal">
      <formula>"Towel"</formula>
    </cfRule>
  </conditionalFormatting>
  <conditionalFormatting sqref="C106">
    <cfRule type="cellIs" dxfId="14455" priority="6589" stopIfTrue="1" operator="equal">
      <formula>"Towel"</formula>
    </cfRule>
    <cfRule type="cellIs" dxfId="14454" priority="6590" stopIfTrue="1" operator="equal">
      <formula>"Napkin Hs"</formula>
    </cfRule>
  </conditionalFormatting>
  <conditionalFormatting sqref="B105:C105">
    <cfRule type="cellIs" dxfId="14453" priority="6587" stopIfTrue="1" operator="equal">
      <formula>"Towel"</formula>
    </cfRule>
    <cfRule type="cellIs" dxfId="14452" priority="6588" stopIfTrue="1" operator="equal">
      <formula>"Napkin Hs"</formula>
    </cfRule>
  </conditionalFormatting>
  <conditionalFormatting sqref="C105">
    <cfRule type="cellIs" dxfId="14451" priority="6585" stopIfTrue="1" operator="equal">
      <formula>"Towel"</formula>
    </cfRule>
    <cfRule type="cellIs" dxfId="14450" priority="6586" stopIfTrue="1" operator="equal">
      <formula>"Napkin Hs"</formula>
    </cfRule>
  </conditionalFormatting>
  <conditionalFormatting sqref="C105">
    <cfRule type="cellIs" dxfId="14449" priority="6583" stopIfTrue="1" operator="equal">
      <formula>"Towel"</formula>
    </cfRule>
    <cfRule type="cellIs" dxfId="14448" priority="6584" stopIfTrue="1" operator="equal">
      <formula>"Napkin Hs"</formula>
    </cfRule>
  </conditionalFormatting>
  <conditionalFormatting sqref="B104:C104">
    <cfRule type="cellIs" dxfId="14447" priority="6581" stopIfTrue="1" operator="equal">
      <formula>"Towel"</formula>
    </cfRule>
    <cfRule type="cellIs" dxfId="14446" priority="6582" stopIfTrue="1" operator="equal">
      <formula>"Napkin Hs"</formula>
    </cfRule>
  </conditionalFormatting>
  <conditionalFormatting sqref="C104">
    <cfRule type="cellIs" dxfId="14445" priority="6577" stopIfTrue="1" operator="equal">
      <formula>"Towel"</formula>
    </cfRule>
    <cfRule type="cellIs" dxfId="14444" priority="6578" stopIfTrue="1" operator="equal">
      <formula>"Napkin Hs"</formula>
    </cfRule>
  </conditionalFormatting>
  <conditionalFormatting sqref="C104">
    <cfRule type="cellIs" dxfId="14443" priority="6579" stopIfTrue="1" operator="equal">
      <formula>"Towel"</formula>
    </cfRule>
    <cfRule type="cellIs" dxfId="14442" priority="6580" stopIfTrue="1" operator="equal">
      <formula>"Napkin Hs"</formula>
    </cfRule>
  </conditionalFormatting>
  <conditionalFormatting sqref="B104:C104">
    <cfRule type="cellIs" dxfId="14441" priority="6576" stopIfTrue="1" operator="equal">
      <formula>"Napkin Hs"</formula>
    </cfRule>
  </conditionalFormatting>
  <conditionalFormatting sqref="B104:C104">
    <cfRule type="cellIs" dxfId="14440" priority="6575" stopIfTrue="1" operator="equal">
      <formula>"Towel"</formula>
    </cfRule>
  </conditionalFormatting>
  <conditionalFormatting sqref="C104">
    <cfRule type="cellIs" dxfId="14439" priority="6574" stopIfTrue="1" operator="equal">
      <formula>"Napkin Hs"</formula>
    </cfRule>
  </conditionalFormatting>
  <conditionalFormatting sqref="C104">
    <cfRule type="cellIs" dxfId="14438" priority="6573" stopIfTrue="1" operator="equal">
      <formula>"Towel"</formula>
    </cfRule>
  </conditionalFormatting>
  <conditionalFormatting sqref="C104">
    <cfRule type="cellIs" dxfId="14437" priority="6571" stopIfTrue="1" operator="equal">
      <formula>"Towel"</formula>
    </cfRule>
    <cfRule type="cellIs" dxfId="14436" priority="6572" stopIfTrue="1" operator="equal">
      <formula>"Napkin Hs"</formula>
    </cfRule>
  </conditionalFormatting>
  <conditionalFormatting sqref="B104:C104">
    <cfRule type="cellIs" dxfId="14435" priority="6569" stopIfTrue="1" operator="equal">
      <formula>"Towel"</formula>
    </cfRule>
    <cfRule type="cellIs" dxfId="14434" priority="6570" stopIfTrue="1" operator="equal">
      <formula>"Napkin Hs"</formula>
    </cfRule>
  </conditionalFormatting>
  <conditionalFormatting sqref="C104">
    <cfRule type="cellIs" dxfId="14433" priority="6567" stopIfTrue="1" operator="equal">
      <formula>"Towel"</formula>
    </cfRule>
    <cfRule type="cellIs" dxfId="14432" priority="6568" stopIfTrue="1" operator="equal">
      <formula>"Napkin Hs"</formula>
    </cfRule>
  </conditionalFormatting>
  <conditionalFormatting sqref="C104">
    <cfRule type="cellIs" dxfId="14431" priority="6565" stopIfTrue="1" operator="equal">
      <formula>"Towel"</formula>
    </cfRule>
    <cfRule type="cellIs" dxfId="14430" priority="6566" stopIfTrue="1" operator="equal">
      <formula>"Napkin Hs"</formula>
    </cfRule>
  </conditionalFormatting>
  <conditionalFormatting sqref="B104:C104">
    <cfRule type="cellIs" dxfId="14429" priority="6563" stopIfTrue="1" operator="equal">
      <formula>"Towel"</formula>
    </cfRule>
    <cfRule type="cellIs" dxfId="14428" priority="6564" stopIfTrue="1" operator="equal">
      <formula>"Napkin Hs"</formula>
    </cfRule>
  </conditionalFormatting>
  <conditionalFormatting sqref="C104">
    <cfRule type="cellIs" dxfId="14427" priority="6561" stopIfTrue="1" operator="equal">
      <formula>"Towel"</formula>
    </cfRule>
    <cfRule type="cellIs" dxfId="14426" priority="6562" stopIfTrue="1" operator="equal">
      <formula>"Napkin Hs"</formula>
    </cfRule>
  </conditionalFormatting>
  <conditionalFormatting sqref="C104">
    <cfRule type="cellIs" dxfId="14425" priority="6559" stopIfTrue="1" operator="equal">
      <formula>"Towel"</formula>
    </cfRule>
    <cfRule type="cellIs" dxfId="14424" priority="6560" stopIfTrue="1" operator="equal">
      <formula>"Napkin Hs"</formula>
    </cfRule>
  </conditionalFormatting>
  <conditionalFormatting sqref="B104:C104">
    <cfRule type="cellIs" dxfId="14423" priority="6557" stopIfTrue="1" operator="equal">
      <formula>"Towel"</formula>
    </cfRule>
    <cfRule type="cellIs" dxfId="14422" priority="6558" stopIfTrue="1" operator="equal">
      <formula>"Napkin Hs"</formula>
    </cfRule>
  </conditionalFormatting>
  <conditionalFormatting sqref="C104">
    <cfRule type="cellIs" dxfId="14421" priority="6555" stopIfTrue="1" operator="equal">
      <formula>"Towel"</formula>
    </cfRule>
    <cfRule type="cellIs" dxfId="14420" priority="6556" stopIfTrue="1" operator="equal">
      <formula>"Napkin Hs"</formula>
    </cfRule>
  </conditionalFormatting>
  <conditionalFormatting sqref="C104">
    <cfRule type="cellIs" dxfId="14419" priority="6553" stopIfTrue="1" operator="equal">
      <formula>"Towel"</formula>
    </cfRule>
    <cfRule type="cellIs" dxfId="14418" priority="6554" stopIfTrue="1" operator="equal">
      <formula>"Napkin Hs"</formula>
    </cfRule>
  </conditionalFormatting>
  <conditionalFormatting sqref="B104:C104">
    <cfRule type="cellIs" dxfId="14417" priority="6551" stopIfTrue="1" operator="equal">
      <formula>"Towel"</formula>
    </cfRule>
    <cfRule type="cellIs" dxfId="14416" priority="6552" stopIfTrue="1" operator="equal">
      <formula>"Napkin Hs"</formula>
    </cfRule>
  </conditionalFormatting>
  <conditionalFormatting sqref="C104">
    <cfRule type="cellIs" dxfId="14415" priority="6549" stopIfTrue="1" operator="equal">
      <formula>"Towel"</formula>
    </cfRule>
    <cfRule type="cellIs" dxfId="14414" priority="6550" stopIfTrue="1" operator="equal">
      <formula>"Napkin Hs"</formula>
    </cfRule>
  </conditionalFormatting>
  <conditionalFormatting sqref="C104">
    <cfRule type="cellIs" dxfId="14413" priority="6547" stopIfTrue="1" operator="equal">
      <formula>"Towel"</formula>
    </cfRule>
    <cfRule type="cellIs" dxfId="14412" priority="6548" stopIfTrue="1" operator="equal">
      <formula>"Napkin Hs"</formula>
    </cfRule>
  </conditionalFormatting>
  <conditionalFormatting sqref="B104:C104">
    <cfRule type="cellIs" dxfId="14411" priority="6545" stopIfTrue="1" operator="equal">
      <formula>"Towel"</formula>
    </cfRule>
    <cfRule type="cellIs" dxfId="14410" priority="6546" stopIfTrue="1" operator="equal">
      <formula>"Napkin Hs"</formula>
    </cfRule>
  </conditionalFormatting>
  <conditionalFormatting sqref="C104">
    <cfRule type="cellIs" dxfId="14409" priority="6543" stopIfTrue="1" operator="equal">
      <formula>"Towel"</formula>
    </cfRule>
    <cfRule type="cellIs" dxfId="14408" priority="6544" stopIfTrue="1" operator="equal">
      <formula>"Napkin Hs"</formula>
    </cfRule>
  </conditionalFormatting>
  <conditionalFormatting sqref="C104">
    <cfRule type="cellIs" dxfId="14407" priority="6541" stopIfTrue="1" operator="equal">
      <formula>"Towel"</formula>
    </cfRule>
    <cfRule type="cellIs" dxfId="14406" priority="6542" stopIfTrue="1" operator="equal">
      <formula>"Napkin Hs"</formula>
    </cfRule>
  </conditionalFormatting>
  <conditionalFormatting sqref="B104:C104">
    <cfRule type="cellIs" dxfId="14405" priority="6540" stopIfTrue="1" operator="equal">
      <formula>"Napkin Hs"</formula>
    </cfRule>
  </conditionalFormatting>
  <conditionalFormatting sqref="B104:C104">
    <cfRule type="cellIs" dxfId="14404" priority="6539" stopIfTrue="1" operator="equal">
      <formula>"Towel"</formula>
    </cfRule>
  </conditionalFormatting>
  <conditionalFormatting sqref="C104">
    <cfRule type="cellIs" dxfId="14403" priority="6538" stopIfTrue="1" operator="equal">
      <formula>"Napkin Hs"</formula>
    </cfRule>
  </conditionalFormatting>
  <conditionalFormatting sqref="C104">
    <cfRule type="cellIs" dxfId="14402" priority="6535" stopIfTrue="1" operator="equal">
      <formula>"Towel"</formula>
    </cfRule>
    <cfRule type="cellIs" dxfId="14401" priority="6536" stopIfTrue="1" operator="equal">
      <formula>"Napkin Hs"</formula>
    </cfRule>
  </conditionalFormatting>
  <conditionalFormatting sqref="C104">
    <cfRule type="cellIs" dxfId="14400" priority="6537" stopIfTrue="1" operator="equal">
      <formula>"Towel"</formula>
    </cfRule>
  </conditionalFormatting>
  <conditionalFormatting sqref="B104:C104">
    <cfRule type="cellIs" dxfId="14399" priority="6534" stopIfTrue="1" operator="equal">
      <formula>"Napkin Hs"</formula>
    </cfRule>
  </conditionalFormatting>
  <conditionalFormatting sqref="B104:C104">
    <cfRule type="cellIs" dxfId="14398" priority="6533" stopIfTrue="1" operator="equal">
      <formula>"Towel"</formula>
    </cfRule>
  </conditionalFormatting>
  <conditionalFormatting sqref="C104">
    <cfRule type="cellIs" dxfId="14397" priority="6532" stopIfTrue="1" operator="equal">
      <formula>"Napkin Hs"</formula>
    </cfRule>
  </conditionalFormatting>
  <conditionalFormatting sqref="C104">
    <cfRule type="cellIs" dxfId="14396" priority="6531" stopIfTrue="1" operator="equal">
      <formula>"Towel"</formula>
    </cfRule>
  </conditionalFormatting>
  <conditionalFormatting sqref="C104">
    <cfRule type="cellIs" dxfId="14395" priority="6529" stopIfTrue="1" operator="equal">
      <formula>"Towel"</formula>
    </cfRule>
    <cfRule type="cellIs" dxfId="14394" priority="6530" stopIfTrue="1" operator="equal">
      <formula>"Napkin Hs"</formula>
    </cfRule>
  </conditionalFormatting>
  <conditionalFormatting sqref="C104">
    <cfRule type="cellIs" dxfId="14393" priority="6523" stopIfTrue="1" operator="equal">
      <formula>"Towel"</formula>
    </cfRule>
    <cfRule type="cellIs" dxfId="14392" priority="6524" stopIfTrue="1" operator="equal">
      <formula>"Napkin Hs"</formula>
    </cfRule>
  </conditionalFormatting>
  <conditionalFormatting sqref="B104:C104">
    <cfRule type="cellIs" dxfId="14391" priority="6522" stopIfTrue="1" operator="equal">
      <formula>"Napkin Hs"</formula>
    </cfRule>
  </conditionalFormatting>
  <conditionalFormatting sqref="B104:C104">
    <cfRule type="cellIs" dxfId="14390" priority="6521" stopIfTrue="1" operator="equal">
      <formula>"Towel"</formula>
    </cfRule>
  </conditionalFormatting>
  <conditionalFormatting sqref="C104">
    <cfRule type="cellIs" dxfId="14389" priority="6520" stopIfTrue="1" operator="equal">
      <formula>"Napkin Hs"</formula>
    </cfRule>
  </conditionalFormatting>
  <conditionalFormatting sqref="C104">
    <cfRule type="cellIs" dxfId="14388" priority="6519" stopIfTrue="1" operator="equal">
      <formula>"Towel"</formula>
    </cfRule>
  </conditionalFormatting>
  <conditionalFormatting sqref="C104">
    <cfRule type="cellIs" dxfId="14387" priority="6517" stopIfTrue="1" operator="equal">
      <formula>"Towel"</formula>
    </cfRule>
    <cfRule type="cellIs" dxfId="14386" priority="6518" stopIfTrue="1" operator="equal">
      <formula>"Napkin Hs"</formula>
    </cfRule>
  </conditionalFormatting>
  <conditionalFormatting sqref="C104">
    <cfRule type="cellIs" dxfId="14385" priority="6511" stopIfTrue="1" operator="equal">
      <formula>"Towel"</formula>
    </cfRule>
    <cfRule type="cellIs" dxfId="14384" priority="6512" stopIfTrue="1" operator="equal">
      <formula>"Napkin Hs"</formula>
    </cfRule>
  </conditionalFormatting>
  <conditionalFormatting sqref="C104">
    <cfRule type="cellIs" dxfId="14383" priority="6505" stopIfTrue="1" operator="equal">
      <formula>"Towel"</formula>
    </cfRule>
    <cfRule type="cellIs" dxfId="14382" priority="6506" stopIfTrue="1" operator="equal">
      <formula>"Napkin Hs"</formula>
    </cfRule>
  </conditionalFormatting>
  <conditionalFormatting sqref="C104">
    <cfRule type="cellIs" dxfId="14381" priority="6499" stopIfTrue="1" operator="equal">
      <formula>"Towel"</formula>
    </cfRule>
    <cfRule type="cellIs" dxfId="14380" priority="6500" stopIfTrue="1" operator="equal">
      <formula>"Napkin Hs"</formula>
    </cfRule>
  </conditionalFormatting>
  <conditionalFormatting sqref="C104">
    <cfRule type="cellIs" dxfId="14379" priority="6493" stopIfTrue="1" operator="equal">
      <formula>"Towel"</formula>
    </cfRule>
    <cfRule type="cellIs" dxfId="14378" priority="6494" stopIfTrue="1" operator="equal">
      <formula>"Napkin Hs"</formula>
    </cfRule>
  </conditionalFormatting>
  <conditionalFormatting sqref="C104">
    <cfRule type="cellIs" dxfId="14377" priority="6487" stopIfTrue="1" operator="equal">
      <formula>"Towel"</formula>
    </cfRule>
    <cfRule type="cellIs" dxfId="14376" priority="6488" stopIfTrue="1" operator="equal">
      <formula>"Napkin Hs"</formula>
    </cfRule>
  </conditionalFormatting>
  <conditionalFormatting sqref="B104:C104">
    <cfRule type="cellIs" dxfId="14375" priority="6486" stopIfTrue="1" operator="equal">
      <formula>"Napkin Hs"</formula>
    </cfRule>
  </conditionalFormatting>
  <conditionalFormatting sqref="B104:C104">
    <cfRule type="cellIs" dxfId="14374" priority="6485" stopIfTrue="1" operator="equal">
      <formula>"Towel"</formula>
    </cfRule>
  </conditionalFormatting>
  <conditionalFormatting sqref="C104">
    <cfRule type="cellIs" dxfId="14373" priority="6484" stopIfTrue="1" operator="equal">
      <formula>"Napkin Hs"</formula>
    </cfRule>
  </conditionalFormatting>
  <conditionalFormatting sqref="C104">
    <cfRule type="cellIs" dxfId="14372" priority="6481" stopIfTrue="1" operator="equal">
      <formula>"Towel"</formula>
    </cfRule>
    <cfRule type="cellIs" dxfId="14371" priority="6482" stopIfTrue="1" operator="equal">
      <formula>"Napkin Hs"</formula>
    </cfRule>
  </conditionalFormatting>
  <conditionalFormatting sqref="C104">
    <cfRule type="cellIs" dxfId="14370" priority="6483" stopIfTrue="1" operator="equal">
      <formula>"Towel"</formula>
    </cfRule>
  </conditionalFormatting>
  <conditionalFormatting sqref="B104:C104">
    <cfRule type="cellIs" dxfId="14369" priority="6480" stopIfTrue="1" operator="equal">
      <formula>"Napkin Hs"</formula>
    </cfRule>
  </conditionalFormatting>
  <conditionalFormatting sqref="B104:C104">
    <cfRule type="cellIs" dxfId="14368" priority="6479" stopIfTrue="1" operator="equal">
      <formula>"Towel"</formula>
    </cfRule>
  </conditionalFormatting>
  <conditionalFormatting sqref="C104">
    <cfRule type="cellIs" dxfId="14367" priority="6478" stopIfTrue="1" operator="equal">
      <formula>"Napkin Hs"</formula>
    </cfRule>
  </conditionalFormatting>
  <conditionalFormatting sqref="C104">
    <cfRule type="cellIs" dxfId="14366" priority="6475" stopIfTrue="1" operator="equal">
      <formula>"Towel"</formula>
    </cfRule>
    <cfRule type="cellIs" dxfId="14365" priority="6476" stopIfTrue="1" operator="equal">
      <formula>"Napkin Hs"</formula>
    </cfRule>
  </conditionalFormatting>
  <conditionalFormatting sqref="C104">
    <cfRule type="cellIs" dxfId="14364" priority="6477" stopIfTrue="1" operator="equal">
      <formula>"Towel"</formula>
    </cfRule>
  </conditionalFormatting>
  <conditionalFormatting sqref="B105:C105">
    <cfRule type="cellIs" dxfId="14363" priority="6408" stopIfTrue="1" operator="equal">
      <formula>"Napkin Hs"</formula>
    </cfRule>
  </conditionalFormatting>
  <conditionalFormatting sqref="B105:C105">
    <cfRule type="cellIs" dxfId="14362" priority="6407" stopIfTrue="1" operator="equal">
      <formula>"Towel"</formula>
    </cfRule>
  </conditionalFormatting>
  <conditionalFormatting sqref="C105">
    <cfRule type="cellIs" dxfId="14361" priority="6406" stopIfTrue="1" operator="equal">
      <formula>"Napkin Hs"</formula>
    </cfRule>
  </conditionalFormatting>
  <conditionalFormatting sqref="C105">
    <cfRule type="cellIs" dxfId="14360" priority="6403" stopIfTrue="1" operator="equal">
      <formula>"Towel"</formula>
    </cfRule>
    <cfRule type="cellIs" dxfId="14359" priority="6404" stopIfTrue="1" operator="equal">
      <formula>"Napkin Hs"</formula>
    </cfRule>
  </conditionalFormatting>
  <conditionalFormatting sqref="C105">
    <cfRule type="cellIs" dxfId="14358" priority="6405" stopIfTrue="1" operator="equal">
      <formula>"Towel"</formula>
    </cfRule>
  </conditionalFormatting>
  <conditionalFormatting sqref="B104:C104">
    <cfRule type="cellIs" dxfId="14357" priority="6527" stopIfTrue="1" operator="equal">
      <formula>"Towel"</formula>
    </cfRule>
    <cfRule type="cellIs" dxfId="14356" priority="6528" stopIfTrue="1" operator="equal">
      <formula>"Napkin Hs"</formula>
    </cfRule>
  </conditionalFormatting>
  <conditionalFormatting sqref="C104">
    <cfRule type="cellIs" dxfId="14355" priority="6525" stopIfTrue="1" operator="equal">
      <formula>"Towel"</formula>
    </cfRule>
    <cfRule type="cellIs" dxfId="14354" priority="6526" stopIfTrue="1" operator="equal">
      <formula>"Napkin Hs"</formula>
    </cfRule>
  </conditionalFormatting>
  <conditionalFormatting sqref="B104:C104">
    <cfRule type="cellIs" dxfId="14353" priority="6515" stopIfTrue="1" operator="equal">
      <formula>"Towel"</formula>
    </cfRule>
    <cfRule type="cellIs" dxfId="14352" priority="6516" stopIfTrue="1" operator="equal">
      <formula>"Napkin Hs"</formula>
    </cfRule>
  </conditionalFormatting>
  <conditionalFormatting sqref="C104">
    <cfRule type="cellIs" dxfId="14351" priority="6513" stopIfTrue="1" operator="equal">
      <formula>"Towel"</formula>
    </cfRule>
    <cfRule type="cellIs" dxfId="14350" priority="6514" stopIfTrue="1" operator="equal">
      <formula>"Napkin Hs"</formula>
    </cfRule>
  </conditionalFormatting>
  <conditionalFormatting sqref="B104:C104">
    <cfRule type="cellIs" dxfId="14349" priority="6509" stopIfTrue="1" operator="equal">
      <formula>"Towel"</formula>
    </cfRule>
    <cfRule type="cellIs" dxfId="14348" priority="6510" stopIfTrue="1" operator="equal">
      <formula>"Napkin Hs"</formula>
    </cfRule>
  </conditionalFormatting>
  <conditionalFormatting sqref="C104">
    <cfRule type="cellIs" dxfId="14347" priority="6507" stopIfTrue="1" operator="equal">
      <formula>"Towel"</formula>
    </cfRule>
    <cfRule type="cellIs" dxfId="14346" priority="6508" stopIfTrue="1" operator="equal">
      <formula>"Napkin Hs"</formula>
    </cfRule>
  </conditionalFormatting>
  <conditionalFormatting sqref="B104:C104">
    <cfRule type="cellIs" dxfId="14345" priority="6503" stopIfTrue="1" operator="equal">
      <formula>"Towel"</formula>
    </cfRule>
    <cfRule type="cellIs" dxfId="14344" priority="6504" stopIfTrue="1" operator="equal">
      <formula>"Napkin Hs"</formula>
    </cfRule>
  </conditionalFormatting>
  <conditionalFormatting sqref="C104">
    <cfRule type="cellIs" dxfId="14343" priority="6501" stopIfTrue="1" operator="equal">
      <formula>"Towel"</formula>
    </cfRule>
    <cfRule type="cellIs" dxfId="14342" priority="6502" stopIfTrue="1" operator="equal">
      <formula>"Napkin Hs"</formula>
    </cfRule>
  </conditionalFormatting>
  <conditionalFormatting sqref="B104:C104">
    <cfRule type="cellIs" dxfId="14341" priority="6497" stopIfTrue="1" operator="equal">
      <formula>"Towel"</formula>
    </cfRule>
    <cfRule type="cellIs" dxfId="14340" priority="6498" stopIfTrue="1" operator="equal">
      <formula>"Napkin Hs"</formula>
    </cfRule>
  </conditionalFormatting>
  <conditionalFormatting sqref="C104">
    <cfRule type="cellIs" dxfId="14339" priority="6495" stopIfTrue="1" operator="equal">
      <formula>"Towel"</formula>
    </cfRule>
    <cfRule type="cellIs" dxfId="14338" priority="6496" stopIfTrue="1" operator="equal">
      <formula>"Napkin Hs"</formula>
    </cfRule>
  </conditionalFormatting>
  <conditionalFormatting sqref="B104:C104">
    <cfRule type="cellIs" dxfId="14337" priority="6491" stopIfTrue="1" operator="equal">
      <formula>"Towel"</formula>
    </cfRule>
    <cfRule type="cellIs" dxfId="14336" priority="6492" stopIfTrue="1" operator="equal">
      <formula>"Napkin Hs"</formula>
    </cfRule>
  </conditionalFormatting>
  <conditionalFormatting sqref="C104">
    <cfRule type="cellIs" dxfId="14335" priority="6489" stopIfTrue="1" operator="equal">
      <formula>"Towel"</formula>
    </cfRule>
    <cfRule type="cellIs" dxfId="14334" priority="6490" stopIfTrue="1" operator="equal">
      <formula>"Napkin Hs"</formula>
    </cfRule>
  </conditionalFormatting>
  <conditionalFormatting sqref="B104:C104">
    <cfRule type="cellIs" dxfId="14333" priority="6474" stopIfTrue="1" operator="equal">
      <formula>"Napkin Hs"</formula>
    </cfRule>
  </conditionalFormatting>
  <conditionalFormatting sqref="B104:C104">
    <cfRule type="cellIs" dxfId="14332" priority="6473" stopIfTrue="1" operator="equal">
      <formula>"Towel"</formula>
    </cfRule>
  </conditionalFormatting>
  <conditionalFormatting sqref="C104">
    <cfRule type="cellIs" dxfId="14331" priority="6472" stopIfTrue="1" operator="equal">
      <formula>"Napkin Hs"</formula>
    </cfRule>
  </conditionalFormatting>
  <conditionalFormatting sqref="C104">
    <cfRule type="cellIs" dxfId="14330" priority="6469" stopIfTrue="1" operator="equal">
      <formula>"Towel"</formula>
    </cfRule>
    <cfRule type="cellIs" dxfId="14329" priority="6470" stopIfTrue="1" operator="equal">
      <formula>"Napkin Hs"</formula>
    </cfRule>
  </conditionalFormatting>
  <conditionalFormatting sqref="C104">
    <cfRule type="cellIs" dxfId="14328" priority="6471" stopIfTrue="1" operator="equal">
      <formula>"Towel"</formula>
    </cfRule>
  </conditionalFormatting>
  <conditionalFormatting sqref="B105:C105">
    <cfRule type="cellIs" dxfId="14327" priority="6468" stopIfTrue="1" operator="equal">
      <formula>"Napkin Hs"</formula>
    </cfRule>
  </conditionalFormatting>
  <conditionalFormatting sqref="B105:C105">
    <cfRule type="cellIs" dxfId="14326" priority="6467" stopIfTrue="1" operator="equal">
      <formula>"Towel"</formula>
    </cfRule>
  </conditionalFormatting>
  <conditionalFormatting sqref="C105">
    <cfRule type="cellIs" dxfId="14325" priority="6466" stopIfTrue="1" operator="equal">
      <formula>"Napkin Hs"</formula>
    </cfRule>
  </conditionalFormatting>
  <conditionalFormatting sqref="C105">
    <cfRule type="cellIs" dxfId="14324" priority="6465" stopIfTrue="1" operator="equal">
      <formula>"Towel"</formula>
    </cfRule>
  </conditionalFormatting>
  <conditionalFormatting sqref="C105">
    <cfRule type="cellIs" dxfId="14323" priority="6463" stopIfTrue="1" operator="equal">
      <formula>"Towel"</formula>
    </cfRule>
    <cfRule type="cellIs" dxfId="14322" priority="6464" stopIfTrue="1" operator="equal">
      <formula>"Napkin Hs"</formula>
    </cfRule>
  </conditionalFormatting>
  <conditionalFormatting sqref="B105:C105">
    <cfRule type="cellIs" dxfId="14321" priority="6461" stopIfTrue="1" operator="equal">
      <formula>"Towel"</formula>
    </cfRule>
    <cfRule type="cellIs" dxfId="14320" priority="6462" stopIfTrue="1" operator="equal">
      <formula>"Napkin Hs"</formula>
    </cfRule>
  </conditionalFormatting>
  <conditionalFormatting sqref="C105">
    <cfRule type="cellIs" dxfId="14319" priority="6457" stopIfTrue="1" operator="equal">
      <formula>"Towel"</formula>
    </cfRule>
    <cfRule type="cellIs" dxfId="14318" priority="6458" stopIfTrue="1" operator="equal">
      <formula>"Napkin Hs"</formula>
    </cfRule>
  </conditionalFormatting>
  <conditionalFormatting sqref="C105">
    <cfRule type="cellIs" dxfId="14317" priority="6459" stopIfTrue="1" operator="equal">
      <formula>"Towel"</formula>
    </cfRule>
    <cfRule type="cellIs" dxfId="14316" priority="6460" stopIfTrue="1" operator="equal">
      <formula>"Napkin Hs"</formula>
    </cfRule>
  </conditionalFormatting>
  <conditionalFormatting sqref="B105:C105">
    <cfRule type="cellIs" dxfId="14315" priority="6456" stopIfTrue="1" operator="equal">
      <formula>"Napkin Hs"</formula>
    </cfRule>
  </conditionalFormatting>
  <conditionalFormatting sqref="B105:C105">
    <cfRule type="cellIs" dxfId="14314" priority="6455" stopIfTrue="1" operator="equal">
      <formula>"Towel"</formula>
    </cfRule>
  </conditionalFormatting>
  <conditionalFormatting sqref="C105">
    <cfRule type="cellIs" dxfId="14313" priority="6454" stopIfTrue="1" operator="equal">
      <formula>"Napkin Hs"</formula>
    </cfRule>
  </conditionalFormatting>
  <conditionalFormatting sqref="C105">
    <cfRule type="cellIs" dxfId="14312" priority="6453" stopIfTrue="1" operator="equal">
      <formula>"Towel"</formula>
    </cfRule>
  </conditionalFormatting>
  <conditionalFormatting sqref="C105">
    <cfRule type="cellIs" dxfId="14311" priority="6451" stopIfTrue="1" operator="equal">
      <formula>"Towel"</formula>
    </cfRule>
    <cfRule type="cellIs" dxfId="14310" priority="6452" stopIfTrue="1" operator="equal">
      <formula>"Napkin Hs"</formula>
    </cfRule>
  </conditionalFormatting>
  <conditionalFormatting sqref="B105:C105">
    <cfRule type="cellIs" dxfId="14309" priority="6449" stopIfTrue="1" operator="equal">
      <formula>"Towel"</formula>
    </cfRule>
    <cfRule type="cellIs" dxfId="14308" priority="6450" stopIfTrue="1" operator="equal">
      <formula>"Napkin Hs"</formula>
    </cfRule>
  </conditionalFormatting>
  <conditionalFormatting sqref="C105">
    <cfRule type="cellIs" dxfId="14307" priority="6447" stopIfTrue="1" operator="equal">
      <formula>"Towel"</formula>
    </cfRule>
    <cfRule type="cellIs" dxfId="14306" priority="6448" stopIfTrue="1" operator="equal">
      <formula>"Napkin Hs"</formula>
    </cfRule>
  </conditionalFormatting>
  <conditionalFormatting sqref="C105">
    <cfRule type="cellIs" dxfId="14305" priority="6445" stopIfTrue="1" operator="equal">
      <formula>"Towel"</formula>
    </cfRule>
    <cfRule type="cellIs" dxfId="14304" priority="6446" stopIfTrue="1" operator="equal">
      <formula>"Napkin Hs"</formula>
    </cfRule>
  </conditionalFormatting>
  <conditionalFormatting sqref="B105:C105">
    <cfRule type="cellIs" dxfId="14303" priority="6443" stopIfTrue="1" operator="equal">
      <formula>"Towel"</formula>
    </cfRule>
    <cfRule type="cellIs" dxfId="14302" priority="6444" stopIfTrue="1" operator="equal">
      <formula>"Napkin Hs"</formula>
    </cfRule>
  </conditionalFormatting>
  <conditionalFormatting sqref="C105">
    <cfRule type="cellIs" dxfId="14301" priority="6441" stopIfTrue="1" operator="equal">
      <formula>"Towel"</formula>
    </cfRule>
    <cfRule type="cellIs" dxfId="14300" priority="6442" stopIfTrue="1" operator="equal">
      <formula>"Napkin Hs"</formula>
    </cfRule>
  </conditionalFormatting>
  <conditionalFormatting sqref="C105">
    <cfRule type="cellIs" dxfId="14299" priority="6439" stopIfTrue="1" operator="equal">
      <formula>"Towel"</formula>
    </cfRule>
    <cfRule type="cellIs" dxfId="14298" priority="6440" stopIfTrue="1" operator="equal">
      <formula>"Napkin Hs"</formula>
    </cfRule>
  </conditionalFormatting>
  <conditionalFormatting sqref="B105:C105">
    <cfRule type="cellIs" dxfId="14297" priority="6437" stopIfTrue="1" operator="equal">
      <formula>"Towel"</formula>
    </cfRule>
    <cfRule type="cellIs" dxfId="14296" priority="6438" stopIfTrue="1" operator="equal">
      <formula>"Napkin Hs"</formula>
    </cfRule>
  </conditionalFormatting>
  <conditionalFormatting sqref="C105">
    <cfRule type="cellIs" dxfId="14295" priority="6435" stopIfTrue="1" operator="equal">
      <formula>"Towel"</formula>
    </cfRule>
    <cfRule type="cellIs" dxfId="14294" priority="6436" stopIfTrue="1" operator="equal">
      <formula>"Napkin Hs"</formula>
    </cfRule>
  </conditionalFormatting>
  <conditionalFormatting sqref="C105">
    <cfRule type="cellIs" dxfId="14293" priority="6433" stopIfTrue="1" operator="equal">
      <formula>"Towel"</formula>
    </cfRule>
    <cfRule type="cellIs" dxfId="14292" priority="6434" stopIfTrue="1" operator="equal">
      <formula>"Napkin Hs"</formula>
    </cfRule>
  </conditionalFormatting>
  <conditionalFormatting sqref="B105:C105">
    <cfRule type="cellIs" dxfId="14291" priority="6431" stopIfTrue="1" operator="equal">
      <formula>"Towel"</formula>
    </cfRule>
    <cfRule type="cellIs" dxfId="14290" priority="6432" stopIfTrue="1" operator="equal">
      <formula>"Napkin Hs"</formula>
    </cfRule>
  </conditionalFormatting>
  <conditionalFormatting sqref="C105">
    <cfRule type="cellIs" dxfId="14289" priority="6429" stopIfTrue="1" operator="equal">
      <formula>"Towel"</formula>
    </cfRule>
    <cfRule type="cellIs" dxfId="14288" priority="6430" stopIfTrue="1" operator="equal">
      <formula>"Napkin Hs"</formula>
    </cfRule>
  </conditionalFormatting>
  <conditionalFormatting sqref="C105">
    <cfRule type="cellIs" dxfId="14287" priority="6427" stopIfTrue="1" operator="equal">
      <formula>"Towel"</formula>
    </cfRule>
    <cfRule type="cellIs" dxfId="14286" priority="6428" stopIfTrue="1" operator="equal">
      <formula>"Napkin Hs"</formula>
    </cfRule>
  </conditionalFormatting>
  <conditionalFormatting sqref="B105:C105">
    <cfRule type="cellIs" dxfId="14285" priority="6425" stopIfTrue="1" operator="equal">
      <formula>"Towel"</formula>
    </cfRule>
    <cfRule type="cellIs" dxfId="14284" priority="6426" stopIfTrue="1" operator="equal">
      <formula>"Napkin Hs"</formula>
    </cfRule>
  </conditionalFormatting>
  <conditionalFormatting sqref="C105">
    <cfRule type="cellIs" dxfId="14283" priority="6423" stopIfTrue="1" operator="equal">
      <formula>"Towel"</formula>
    </cfRule>
    <cfRule type="cellIs" dxfId="14282" priority="6424" stopIfTrue="1" operator="equal">
      <formula>"Napkin Hs"</formula>
    </cfRule>
  </conditionalFormatting>
  <conditionalFormatting sqref="C105">
    <cfRule type="cellIs" dxfId="14281" priority="6421" stopIfTrue="1" operator="equal">
      <formula>"Towel"</formula>
    </cfRule>
    <cfRule type="cellIs" dxfId="14280" priority="6422" stopIfTrue="1" operator="equal">
      <formula>"Napkin Hs"</formula>
    </cfRule>
  </conditionalFormatting>
  <conditionalFormatting sqref="B105:C105">
    <cfRule type="cellIs" dxfId="14279" priority="6420" stopIfTrue="1" operator="equal">
      <formula>"Napkin Hs"</formula>
    </cfRule>
  </conditionalFormatting>
  <conditionalFormatting sqref="B105:C105">
    <cfRule type="cellIs" dxfId="14278" priority="6419" stopIfTrue="1" operator="equal">
      <formula>"Towel"</formula>
    </cfRule>
  </conditionalFormatting>
  <conditionalFormatting sqref="C105">
    <cfRule type="cellIs" dxfId="14277" priority="6418" stopIfTrue="1" operator="equal">
      <formula>"Napkin Hs"</formula>
    </cfRule>
  </conditionalFormatting>
  <conditionalFormatting sqref="C105">
    <cfRule type="cellIs" dxfId="14276" priority="6415" stopIfTrue="1" operator="equal">
      <formula>"Towel"</formula>
    </cfRule>
    <cfRule type="cellIs" dxfId="14275" priority="6416" stopIfTrue="1" operator="equal">
      <formula>"Napkin Hs"</formula>
    </cfRule>
  </conditionalFormatting>
  <conditionalFormatting sqref="C105">
    <cfRule type="cellIs" dxfId="14274" priority="6417" stopIfTrue="1" operator="equal">
      <formula>"Towel"</formula>
    </cfRule>
  </conditionalFormatting>
  <conditionalFormatting sqref="B105:C105">
    <cfRule type="cellIs" dxfId="14273" priority="6414" stopIfTrue="1" operator="equal">
      <formula>"Napkin Hs"</formula>
    </cfRule>
  </conditionalFormatting>
  <conditionalFormatting sqref="B105:C105">
    <cfRule type="cellIs" dxfId="14272" priority="6413" stopIfTrue="1" operator="equal">
      <formula>"Towel"</formula>
    </cfRule>
  </conditionalFormatting>
  <conditionalFormatting sqref="C105">
    <cfRule type="cellIs" dxfId="14271" priority="6412" stopIfTrue="1" operator="equal">
      <formula>"Napkin Hs"</formula>
    </cfRule>
  </conditionalFormatting>
  <conditionalFormatting sqref="C105">
    <cfRule type="cellIs" dxfId="14270" priority="6409" stopIfTrue="1" operator="equal">
      <formula>"Towel"</formula>
    </cfRule>
    <cfRule type="cellIs" dxfId="14269" priority="6410" stopIfTrue="1" operator="equal">
      <formula>"Napkin Hs"</formula>
    </cfRule>
  </conditionalFormatting>
  <conditionalFormatting sqref="C105">
    <cfRule type="cellIs" dxfId="14268" priority="6411" stopIfTrue="1" operator="equal">
      <formula>"Towel"</formula>
    </cfRule>
  </conditionalFormatting>
  <conditionalFormatting sqref="B103:C103">
    <cfRule type="cellIs" dxfId="14267" priority="6401" stopIfTrue="1" operator="equal">
      <formula>"Towel"</formula>
    </cfRule>
    <cfRule type="cellIs" dxfId="14266" priority="6402" stopIfTrue="1" operator="equal">
      <formula>"Napkin Hs"</formula>
    </cfRule>
  </conditionalFormatting>
  <conditionalFormatting sqref="C103">
    <cfRule type="cellIs" dxfId="14265" priority="6397" stopIfTrue="1" operator="equal">
      <formula>"Towel"</formula>
    </cfRule>
    <cfRule type="cellIs" dxfId="14264" priority="6398" stopIfTrue="1" operator="equal">
      <formula>"Napkin Hs"</formula>
    </cfRule>
  </conditionalFormatting>
  <conditionalFormatting sqref="C103">
    <cfRule type="cellIs" dxfId="14263" priority="6399" stopIfTrue="1" operator="equal">
      <formula>"Towel"</formula>
    </cfRule>
    <cfRule type="cellIs" dxfId="14262" priority="6400" stopIfTrue="1" operator="equal">
      <formula>"Napkin Hs"</formula>
    </cfRule>
  </conditionalFormatting>
  <conditionalFormatting sqref="B103:C103">
    <cfRule type="cellIs" dxfId="14261" priority="6396" stopIfTrue="1" operator="equal">
      <formula>"Napkin Hs"</formula>
    </cfRule>
  </conditionalFormatting>
  <conditionalFormatting sqref="B103:C103">
    <cfRule type="cellIs" dxfId="14260" priority="6395" stopIfTrue="1" operator="equal">
      <formula>"Towel"</formula>
    </cfRule>
  </conditionalFormatting>
  <conditionalFormatting sqref="C103">
    <cfRule type="cellIs" dxfId="14259" priority="6394" stopIfTrue="1" operator="equal">
      <formula>"Napkin Hs"</formula>
    </cfRule>
  </conditionalFormatting>
  <conditionalFormatting sqref="C103">
    <cfRule type="cellIs" dxfId="14258" priority="6393" stopIfTrue="1" operator="equal">
      <formula>"Towel"</formula>
    </cfRule>
  </conditionalFormatting>
  <conditionalFormatting sqref="C103">
    <cfRule type="cellIs" dxfId="14257" priority="6391" stopIfTrue="1" operator="equal">
      <formula>"Towel"</formula>
    </cfRule>
    <cfRule type="cellIs" dxfId="14256" priority="6392" stopIfTrue="1" operator="equal">
      <formula>"Napkin Hs"</formula>
    </cfRule>
  </conditionalFormatting>
  <conditionalFormatting sqref="B103:C103">
    <cfRule type="cellIs" dxfId="14255" priority="6389" stopIfTrue="1" operator="equal">
      <formula>"Towel"</formula>
    </cfRule>
    <cfRule type="cellIs" dxfId="14254" priority="6390" stopIfTrue="1" operator="equal">
      <formula>"Napkin Hs"</formula>
    </cfRule>
  </conditionalFormatting>
  <conditionalFormatting sqref="C103">
    <cfRule type="cellIs" dxfId="14253" priority="6387" stopIfTrue="1" operator="equal">
      <formula>"Towel"</formula>
    </cfRule>
    <cfRule type="cellIs" dxfId="14252" priority="6388" stopIfTrue="1" operator="equal">
      <formula>"Napkin Hs"</formula>
    </cfRule>
  </conditionalFormatting>
  <conditionalFormatting sqref="C103">
    <cfRule type="cellIs" dxfId="14251" priority="6385" stopIfTrue="1" operator="equal">
      <formula>"Towel"</formula>
    </cfRule>
    <cfRule type="cellIs" dxfId="14250" priority="6386" stopIfTrue="1" operator="equal">
      <formula>"Napkin Hs"</formula>
    </cfRule>
  </conditionalFormatting>
  <conditionalFormatting sqref="B103:C103">
    <cfRule type="cellIs" dxfId="14249" priority="6383" stopIfTrue="1" operator="equal">
      <formula>"Towel"</formula>
    </cfRule>
    <cfRule type="cellIs" dxfId="14248" priority="6384" stopIfTrue="1" operator="equal">
      <formula>"Napkin Hs"</formula>
    </cfRule>
  </conditionalFormatting>
  <conditionalFormatting sqref="C103">
    <cfRule type="cellIs" dxfId="14247" priority="6381" stopIfTrue="1" operator="equal">
      <formula>"Towel"</formula>
    </cfRule>
    <cfRule type="cellIs" dxfId="14246" priority="6382" stopIfTrue="1" operator="equal">
      <formula>"Napkin Hs"</formula>
    </cfRule>
  </conditionalFormatting>
  <conditionalFormatting sqref="C103">
    <cfRule type="cellIs" dxfId="14245" priority="6379" stopIfTrue="1" operator="equal">
      <formula>"Towel"</formula>
    </cfRule>
    <cfRule type="cellIs" dxfId="14244" priority="6380" stopIfTrue="1" operator="equal">
      <formula>"Napkin Hs"</formula>
    </cfRule>
  </conditionalFormatting>
  <conditionalFormatting sqref="B103:C103">
    <cfRule type="cellIs" dxfId="14243" priority="6377" stopIfTrue="1" operator="equal">
      <formula>"Towel"</formula>
    </cfRule>
    <cfRule type="cellIs" dxfId="14242" priority="6378" stopIfTrue="1" operator="equal">
      <formula>"Napkin Hs"</formula>
    </cfRule>
  </conditionalFormatting>
  <conditionalFormatting sqref="C103">
    <cfRule type="cellIs" dxfId="14241" priority="6375" stopIfTrue="1" operator="equal">
      <formula>"Towel"</formula>
    </cfRule>
    <cfRule type="cellIs" dxfId="14240" priority="6376" stopIfTrue="1" operator="equal">
      <formula>"Napkin Hs"</formula>
    </cfRule>
  </conditionalFormatting>
  <conditionalFormatting sqref="C103">
    <cfRule type="cellIs" dxfId="14239" priority="6373" stopIfTrue="1" operator="equal">
      <formula>"Towel"</formula>
    </cfRule>
    <cfRule type="cellIs" dxfId="14238" priority="6374" stopIfTrue="1" operator="equal">
      <formula>"Napkin Hs"</formula>
    </cfRule>
  </conditionalFormatting>
  <conditionalFormatting sqref="B103:C103">
    <cfRule type="cellIs" dxfId="14237" priority="6371" stopIfTrue="1" operator="equal">
      <formula>"Towel"</formula>
    </cfRule>
    <cfRule type="cellIs" dxfId="14236" priority="6372" stopIfTrue="1" operator="equal">
      <formula>"Napkin Hs"</formula>
    </cfRule>
  </conditionalFormatting>
  <conditionalFormatting sqref="C103">
    <cfRule type="cellIs" dxfId="14235" priority="6369" stopIfTrue="1" operator="equal">
      <formula>"Towel"</formula>
    </cfRule>
    <cfRule type="cellIs" dxfId="14234" priority="6370" stopIfTrue="1" operator="equal">
      <formula>"Napkin Hs"</formula>
    </cfRule>
  </conditionalFormatting>
  <conditionalFormatting sqref="C103">
    <cfRule type="cellIs" dxfId="14233" priority="6367" stopIfTrue="1" operator="equal">
      <formula>"Towel"</formula>
    </cfRule>
    <cfRule type="cellIs" dxfId="14232" priority="6368" stopIfTrue="1" operator="equal">
      <formula>"Napkin Hs"</formula>
    </cfRule>
  </conditionalFormatting>
  <conditionalFormatting sqref="B103:C103">
    <cfRule type="cellIs" dxfId="14231" priority="6365" stopIfTrue="1" operator="equal">
      <formula>"Towel"</formula>
    </cfRule>
    <cfRule type="cellIs" dxfId="14230" priority="6366" stopIfTrue="1" operator="equal">
      <formula>"Napkin Hs"</formula>
    </cfRule>
  </conditionalFormatting>
  <conditionalFormatting sqref="C103">
    <cfRule type="cellIs" dxfId="14229" priority="6363" stopIfTrue="1" operator="equal">
      <formula>"Towel"</formula>
    </cfRule>
    <cfRule type="cellIs" dxfId="14228" priority="6364" stopIfTrue="1" operator="equal">
      <formula>"Napkin Hs"</formula>
    </cfRule>
  </conditionalFormatting>
  <conditionalFormatting sqref="C103">
    <cfRule type="cellIs" dxfId="14227" priority="6361" stopIfTrue="1" operator="equal">
      <formula>"Towel"</formula>
    </cfRule>
    <cfRule type="cellIs" dxfId="14226" priority="6362" stopIfTrue="1" operator="equal">
      <formula>"Napkin Hs"</formula>
    </cfRule>
  </conditionalFormatting>
  <conditionalFormatting sqref="B103:C103">
    <cfRule type="cellIs" dxfId="14225" priority="6360" stopIfTrue="1" operator="equal">
      <formula>"Napkin Hs"</formula>
    </cfRule>
  </conditionalFormatting>
  <conditionalFormatting sqref="B103:C103">
    <cfRule type="cellIs" dxfId="14224" priority="6359" stopIfTrue="1" operator="equal">
      <formula>"Towel"</formula>
    </cfRule>
  </conditionalFormatting>
  <conditionalFormatting sqref="C103">
    <cfRule type="cellIs" dxfId="14223" priority="6358" stopIfTrue="1" operator="equal">
      <formula>"Napkin Hs"</formula>
    </cfRule>
  </conditionalFormatting>
  <conditionalFormatting sqref="C103">
    <cfRule type="cellIs" dxfId="14222" priority="6355" stopIfTrue="1" operator="equal">
      <formula>"Towel"</formula>
    </cfRule>
    <cfRule type="cellIs" dxfId="14221" priority="6356" stopIfTrue="1" operator="equal">
      <formula>"Napkin Hs"</formula>
    </cfRule>
  </conditionalFormatting>
  <conditionalFormatting sqref="C103">
    <cfRule type="cellIs" dxfId="14220" priority="6357" stopIfTrue="1" operator="equal">
      <formula>"Towel"</formula>
    </cfRule>
  </conditionalFormatting>
  <conditionalFormatting sqref="B103:C103">
    <cfRule type="cellIs" dxfId="14219" priority="6354" stopIfTrue="1" operator="equal">
      <formula>"Napkin Hs"</formula>
    </cfRule>
  </conditionalFormatting>
  <conditionalFormatting sqref="B103:C103">
    <cfRule type="cellIs" dxfId="14218" priority="6353" stopIfTrue="1" operator="equal">
      <formula>"Towel"</formula>
    </cfRule>
  </conditionalFormatting>
  <conditionalFormatting sqref="C103">
    <cfRule type="cellIs" dxfId="14217" priority="6352" stopIfTrue="1" operator="equal">
      <formula>"Napkin Hs"</formula>
    </cfRule>
  </conditionalFormatting>
  <conditionalFormatting sqref="C103">
    <cfRule type="cellIs" dxfId="14216" priority="6351" stopIfTrue="1" operator="equal">
      <formula>"Towel"</formula>
    </cfRule>
  </conditionalFormatting>
  <conditionalFormatting sqref="C103">
    <cfRule type="cellIs" dxfId="14215" priority="6349" stopIfTrue="1" operator="equal">
      <formula>"Towel"</formula>
    </cfRule>
    <cfRule type="cellIs" dxfId="14214" priority="6350" stopIfTrue="1" operator="equal">
      <formula>"Napkin Hs"</formula>
    </cfRule>
  </conditionalFormatting>
  <conditionalFormatting sqref="C103">
    <cfRule type="cellIs" dxfId="14213" priority="6343" stopIfTrue="1" operator="equal">
      <formula>"Towel"</formula>
    </cfRule>
    <cfRule type="cellIs" dxfId="14212" priority="6344" stopIfTrue="1" operator="equal">
      <formula>"Napkin Hs"</formula>
    </cfRule>
  </conditionalFormatting>
  <conditionalFormatting sqref="B103:C103">
    <cfRule type="cellIs" dxfId="14211" priority="6342" stopIfTrue="1" operator="equal">
      <formula>"Napkin Hs"</formula>
    </cfRule>
  </conditionalFormatting>
  <conditionalFormatting sqref="B103:C103">
    <cfRule type="cellIs" dxfId="14210" priority="6341" stopIfTrue="1" operator="equal">
      <formula>"Towel"</formula>
    </cfRule>
  </conditionalFormatting>
  <conditionalFormatting sqref="C103">
    <cfRule type="cellIs" dxfId="14209" priority="6340" stopIfTrue="1" operator="equal">
      <formula>"Napkin Hs"</formula>
    </cfRule>
  </conditionalFormatting>
  <conditionalFormatting sqref="C103">
    <cfRule type="cellIs" dxfId="14208" priority="6339" stopIfTrue="1" operator="equal">
      <formula>"Towel"</formula>
    </cfRule>
  </conditionalFormatting>
  <conditionalFormatting sqref="C103">
    <cfRule type="cellIs" dxfId="14207" priority="6337" stopIfTrue="1" operator="equal">
      <formula>"Towel"</formula>
    </cfRule>
    <cfRule type="cellIs" dxfId="14206" priority="6338" stopIfTrue="1" operator="equal">
      <formula>"Napkin Hs"</formula>
    </cfRule>
  </conditionalFormatting>
  <conditionalFormatting sqref="C103">
    <cfRule type="cellIs" dxfId="14205" priority="6331" stopIfTrue="1" operator="equal">
      <formula>"Towel"</formula>
    </cfRule>
    <cfRule type="cellIs" dxfId="14204" priority="6332" stopIfTrue="1" operator="equal">
      <formula>"Napkin Hs"</formula>
    </cfRule>
  </conditionalFormatting>
  <conditionalFormatting sqref="C103">
    <cfRule type="cellIs" dxfId="14203" priority="6325" stopIfTrue="1" operator="equal">
      <formula>"Towel"</formula>
    </cfRule>
    <cfRule type="cellIs" dxfId="14202" priority="6326" stopIfTrue="1" operator="equal">
      <formula>"Napkin Hs"</formula>
    </cfRule>
  </conditionalFormatting>
  <conditionalFormatting sqref="C103">
    <cfRule type="cellIs" dxfId="14201" priority="6319" stopIfTrue="1" operator="equal">
      <formula>"Towel"</formula>
    </cfRule>
    <cfRule type="cellIs" dxfId="14200" priority="6320" stopIfTrue="1" operator="equal">
      <formula>"Napkin Hs"</formula>
    </cfRule>
  </conditionalFormatting>
  <conditionalFormatting sqref="C103">
    <cfRule type="cellIs" dxfId="14199" priority="6313" stopIfTrue="1" operator="equal">
      <formula>"Towel"</formula>
    </cfRule>
    <cfRule type="cellIs" dxfId="14198" priority="6314" stopIfTrue="1" operator="equal">
      <formula>"Napkin Hs"</formula>
    </cfRule>
  </conditionalFormatting>
  <conditionalFormatting sqref="C103">
    <cfRule type="cellIs" dxfId="14197" priority="6307" stopIfTrue="1" operator="equal">
      <formula>"Towel"</formula>
    </cfRule>
    <cfRule type="cellIs" dxfId="14196" priority="6308" stopIfTrue="1" operator="equal">
      <formula>"Napkin Hs"</formula>
    </cfRule>
  </conditionalFormatting>
  <conditionalFormatting sqref="B103:C103">
    <cfRule type="cellIs" dxfId="14195" priority="6306" stopIfTrue="1" operator="equal">
      <formula>"Napkin Hs"</formula>
    </cfRule>
  </conditionalFormatting>
  <conditionalFormatting sqref="B103:C103">
    <cfRule type="cellIs" dxfId="14194" priority="6305" stopIfTrue="1" operator="equal">
      <formula>"Towel"</formula>
    </cfRule>
  </conditionalFormatting>
  <conditionalFormatting sqref="C103">
    <cfRule type="cellIs" dxfId="14193" priority="6304" stopIfTrue="1" operator="equal">
      <formula>"Napkin Hs"</formula>
    </cfRule>
  </conditionalFormatting>
  <conditionalFormatting sqref="C103">
    <cfRule type="cellIs" dxfId="14192" priority="6301" stopIfTrue="1" operator="equal">
      <formula>"Towel"</formula>
    </cfRule>
    <cfRule type="cellIs" dxfId="14191" priority="6302" stopIfTrue="1" operator="equal">
      <formula>"Napkin Hs"</formula>
    </cfRule>
  </conditionalFormatting>
  <conditionalFormatting sqref="C103">
    <cfRule type="cellIs" dxfId="14190" priority="6303" stopIfTrue="1" operator="equal">
      <formula>"Towel"</formula>
    </cfRule>
  </conditionalFormatting>
  <conditionalFormatting sqref="B103:C103">
    <cfRule type="cellIs" dxfId="14189" priority="6300" stopIfTrue="1" operator="equal">
      <formula>"Napkin Hs"</formula>
    </cfRule>
  </conditionalFormatting>
  <conditionalFormatting sqref="B103:C103">
    <cfRule type="cellIs" dxfId="14188" priority="6299" stopIfTrue="1" operator="equal">
      <formula>"Towel"</formula>
    </cfRule>
  </conditionalFormatting>
  <conditionalFormatting sqref="C103">
    <cfRule type="cellIs" dxfId="14187" priority="6298" stopIfTrue="1" operator="equal">
      <formula>"Napkin Hs"</formula>
    </cfRule>
  </conditionalFormatting>
  <conditionalFormatting sqref="C103">
    <cfRule type="cellIs" dxfId="14186" priority="6295" stopIfTrue="1" operator="equal">
      <formula>"Towel"</formula>
    </cfRule>
    <cfRule type="cellIs" dxfId="14185" priority="6296" stopIfTrue="1" operator="equal">
      <formula>"Napkin Hs"</formula>
    </cfRule>
  </conditionalFormatting>
  <conditionalFormatting sqref="C103">
    <cfRule type="cellIs" dxfId="14184" priority="6297" stopIfTrue="1" operator="equal">
      <formula>"Towel"</formula>
    </cfRule>
  </conditionalFormatting>
  <conditionalFormatting sqref="B103:C103">
    <cfRule type="cellIs" dxfId="14183" priority="6347" stopIfTrue="1" operator="equal">
      <formula>"Towel"</formula>
    </cfRule>
    <cfRule type="cellIs" dxfId="14182" priority="6348" stopIfTrue="1" operator="equal">
      <formula>"Napkin Hs"</formula>
    </cfRule>
  </conditionalFormatting>
  <conditionalFormatting sqref="C103">
    <cfRule type="cellIs" dxfId="14181" priority="6345" stopIfTrue="1" operator="equal">
      <formula>"Towel"</formula>
    </cfRule>
    <cfRule type="cellIs" dxfId="14180" priority="6346" stopIfTrue="1" operator="equal">
      <formula>"Napkin Hs"</formula>
    </cfRule>
  </conditionalFormatting>
  <conditionalFormatting sqref="B103:C103">
    <cfRule type="cellIs" dxfId="14179" priority="6335" stopIfTrue="1" operator="equal">
      <formula>"Towel"</formula>
    </cfRule>
    <cfRule type="cellIs" dxfId="14178" priority="6336" stopIfTrue="1" operator="equal">
      <formula>"Napkin Hs"</formula>
    </cfRule>
  </conditionalFormatting>
  <conditionalFormatting sqref="C103">
    <cfRule type="cellIs" dxfId="14177" priority="6333" stopIfTrue="1" operator="equal">
      <formula>"Towel"</formula>
    </cfRule>
    <cfRule type="cellIs" dxfId="14176" priority="6334" stopIfTrue="1" operator="equal">
      <formula>"Napkin Hs"</formula>
    </cfRule>
  </conditionalFormatting>
  <conditionalFormatting sqref="B103:C103">
    <cfRule type="cellIs" dxfId="14175" priority="6329" stopIfTrue="1" operator="equal">
      <formula>"Towel"</formula>
    </cfRule>
    <cfRule type="cellIs" dxfId="14174" priority="6330" stopIfTrue="1" operator="equal">
      <formula>"Napkin Hs"</formula>
    </cfRule>
  </conditionalFormatting>
  <conditionalFormatting sqref="C103">
    <cfRule type="cellIs" dxfId="14173" priority="6327" stopIfTrue="1" operator="equal">
      <formula>"Towel"</formula>
    </cfRule>
    <cfRule type="cellIs" dxfId="14172" priority="6328" stopIfTrue="1" operator="equal">
      <formula>"Napkin Hs"</formula>
    </cfRule>
  </conditionalFormatting>
  <conditionalFormatting sqref="B103:C103">
    <cfRule type="cellIs" dxfId="14171" priority="6323" stopIfTrue="1" operator="equal">
      <formula>"Towel"</formula>
    </cfRule>
    <cfRule type="cellIs" dxfId="14170" priority="6324" stopIfTrue="1" operator="equal">
      <formula>"Napkin Hs"</formula>
    </cfRule>
  </conditionalFormatting>
  <conditionalFormatting sqref="C103">
    <cfRule type="cellIs" dxfId="14169" priority="6321" stopIfTrue="1" operator="equal">
      <formula>"Towel"</formula>
    </cfRule>
    <cfRule type="cellIs" dxfId="14168" priority="6322" stopIfTrue="1" operator="equal">
      <formula>"Napkin Hs"</formula>
    </cfRule>
  </conditionalFormatting>
  <conditionalFormatting sqref="B103:C103">
    <cfRule type="cellIs" dxfId="14167" priority="6317" stopIfTrue="1" operator="equal">
      <formula>"Towel"</formula>
    </cfRule>
    <cfRule type="cellIs" dxfId="14166" priority="6318" stopIfTrue="1" operator="equal">
      <formula>"Napkin Hs"</formula>
    </cfRule>
  </conditionalFormatting>
  <conditionalFormatting sqref="C103">
    <cfRule type="cellIs" dxfId="14165" priority="6315" stopIfTrue="1" operator="equal">
      <formula>"Towel"</formula>
    </cfRule>
    <cfRule type="cellIs" dxfId="14164" priority="6316" stopIfTrue="1" operator="equal">
      <formula>"Napkin Hs"</formula>
    </cfRule>
  </conditionalFormatting>
  <conditionalFormatting sqref="B103:C103">
    <cfRule type="cellIs" dxfId="14163" priority="6311" stopIfTrue="1" operator="equal">
      <formula>"Towel"</formula>
    </cfRule>
    <cfRule type="cellIs" dxfId="14162" priority="6312" stopIfTrue="1" operator="equal">
      <formula>"Napkin Hs"</formula>
    </cfRule>
  </conditionalFormatting>
  <conditionalFormatting sqref="C103">
    <cfRule type="cellIs" dxfId="14161" priority="6309" stopIfTrue="1" operator="equal">
      <formula>"Towel"</formula>
    </cfRule>
    <cfRule type="cellIs" dxfId="14160" priority="6310" stopIfTrue="1" operator="equal">
      <formula>"Napkin Hs"</formula>
    </cfRule>
  </conditionalFormatting>
  <conditionalFormatting sqref="B103:C103">
    <cfRule type="cellIs" dxfId="14159" priority="6294" stopIfTrue="1" operator="equal">
      <formula>"Napkin Hs"</formula>
    </cfRule>
  </conditionalFormatting>
  <conditionalFormatting sqref="B103:C103">
    <cfRule type="cellIs" dxfId="14158" priority="6293" stopIfTrue="1" operator="equal">
      <formula>"Towel"</formula>
    </cfRule>
  </conditionalFormatting>
  <conditionalFormatting sqref="C103">
    <cfRule type="cellIs" dxfId="14157" priority="6292" stopIfTrue="1" operator="equal">
      <formula>"Napkin Hs"</formula>
    </cfRule>
  </conditionalFormatting>
  <conditionalFormatting sqref="C103">
    <cfRule type="cellIs" dxfId="14156" priority="6289" stopIfTrue="1" operator="equal">
      <formula>"Towel"</formula>
    </cfRule>
    <cfRule type="cellIs" dxfId="14155" priority="6290" stopIfTrue="1" operator="equal">
      <formula>"Napkin Hs"</formula>
    </cfRule>
  </conditionalFormatting>
  <conditionalFormatting sqref="C103">
    <cfRule type="cellIs" dxfId="14154" priority="6291" stopIfTrue="1" operator="equal">
      <formula>"Towel"</formula>
    </cfRule>
  </conditionalFormatting>
  <conditionalFormatting sqref="B107:C108">
    <cfRule type="cellIs" dxfId="14153" priority="6285" stopIfTrue="1" operator="equal">
      <formula>"Towel"</formula>
    </cfRule>
    <cfRule type="cellIs" dxfId="14152" priority="6286" stopIfTrue="1" operator="equal">
      <formula>"Napkin Hs"</formula>
    </cfRule>
  </conditionalFormatting>
  <conditionalFormatting sqref="C107:C108">
    <cfRule type="cellIs" dxfId="14151" priority="6287" stopIfTrue="1" operator="equal">
      <formula>"Towel"</formula>
    </cfRule>
    <cfRule type="cellIs" dxfId="14150" priority="6288" stopIfTrue="1" operator="equal">
      <formula>"Napkin Hs"</formula>
    </cfRule>
  </conditionalFormatting>
  <conditionalFormatting sqref="C107:C108">
    <cfRule type="cellIs" dxfId="14149" priority="6283" stopIfTrue="1" operator="equal">
      <formula>"Towel"</formula>
    </cfRule>
    <cfRule type="cellIs" dxfId="14148" priority="6284" stopIfTrue="1" operator="equal">
      <formula>"Napkin Hs"</formula>
    </cfRule>
  </conditionalFormatting>
  <conditionalFormatting sqref="B107:C108">
    <cfRule type="cellIs" dxfId="14147" priority="6282" stopIfTrue="1" operator="equal">
      <formula>"Napkin Hs"</formula>
    </cfRule>
  </conditionalFormatting>
  <conditionalFormatting sqref="B107:C108">
    <cfRule type="cellIs" dxfId="14146" priority="6281" stopIfTrue="1" operator="equal">
      <formula>"Towel"</formula>
    </cfRule>
  </conditionalFormatting>
  <conditionalFormatting sqref="C107:C108">
    <cfRule type="cellIs" dxfId="14145" priority="6280" stopIfTrue="1" operator="equal">
      <formula>"Napkin Hs"</formula>
    </cfRule>
  </conditionalFormatting>
  <conditionalFormatting sqref="C107:C108">
    <cfRule type="cellIs" dxfId="14144" priority="6279" stopIfTrue="1" operator="equal">
      <formula>"Towel"</formula>
    </cfRule>
  </conditionalFormatting>
  <conditionalFormatting sqref="C107:C108">
    <cfRule type="cellIs" dxfId="14143" priority="6277" stopIfTrue="1" operator="equal">
      <formula>"Towel"</formula>
    </cfRule>
    <cfRule type="cellIs" dxfId="14142" priority="6278" stopIfTrue="1" operator="equal">
      <formula>"Napkin Hs"</formula>
    </cfRule>
  </conditionalFormatting>
  <conditionalFormatting sqref="B109">
    <cfRule type="cellIs" dxfId="14141" priority="6276" stopIfTrue="1" operator="equal">
      <formula>"Napkin Hs"</formula>
    </cfRule>
  </conditionalFormatting>
  <conditionalFormatting sqref="B109">
    <cfRule type="cellIs" dxfId="14140" priority="6275" stopIfTrue="1" operator="equal">
      <formula>"Towel"</formula>
    </cfRule>
  </conditionalFormatting>
  <conditionalFormatting sqref="B109">
    <cfRule type="cellIs" dxfId="14139" priority="6269" stopIfTrue="1" operator="equal">
      <formula>"Towel"</formula>
    </cfRule>
    <cfRule type="cellIs" dxfId="14138" priority="6270" stopIfTrue="1" operator="equal">
      <formula>"Napkin Hs"</formula>
    </cfRule>
  </conditionalFormatting>
  <conditionalFormatting sqref="B109">
    <cfRule type="cellIs" dxfId="14137" priority="6264" stopIfTrue="1" operator="equal">
      <formula>"Napkin Hs"</formula>
    </cfRule>
  </conditionalFormatting>
  <conditionalFormatting sqref="B109">
    <cfRule type="cellIs" dxfId="14136" priority="6263" stopIfTrue="1" operator="equal">
      <formula>"Towel"</formula>
    </cfRule>
  </conditionalFormatting>
  <conditionalFormatting sqref="B109">
    <cfRule type="cellIs" dxfId="14135" priority="6257" stopIfTrue="1" operator="equal">
      <formula>"Towel"</formula>
    </cfRule>
    <cfRule type="cellIs" dxfId="14134" priority="6258" stopIfTrue="1" operator="equal">
      <formula>"Napkin Hs"</formula>
    </cfRule>
  </conditionalFormatting>
  <conditionalFormatting sqref="B109">
    <cfRule type="cellIs" dxfId="14133" priority="6251" stopIfTrue="1" operator="equal">
      <formula>"Towel"</formula>
    </cfRule>
    <cfRule type="cellIs" dxfId="14132" priority="6252" stopIfTrue="1" operator="equal">
      <formula>"Napkin Hs"</formula>
    </cfRule>
  </conditionalFormatting>
  <conditionalFormatting sqref="B109">
    <cfRule type="cellIs" dxfId="14131" priority="6245" stopIfTrue="1" operator="equal">
      <formula>"Towel"</formula>
    </cfRule>
    <cfRule type="cellIs" dxfId="14130" priority="6246" stopIfTrue="1" operator="equal">
      <formula>"Napkin Hs"</formula>
    </cfRule>
  </conditionalFormatting>
  <conditionalFormatting sqref="B109">
    <cfRule type="cellIs" dxfId="14129" priority="6239" stopIfTrue="1" operator="equal">
      <formula>"Towel"</formula>
    </cfRule>
    <cfRule type="cellIs" dxfId="14128" priority="6240" stopIfTrue="1" operator="equal">
      <formula>"Napkin Hs"</formula>
    </cfRule>
  </conditionalFormatting>
  <conditionalFormatting sqref="B109">
    <cfRule type="cellIs" dxfId="14127" priority="6233" stopIfTrue="1" operator="equal">
      <formula>"Towel"</formula>
    </cfRule>
    <cfRule type="cellIs" dxfId="14126" priority="6234" stopIfTrue="1" operator="equal">
      <formula>"Napkin Hs"</formula>
    </cfRule>
  </conditionalFormatting>
  <conditionalFormatting sqref="B109">
    <cfRule type="cellIs" dxfId="14125" priority="6228" stopIfTrue="1" operator="equal">
      <formula>"Napkin Hs"</formula>
    </cfRule>
  </conditionalFormatting>
  <conditionalFormatting sqref="B109">
    <cfRule type="cellIs" dxfId="14124" priority="6227" stopIfTrue="1" operator="equal">
      <formula>"Towel"</formula>
    </cfRule>
  </conditionalFormatting>
  <conditionalFormatting sqref="C109">
    <cfRule type="cellIs" dxfId="14123" priority="6222" stopIfTrue="1" operator="equal">
      <formula>"Napkin Hs"</formula>
    </cfRule>
  </conditionalFormatting>
  <conditionalFormatting sqref="C109">
    <cfRule type="cellIs" dxfId="14122" priority="6221" stopIfTrue="1" operator="equal">
      <formula>"Towel"</formula>
    </cfRule>
  </conditionalFormatting>
  <conditionalFormatting sqref="C109">
    <cfRule type="cellIs" dxfId="14121" priority="6220" stopIfTrue="1" operator="equal">
      <formula>"Napkin Hs"</formula>
    </cfRule>
  </conditionalFormatting>
  <conditionalFormatting sqref="C109">
    <cfRule type="cellIs" dxfId="14120" priority="6219" stopIfTrue="1" operator="equal">
      <formula>"Towel"</formula>
    </cfRule>
  </conditionalFormatting>
  <conditionalFormatting sqref="C109">
    <cfRule type="cellIs" dxfId="14119" priority="6217" stopIfTrue="1" operator="equal">
      <formula>"Towel"</formula>
    </cfRule>
    <cfRule type="cellIs" dxfId="14118" priority="6218" stopIfTrue="1" operator="equal">
      <formula>"Napkin Hs"</formula>
    </cfRule>
  </conditionalFormatting>
  <conditionalFormatting sqref="C109">
    <cfRule type="cellIs" dxfId="14117" priority="6215" stopIfTrue="1" operator="equal">
      <formula>"Towel"</formula>
    </cfRule>
    <cfRule type="cellIs" dxfId="14116" priority="6216" stopIfTrue="1" operator="equal">
      <formula>"Napkin Hs"</formula>
    </cfRule>
  </conditionalFormatting>
  <conditionalFormatting sqref="C109">
    <cfRule type="cellIs" dxfId="14115" priority="6211" stopIfTrue="1" operator="equal">
      <formula>"Towel"</formula>
    </cfRule>
    <cfRule type="cellIs" dxfId="14114" priority="6212" stopIfTrue="1" operator="equal">
      <formula>"Napkin Hs"</formula>
    </cfRule>
  </conditionalFormatting>
  <conditionalFormatting sqref="C109">
    <cfRule type="cellIs" dxfId="14113" priority="6213" stopIfTrue="1" operator="equal">
      <formula>"Towel"</formula>
    </cfRule>
    <cfRule type="cellIs" dxfId="14112" priority="6214" stopIfTrue="1" operator="equal">
      <formula>"Napkin Hs"</formula>
    </cfRule>
  </conditionalFormatting>
  <conditionalFormatting sqref="C109">
    <cfRule type="cellIs" dxfId="14111" priority="6210" stopIfTrue="1" operator="equal">
      <formula>"Napkin Hs"</formula>
    </cfRule>
  </conditionalFormatting>
  <conditionalFormatting sqref="C109">
    <cfRule type="cellIs" dxfId="14110" priority="6209" stopIfTrue="1" operator="equal">
      <formula>"Towel"</formula>
    </cfRule>
  </conditionalFormatting>
  <conditionalFormatting sqref="C109">
    <cfRule type="cellIs" dxfId="14109" priority="6208" stopIfTrue="1" operator="equal">
      <formula>"Napkin Hs"</formula>
    </cfRule>
  </conditionalFormatting>
  <conditionalFormatting sqref="C109">
    <cfRule type="cellIs" dxfId="14108" priority="6207" stopIfTrue="1" operator="equal">
      <formula>"Towel"</formula>
    </cfRule>
  </conditionalFormatting>
  <conditionalFormatting sqref="C109">
    <cfRule type="cellIs" dxfId="14107" priority="6205" stopIfTrue="1" operator="equal">
      <formula>"Towel"</formula>
    </cfRule>
    <cfRule type="cellIs" dxfId="14106" priority="6206" stopIfTrue="1" operator="equal">
      <formula>"Napkin Hs"</formula>
    </cfRule>
  </conditionalFormatting>
  <conditionalFormatting sqref="C109">
    <cfRule type="cellIs" dxfId="14105" priority="6203" stopIfTrue="1" operator="equal">
      <formula>"Towel"</formula>
    </cfRule>
    <cfRule type="cellIs" dxfId="14104" priority="6204" stopIfTrue="1" operator="equal">
      <formula>"Napkin Hs"</formula>
    </cfRule>
  </conditionalFormatting>
  <conditionalFormatting sqref="C109">
    <cfRule type="cellIs" dxfId="14103" priority="6201" stopIfTrue="1" operator="equal">
      <formula>"Towel"</formula>
    </cfRule>
    <cfRule type="cellIs" dxfId="14102" priority="6202" stopIfTrue="1" operator="equal">
      <formula>"Napkin Hs"</formula>
    </cfRule>
  </conditionalFormatting>
  <conditionalFormatting sqref="C109">
    <cfRule type="cellIs" dxfId="14101" priority="6199" stopIfTrue="1" operator="equal">
      <formula>"Towel"</formula>
    </cfRule>
    <cfRule type="cellIs" dxfId="14100" priority="6200" stopIfTrue="1" operator="equal">
      <formula>"Napkin Hs"</formula>
    </cfRule>
  </conditionalFormatting>
  <conditionalFormatting sqref="C109">
    <cfRule type="cellIs" dxfId="14099" priority="6197" stopIfTrue="1" operator="equal">
      <formula>"Towel"</formula>
    </cfRule>
    <cfRule type="cellIs" dxfId="14098" priority="6198" stopIfTrue="1" operator="equal">
      <formula>"Napkin Hs"</formula>
    </cfRule>
  </conditionalFormatting>
  <conditionalFormatting sqref="C109">
    <cfRule type="cellIs" dxfId="14097" priority="6195" stopIfTrue="1" operator="equal">
      <formula>"Towel"</formula>
    </cfRule>
    <cfRule type="cellIs" dxfId="14096" priority="6196" stopIfTrue="1" operator="equal">
      <formula>"Napkin Hs"</formula>
    </cfRule>
  </conditionalFormatting>
  <conditionalFormatting sqref="C109">
    <cfRule type="cellIs" dxfId="14095" priority="6193" stopIfTrue="1" operator="equal">
      <formula>"Towel"</formula>
    </cfRule>
    <cfRule type="cellIs" dxfId="14094" priority="6194" stopIfTrue="1" operator="equal">
      <formula>"Napkin Hs"</formula>
    </cfRule>
  </conditionalFormatting>
  <conditionalFormatting sqref="C109">
    <cfRule type="cellIs" dxfId="14093" priority="6191" stopIfTrue="1" operator="equal">
      <formula>"Towel"</formula>
    </cfRule>
    <cfRule type="cellIs" dxfId="14092" priority="6192" stopIfTrue="1" operator="equal">
      <formula>"Napkin Hs"</formula>
    </cfRule>
  </conditionalFormatting>
  <conditionalFormatting sqref="C109">
    <cfRule type="cellIs" dxfId="14091" priority="6189" stopIfTrue="1" operator="equal">
      <formula>"Towel"</formula>
    </cfRule>
    <cfRule type="cellIs" dxfId="14090" priority="6190" stopIfTrue="1" operator="equal">
      <formula>"Napkin Hs"</formula>
    </cfRule>
  </conditionalFormatting>
  <conditionalFormatting sqref="C109">
    <cfRule type="cellIs" dxfId="14089" priority="6187" stopIfTrue="1" operator="equal">
      <formula>"Towel"</formula>
    </cfRule>
    <cfRule type="cellIs" dxfId="14088" priority="6188" stopIfTrue="1" operator="equal">
      <formula>"Napkin Hs"</formula>
    </cfRule>
  </conditionalFormatting>
  <conditionalFormatting sqref="C109">
    <cfRule type="cellIs" dxfId="14087" priority="6185" stopIfTrue="1" operator="equal">
      <formula>"Towel"</formula>
    </cfRule>
    <cfRule type="cellIs" dxfId="14086" priority="6186" stopIfTrue="1" operator="equal">
      <formula>"Napkin Hs"</formula>
    </cfRule>
  </conditionalFormatting>
  <conditionalFormatting sqref="C109">
    <cfRule type="cellIs" dxfId="14085" priority="6183" stopIfTrue="1" operator="equal">
      <formula>"Towel"</formula>
    </cfRule>
    <cfRule type="cellIs" dxfId="14084" priority="6184" stopIfTrue="1" operator="equal">
      <formula>"Napkin Hs"</formula>
    </cfRule>
  </conditionalFormatting>
  <conditionalFormatting sqref="C109">
    <cfRule type="cellIs" dxfId="14083" priority="6181" stopIfTrue="1" operator="equal">
      <formula>"Towel"</formula>
    </cfRule>
    <cfRule type="cellIs" dxfId="14082" priority="6182" stopIfTrue="1" operator="equal">
      <formula>"Napkin Hs"</formula>
    </cfRule>
  </conditionalFormatting>
  <conditionalFormatting sqref="C109">
    <cfRule type="cellIs" dxfId="14081" priority="6179" stopIfTrue="1" operator="equal">
      <formula>"Towel"</formula>
    </cfRule>
    <cfRule type="cellIs" dxfId="14080" priority="6180" stopIfTrue="1" operator="equal">
      <formula>"Napkin Hs"</formula>
    </cfRule>
  </conditionalFormatting>
  <conditionalFormatting sqref="C109">
    <cfRule type="cellIs" dxfId="14079" priority="6177" stopIfTrue="1" operator="equal">
      <formula>"Towel"</formula>
    </cfRule>
    <cfRule type="cellIs" dxfId="14078" priority="6178" stopIfTrue="1" operator="equal">
      <formula>"Napkin Hs"</formula>
    </cfRule>
  </conditionalFormatting>
  <conditionalFormatting sqref="C109">
    <cfRule type="cellIs" dxfId="14077" priority="6175" stopIfTrue="1" operator="equal">
      <formula>"Towel"</formula>
    </cfRule>
    <cfRule type="cellIs" dxfId="14076" priority="6176" stopIfTrue="1" operator="equal">
      <formula>"Napkin Hs"</formula>
    </cfRule>
  </conditionalFormatting>
  <conditionalFormatting sqref="C109">
    <cfRule type="cellIs" dxfId="14075" priority="6174" stopIfTrue="1" operator="equal">
      <formula>"Napkin Hs"</formula>
    </cfRule>
  </conditionalFormatting>
  <conditionalFormatting sqref="C109">
    <cfRule type="cellIs" dxfId="14074" priority="6173" stopIfTrue="1" operator="equal">
      <formula>"Towel"</formula>
    </cfRule>
  </conditionalFormatting>
  <conditionalFormatting sqref="C109">
    <cfRule type="cellIs" dxfId="14073" priority="6172" stopIfTrue="1" operator="equal">
      <formula>"Napkin Hs"</formula>
    </cfRule>
  </conditionalFormatting>
  <conditionalFormatting sqref="C109">
    <cfRule type="cellIs" dxfId="14072" priority="6169" stopIfTrue="1" operator="equal">
      <formula>"Towel"</formula>
    </cfRule>
    <cfRule type="cellIs" dxfId="14071" priority="6170" stopIfTrue="1" operator="equal">
      <formula>"Napkin Hs"</formula>
    </cfRule>
  </conditionalFormatting>
  <conditionalFormatting sqref="C109">
    <cfRule type="cellIs" dxfId="14070" priority="6171" stopIfTrue="1" operator="equal">
      <formula>"Towel"</formula>
    </cfRule>
  </conditionalFormatting>
  <conditionalFormatting sqref="B109:C109">
    <cfRule type="cellIs" dxfId="14069" priority="6167" stopIfTrue="1" operator="equal">
      <formula>"Towel"</formula>
    </cfRule>
    <cfRule type="cellIs" dxfId="14068" priority="6168" stopIfTrue="1" operator="equal">
      <formula>"Napkin Hs"</formula>
    </cfRule>
  </conditionalFormatting>
  <conditionalFormatting sqref="C109">
    <cfRule type="cellIs" dxfId="14067" priority="6165" stopIfTrue="1" operator="equal">
      <formula>"Towel"</formula>
    </cfRule>
    <cfRule type="cellIs" dxfId="14066" priority="6166" stopIfTrue="1" operator="equal">
      <formula>"Napkin Hs"</formula>
    </cfRule>
  </conditionalFormatting>
  <conditionalFormatting sqref="C109">
    <cfRule type="cellIs" dxfId="14065" priority="6163" stopIfTrue="1" operator="equal">
      <formula>"Towel"</formula>
    </cfRule>
    <cfRule type="cellIs" dxfId="14064" priority="6164" stopIfTrue="1" operator="equal">
      <formula>"Napkin Hs"</formula>
    </cfRule>
  </conditionalFormatting>
  <conditionalFormatting sqref="B109:C109">
    <cfRule type="cellIs" dxfId="14063" priority="5988" stopIfTrue="1" operator="equal">
      <formula>"Napkin Hs"</formula>
    </cfRule>
  </conditionalFormatting>
  <conditionalFormatting sqref="B109:C109">
    <cfRule type="cellIs" dxfId="14062" priority="5987" stopIfTrue="1" operator="equal">
      <formula>"Towel"</formula>
    </cfRule>
  </conditionalFormatting>
  <conditionalFormatting sqref="C109">
    <cfRule type="cellIs" dxfId="14061" priority="5986" stopIfTrue="1" operator="equal">
      <formula>"Napkin Hs"</formula>
    </cfRule>
  </conditionalFormatting>
  <conditionalFormatting sqref="C109">
    <cfRule type="cellIs" dxfId="14060" priority="5983" stopIfTrue="1" operator="equal">
      <formula>"Towel"</formula>
    </cfRule>
    <cfRule type="cellIs" dxfId="14059" priority="5984" stopIfTrue="1" operator="equal">
      <formula>"Napkin Hs"</formula>
    </cfRule>
  </conditionalFormatting>
  <conditionalFormatting sqref="C109">
    <cfRule type="cellIs" dxfId="14058" priority="5985" stopIfTrue="1" operator="equal">
      <formula>"Towel"</formula>
    </cfRule>
  </conditionalFormatting>
  <conditionalFormatting sqref="B109:C109">
    <cfRule type="cellIs" dxfId="14057" priority="6048" stopIfTrue="1" operator="equal">
      <formula>"Napkin Hs"</formula>
    </cfRule>
  </conditionalFormatting>
  <conditionalFormatting sqref="B109:C109">
    <cfRule type="cellIs" dxfId="14056" priority="6047" stopIfTrue="1" operator="equal">
      <formula>"Towel"</formula>
    </cfRule>
  </conditionalFormatting>
  <conditionalFormatting sqref="C109">
    <cfRule type="cellIs" dxfId="14055" priority="6046" stopIfTrue="1" operator="equal">
      <formula>"Napkin Hs"</formula>
    </cfRule>
  </conditionalFormatting>
  <conditionalFormatting sqref="C109">
    <cfRule type="cellIs" dxfId="14054" priority="6045" stopIfTrue="1" operator="equal">
      <formula>"Towel"</formula>
    </cfRule>
  </conditionalFormatting>
  <conditionalFormatting sqref="C109">
    <cfRule type="cellIs" dxfId="14053" priority="6043" stopIfTrue="1" operator="equal">
      <formula>"Towel"</formula>
    </cfRule>
    <cfRule type="cellIs" dxfId="14052" priority="6044" stopIfTrue="1" operator="equal">
      <formula>"Napkin Hs"</formula>
    </cfRule>
  </conditionalFormatting>
  <conditionalFormatting sqref="B109:C109">
    <cfRule type="cellIs" dxfId="14051" priority="6041" stopIfTrue="1" operator="equal">
      <formula>"Towel"</formula>
    </cfRule>
    <cfRule type="cellIs" dxfId="14050" priority="6042" stopIfTrue="1" operator="equal">
      <formula>"Napkin Hs"</formula>
    </cfRule>
  </conditionalFormatting>
  <conditionalFormatting sqref="C109">
    <cfRule type="cellIs" dxfId="14049" priority="6037" stopIfTrue="1" operator="equal">
      <formula>"Towel"</formula>
    </cfRule>
    <cfRule type="cellIs" dxfId="14048" priority="6038" stopIfTrue="1" operator="equal">
      <formula>"Napkin Hs"</formula>
    </cfRule>
  </conditionalFormatting>
  <conditionalFormatting sqref="C109">
    <cfRule type="cellIs" dxfId="14047" priority="6039" stopIfTrue="1" operator="equal">
      <formula>"Towel"</formula>
    </cfRule>
    <cfRule type="cellIs" dxfId="14046" priority="6040" stopIfTrue="1" operator="equal">
      <formula>"Napkin Hs"</formula>
    </cfRule>
  </conditionalFormatting>
  <conditionalFormatting sqref="B109:C109">
    <cfRule type="cellIs" dxfId="14045" priority="6036" stopIfTrue="1" operator="equal">
      <formula>"Napkin Hs"</formula>
    </cfRule>
  </conditionalFormatting>
  <conditionalFormatting sqref="B109:C109">
    <cfRule type="cellIs" dxfId="14044" priority="6035" stopIfTrue="1" operator="equal">
      <formula>"Towel"</formula>
    </cfRule>
  </conditionalFormatting>
  <conditionalFormatting sqref="C109">
    <cfRule type="cellIs" dxfId="14043" priority="6034" stopIfTrue="1" operator="equal">
      <formula>"Napkin Hs"</formula>
    </cfRule>
  </conditionalFormatting>
  <conditionalFormatting sqref="C109">
    <cfRule type="cellIs" dxfId="14042" priority="6033" stopIfTrue="1" operator="equal">
      <formula>"Towel"</formula>
    </cfRule>
  </conditionalFormatting>
  <conditionalFormatting sqref="C109">
    <cfRule type="cellIs" dxfId="14041" priority="6031" stopIfTrue="1" operator="equal">
      <formula>"Towel"</formula>
    </cfRule>
    <cfRule type="cellIs" dxfId="14040" priority="6032" stopIfTrue="1" operator="equal">
      <formula>"Napkin Hs"</formula>
    </cfRule>
  </conditionalFormatting>
  <conditionalFormatting sqref="B109:C109">
    <cfRule type="cellIs" dxfId="14039" priority="6029" stopIfTrue="1" operator="equal">
      <formula>"Towel"</formula>
    </cfRule>
    <cfRule type="cellIs" dxfId="14038" priority="6030" stopIfTrue="1" operator="equal">
      <formula>"Napkin Hs"</formula>
    </cfRule>
  </conditionalFormatting>
  <conditionalFormatting sqref="C109">
    <cfRule type="cellIs" dxfId="14037" priority="6027" stopIfTrue="1" operator="equal">
      <formula>"Towel"</formula>
    </cfRule>
    <cfRule type="cellIs" dxfId="14036" priority="6028" stopIfTrue="1" operator="equal">
      <formula>"Napkin Hs"</formula>
    </cfRule>
  </conditionalFormatting>
  <conditionalFormatting sqref="C109">
    <cfRule type="cellIs" dxfId="14035" priority="6025" stopIfTrue="1" operator="equal">
      <formula>"Towel"</formula>
    </cfRule>
    <cfRule type="cellIs" dxfId="14034" priority="6026" stopIfTrue="1" operator="equal">
      <formula>"Napkin Hs"</formula>
    </cfRule>
  </conditionalFormatting>
  <conditionalFormatting sqref="B109:C109">
    <cfRule type="cellIs" dxfId="14033" priority="6023" stopIfTrue="1" operator="equal">
      <formula>"Towel"</formula>
    </cfRule>
    <cfRule type="cellIs" dxfId="14032" priority="6024" stopIfTrue="1" operator="equal">
      <formula>"Napkin Hs"</formula>
    </cfRule>
  </conditionalFormatting>
  <conditionalFormatting sqref="C109">
    <cfRule type="cellIs" dxfId="14031" priority="6021" stopIfTrue="1" operator="equal">
      <formula>"Towel"</formula>
    </cfRule>
    <cfRule type="cellIs" dxfId="14030" priority="6022" stopIfTrue="1" operator="equal">
      <formula>"Napkin Hs"</formula>
    </cfRule>
  </conditionalFormatting>
  <conditionalFormatting sqref="C109">
    <cfRule type="cellIs" dxfId="14029" priority="6019" stopIfTrue="1" operator="equal">
      <formula>"Towel"</formula>
    </cfRule>
    <cfRule type="cellIs" dxfId="14028" priority="6020" stopIfTrue="1" operator="equal">
      <formula>"Napkin Hs"</formula>
    </cfRule>
  </conditionalFormatting>
  <conditionalFormatting sqref="B109:C109">
    <cfRule type="cellIs" dxfId="14027" priority="6017" stopIfTrue="1" operator="equal">
      <formula>"Towel"</formula>
    </cfRule>
    <cfRule type="cellIs" dxfId="14026" priority="6018" stopIfTrue="1" operator="equal">
      <formula>"Napkin Hs"</formula>
    </cfRule>
  </conditionalFormatting>
  <conditionalFormatting sqref="C109">
    <cfRule type="cellIs" dxfId="14025" priority="6015" stopIfTrue="1" operator="equal">
      <formula>"Towel"</formula>
    </cfRule>
    <cfRule type="cellIs" dxfId="14024" priority="6016" stopIfTrue="1" operator="equal">
      <formula>"Napkin Hs"</formula>
    </cfRule>
  </conditionalFormatting>
  <conditionalFormatting sqref="C109">
    <cfRule type="cellIs" dxfId="14023" priority="6013" stopIfTrue="1" operator="equal">
      <formula>"Towel"</formula>
    </cfRule>
    <cfRule type="cellIs" dxfId="14022" priority="6014" stopIfTrue="1" operator="equal">
      <formula>"Napkin Hs"</formula>
    </cfRule>
  </conditionalFormatting>
  <conditionalFormatting sqref="B109:C109">
    <cfRule type="cellIs" dxfId="14021" priority="6011" stopIfTrue="1" operator="equal">
      <formula>"Towel"</formula>
    </cfRule>
    <cfRule type="cellIs" dxfId="14020" priority="6012" stopIfTrue="1" operator="equal">
      <formula>"Napkin Hs"</formula>
    </cfRule>
  </conditionalFormatting>
  <conditionalFormatting sqref="C109">
    <cfRule type="cellIs" dxfId="14019" priority="6009" stopIfTrue="1" operator="equal">
      <formula>"Towel"</formula>
    </cfRule>
    <cfRule type="cellIs" dxfId="14018" priority="6010" stopIfTrue="1" operator="equal">
      <formula>"Napkin Hs"</formula>
    </cfRule>
  </conditionalFormatting>
  <conditionalFormatting sqref="C109">
    <cfRule type="cellIs" dxfId="14017" priority="6007" stopIfTrue="1" operator="equal">
      <formula>"Towel"</formula>
    </cfRule>
    <cfRule type="cellIs" dxfId="14016" priority="6008" stopIfTrue="1" operator="equal">
      <formula>"Napkin Hs"</formula>
    </cfRule>
  </conditionalFormatting>
  <conditionalFormatting sqref="B109:C109">
    <cfRule type="cellIs" dxfId="14015" priority="6005" stopIfTrue="1" operator="equal">
      <formula>"Towel"</formula>
    </cfRule>
    <cfRule type="cellIs" dxfId="14014" priority="6006" stopIfTrue="1" operator="equal">
      <formula>"Napkin Hs"</formula>
    </cfRule>
  </conditionalFormatting>
  <conditionalFormatting sqref="C109">
    <cfRule type="cellIs" dxfId="14013" priority="6003" stopIfTrue="1" operator="equal">
      <formula>"Towel"</formula>
    </cfRule>
    <cfRule type="cellIs" dxfId="14012" priority="6004" stopIfTrue="1" operator="equal">
      <formula>"Napkin Hs"</formula>
    </cfRule>
  </conditionalFormatting>
  <conditionalFormatting sqref="C109">
    <cfRule type="cellIs" dxfId="14011" priority="6001" stopIfTrue="1" operator="equal">
      <formula>"Towel"</formula>
    </cfRule>
    <cfRule type="cellIs" dxfId="14010" priority="6002" stopIfTrue="1" operator="equal">
      <formula>"Napkin Hs"</formula>
    </cfRule>
  </conditionalFormatting>
  <conditionalFormatting sqref="B109:C109">
    <cfRule type="cellIs" dxfId="14009" priority="6000" stopIfTrue="1" operator="equal">
      <formula>"Napkin Hs"</formula>
    </cfRule>
  </conditionalFormatting>
  <conditionalFormatting sqref="B109:C109">
    <cfRule type="cellIs" dxfId="14008" priority="5999" stopIfTrue="1" operator="equal">
      <formula>"Towel"</formula>
    </cfRule>
  </conditionalFormatting>
  <conditionalFormatting sqref="C109">
    <cfRule type="cellIs" dxfId="14007" priority="5998" stopIfTrue="1" operator="equal">
      <formula>"Napkin Hs"</formula>
    </cfRule>
  </conditionalFormatting>
  <conditionalFormatting sqref="C109">
    <cfRule type="cellIs" dxfId="14006" priority="5995" stopIfTrue="1" operator="equal">
      <formula>"Towel"</formula>
    </cfRule>
    <cfRule type="cellIs" dxfId="14005" priority="5996" stopIfTrue="1" operator="equal">
      <formula>"Napkin Hs"</formula>
    </cfRule>
  </conditionalFormatting>
  <conditionalFormatting sqref="C109">
    <cfRule type="cellIs" dxfId="14004" priority="5997" stopIfTrue="1" operator="equal">
      <formula>"Towel"</formula>
    </cfRule>
  </conditionalFormatting>
  <conditionalFormatting sqref="B109:C109">
    <cfRule type="cellIs" dxfId="14003" priority="5994" stopIfTrue="1" operator="equal">
      <formula>"Napkin Hs"</formula>
    </cfRule>
  </conditionalFormatting>
  <conditionalFormatting sqref="B109:C109">
    <cfRule type="cellIs" dxfId="14002" priority="5993" stopIfTrue="1" operator="equal">
      <formula>"Towel"</formula>
    </cfRule>
  </conditionalFormatting>
  <conditionalFormatting sqref="C109">
    <cfRule type="cellIs" dxfId="14001" priority="5992" stopIfTrue="1" operator="equal">
      <formula>"Napkin Hs"</formula>
    </cfRule>
  </conditionalFormatting>
  <conditionalFormatting sqref="C109">
    <cfRule type="cellIs" dxfId="14000" priority="5989" stopIfTrue="1" operator="equal">
      <formula>"Towel"</formula>
    </cfRule>
    <cfRule type="cellIs" dxfId="13999" priority="5990" stopIfTrue="1" operator="equal">
      <formula>"Napkin Hs"</formula>
    </cfRule>
  </conditionalFormatting>
  <conditionalFormatting sqref="C109">
    <cfRule type="cellIs" dxfId="13998" priority="5991" stopIfTrue="1" operator="equal">
      <formula>"Towel"</formula>
    </cfRule>
  </conditionalFormatting>
  <conditionalFormatting sqref="B107:C108">
    <cfRule type="cellIs" dxfId="13997" priority="5981" stopIfTrue="1" operator="equal">
      <formula>"Towel"</formula>
    </cfRule>
    <cfRule type="cellIs" dxfId="13996" priority="5982" stopIfTrue="1" operator="equal">
      <formula>"Napkin Hs"</formula>
    </cfRule>
  </conditionalFormatting>
  <conditionalFormatting sqref="C107:C108">
    <cfRule type="cellIs" dxfId="13995" priority="5977" stopIfTrue="1" operator="equal">
      <formula>"Towel"</formula>
    </cfRule>
    <cfRule type="cellIs" dxfId="13994" priority="5978" stopIfTrue="1" operator="equal">
      <formula>"Napkin Hs"</formula>
    </cfRule>
  </conditionalFormatting>
  <conditionalFormatting sqref="C107:C108">
    <cfRule type="cellIs" dxfId="13993" priority="5979" stopIfTrue="1" operator="equal">
      <formula>"Towel"</formula>
    </cfRule>
    <cfRule type="cellIs" dxfId="13992" priority="5980" stopIfTrue="1" operator="equal">
      <formula>"Napkin Hs"</formula>
    </cfRule>
  </conditionalFormatting>
  <conditionalFormatting sqref="B107:C108">
    <cfRule type="cellIs" dxfId="13991" priority="5976" stopIfTrue="1" operator="equal">
      <formula>"Napkin Hs"</formula>
    </cfRule>
  </conditionalFormatting>
  <conditionalFormatting sqref="B107:C108">
    <cfRule type="cellIs" dxfId="13990" priority="5975" stopIfTrue="1" operator="equal">
      <formula>"Towel"</formula>
    </cfRule>
  </conditionalFormatting>
  <conditionalFormatting sqref="C107:C108">
    <cfRule type="cellIs" dxfId="13989" priority="5974" stopIfTrue="1" operator="equal">
      <formula>"Napkin Hs"</formula>
    </cfRule>
  </conditionalFormatting>
  <conditionalFormatting sqref="C107:C108">
    <cfRule type="cellIs" dxfId="13988" priority="5973" stopIfTrue="1" operator="equal">
      <formula>"Towel"</formula>
    </cfRule>
  </conditionalFormatting>
  <conditionalFormatting sqref="C107:C108">
    <cfRule type="cellIs" dxfId="13987" priority="5971" stopIfTrue="1" operator="equal">
      <formula>"Towel"</formula>
    </cfRule>
    <cfRule type="cellIs" dxfId="13986" priority="5972" stopIfTrue="1" operator="equal">
      <formula>"Napkin Hs"</formula>
    </cfRule>
  </conditionalFormatting>
  <conditionalFormatting sqref="B107:C108">
    <cfRule type="cellIs" dxfId="13985" priority="5969" stopIfTrue="1" operator="equal">
      <formula>"Towel"</formula>
    </cfRule>
    <cfRule type="cellIs" dxfId="13984" priority="5970" stopIfTrue="1" operator="equal">
      <formula>"Napkin Hs"</formula>
    </cfRule>
  </conditionalFormatting>
  <conditionalFormatting sqref="C107:C108">
    <cfRule type="cellIs" dxfId="13983" priority="5967" stopIfTrue="1" operator="equal">
      <formula>"Towel"</formula>
    </cfRule>
    <cfRule type="cellIs" dxfId="13982" priority="5968" stopIfTrue="1" operator="equal">
      <formula>"Napkin Hs"</formula>
    </cfRule>
  </conditionalFormatting>
  <conditionalFormatting sqref="C107:C108">
    <cfRule type="cellIs" dxfId="13981" priority="5965" stopIfTrue="1" operator="equal">
      <formula>"Towel"</formula>
    </cfRule>
    <cfRule type="cellIs" dxfId="13980" priority="5966" stopIfTrue="1" operator="equal">
      <formula>"Napkin Hs"</formula>
    </cfRule>
  </conditionalFormatting>
  <conditionalFormatting sqref="B107:C108">
    <cfRule type="cellIs" dxfId="13979" priority="5963" stopIfTrue="1" operator="equal">
      <formula>"Towel"</formula>
    </cfRule>
    <cfRule type="cellIs" dxfId="13978" priority="5964" stopIfTrue="1" operator="equal">
      <formula>"Napkin Hs"</formula>
    </cfRule>
  </conditionalFormatting>
  <conditionalFormatting sqref="C107:C108">
    <cfRule type="cellIs" dxfId="13977" priority="5961" stopIfTrue="1" operator="equal">
      <formula>"Towel"</formula>
    </cfRule>
    <cfRule type="cellIs" dxfId="13976" priority="5962" stopIfTrue="1" operator="equal">
      <formula>"Napkin Hs"</formula>
    </cfRule>
  </conditionalFormatting>
  <conditionalFormatting sqref="C107:C108">
    <cfRule type="cellIs" dxfId="13975" priority="5959" stopIfTrue="1" operator="equal">
      <formula>"Towel"</formula>
    </cfRule>
    <cfRule type="cellIs" dxfId="13974" priority="5960" stopIfTrue="1" operator="equal">
      <formula>"Napkin Hs"</formula>
    </cfRule>
  </conditionalFormatting>
  <conditionalFormatting sqref="B107:C108">
    <cfRule type="cellIs" dxfId="13973" priority="5957" stopIfTrue="1" operator="equal">
      <formula>"Towel"</formula>
    </cfRule>
    <cfRule type="cellIs" dxfId="13972" priority="5958" stopIfTrue="1" operator="equal">
      <formula>"Napkin Hs"</formula>
    </cfRule>
  </conditionalFormatting>
  <conditionalFormatting sqref="C107:C108">
    <cfRule type="cellIs" dxfId="13971" priority="5955" stopIfTrue="1" operator="equal">
      <formula>"Towel"</formula>
    </cfRule>
    <cfRule type="cellIs" dxfId="13970" priority="5956" stopIfTrue="1" operator="equal">
      <formula>"Napkin Hs"</formula>
    </cfRule>
  </conditionalFormatting>
  <conditionalFormatting sqref="C107:C108">
    <cfRule type="cellIs" dxfId="13969" priority="5953" stopIfTrue="1" operator="equal">
      <formula>"Towel"</formula>
    </cfRule>
    <cfRule type="cellIs" dxfId="13968" priority="5954" stopIfTrue="1" operator="equal">
      <formula>"Napkin Hs"</formula>
    </cfRule>
  </conditionalFormatting>
  <conditionalFormatting sqref="B107:C108">
    <cfRule type="cellIs" dxfId="13967" priority="5951" stopIfTrue="1" operator="equal">
      <formula>"Towel"</formula>
    </cfRule>
    <cfRule type="cellIs" dxfId="13966" priority="5952" stopIfTrue="1" operator="equal">
      <formula>"Napkin Hs"</formula>
    </cfRule>
  </conditionalFormatting>
  <conditionalFormatting sqref="C107:C108">
    <cfRule type="cellIs" dxfId="13965" priority="5949" stopIfTrue="1" operator="equal">
      <formula>"Towel"</formula>
    </cfRule>
    <cfRule type="cellIs" dxfId="13964" priority="5950" stopIfTrue="1" operator="equal">
      <formula>"Napkin Hs"</formula>
    </cfRule>
  </conditionalFormatting>
  <conditionalFormatting sqref="C107:C108">
    <cfRule type="cellIs" dxfId="13963" priority="5947" stopIfTrue="1" operator="equal">
      <formula>"Towel"</formula>
    </cfRule>
    <cfRule type="cellIs" dxfId="13962" priority="5948" stopIfTrue="1" operator="equal">
      <formula>"Napkin Hs"</formula>
    </cfRule>
  </conditionalFormatting>
  <conditionalFormatting sqref="B107:C108">
    <cfRule type="cellIs" dxfId="13961" priority="5945" stopIfTrue="1" operator="equal">
      <formula>"Towel"</formula>
    </cfRule>
    <cfRule type="cellIs" dxfId="13960" priority="5946" stopIfTrue="1" operator="equal">
      <formula>"Napkin Hs"</formula>
    </cfRule>
  </conditionalFormatting>
  <conditionalFormatting sqref="C107:C108">
    <cfRule type="cellIs" dxfId="13959" priority="5943" stopIfTrue="1" operator="equal">
      <formula>"Towel"</formula>
    </cfRule>
    <cfRule type="cellIs" dxfId="13958" priority="5944" stopIfTrue="1" operator="equal">
      <formula>"Napkin Hs"</formula>
    </cfRule>
  </conditionalFormatting>
  <conditionalFormatting sqref="C107:C108">
    <cfRule type="cellIs" dxfId="13957" priority="5941" stopIfTrue="1" operator="equal">
      <formula>"Towel"</formula>
    </cfRule>
    <cfRule type="cellIs" dxfId="13956" priority="5942" stopIfTrue="1" operator="equal">
      <formula>"Napkin Hs"</formula>
    </cfRule>
  </conditionalFormatting>
  <conditionalFormatting sqref="B107:C108">
    <cfRule type="cellIs" dxfId="13955" priority="5940" stopIfTrue="1" operator="equal">
      <formula>"Napkin Hs"</formula>
    </cfRule>
  </conditionalFormatting>
  <conditionalFormatting sqref="B107:C108">
    <cfRule type="cellIs" dxfId="13954" priority="5939" stopIfTrue="1" operator="equal">
      <formula>"Towel"</formula>
    </cfRule>
  </conditionalFormatting>
  <conditionalFormatting sqref="C107:C108">
    <cfRule type="cellIs" dxfId="13953" priority="5938" stopIfTrue="1" operator="equal">
      <formula>"Napkin Hs"</formula>
    </cfRule>
  </conditionalFormatting>
  <conditionalFormatting sqref="C107:C108">
    <cfRule type="cellIs" dxfId="13952" priority="5935" stopIfTrue="1" operator="equal">
      <formula>"Towel"</formula>
    </cfRule>
    <cfRule type="cellIs" dxfId="13951" priority="5936" stopIfTrue="1" operator="equal">
      <formula>"Napkin Hs"</formula>
    </cfRule>
  </conditionalFormatting>
  <conditionalFormatting sqref="C107:C108">
    <cfRule type="cellIs" dxfId="13950" priority="5937" stopIfTrue="1" operator="equal">
      <formula>"Towel"</formula>
    </cfRule>
  </conditionalFormatting>
  <conditionalFormatting sqref="B107:C108">
    <cfRule type="cellIs" dxfId="13949" priority="5934" stopIfTrue="1" operator="equal">
      <formula>"Napkin Hs"</formula>
    </cfRule>
  </conditionalFormatting>
  <conditionalFormatting sqref="B107:C108">
    <cfRule type="cellIs" dxfId="13948" priority="5933" stopIfTrue="1" operator="equal">
      <formula>"Towel"</formula>
    </cfRule>
  </conditionalFormatting>
  <conditionalFormatting sqref="C107:C108">
    <cfRule type="cellIs" dxfId="13947" priority="5932" stopIfTrue="1" operator="equal">
      <formula>"Napkin Hs"</formula>
    </cfRule>
  </conditionalFormatting>
  <conditionalFormatting sqref="C107:C108">
    <cfRule type="cellIs" dxfId="13946" priority="5931" stopIfTrue="1" operator="equal">
      <formula>"Towel"</formula>
    </cfRule>
  </conditionalFormatting>
  <conditionalFormatting sqref="C107:C108">
    <cfRule type="cellIs" dxfId="13945" priority="5929" stopIfTrue="1" operator="equal">
      <formula>"Towel"</formula>
    </cfRule>
    <cfRule type="cellIs" dxfId="13944" priority="5930" stopIfTrue="1" operator="equal">
      <formula>"Napkin Hs"</formula>
    </cfRule>
  </conditionalFormatting>
  <conditionalFormatting sqref="C107:C108">
    <cfRule type="cellIs" dxfId="13943" priority="5923" stopIfTrue="1" operator="equal">
      <formula>"Towel"</formula>
    </cfRule>
    <cfRule type="cellIs" dxfId="13942" priority="5924" stopIfTrue="1" operator="equal">
      <formula>"Napkin Hs"</formula>
    </cfRule>
  </conditionalFormatting>
  <conditionalFormatting sqref="B107:C108">
    <cfRule type="cellIs" dxfId="13941" priority="5922" stopIfTrue="1" operator="equal">
      <formula>"Napkin Hs"</formula>
    </cfRule>
  </conditionalFormatting>
  <conditionalFormatting sqref="B107:C108">
    <cfRule type="cellIs" dxfId="13940" priority="5921" stopIfTrue="1" operator="equal">
      <formula>"Towel"</formula>
    </cfRule>
  </conditionalFormatting>
  <conditionalFormatting sqref="C107:C108">
    <cfRule type="cellIs" dxfId="13939" priority="5920" stopIfTrue="1" operator="equal">
      <formula>"Napkin Hs"</formula>
    </cfRule>
  </conditionalFormatting>
  <conditionalFormatting sqref="C107:C108">
    <cfRule type="cellIs" dxfId="13938" priority="5919" stopIfTrue="1" operator="equal">
      <formula>"Towel"</formula>
    </cfRule>
  </conditionalFormatting>
  <conditionalFormatting sqref="C107:C108">
    <cfRule type="cellIs" dxfId="13937" priority="5917" stopIfTrue="1" operator="equal">
      <formula>"Towel"</formula>
    </cfRule>
    <cfRule type="cellIs" dxfId="13936" priority="5918" stopIfTrue="1" operator="equal">
      <formula>"Napkin Hs"</formula>
    </cfRule>
  </conditionalFormatting>
  <conditionalFormatting sqref="C107:C108">
    <cfRule type="cellIs" dxfId="13935" priority="5911" stopIfTrue="1" operator="equal">
      <formula>"Towel"</formula>
    </cfRule>
    <cfRule type="cellIs" dxfId="13934" priority="5912" stopIfTrue="1" operator="equal">
      <formula>"Napkin Hs"</formula>
    </cfRule>
  </conditionalFormatting>
  <conditionalFormatting sqref="C107:C108">
    <cfRule type="cellIs" dxfId="13933" priority="5905" stopIfTrue="1" operator="equal">
      <formula>"Towel"</formula>
    </cfRule>
    <cfRule type="cellIs" dxfId="13932" priority="5906" stopIfTrue="1" operator="equal">
      <formula>"Napkin Hs"</formula>
    </cfRule>
  </conditionalFormatting>
  <conditionalFormatting sqref="C107:C108">
    <cfRule type="cellIs" dxfId="13931" priority="5899" stopIfTrue="1" operator="equal">
      <formula>"Towel"</formula>
    </cfRule>
    <cfRule type="cellIs" dxfId="13930" priority="5900" stopIfTrue="1" operator="equal">
      <formula>"Napkin Hs"</formula>
    </cfRule>
  </conditionalFormatting>
  <conditionalFormatting sqref="C107:C108">
    <cfRule type="cellIs" dxfId="13929" priority="5893" stopIfTrue="1" operator="equal">
      <formula>"Towel"</formula>
    </cfRule>
    <cfRule type="cellIs" dxfId="13928" priority="5894" stopIfTrue="1" operator="equal">
      <formula>"Napkin Hs"</formula>
    </cfRule>
  </conditionalFormatting>
  <conditionalFormatting sqref="C107:C108">
    <cfRule type="cellIs" dxfId="13927" priority="5887" stopIfTrue="1" operator="equal">
      <formula>"Towel"</formula>
    </cfRule>
    <cfRule type="cellIs" dxfId="13926" priority="5888" stopIfTrue="1" operator="equal">
      <formula>"Napkin Hs"</formula>
    </cfRule>
  </conditionalFormatting>
  <conditionalFormatting sqref="B107:C108">
    <cfRule type="cellIs" dxfId="13925" priority="5886" stopIfTrue="1" operator="equal">
      <formula>"Napkin Hs"</formula>
    </cfRule>
  </conditionalFormatting>
  <conditionalFormatting sqref="B107:C108">
    <cfRule type="cellIs" dxfId="13924" priority="5885" stopIfTrue="1" operator="equal">
      <formula>"Towel"</formula>
    </cfRule>
  </conditionalFormatting>
  <conditionalFormatting sqref="C107:C108">
    <cfRule type="cellIs" dxfId="13923" priority="5884" stopIfTrue="1" operator="equal">
      <formula>"Napkin Hs"</formula>
    </cfRule>
  </conditionalFormatting>
  <conditionalFormatting sqref="C107:C108">
    <cfRule type="cellIs" dxfId="13922" priority="5881" stopIfTrue="1" operator="equal">
      <formula>"Towel"</formula>
    </cfRule>
    <cfRule type="cellIs" dxfId="13921" priority="5882" stopIfTrue="1" operator="equal">
      <formula>"Napkin Hs"</formula>
    </cfRule>
  </conditionalFormatting>
  <conditionalFormatting sqref="C107:C108">
    <cfRule type="cellIs" dxfId="13920" priority="5883" stopIfTrue="1" operator="equal">
      <formula>"Towel"</formula>
    </cfRule>
  </conditionalFormatting>
  <conditionalFormatting sqref="B107:C108">
    <cfRule type="cellIs" dxfId="13919" priority="5880" stopIfTrue="1" operator="equal">
      <formula>"Napkin Hs"</formula>
    </cfRule>
  </conditionalFormatting>
  <conditionalFormatting sqref="B107:C108">
    <cfRule type="cellIs" dxfId="13918" priority="5879" stopIfTrue="1" operator="equal">
      <formula>"Towel"</formula>
    </cfRule>
  </conditionalFormatting>
  <conditionalFormatting sqref="C107:C108">
    <cfRule type="cellIs" dxfId="13917" priority="5878" stopIfTrue="1" operator="equal">
      <formula>"Napkin Hs"</formula>
    </cfRule>
  </conditionalFormatting>
  <conditionalFormatting sqref="C107:C108">
    <cfRule type="cellIs" dxfId="13916" priority="5875" stopIfTrue="1" operator="equal">
      <formula>"Towel"</formula>
    </cfRule>
    <cfRule type="cellIs" dxfId="13915" priority="5876" stopIfTrue="1" operator="equal">
      <formula>"Napkin Hs"</formula>
    </cfRule>
  </conditionalFormatting>
  <conditionalFormatting sqref="C107:C108">
    <cfRule type="cellIs" dxfId="13914" priority="5877" stopIfTrue="1" operator="equal">
      <formula>"Towel"</formula>
    </cfRule>
  </conditionalFormatting>
  <conditionalFormatting sqref="B107:C108">
    <cfRule type="cellIs" dxfId="13913" priority="5927" stopIfTrue="1" operator="equal">
      <formula>"Towel"</formula>
    </cfRule>
    <cfRule type="cellIs" dxfId="13912" priority="5928" stopIfTrue="1" operator="equal">
      <formula>"Napkin Hs"</formula>
    </cfRule>
  </conditionalFormatting>
  <conditionalFormatting sqref="C107:C108">
    <cfRule type="cellIs" dxfId="13911" priority="5925" stopIfTrue="1" operator="equal">
      <formula>"Towel"</formula>
    </cfRule>
    <cfRule type="cellIs" dxfId="13910" priority="5926" stopIfTrue="1" operator="equal">
      <formula>"Napkin Hs"</formula>
    </cfRule>
  </conditionalFormatting>
  <conditionalFormatting sqref="B107:C108">
    <cfRule type="cellIs" dxfId="13909" priority="5915" stopIfTrue="1" operator="equal">
      <formula>"Towel"</formula>
    </cfRule>
    <cfRule type="cellIs" dxfId="13908" priority="5916" stopIfTrue="1" operator="equal">
      <formula>"Napkin Hs"</formula>
    </cfRule>
  </conditionalFormatting>
  <conditionalFormatting sqref="C107:C108">
    <cfRule type="cellIs" dxfId="13907" priority="5913" stopIfTrue="1" operator="equal">
      <formula>"Towel"</formula>
    </cfRule>
    <cfRule type="cellIs" dxfId="13906" priority="5914" stopIfTrue="1" operator="equal">
      <formula>"Napkin Hs"</formula>
    </cfRule>
  </conditionalFormatting>
  <conditionalFormatting sqref="B107:C108">
    <cfRule type="cellIs" dxfId="13905" priority="5909" stopIfTrue="1" operator="equal">
      <formula>"Towel"</formula>
    </cfRule>
    <cfRule type="cellIs" dxfId="13904" priority="5910" stopIfTrue="1" operator="equal">
      <formula>"Napkin Hs"</formula>
    </cfRule>
  </conditionalFormatting>
  <conditionalFormatting sqref="C107:C108">
    <cfRule type="cellIs" dxfId="13903" priority="5907" stopIfTrue="1" operator="equal">
      <formula>"Towel"</formula>
    </cfRule>
    <cfRule type="cellIs" dxfId="13902" priority="5908" stopIfTrue="1" operator="equal">
      <formula>"Napkin Hs"</formula>
    </cfRule>
  </conditionalFormatting>
  <conditionalFormatting sqref="B107:C108">
    <cfRule type="cellIs" dxfId="13901" priority="5903" stopIfTrue="1" operator="equal">
      <formula>"Towel"</formula>
    </cfRule>
    <cfRule type="cellIs" dxfId="13900" priority="5904" stopIfTrue="1" operator="equal">
      <formula>"Napkin Hs"</formula>
    </cfRule>
  </conditionalFormatting>
  <conditionalFormatting sqref="C107:C108">
    <cfRule type="cellIs" dxfId="13899" priority="5901" stopIfTrue="1" operator="equal">
      <formula>"Towel"</formula>
    </cfRule>
    <cfRule type="cellIs" dxfId="13898" priority="5902" stopIfTrue="1" operator="equal">
      <formula>"Napkin Hs"</formula>
    </cfRule>
  </conditionalFormatting>
  <conditionalFormatting sqref="B107:C108">
    <cfRule type="cellIs" dxfId="13897" priority="5897" stopIfTrue="1" operator="equal">
      <formula>"Towel"</formula>
    </cfRule>
    <cfRule type="cellIs" dxfId="13896" priority="5898" stopIfTrue="1" operator="equal">
      <formula>"Napkin Hs"</formula>
    </cfRule>
  </conditionalFormatting>
  <conditionalFormatting sqref="C107:C108">
    <cfRule type="cellIs" dxfId="13895" priority="5895" stopIfTrue="1" operator="equal">
      <formula>"Towel"</formula>
    </cfRule>
    <cfRule type="cellIs" dxfId="13894" priority="5896" stopIfTrue="1" operator="equal">
      <formula>"Napkin Hs"</formula>
    </cfRule>
  </conditionalFormatting>
  <conditionalFormatting sqref="B107:C108">
    <cfRule type="cellIs" dxfId="13893" priority="5891" stopIfTrue="1" operator="equal">
      <formula>"Towel"</formula>
    </cfRule>
    <cfRule type="cellIs" dxfId="13892" priority="5892" stopIfTrue="1" operator="equal">
      <formula>"Napkin Hs"</formula>
    </cfRule>
  </conditionalFormatting>
  <conditionalFormatting sqref="C107:C108">
    <cfRule type="cellIs" dxfId="13891" priority="5889" stopIfTrue="1" operator="equal">
      <formula>"Towel"</formula>
    </cfRule>
    <cfRule type="cellIs" dxfId="13890" priority="5890" stopIfTrue="1" operator="equal">
      <formula>"Napkin Hs"</formula>
    </cfRule>
  </conditionalFormatting>
  <conditionalFormatting sqref="B107:C108">
    <cfRule type="cellIs" dxfId="13889" priority="5874" stopIfTrue="1" operator="equal">
      <formula>"Napkin Hs"</formula>
    </cfRule>
  </conditionalFormatting>
  <conditionalFormatting sqref="B107:C108">
    <cfRule type="cellIs" dxfId="13888" priority="5873" stopIfTrue="1" operator="equal">
      <formula>"Towel"</formula>
    </cfRule>
  </conditionalFormatting>
  <conditionalFormatting sqref="C107:C108">
    <cfRule type="cellIs" dxfId="13887" priority="5872" stopIfTrue="1" operator="equal">
      <formula>"Napkin Hs"</formula>
    </cfRule>
  </conditionalFormatting>
  <conditionalFormatting sqref="C107:C108">
    <cfRule type="cellIs" dxfId="13886" priority="5869" stopIfTrue="1" operator="equal">
      <formula>"Towel"</formula>
    </cfRule>
    <cfRule type="cellIs" dxfId="13885" priority="5870" stopIfTrue="1" operator="equal">
      <formula>"Napkin Hs"</formula>
    </cfRule>
  </conditionalFormatting>
  <conditionalFormatting sqref="C107:C108">
    <cfRule type="cellIs" dxfId="13884" priority="5871" stopIfTrue="1" operator="equal">
      <formula>"Towel"</formula>
    </cfRule>
  </conditionalFormatting>
  <conditionalFormatting sqref="B114:C114">
    <cfRule type="cellIs" dxfId="13883" priority="5868" stopIfTrue="1" operator="equal">
      <formula>"Napkin Hs"</formula>
    </cfRule>
  </conditionalFormatting>
  <conditionalFormatting sqref="B114:C114">
    <cfRule type="cellIs" dxfId="13882" priority="5867" stopIfTrue="1" operator="equal">
      <formula>"Towel"</formula>
    </cfRule>
  </conditionalFormatting>
  <conditionalFormatting sqref="C114">
    <cfRule type="cellIs" dxfId="13881" priority="5866" stopIfTrue="1" operator="equal">
      <formula>"Napkin Hs"</formula>
    </cfRule>
  </conditionalFormatting>
  <conditionalFormatting sqref="C114">
    <cfRule type="cellIs" dxfId="13880" priority="5865" stopIfTrue="1" operator="equal">
      <formula>"Towel"</formula>
    </cfRule>
  </conditionalFormatting>
  <conditionalFormatting sqref="C114">
    <cfRule type="cellIs" dxfId="13879" priority="5863" stopIfTrue="1" operator="equal">
      <formula>"Towel"</formula>
    </cfRule>
    <cfRule type="cellIs" dxfId="13878" priority="5864" stopIfTrue="1" operator="equal">
      <formula>"Napkin Hs"</formula>
    </cfRule>
  </conditionalFormatting>
  <conditionalFormatting sqref="B114:C114">
    <cfRule type="cellIs" dxfId="13877" priority="5861" stopIfTrue="1" operator="equal">
      <formula>"Towel"</formula>
    </cfRule>
    <cfRule type="cellIs" dxfId="13876" priority="5862" stopIfTrue="1" operator="equal">
      <formula>"Napkin Hs"</formula>
    </cfRule>
  </conditionalFormatting>
  <conditionalFormatting sqref="C114">
    <cfRule type="cellIs" dxfId="13875" priority="5857" stopIfTrue="1" operator="equal">
      <formula>"Towel"</formula>
    </cfRule>
    <cfRule type="cellIs" dxfId="13874" priority="5858" stopIfTrue="1" operator="equal">
      <formula>"Napkin Hs"</formula>
    </cfRule>
  </conditionalFormatting>
  <conditionalFormatting sqref="C114">
    <cfRule type="cellIs" dxfId="13873" priority="5859" stopIfTrue="1" operator="equal">
      <formula>"Towel"</formula>
    </cfRule>
    <cfRule type="cellIs" dxfId="13872" priority="5860" stopIfTrue="1" operator="equal">
      <formula>"Napkin Hs"</formula>
    </cfRule>
  </conditionalFormatting>
  <conditionalFormatting sqref="B114:C114">
    <cfRule type="cellIs" dxfId="13871" priority="5856" stopIfTrue="1" operator="equal">
      <formula>"Napkin Hs"</formula>
    </cfRule>
  </conditionalFormatting>
  <conditionalFormatting sqref="B114:C114">
    <cfRule type="cellIs" dxfId="13870" priority="5855" stopIfTrue="1" operator="equal">
      <formula>"Towel"</formula>
    </cfRule>
  </conditionalFormatting>
  <conditionalFormatting sqref="C114">
    <cfRule type="cellIs" dxfId="13869" priority="5854" stopIfTrue="1" operator="equal">
      <formula>"Napkin Hs"</formula>
    </cfRule>
  </conditionalFormatting>
  <conditionalFormatting sqref="C114">
    <cfRule type="cellIs" dxfId="13868" priority="5853" stopIfTrue="1" operator="equal">
      <formula>"Towel"</formula>
    </cfRule>
  </conditionalFormatting>
  <conditionalFormatting sqref="C114">
    <cfRule type="cellIs" dxfId="13867" priority="5851" stopIfTrue="1" operator="equal">
      <formula>"Towel"</formula>
    </cfRule>
    <cfRule type="cellIs" dxfId="13866" priority="5852" stopIfTrue="1" operator="equal">
      <formula>"Napkin Hs"</formula>
    </cfRule>
  </conditionalFormatting>
  <conditionalFormatting sqref="B114:C114">
    <cfRule type="cellIs" dxfId="13865" priority="5849" stopIfTrue="1" operator="equal">
      <formula>"Towel"</formula>
    </cfRule>
    <cfRule type="cellIs" dxfId="13864" priority="5850" stopIfTrue="1" operator="equal">
      <formula>"Napkin Hs"</formula>
    </cfRule>
  </conditionalFormatting>
  <conditionalFormatting sqref="C114">
    <cfRule type="cellIs" dxfId="13863" priority="5847" stopIfTrue="1" operator="equal">
      <formula>"Towel"</formula>
    </cfRule>
    <cfRule type="cellIs" dxfId="13862" priority="5848" stopIfTrue="1" operator="equal">
      <formula>"Napkin Hs"</formula>
    </cfRule>
  </conditionalFormatting>
  <conditionalFormatting sqref="C114">
    <cfRule type="cellIs" dxfId="13861" priority="5845" stopIfTrue="1" operator="equal">
      <formula>"Towel"</formula>
    </cfRule>
    <cfRule type="cellIs" dxfId="13860" priority="5846" stopIfTrue="1" operator="equal">
      <formula>"Napkin Hs"</formula>
    </cfRule>
  </conditionalFormatting>
  <conditionalFormatting sqref="B114:C114">
    <cfRule type="cellIs" dxfId="13859" priority="5843" stopIfTrue="1" operator="equal">
      <formula>"Towel"</formula>
    </cfRule>
    <cfRule type="cellIs" dxfId="13858" priority="5844" stopIfTrue="1" operator="equal">
      <formula>"Napkin Hs"</formula>
    </cfRule>
  </conditionalFormatting>
  <conditionalFormatting sqref="C114">
    <cfRule type="cellIs" dxfId="13857" priority="5841" stopIfTrue="1" operator="equal">
      <formula>"Towel"</formula>
    </cfRule>
    <cfRule type="cellIs" dxfId="13856" priority="5842" stopIfTrue="1" operator="equal">
      <formula>"Napkin Hs"</formula>
    </cfRule>
  </conditionalFormatting>
  <conditionalFormatting sqref="C114">
    <cfRule type="cellIs" dxfId="13855" priority="5839" stopIfTrue="1" operator="equal">
      <formula>"Towel"</formula>
    </cfRule>
    <cfRule type="cellIs" dxfId="13854" priority="5840" stopIfTrue="1" operator="equal">
      <formula>"Napkin Hs"</formula>
    </cfRule>
  </conditionalFormatting>
  <conditionalFormatting sqref="B114:C114">
    <cfRule type="cellIs" dxfId="13853" priority="5837" stopIfTrue="1" operator="equal">
      <formula>"Towel"</formula>
    </cfRule>
    <cfRule type="cellIs" dxfId="13852" priority="5838" stopIfTrue="1" operator="equal">
      <formula>"Napkin Hs"</formula>
    </cfRule>
  </conditionalFormatting>
  <conditionalFormatting sqref="C114">
    <cfRule type="cellIs" dxfId="13851" priority="5835" stopIfTrue="1" operator="equal">
      <formula>"Towel"</formula>
    </cfRule>
    <cfRule type="cellIs" dxfId="13850" priority="5836" stopIfTrue="1" operator="equal">
      <formula>"Napkin Hs"</formula>
    </cfRule>
  </conditionalFormatting>
  <conditionalFormatting sqref="C114">
    <cfRule type="cellIs" dxfId="13849" priority="5833" stopIfTrue="1" operator="equal">
      <formula>"Towel"</formula>
    </cfRule>
    <cfRule type="cellIs" dxfId="13848" priority="5834" stopIfTrue="1" operator="equal">
      <formula>"Napkin Hs"</formula>
    </cfRule>
  </conditionalFormatting>
  <conditionalFormatting sqref="B114:C114">
    <cfRule type="cellIs" dxfId="13847" priority="5831" stopIfTrue="1" operator="equal">
      <formula>"Towel"</formula>
    </cfRule>
    <cfRule type="cellIs" dxfId="13846" priority="5832" stopIfTrue="1" operator="equal">
      <formula>"Napkin Hs"</formula>
    </cfRule>
  </conditionalFormatting>
  <conditionalFormatting sqref="C114">
    <cfRule type="cellIs" dxfId="13845" priority="5829" stopIfTrue="1" operator="equal">
      <formula>"Towel"</formula>
    </cfRule>
    <cfRule type="cellIs" dxfId="13844" priority="5830" stopIfTrue="1" operator="equal">
      <formula>"Napkin Hs"</formula>
    </cfRule>
  </conditionalFormatting>
  <conditionalFormatting sqref="C114">
    <cfRule type="cellIs" dxfId="13843" priority="5827" stopIfTrue="1" operator="equal">
      <formula>"Towel"</formula>
    </cfRule>
    <cfRule type="cellIs" dxfId="13842" priority="5828" stopIfTrue="1" operator="equal">
      <formula>"Napkin Hs"</formula>
    </cfRule>
  </conditionalFormatting>
  <conditionalFormatting sqref="B114:C114">
    <cfRule type="cellIs" dxfId="13841" priority="5825" stopIfTrue="1" operator="equal">
      <formula>"Towel"</formula>
    </cfRule>
    <cfRule type="cellIs" dxfId="13840" priority="5826" stopIfTrue="1" operator="equal">
      <formula>"Napkin Hs"</formula>
    </cfRule>
  </conditionalFormatting>
  <conditionalFormatting sqref="C114">
    <cfRule type="cellIs" dxfId="13839" priority="5823" stopIfTrue="1" operator="equal">
      <formula>"Towel"</formula>
    </cfRule>
    <cfRule type="cellIs" dxfId="13838" priority="5824" stopIfTrue="1" operator="equal">
      <formula>"Napkin Hs"</formula>
    </cfRule>
  </conditionalFormatting>
  <conditionalFormatting sqref="C114">
    <cfRule type="cellIs" dxfId="13837" priority="5821" stopIfTrue="1" operator="equal">
      <formula>"Towel"</formula>
    </cfRule>
    <cfRule type="cellIs" dxfId="13836" priority="5822" stopIfTrue="1" operator="equal">
      <formula>"Napkin Hs"</formula>
    </cfRule>
  </conditionalFormatting>
  <conditionalFormatting sqref="B114:C114">
    <cfRule type="cellIs" dxfId="13835" priority="5820" stopIfTrue="1" operator="equal">
      <formula>"Napkin Hs"</formula>
    </cfRule>
  </conditionalFormatting>
  <conditionalFormatting sqref="B114:C114">
    <cfRule type="cellIs" dxfId="13834" priority="5819" stopIfTrue="1" operator="equal">
      <formula>"Towel"</formula>
    </cfRule>
  </conditionalFormatting>
  <conditionalFormatting sqref="C114">
    <cfRule type="cellIs" dxfId="13833" priority="5818" stopIfTrue="1" operator="equal">
      <formula>"Napkin Hs"</formula>
    </cfRule>
  </conditionalFormatting>
  <conditionalFormatting sqref="C114">
    <cfRule type="cellIs" dxfId="13832" priority="5815" stopIfTrue="1" operator="equal">
      <formula>"Towel"</formula>
    </cfRule>
    <cfRule type="cellIs" dxfId="13831" priority="5816" stopIfTrue="1" operator="equal">
      <formula>"Napkin Hs"</formula>
    </cfRule>
  </conditionalFormatting>
  <conditionalFormatting sqref="C114">
    <cfRule type="cellIs" dxfId="13830" priority="5817" stopIfTrue="1" operator="equal">
      <formula>"Towel"</formula>
    </cfRule>
  </conditionalFormatting>
  <conditionalFormatting sqref="B112:C112">
    <cfRule type="cellIs" dxfId="13829" priority="5811" stopIfTrue="1" operator="equal">
      <formula>"Towel"</formula>
    </cfRule>
    <cfRule type="cellIs" dxfId="13828" priority="5812" stopIfTrue="1" operator="equal">
      <formula>"Napkin Hs"</formula>
    </cfRule>
  </conditionalFormatting>
  <conditionalFormatting sqref="C112">
    <cfRule type="cellIs" dxfId="13827" priority="5813" stopIfTrue="1" operator="equal">
      <formula>"Towel"</formula>
    </cfRule>
    <cfRule type="cellIs" dxfId="13826" priority="5814" stopIfTrue="1" operator="equal">
      <formula>"Napkin Hs"</formula>
    </cfRule>
  </conditionalFormatting>
  <conditionalFormatting sqref="C112">
    <cfRule type="cellIs" dxfId="13825" priority="5809" stopIfTrue="1" operator="equal">
      <formula>"Towel"</formula>
    </cfRule>
    <cfRule type="cellIs" dxfId="13824" priority="5810" stopIfTrue="1" operator="equal">
      <formula>"Napkin Hs"</formula>
    </cfRule>
  </conditionalFormatting>
  <conditionalFormatting sqref="B112:C112">
    <cfRule type="cellIs" dxfId="13823" priority="5808" stopIfTrue="1" operator="equal">
      <formula>"Napkin Hs"</formula>
    </cfRule>
  </conditionalFormatting>
  <conditionalFormatting sqref="B112:C112">
    <cfRule type="cellIs" dxfId="13822" priority="5807" stopIfTrue="1" operator="equal">
      <formula>"Towel"</formula>
    </cfRule>
  </conditionalFormatting>
  <conditionalFormatting sqref="C112">
    <cfRule type="cellIs" dxfId="13821" priority="5806" stopIfTrue="1" operator="equal">
      <formula>"Napkin Hs"</formula>
    </cfRule>
  </conditionalFormatting>
  <conditionalFormatting sqref="C112">
    <cfRule type="cellIs" dxfId="13820" priority="5805" stopIfTrue="1" operator="equal">
      <formula>"Towel"</formula>
    </cfRule>
  </conditionalFormatting>
  <conditionalFormatting sqref="C112">
    <cfRule type="cellIs" dxfId="13819" priority="5803" stopIfTrue="1" operator="equal">
      <formula>"Towel"</formula>
    </cfRule>
    <cfRule type="cellIs" dxfId="13818" priority="5804" stopIfTrue="1" operator="equal">
      <formula>"Napkin Hs"</formula>
    </cfRule>
  </conditionalFormatting>
  <conditionalFormatting sqref="B113">
    <cfRule type="cellIs" dxfId="13817" priority="5802" stopIfTrue="1" operator="equal">
      <formula>"Napkin Hs"</formula>
    </cfRule>
  </conditionalFormatting>
  <conditionalFormatting sqref="B113">
    <cfRule type="cellIs" dxfId="13816" priority="5801" stopIfTrue="1" operator="equal">
      <formula>"Towel"</formula>
    </cfRule>
  </conditionalFormatting>
  <conditionalFormatting sqref="B113">
    <cfRule type="cellIs" dxfId="13815" priority="5799" stopIfTrue="1" operator="equal">
      <formula>"Towel"</formula>
    </cfRule>
    <cfRule type="cellIs" dxfId="13814" priority="5800" stopIfTrue="1" operator="equal">
      <formula>"Napkin Hs"</formula>
    </cfRule>
  </conditionalFormatting>
  <conditionalFormatting sqref="B113">
    <cfRule type="cellIs" dxfId="13813" priority="5798" stopIfTrue="1" operator="equal">
      <formula>"Napkin Hs"</formula>
    </cfRule>
  </conditionalFormatting>
  <conditionalFormatting sqref="B113">
    <cfRule type="cellIs" dxfId="13812" priority="5797" stopIfTrue="1" operator="equal">
      <formula>"Towel"</formula>
    </cfRule>
  </conditionalFormatting>
  <conditionalFormatting sqref="B113">
    <cfRule type="cellIs" dxfId="13811" priority="5795" stopIfTrue="1" operator="equal">
      <formula>"Towel"</formula>
    </cfRule>
    <cfRule type="cellIs" dxfId="13810" priority="5796" stopIfTrue="1" operator="equal">
      <formula>"Napkin Hs"</formula>
    </cfRule>
  </conditionalFormatting>
  <conditionalFormatting sqref="B113">
    <cfRule type="cellIs" dxfId="13809" priority="5793" stopIfTrue="1" operator="equal">
      <formula>"Towel"</formula>
    </cfRule>
    <cfRule type="cellIs" dxfId="13808" priority="5794" stopIfTrue="1" operator="equal">
      <formula>"Napkin Hs"</formula>
    </cfRule>
  </conditionalFormatting>
  <conditionalFormatting sqref="B113">
    <cfRule type="cellIs" dxfId="13807" priority="5791" stopIfTrue="1" operator="equal">
      <formula>"Towel"</formula>
    </cfRule>
    <cfRule type="cellIs" dxfId="13806" priority="5792" stopIfTrue="1" operator="equal">
      <formula>"Napkin Hs"</formula>
    </cfRule>
  </conditionalFormatting>
  <conditionalFormatting sqref="B113">
    <cfRule type="cellIs" dxfId="13805" priority="5789" stopIfTrue="1" operator="equal">
      <formula>"Towel"</formula>
    </cfRule>
    <cfRule type="cellIs" dxfId="13804" priority="5790" stopIfTrue="1" operator="equal">
      <formula>"Napkin Hs"</formula>
    </cfRule>
  </conditionalFormatting>
  <conditionalFormatting sqref="B113">
    <cfRule type="cellIs" dxfId="13803" priority="5787" stopIfTrue="1" operator="equal">
      <formula>"Towel"</formula>
    </cfRule>
    <cfRule type="cellIs" dxfId="13802" priority="5788" stopIfTrue="1" operator="equal">
      <formula>"Napkin Hs"</formula>
    </cfRule>
  </conditionalFormatting>
  <conditionalFormatting sqref="B113">
    <cfRule type="cellIs" dxfId="13801" priority="5786" stopIfTrue="1" operator="equal">
      <formula>"Napkin Hs"</formula>
    </cfRule>
  </conditionalFormatting>
  <conditionalFormatting sqref="B113">
    <cfRule type="cellIs" dxfId="13800" priority="5785" stopIfTrue="1" operator="equal">
      <formula>"Towel"</formula>
    </cfRule>
  </conditionalFormatting>
  <conditionalFormatting sqref="C113">
    <cfRule type="cellIs" dxfId="13799" priority="5784" stopIfTrue="1" operator="equal">
      <formula>"Napkin Hs"</formula>
    </cfRule>
  </conditionalFormatting>
  <conditionalFormatting sqref="C113">
    <cfRule type="cellIs" dxfId="13798" priority="5783" stopIfTrue="1" operator="equal">
      <formula>"Towel"</formula>
    </cfRule>
  </conditionalFormatting>
  <conditionalFormatting sqref="C113">
    <cfRule type="cellIs" dxfId="13797" priority="5782" stopIfTrue="1" operator="equal">
      <formula>"Napkin Hs"</formula>
    </cfRule>
  </conditionalFormatting>
  <conditionalFormatting sqref="C113">
    <cfRule type="cellIs" dxfId="13796" priority="5781" stopIfTrue="1" operator="equal">
      <formula>"Towel"</formula>
    </cfRule>
  </conditionalFormatting>
  <conditionalFormatting sqref="C113">
    <cfRule type="cellIs" dxfId="13795" priority="5779" stopIfTrue="1" operator="equal">
      <formula>"Towel"</formula>
    </cfRule>
    <cfRule type="cellIs" dxfId="13794" priority="5780" stopIfTrue="1" operator="equal">
      <formula>"Napkin Hs"</formula>
    </cfRule>
  </conditionalFormatting>
  <conditionalFormatting sqref="C113">
    <cfRule type="cellIs" dxfId="13793" priority="5777" stopIfTrue="1" operator="equal">
      <formula>"Towel"</formula>
    </cfRule>
    <cfRule type="cellIs" dxfId="13792" priority="5778" stopIfTrue="1" operator="equal">
      <formula>"Napkin Hs"</formula>
    </cfRule>
  </conditionalFormatting>
  <conditionalFormatting sqref="C113">
    <cfRule type="cellIs" dxfId="13791" priority="5773" stopIfTrue="1" operator="equal">
      <formula>"Towel"</formula>
    </cfRule>
    <cfRule type="cellIs" dxfId="13790" priority="5774" stopIfTrue="1" operator="equal">
      <formula>"Napkin Hs"</formula>
    </cfRule>
  </conditionalFormatting>
  <conditionalFormatting sqref="C113">
    <cfRule type="cellIs" dxfId="13789" priority="5775" stopIfTrue="1" operator="equal">
      <formula>"Towel"</formula>
    </cfRule>
    <cfRule type="cellIs" dxfId="13788" priority="5776" stopIfTrue="1" operator="equal">
      <formula>"Napkin Hs"</formula>
    </cfRule>
  </conditionalFormatting>
  <conditionalFormatting sqref="C113">
    <cfRule type="cellIs" dxfId="13787" priority="5772" stopIfTrue="1" operator="equal">
      <formula>"Napkin Hs"</formula>
    </cfRule>
  </conditionalFormatting>
  <conditionalFormatting sqref="C113">
    <cfRule type="cellIs" dxfId="13786" priority="5771" stopIfTrue="1" operator="equal">
      <formula>"Towel"</formula>
    </cfRule>
  </conditionalFormatting>
  <conditionalFormatting sqref="C113">
    <cfRule type="cellIs" dxfId="13785" priority="5770" stopIfTrue="1" operator="equal">
      <formula>"Napkin Hs"</formula>
    </cfRule>
  </conditionalFormatting>
  <conditionalFormatting sqref="C113">
    <cfRule type="cellIs" dxfId="13784" priority="5769" stopIfTrue="1" operator="equal">
      <formula>"Towel"</formula>
    </cfRule>
  </conditionalFormatting>
  <conditionalFormatting sqref="C113">
    <cfRule type="cellIs" dxfId="13783" priority="5767" stopIfTrue="1" operator="equal">
      <formula>"Towel"</formula>
    </cfRule>
    <cfRule type="cellIs" dxfId="13782" priority="5768" stopIfTrue="1" operator="equal">
      <formula>"Napkin Hs"</formula>
    </cfRule>
  </conditionalFormatting>
  <conditionalFormatting sqref="C113">
    <cfRule type="cellIs" dxfId="13781" priority="5765" stopIfTrue="1" operator="equal">
      <formula>"Towel"</formula>
    </cfRule>
    <cfRule type="cellIs" dxfId="13780" priority="5766" stopIfTrue="1" operator="equal">
      <formula>"Napkin Hs"</formula>
    </cfRule>
  </conditionalFormatting>
  <conditionalFormatting sqref="C113">
    <cfRule type="cellIs" dxfId="13779" priority="5763" stopIfTrue="1" operator="equal">
      <formula>"Towel"</formula>
    </cfRule>
    <cfRule type="cellIs" dxfId="13778" priority="5764" stopIfTrue="1" operator="equal">
      <formula>"Napkin Hs"</formula>
    </cfRule>
  </conditionalFormatting>
  <conditionalFormatting sqref="C113">
    <cfRule type="cellIs" dxfId="13777" priority="5761" stopIfTrue="1" operator="equal">
      <formula>"Towel"</formula>
    </cfRule>
    <cfRule type="cellIs" dxfId="13776" priority="5762" stopIfTrue="1" operator="equal">
      <formula>"Napkin Hs"</formula>
    </cfRule>
  </conditionalFormatting>
  <conditionalFormatting sqref="C113">
    <cfRule type="cellIs" dxfId="13775" priority="5759" stopIfTrue="1" operator="equal">
      <formula>"Towel"</formula>
    </cfRule>
    <cfRule type="cellIs" dxfId="13774" priority="5760" stopIfTrue="1" operator="equal">
      <formula>"Napkin Hs"</formula>
    </cfRule>
  </conditionalFormatting>
  <conditionalFormatting sqref="C113">
    <cfRule type="cellIs" dxfId="13773" priority="5757" stopIfTrue="1" operator="equal">
      <formula>"Towel"</formula>
    </cfRule>
    <cfRule type="cellIs" dxfId="13772" priority="5758" stopIfTrue="1" operator="equal">
      <formula>"Napkin Hs"</formula>
    </cfRule>
  </conditionalFormatting>
  <conditionalFormatting sqref="C113">
    <cfRule type="cellIs" dxfId="13771" priority="5755" stopIfTrue="1" operator="equal">
      <formula>"Towel"</formula>
    </cfRule>
    <cfRule type="cellIs" dxfId="13770" priority="5756" stopIfTrue="1" operator="equal">
      <formula>"Napkin Hs"</formula>
    </cfRule>
  </conditionalFormatting>
  <conditionalFormatting sqref="C113">
    <cfRule type="cellIs" dxfId="13769" priority="5753" stopIfTrue="1" operator="equal">
      <formula>"Towel"</formula>
    </cfRule>
    <cfRule type="cellIs" dxfId="13768" priority="5754" stopIfTrue="1" operator="equal">
      <formula>"Napkin Hs"</formula>
    </cfRule>
  </conditionalFormatting>
  <conditionalFormatting sqref="C113">
    <cfRule type="cellIs" dxfId="13767" priority="5751" stopIfTrue="1" operator="equal">
      <formula>"Towel"</formula>
    </cfRule>
    <cfRule type="cellIs" dxfId="13766" priority="5752" stopIfTrue="1" operator="equal">
      <formula>"Napkin Hs"</formula>
    </cfRule>
  </conditionalFormatting>
  <conditionalFormatting sqref="C113">
    <cfRule type="cellIs" dxfId="13765" priority="5749" stopIfTrue="1" operator="equal">
      <formula>"Towel"</formula>
    </cfRule>
    <cfRule type="cellIs" dxfId="13764" priority="5750" stopIfTrue="1" operator="equal">
      <formula>"Napkin Hs"</formula>
    </cfRule>
  </conditionalFormatting>
  <conditionalFormatting sqref="C113">
    <cfRule type="cellIs" dxfId="13763" priority="5747" stopIfTrue="1" operator="equal">
      <formula>"Towel"</formula>
    </cfRule>
    <cfRule type="cellIs" dxfId="13762" priority="5748" stopIfTrue="1" operator="equal">
      <formula>"Napkin Hs"</formula>
    </cfRule>
  </conditionalFormatting>
  <conditionalFormatting sqref="C113">
    <cfRule type="cellIs" dxfId="13761" priority="5745" stopIfTrue="1" operator="equal">
      <formula>"Towel"</formula>
    </cfRule>
    <cfRule type="cellIs" dxfId="13760" priority="5746" stopIfTrue="1" operator="equal">
      <formula>"Napkin Hs"</formula>
    </cfRule>
  </conditionalFormatting>
  <conditionalFormatting sqref="C113">
    <cfRule type="cellIs" dxfId="13759" priority="5743" stopIfTrue="1" operator="equal">
      <formula>"Towel"</formula>
    </cfRule>
    <cfRule type="cellIs" dxfId="13758" priority="5744" stopIfTrue="1" operator="equal">
      <formula>"Napkin Hs"</formula>
    </cfRule>
  </conditionalFormatting>
  <conditionalFormatting sqref="C113">
    <cfRule type="cellIs" dxfId="13757" priority="5741" stopIfTrue="1" operator="equal">
      <formula>"Towel"</formula>
    </cfRule>
    <cfRule type="cellIs" dxfId="13756" priority="5742" stopIfTrue="1" operator="equal">
      <formula>"Napkin Hs"</formula>
    </cfRule>
  </conditionalFormatting>
  <conditionalFormatting sqref="C113">
    <cfRule type="cellIs" dxfId="13755" priority="5739" stopIfTrue="1" operator="equal">
      <formula>"Towel"</formula>
    </cfRule>
    <cfRule type="cellIs" dxfId="13754" priority="5740" stopIfTrue="1" operator="equal">
      <formula>"Napkin Hs"</formula>
    </cfRule>
  </conditionalFormatting>
  <conditionalFormatting sqref="C113">
    <cfRule type="cellIs" dxfId="13753" priority="5737" stopIfTrue="1" operator="equal">
      <formula>"Towel"</formula>
    </cfRule>
    <cfRule type="cellIs" dxfId="13752" priority="5738" stopIfTrue="1" operator="equal">
      <formula>"Napkin Hs"</formula>
    </cfRule>
  </conditionalFormatting>
  <conditionalFormatting sqref="C113">
    <cfRule type="cellIs" dxfId="13751" priority="5736" stopIfTrue="1" operator="equal">
      <formula>"Napkin Hs"</formula>
    </cfRule>
  </conditionalFormatting>
  <conditionalFormatting sqref="C113">
    <cfRule type="cellIs" dxfId="13750" priority="5735" stopIfTrue="1" operator="equal">
      <formula>"Towel"</formula>
    </cfRule>
  </conditionalFormatting>
  <conditionalFormatting sqref="C113">
    <cfRule type="cellIs" dxfId="13749" priority="5734" stopIfTrue="1" operator="equal">
      <formula>"Napkin Hs"</formula>
    </cfRule>
  </conditionalFormatting>
  <conditionalFormatting sqref="C113">
    <cfRule type="cellIs" dxfId="13748" priority="5731" stopIfTrue="1" operator="equal">
      <formula>"Towel"</formula>
    </cfRule>
    <cfRule type="cellIs" dxfId="13747" priority="5732" stopIfTrue="1" operator="equal">
      <formula>"Napkin Hs"</formula>
    </cfRule>
  </conditionalFormatting>
  <conditionalFormatting sqref="C113">
    <cfRule type="cellIs" dxfId="13746" priority="5733" stopIfTrue="1" operator="equal">
      <formula>"Towel"</formula>
    </cfRule>
  </conditionalFormatting>
  <conditionalFormatting sqref="B113:C113">
    <cfRule type="cellIs" dxfId="13745" priority="5729" stopIfTrue="1" operator="equal">
      <formula>"Towel"</formula>
    </cfRule>
    <cfRule type="cellIs" dxfId="13744" priority="5730" stopIfTrue="1" operator="equal">
      <formula>"Napkin Hs"</formula>
    </cfRule>
  </conditionalFormatting>
  <conditionalFormatting sqref="C113">
    <cfRule type="cellIs" dxfId="13743" priority="5727" stopIfTrue="1" operator="equal">
      <formula>"Towel"</formula>
    </cfRule>
    <cfRule type="cellIs" dxfId="13742" priority="5728" stopIfTrue="1" operator="equal">
      <formula>"Napkin Hs"</formula>
    </cfRule>
  </conditionalFormatting>
  <conditionalFormatting sqref="C113">
    <cfRule type="cellIs" dxfId="13741" priority="5725" stopIfTrue="1" operator="equal">
      <formula>"Towel"</formula>
    </cfRule>
    <cfRule type="cellIs" dxfId="13740" priority="5726" stopIfTrue="1" operator="equal">
      <formula>"Napkin Hs"</formula>
    </cfRule>
  </conditionalFormatting>
  <conditionalFormatting sqref="B113:C113">
    <cfRule type="cellIs" dxfId="13739" priority="5664" stopIfTrue="1" operator="equal">
      <formula>"Napkin Hs"</formula>
    </cfRule>
  </conditionalFormatting>
  <conditionalFormatting sqref="B113:C113">
    <cfRule type="cellIs" dxfId="13738" priority="5663" stopIfTrue="1" operator="equal">
      <formula>"Towel"</formula>
    </cfRule>
  </conditionalFormatting>
  <conditionalFormatting sqref="C113">
    <cfRule type="cellIs" dxfId="13737" priority="5662" stopIfTrue="1" operator="equal">
      <formula>"Napkin Hs"</formula>
    </cfRule>
  </conditionalFormatting>
  <conditionalFormatting sqref="C113">
    <cfRule type="cellIs" dxfId="13736" priority="5659" stopIfTrue="1" operator="equal">
      <formula>"Towel"</formula>
    </cfRule>
    <cfRule type="cellIs" dxfId="13735" priority="5660" stopIfTrue="1" operator="equal">
      <formula>"Napkin Hs"</formula>
    </cfRule>
  </conditionalFormatting>
  <conditionalFormatting sqref="C113">
    <cfRule type="cellIs" dxfId="13734" priority="5661" stopIfTrue="1" operator="equal">
      <formula>"Towel"</formula>
    </cfRule>
  </conditionalFormatting>
  <conditionalFormatting sqref="B113:C113">
    <cfRule type="cellIs" dxfId="13733" priority="5724" stopIfTrue="1" operator="equal">
      <formula>"Napkin Hs"</formula>
    </cfRule>
  </conditionalFormatting>
  <conditionalFormatting sqref="B113:C113">
    <cfRule type="cellIs" dxfId="13732" priority="5723" stopIfTrue="1" operator="equal">
      <formula>"Towel"</formula>
    </cfRule>
  </conditionalFormatting>
  <conditionalFormatting sqref="C113">
    <cfRule type="cellIs" dxfId="13731" priority="5722" stopIfTrue="1" operator="equal">
      <formula>"Napkin Hs"</formula>
    </cfRule>
  </conditionalFormatting>
  <conditionalFormatting sqref="C113">
    <cfRule type="cellIs" dxfId="13730" priority="5721" stopIfTrue="1" operator="equal">
      <formula>"Towel"</formula>
    </cfRule>
  </conditionalFormatting>
  <conditionalFormatting sqref="C113">
    <cfRule type="cellIs" dxfId="13729" priority="5719" stopIfTrue="1" operator="equal">
      <formula>"Towel"</formula>
    </cfRule>
    <cfRule type="cellIs" dxfId="13728" priority="5720" stopIfTrue="1" operator="equal">
      <formula>"Napkin Hs"</formula>
    </cfRule>
  </conditionalFormatting>
  <conditionalFormatting sqref="B113:C113">
    <cfRule type="cellIs" dxfId="13727" priority="5717" stopIfTrue="1" operator="equal">
      <formula>"Towel"</formula>
    </cfRule>
    <cfRule type="cellIs" dxfId="13726" priority="5718" stopIfTrue="1" operator="equal">
      <formula>"Napkin Hs"</formula>
    </cfRule>
  </conditionalFormatting>
  <conditionalFormatting sqref="C113">
    <cfRule type="cellIs" dxfId="13725" priority="5713" stopIfTrue="1" operator="equal">
      <formula>"Towel"</formula>
    </cfRule>
    <cfRule type="cellIs" dxfId="13724" priority="5714" stopIfTrue="1" operator="equal">
      <formula>"Napkin Hs"</formula>
    </cfRule>
  </conditionalFormatting>
  <conditionalFormatting sqref="C113">
    <cfRule type="cellIs" dxfId="13723" priority="5715" stopIfTrue="1" operator="equal">
      <formula>"Towel"</formula>
    </cfRule>
    <cfRule type="cellIs" dxfId="13722" priority="5716" stopIfTrue="1" operator="equal">
      <formula>"Napkin Hs"</formula>
    </cfRule>
  </conditionalFormatting>
  <conditionalFormatting sqref="B113:C113">
    <cfRule type="cellIs" dxfId="13721" priority="5712" stopIfTrue="1" operator="equal">
      <formula>"Napkin Hs"</formula>
    </cfRule>
  </conditionalFormatting>
  <conditionalFormatting sqref="B113:C113">
    <cfRule type="cellIs" dxfId="13720" priority="5711" stopIfTrue="1" operator="equal">
      <formula>"Towel"</formula>
    </cfRule>
  </conditionalFormatting>
  <conditionalFormatting sqref="C113">
    <cfRule type="cellIs" dxfId="13719" priority="5710" stopIfTrue="1" operator="equal">
      <formula>"Napkin Hs"</formula>
    </cfRule>
  </conditionalFormatting>
  <conditionalFormatting sqref="C113">
    <cfRule type="cellIs" dxfId="13718" priority="5709" stopIfTrue="1" operator="equal">
      <formula>"Towel"</formula>
    </cfRule>
  </conditionalFormatting>
  <conditionalFormatting sqref="C113">
    <cfRule type="cellIs" dxfId="13717" priority="5707" stopIfTrue="1" operator="equal">
      <formula>"Towel"</formula>
    </cfRule>
    <cfRule type="cellIs" dxfId="13716" priority="5708" stopIfTrue="1" operator="equal">
      <formula>"Napkin Hs"</formula>
    </cfRule>
  </conditionalFormatting>
  <conditionalFormatting sqref="B113:C113">
    <cfRule type="cellIs" dxfId="13715" priority="5705" stopIfTrue="1" operator="equal">
      <formula>"Towel"</formula>
    </cfRule>
    <cfRule type="cellIs" dxfId="13714" priority="5706" stopIfTrue="1" operator="equal">
      <formula>"Napkin Hs"</formula>
    </cfRule>
  </conditionalFormatting>
  <conditionalFormatting sqref="C113">
    <cfRule type="cellIs" dxfId="13713" priority="5703" stopIfTrue="1" operator="equal">
      <formula>"Towel"</formula>
    </cfRule>
    <cfRule type="cellIs" dxfId="13712" priority="5704" stopIfTrue="1" operator="equal">
      <formula>"Napkin Hs"</formula>
    </cfRule>
  </conditionalFormatting>
  <conditionalFormatting sqref="C113">
    <cfRule type="cellIs" dxfId="13711" priority="5701" stopIfTrue="1" operator="equal">
      <formula>"Towel"</formula>
    </cfRule>
    <cfRule type="cellIs" dxfId="13710" priority="5702" stopIfTrue="1" operator="equal">
      <formula>"Napkin Hs"</formula>
    </cfRule>
  </conditionalFormatting>
  <conditionalFormatting sqref="B113:C113">
    <cfRule type="cellIs" dxfId="13709" priority="5699" stopIfTrue="1" operator="equal">
      <formula>"Towel"</formula>
    </cfRule>
    <cfRule type="cellIs" dxfId="13708" priority="5700" stopIfTrue="1" operator="equal">
      <formula>"Napkin Hs"</formula>
    </cfRule>
  </conditionalFormatting>
  <conditionalFormatting sqref="C113">
    <cfRule type="cellIs" dxfId="13707" priority="5697" stopIfTrue="1" operator="equal">
      <formula>"Towel"</formula>
    </cfRule>
    <cfRule type="cellIs" dxfId="13706" priority="5698" stopIfTrue="1" operator="equal">
      <formula>"Napkin Hs"</formula>
    </cfRule>
  </conditionalFormatting>
  <conditionalFormatting sqref="C113">
    <cfRule type="cellIs" dxfId="13705" priority="5695" stopIfTrue="1" operator="equal">
      <formula>"Towel"</formula>
    </cfRule>
    <cfRule type="cellIs" dxfId="13704" priority="5696" stopIfTrue="1" operator="equal">
      <formula>"Napkin Hs"</formula>
    </cfRule>
  </conditionalFormatting>
  <conditionalFormatting sqref="B113:C113">
    <cfRule type="cellIs" dxfId="13703" priority="5693" stopIfTrue="1" operator="equal">
      <formula>"Towel"</formula>
    </cfRule>
    <cfRule type="cellIs" dxfId="13702" priority="5694" stopIfTrue="1" operator="equal">
      <formula>"Napkin Hs"</formula>
    </cfRule>
  </conditionalFormatting>
  <conditionalFormatting sqref="C113">
    <cfRule type="cellIs" dxfId="13701" priority="5691" stopIfTrue="1" operator="equal">
      <formula>"Towel"</formula>
    </cfRule>
    <cfRule type="cellIs" dxfId="13700" priority="5692" stopIfTrue="1" operator="equal">
      <formula>"Napkin Hs"</formula>
    </cfRule>
  </conditionalFormatting>
  <conditionalFormatting sqref="C113">
    <cfRule type="cellIs" dxfId="13699" priority="5689" stopIfTrue="1" operator="equal">
      <formula>"Towel"</formula>
    </cfRule>
    <cfRule type="cellIs" dxfId="13698" priority="5690" stopIfTrue="1" operator="equal">
      <formula>"Napkin Hs"</formula>
    </cfRule>
  </conditionalFormatting>
  <conditionalFormatting sqref="B113:C113">
    <cfRule type="cellIs" dxfId="13697" priority="5687" stopIfTrue="1" operator="equal">
      <formula>"Towel"</formula>
    </cfRule>
    <cfRule type="cellIs" dxfId="13696" priority="5688" stopIfTrue="1" operator="equal">
      <formula>"Napkin Hs"</formula>
    </cfRule>
  </conditionalFormatting>
  <conditionalFormatting sqref="C113">
    <cfRule type="cellIs" dxfId="13695" priority="5685" stopIfTrue="1" operator="equal">
      <formula>"Towel"</formula>
    </cfRule>
    <cfRule type="cellIs" dxfId="13694" priority="5686" stopIfTrue="1" operator="equal">
      <formula>"Napkin Hs"</formula>
    </cfRule>
  </conditionalFormatting>
  <conditionalFormatting sqref="C113">
    <cfRule type="cellIs" dxfId="13693" priority="5683" stopIfTrue="1" operator="equal">
      <formula>"Towel"</formula>
    </cfRule>
    <cfRule type="cellIs" dxfId="13692" priority="5684" stopIfTrue="1" operator="equal">
      <formula>"Napkin Hs"</formula>
    </cfRule>
  </conditionalFormatting>
  <conditionalFormatting sqref="B113:C113">
    <cfRule type="cellIs" dxfId="13691" priority="5681" stopIfTrue="1" operator="equal">
      <formula>"Towel"</formula>
    </cfRule>
    <cfRule type="cellIs" dxfId="13690" priority="5682" stopIfTrue="1" operator="equal">
      <formula>"Napkin Hs"</formula>
    </cfRule>
  </conditionalFormatting>
  <conditionalFormatting sqref="C113">
    <cfRule type="cellIs" dxfId="13689" priority="5679" stopIfTrue="1" operator="equal">
      <formula>"Towel"</formula>
    </cfRule>
    <cfRule type="cellIs" dxfId="13688" priority="5680" stopIfTrue="1" operator="equal">
      <formula>"Napkin Hs"</formula>
    </cfRule>
  </conditionalFormatting>
  <conditionalFormatting sqref="C113">
    <cfRule type="cellIs" dxfId="13687" priority="5677" stopIfTrue="1" operator="equal">
      <formula>"Towel"</formula>
    </cfRule>
    <cfRule type="cellIs" dxfId="13686" priority="5678" stopIfTrue="1" operator="equal">
      <formula>"Napkin Hs"</formula>
    </cfRule>
  </conditionalFormatting>
  <conditionalFormatting sqref="B113:C113">
    <cfRule type="cellIs" dxfId="13685" priority="5676" stopIfTrue="1" operator="equal">
      <formula>"Napkin Hs"</formula>
    </cfRule>
  </conditionalFormatting>
  <conditionalFormatting sqref="B113:C113">
    <cfRule type="cellIs" dxfId="13684" priority="5675" stopIfTrue="1" operator="equal">
      <formula>"Towel"</formula>
    </cfRule>
  </conditionalFormatting>
  <conditionalFormatting sqref="C113">
    <cfRule type="cellIs" dxfId="13683" priority="5674" stopIfTrue="1" operator="equal">
      <formula>"Napkin Hs"</formula>
    </cfRule>
  </conditionalFormatting>
  <conditionalFormatting sqref="C113">
    <cfRule type="cellIs" dxfId="13682" priority="5671" stopIfTrue="1" operator="equal">
      <formula>"Towel"</formula>
    </cfRule>
    <cfRule type="cellIs" dxfId="13681" priority="5672" stopIfTrue="1" operator="equal">
      <formula>"Napkin Hs"</formula>
    </cfRule>
  </conditionalFormatting>
  <conditionalFormatting sqref="C113">
    <cfRule type="cellIs" dxfId="13680" priority="5673" stopIfTrue="1" operator="equal">
      <formula>"Towel"</formula>
    </cfRule>
  </conditionalFormatting>
  <conditionalFormatting sqref="B113:C113">
    <cfRule type="cellIs" dxfId="13679" priority="5670" stopIfTrue="1" operator="equal">
      <formula>"Napkin Hs"</formula>
    </cfRule>
  </conditionalFormatting>
  <conditionalFormatting sqref="B113:C113">
    <cfRule type="cellIs" dxfId="13678" priority="5669" stopIfTrue="1" operator="equal">
      <formula>"Towel"</formula>
    </cfRule>
  </conditionalFormatting>
  <conditionalFormatting sqref="C113">
    <cfRule type="cellIs" dxfId="13677" priority="5668" stopIfTrue="1" operator="equal">
      <formula>"Napkin Hs"</formula>
    </cfRule>
  </conditionalFormatting>
  <conditionalFormatting sqref="C113">
    <cfRule type="cellIs" dxfId="13676" priority="5665" stopIfTrue="1" operator="equal">
      <formula>"Towel"</formula>
    </cfRule>
    <cfRule type="cellIs" dxfId="13675" priority="5666" stopIfTrue="1" operator="equal">
      <formula>"Napkin Hs"</formula>
    </cfRule>
  </conditionalFormatting>
  <conditionalFormatting sqref="C113">
    <cfRule type="cellIs" dxfId="13674" priority="5667" stopIfTrue="1" operator="equal">
      <formula>"Towel"</formula>
    </cfRule>
  </conditionalFormatting>
  <conditionalFormatting sqref="B112:C112">
    <cfRule type="cellIs" dxfId="13673" priority="5657" stopIfTrue="1" operator="equal">
      <formula>"Towel"</formula>
    </cfRule>
    <cfRule type="cellIs" dxfId="13672" priority="5658" stopIfTrue="1" operator="equal">
      <formula>"Napkin Hs"</formula>
    </cfRule>
  </conditionalFormatting>
  <conditionalFormatting sqref="C112">
    <cfRule type="cellIs" dxfId="13671" priority="5653" stopIfTrue="1" operator="equal">
      <formula>"Towel"</formula>
    </cfRule>
    <cfRule type="cellIs" dxfId="13670" priority="5654" stopIfTrue="1" operator="equal">
      <formula>"Napkin Hs"</formula>
    </cfRule>
  </conditionalFormatting>
  <conditionalFormatting sqref="C112">
    <cfRule type="cellIs" dxfId="13669" priority="5655" stopIfTrue="1" operator="equal">
      <formula>"Towel"</formula>
    </cfRule>
    <cfRule type="cellIs" dxfId="13668" priority="5656" stopIfTrue="1" operator="equal">
      <formula>"Napkin Hs"</formula>
    </cfRule>
  </conditionalFormatting>
  <conditionalFormatting sqref="B112:C112">
    <cfRule type="cellIs" dxfId="13667" priority="5652" stopIfTrue="1" operator="equal">
      <formula>"Napkin Hs"</formula>
    </cfRule>
  </conditionalFormatting>
  <conditionalFormatting sqref="B112:C112">
    <cfRule type="cellIs" dxfId="13666" priority="5651" stopIfTrue="1" operator="equal">
      <formula>"Towel"</formula>
    </cfRule>
  </conditionalFormatting>
  <conditionalFormatting sqref="C112">
    <cfRule type="cellIs" dxfId="13665" priority="5650" stopIfTrue="1" operator="equal">
      <formula>"Napkin Hs"</formula>
    </cfRule>
  </conditionalFormatting>
  <conditionalFormatting sqref="C112">
    <cfRule type="cellIs" dxfId="13664" priority="5649" stopIfTrue="1" operator="equal">
      <formula>"Towel"</formula>
    </cfRule>
  </conditionalFormatting>
  <conditionalFormatting sqref="C112">
    <cfRule type="cellIs" dxfId="13663" priority="5647" stopIfTrue="1" operator="equal">
      <formula>"Towel"</formula>
    </cfRule>
    <cfRule type="cellIs" dxfId="13662" priority="5648" stopIfTrue="1" operator="equal">
      <formula>"Napkin Hs"</formula>
    </cfRule>
  </conditionalFormatting>
  <conditionalFormatting sqref="B112:C112">
    <cfRule type="cellIs" dxfId="13661" priority="5645" stopIfTrue="1" operator="equal">
      <formula>"Towel"</formula>
    </cfRule>
    <cfRule type="cellIs" dxfId="13660" priority="5646" stopIfTrue="1" operator="equal">
      <formula>"Napkin Hs"</formula>
    </cfRule>
  </conditionalFormatting>
  <conditionalFormatting sqref="C112">
    <cfRule type="cellIs" dxfId="13659" priority="5643" stopIfTrue="1" operator="equal">
      <formula>"Towel"</formula>
    </cfRule>
    <cfRule type="cellIs" dxfId="13658" priority="5644" stopIfTrue="1" operator="equal">
      <formula>"Napkin Hs"</formula>
    </cfRule>
  </conditionalFormatting>
  <conditionalFormatting sqref="C112">
    <cfRule type="cellIs" dxfId="13657" priority="5641" stopIfTrue="1" operator="equal">
      <formula>"Towel"</formula>
    </cfRule>
    <cfRule type="cellIs" dxfId="13656" priority="5642" stopIfTrue="1" operator="equal">
      <formula>"Napkin Hs"</formula>
    </cfRule>
  </conditionalFormatting>
  <conditionalFormatting sqref="B112:C112">
    <cfRule type="cellIs" dxfId="13655" priority="5639" stopIfTrue="1" operator="equal">
      <formula>"Towel"</formula>
    </cfRule>
    <cfRule type="cellIs" dxfId="13654" priority="5640" stopIfTrue="1" operator="equal">
      <formula>"Napkin Hs"</formula>
    </cfRule>
  </conditionalFormatting>
  <conditionalFormatting sqref="C112">
    <cfRule type="cellIs" dxfId="13653" priority="5637" stopIfTrue="1" operator="equal">
      <formula>"Towel"</formula>
    </cfRule>
    <cfRule type="cellIs" dxfId="13652" priority="5638" stopIfTrue="1" operator="equal">
      <formula>"Napkin Hs"</formula>
    </cfRule>
  </conditionalFormatting>
  <conditionalFormatting sqref="C112">
    <cfRule type="cellIs" dxfId="13651" priority="5635" stopIfTrue="1" operator="equal">
      <formula>"Towel"</formula>
    </cfRule>
    <cfRule type="cellIs" dxfId="13650" priority="5636" stopIfTrue="1" operator="equal">
      <formula>"Napkin Hs"</formula>
    </cfRule>
  </conditionalFormatting>
  <conditionalFormatting sqref="B112:C112">
    <cfRule type="cellIs" dxfId="13649" priority="5633" stopIfTrue="1" operator="equal">
      <formula>"Towel"</formula>
    </cfRule>
    <cfRule type="cellIs" dxfId="13648" priority="5634" stopIfTrue="1" operator="equal">
      <formula>"Napkin Hs"</formula>
    </cfRule>
  </conditionalFormatting>
  <conditionalFormatting sqref="C112">
    <cfRule type="cellIs" dxfId="13647" priority="5631" stopIfTrue="1" operator="equal">
      <formula>"Towel"</formula>
    </cfRule>
    <cfRule type="cellIs" dxfId="13646" priority="5632" stopIfTrue="1" operator="equal">
      <formula>"Napkin Hs"</formula>
    </cfRule>
  </conditionalFormatting>
  <conditionalFormatting sqref="C112">
    <cfRule type="cellIs" dxfId="13645" priority="5629" stopIfTrue="1" operator="equal">
      <formula>"Towel"</formula>
    </cfRule>
    <cfRule type="cellIs" dxfId="13644" priority="5630" stopIfTrue="1" operator="equal">
      <formula>"Napkin Hs"</formula>
    </cfRule>
  </conditionalFormatting>
  <conditionalFormatting sqref="B112:C112">
    <cfRule type="cellIs" dxfId="13643" priority="5627" stopIfTrue="1" operator="equal">
      <formula>"Towel"</formula>
    </cfRule>
    <cfRule type="cellIs" dxfId="13642" priority="5628" stopIfTrue="1" operator="equal">
      <formula>"Napkin Hs"</formula>
    </cfRule>
  </conditionalFormatting>
  <conditionalFormatting sqref="C112">
    <cfRule type="cellIs" dxfId="13641" priority="5625" stopIfTrue="1" operator="equal">
      <formula>"Towel"</formula>
    </cfRule>
    <cfRule type="cellIs" dxfId="13640" priority="5626" stopIfTrue="1" operator="equal">
      <formula>"Napkin Hs"</formula>
    </cfRule>
  </conditionalFormatting>
  <conditionalFormatting sqref="C112">
    <cfRule type="cellIs" dxfId="13639" priority="5623" stopIfTrue="1" operator="equal">
      <formula>"Towel"</formula>
    </cfRule>
    <cfRule type="cellIs" dxfId="13638" priority="5624" stopIfTrue="1" operator="equal">
      <formula>"Napkin Hs"</formula>
    </cfRule>
  </conditionalFormatting>
  <conditionalFormatting sqref="B112:C112">
    <cfRule type="cellIs" dxfId="13637" priority="5621" stopIfTrue="1" operator="equal">
      <formula>"Towel"</formula>
    </cfRule>
    <cfRule type="cellIs" dxfId="13636" priority="5622" stopIfTrue="1" operator="equal">
      <formula>"Napkin Hs"</formula>
    </cfRule>
  </conditionalFormatting>
  <conditionalFormatting sqref="C112">
    <cfRule type="cellIs" dxfId="13635" priority="5619" stopIfTrue="1" operator="equal">
      <formula>"Towel"</formula>
    </cfRule>
    <cfRule type="cellIs" dxfId="13634" priority="5620" stopIfTrue="1" operator="equal">
      <formula>"Napkin Hs"</formula>
    </cfRule>
  </conditionalFormatting>
  <conditionalFormatting sqref="C112">
    <cfRule type="cellIs" dxfId="13633" priority="5617" stopIfTrue="1" operator="equal">
      <formula>"Towel"</formula>
    </cfRule>
    <cfRule type="cellIs" dxfId="13632" priority="5618" stopIfTrue="1" operator="equal">
      <formula>"Napkin Hs"</formula>
    </cfRule>
  </conditionalFormatting>
  <conditionalFormatting sqref="B112:C112">
    <cfRule type="cellIs" dxfId="13631" priority="5616" stopIfTrue="1" operator="equal">
      <formula>"Napkin Hs"</formula>
    </cfRule>
  </conditionalFormatting>
  <conditionalFormatting sqref="B112:C112">
    <cfRule type="cellIs" dxfId="13630" priority="5615" stopIfTrue="1" operator="equal">
      <formula>"Towel"</formula>
    </cfRule>
  </conditionalFormatting>
  <conditionalFormatting sqref="C112">
    <cfRule type="cellIs" dxfId="13629" priority="5614" stopIfTrue="1" operator="equal">
      <formula>"Napkin Hs"</formula>
    </cfRule>
  </conditionalFormatting>
  <conditionalFormatting sqref="C112">
    <cfRule type="cellIs" dxfId="13628" priority="5611" stopIfTrue="1" operator="equal">
      <formula>"Towel"</formula>
    </cfRule>
    <cfRule type="cellIs" dxfId="13627" priority="5612" stopIfTrue="1" operator="equal">
      <formula>"Napkin Hs"</formula>
    </cfRule>
  </conditionalFormatting>
  <conditionalFormatting sqref="C112">
    <cfRule type="cellIs" dxfId="13626" priority="5613" stopIfTrue="1" operator="equal">
      <formula>"Towel"</formula>
    </cfRule>
  </conditionalFormatting>
  <conditionalFormatting sqref="B112:C112">
    <cfRule type="cellIs" dxfId="13625" priority="5610" stopIfTrue="1" operator="equal">
      <formula>"Napkin Hs"</formula>
    </cfRule>
  </conditionalFormatting>
  <conditionalFormatting sqref="B112:C112">
    <cfRule type="cellIs" dxfId="13624" priority="5609" stopIfTrue="1" operator="equal">
      <formula>"Towel"</formula>
    </cfRule>
  </conditionalFormatting>
  <conditionalFormatting sqref="C112">
    <cfRule type="cellIs" dxfId="13623" priority="5608" stopIfTrue="1" operator="equal">
      <formula>"Napkin Hs"</formula>
    </cfRule>
  </conditionalFormatting>
  <conditionalFormatting sqref="C112">
    <cfRule type="cellIs" dxfId="13622" priority="5607" stopIfTrue="1" operator="equal">
      <formula>"Towel"</formula>
    </cfRule>
  </conditionalFormatting>
  <conditionalFormatting sqref="C112">
    <cfRule type="cellIs" dxfId="13621" priority="5605" stopIfTrue="1" operator="equal">
      <formula>"Towel"</formula>
    </cfRule>
    <cfRule type="cellIs" dxfId="13620" priority="5606" stopIfTrue="1" operator="equal">
      <formula>"Napkin Hs"</formula>
    </cfRule>
  </conditionalFormatting>
  <conditionalFormatting sqref="C112">
    <cfRule type="cellIs" dxfId="13619" priority="5599" stopIfTrue="1" operator="equal">
      <formula>"Towel"</formula>
    </cfRule>
    <cfRule type="cellIs" dxfId="13618" priority="5600" stopIfTrue="1" operator="equal">
      <formula>"Napkin Hs"</formula>
    </cfRule>
  </conditionalFormatting>
  <conditionalFormatting sqref="B112:C112">
    <cfRule type="cellIs" dxfId="13617" priority="5598" stopIfTrue="1" operator="equal">
      <formula>"Napkin Hs"</formula>
    </cfRule>
  </conditionalFormatting>
  <conditionalFormatting sqref="B112:C112">
    <cfRule type="cellIs" dxfId="13616" priority="5597" stopIfTrue="1" operator="equal">
      <formula>"Towel"</formula>
    </cfRule>
  </conditionalFormatting>
  <conditionalFormatting sqref="C112">
    <cfRule type="cellIs" dxfId="13615" priority="5596" stopIfTrue="1" operator="equal">
      <formula>"Napkin Hs"</formula>
    </cfRule>
  </conditionalFormatting>
  <conditionalFormatting sqref="C112">
    <cfRule type="cellIs" dxfId="13614" priority="5595" stopIfTrue="1" operator="equal">
      <formula>"Towel"</formula>
    </cfRule>
  </conditionalFormatting>
  <conditionalFormatting sqref="C112">
    <cfRule type="cellIs" dxfId="13613" priority="5593" stopIfTrue="1" operator="equal">
      <formula>"Towel"</formula>
    </cfRule>
    <cfRule type="cellIs" dxfId="13612" priority="5594" stopIfTrue="1" operator="equal">
      <formula>"Napkin Hs"</formula>
    </cfRule>
  </conditionalFormatting>
  <conditionalFormatting sqref="C112">
    <cfRule type="cellIs" dxfId="13611" priority="5587" stopIfTrue="1" operator="equal">
      <formula>"Towel"</formula>
    </cfRule>
    <cfRule type="cellIs" dxfId="13610" priority="5588" stopIfTrue="1" operator="equal">
      <formula>"Napkin Hs"</formula>
    </cfRule>
  </conditionalFormatting>
  <conditionalFormatting sqref="C112">
    <cfRule type="cellIs" dxfId="13609" priority="5581" stopIfTrue="1" operator="equal">
      <formula>"Towel"</formula>
    </cfRule>
    <cfRule type="cellIs" dxfId="13608" priority="5582" stopIfTrue="1" operator="equal">
      <formula>"Napkin Hs"</formula>
    </cfRule>
  </conditionalFormatting>
  <conditionalFormatting sqref="C112">
    <cfRule type="cellIs" dxfId="13607" priority="5575" stopIfTrue="1" operator="equal">
      <formula>"Towel"</formula>
    </cfRule>
    <cfRule type="cellIs" dxfId="13606" priority="5576" stopIfTrue="1" operator="equal">
      <formula>"Napkin Hs"</formula>
    </cfRule>
  </conditionalFormatting>
  <conditionalFormatting sqref="C112">
    <cfRule type="cellIs" dxfId="13605" priority="5569" stopIfTrue="1" operator="equal">
      <formula>"Towel"</formula>
    </cfRule>
    <cfRule type="cellIs" dxfId="13604" priority="5570" stopIfTrue="1" operator="equal">
      <formula>"Napkin Hs"</formula>
    </cfRule>
  </conditionalFormatting>
  <conditionalFormatting sqref="C112">
    <cfRule type="cellIs" dxfId="13603" priority="5563" stopIfTrue="1" operator="equal">
      <formula>"Towel"</formula>
    </cfRule>
    <cfRule type="cellIs" dxfId="13602" priority="5564" stopIfTrue="1" operator="equal">
      <formula>"Napkin Hs"</formula>
    </cfRule>
  </conditionalFormatting>
  <conditionalFormatting sqref="B112:C112">
    <cfRule type="cellIs" dxfId="13601" priority="5562" stopIfTrue="1" operator="equal">
      <formula>"Napkin Hs"</formula>
    </cfRule>
  </conditionalFormatting>
  <conditionalFormatting sqref="B112:C112">
    <cfRule type="cellIs" dxfId="13600" priority="5561" stopIfTrue="1" operator="equal">
      <formula>"Towel"</formula>
    </cfRule>
  </conditionalFormatting>
  <conditionalFormatting sqref="C112">
    <cfRule type="cellIs" dxfId="13599" priority="5560" stopIfTrue="1" operator="equal">
      <formula>"Napkin Hs"</formula>
    </cfRule>
  </conditionalFormatting>
  <conditionalFormatting sqref="C112">
    <cfRule type="cellIs" dxfId="13598" priority="5557" stopIfTrue="1" operator="equal">
      <formula>"Towel"</formula>
    </cfRule>
    <cfRule type="cellIs" dxfId="13597" priority="5558" stopIfTrue="1" operator="equal">
      <formula>"Napkin Hs"</formula>
    </cfRule>
  </conditionalFormatting>
  <conditionalFormatting sqref="C112">
    <cfRule type="cellIs" dxfId="13596" priority="5559" stopIfTrue="1" operator="equal">
      <formula>"Towel"</formula>
    </cfRule>
  </conditionalFormatting>
  <conditionalFormatting sqref="B112:C112">
    <cfRule type="cellIs" dxfId="13595" priority="5556" stopIfTrue="1" operator="equal">
      <formula>"Napkin Hs"</formula>
    </cfRule>
  </conditionalFormatting>
  <conditionalFormatting sqref="B112:C112">
    <cfRule type="cellIs" dxfId="13594" priority="5555" stopIfTrue="1" operator="equal">
      <formula>"Towel"</formula>
    </cfRule>
  </conditionalFormatting>
  <conditionalFormatting sqref="C112">
    <cfRule type="cellIs" dxfId="13593" priority="5554" stopIfTrue="1" operator="equal">
      <formula>"Napkin Hs"</formula>
    </cfRule>
  </conditionalFormatting>
  <conditionalFormatting sqref="C112">
    <cfRule type="cellIs" dxfId="13592" priority="5551" stopIfTrue="1" operator="equal">
      <formula>"Towel"</formula>
    </cfRule>
    <cfRule type="cellIs" dxfId="13591" priority="5552" stopIfTrue="1" operator="equal">
      <formula>"Napkin Hs"</formula>
    </cfRule>
  </conditionalFormatting>
  <conditionalFormatting sqref="C112">
    <cfRule type="cellIs" dxfId="13590" priority="5553" stopIfTrue="1" operator="equal">
      <formula>"Towel"</formula>
    </cfRule>
  </conditionalFormatting>
  <conditionalFormatting sqref="B112:C112">
    <cfRule type="cellIs" dxfId="13589" priority="5603" stopIfTrue="1" operator="equal">
      <formula>"Towel"</formula>
    </cfRule>
    <cfRule type="cellIs" dxfId="13588" priority="5604" stopIfTrue="1" operator="equal">
      <formula>"Napkin Hs"</formula>
    </cfRule>
  </conditionalFormatting>
  <conditionalFormatting sqref="C112">
    <cfRule type="cellIs" dxfId="13587" priority="5601" stopIfTrue="1" operator="equal">
      <formula>"Towel"</formula>
    </cfRule>
    <cfRule type="cellIs" dxfId="13586" priority="5602" stopIfTrue="1" operator="equal">
      <formula>"Napkin Hs"</formula>
    </cfRule>
  </conditionalFormatting>
  <conditionalFormatting sqref="B112:C112">
    <cfRule type="cellIs" dxfId="13585" priority="5591" stopIfTrue="1" operator="equal">
      <formula>"Towel"</formula>
    </cfRule>
    <cfRule type="cellIs" dxfId="13584" priority="5592" stopIfTrue="1" operator="equal">
      <formula>"Napkin Hs"</formula>
    </cfRule>
  </conditionalFormatting>
  <conditionalFormatting sqref="C112">
    <cfRule type="cellIs" dxfId="13583" priority="5589" stopIfTrue="1" operator="equal">
      <formula>"Towel"</formula>
    </cfRule>
    <cfRule type="cellIs" dxfId="13582" priority="5590" stopIfTrue="1" operator="equal">
      <formula>"Napkin Hs"</formula>
    </cfRule>
  </conditionalFormatting>
  <conditionalFormatting sqref="B112:C112">
    <cfRule type="cellIs" dxfId="13581" priority="5585" stopIfTrue="1" operator="equal">
      <formula>"Towel"</formula>
    </cfRule>
    <cfRule type="cellIs" dxfId="13580" priority="5586" stopIfTrue="1" operator="equal">
      <formula>"Napkin Hs"</formula>
    </cfRule>
  </conditionalFormatting>
  <conditionalFormatting sqref="C112">
    <cfRule type="cellIs" dxfId="13579" priority="5583" stopIfTrue="1" operator="equal">
      <formula>"Towel"</formula>
    </cfRule>
    <cfRule type="cellIs" dxfId="13578" priority="5584" stopIfTrue="1" operator="equal">
      <formula>"Napkin Hs"</formula>
    </cfRule>
  </conditionalFormatting>
  <conditionalFormatting sqref="B112:C112">
    <cfRule type="cellIs" dxfId="13577" priority="5579" stopIfTrue="1" operator="equal">
      <formula>"Towel"</formula>
    </cfRule>
    <cfRule type="cellIs" dxfId="13576" priority="5580" stopIfTrue="1" operator="equal">
      <formula>"Napkin Hs"</formula>
    </cfRule>
  </conditionalFormatting>
  <conditionalFormatting sqref="C112">
    <cfRule type="cellIs" dxfId="13575" priority="5577" stopIfTrue="1" operator="equal">
      <formula>"Towel"</formula>
    </cfRule>
    <cfRule type="cellIs" dxfId="13574" priority="5578" stopIfTrue="1" operator="equal">
      <formula>"Napkin Hs"</formula>
    </cfRule>
  </conditionalFormatting>
  <conditionalFormatting sqref="B112:C112">
    <cfRule type="cellIs" dxfId="13573" priority="5573" stopIfTrue="1" operator="equal">
      <formula>"Towel"</formula>
    </cfRule>
    <cfRule type="cellIs" dxfId="13572" priority="5574" stopIfTrue="1" operator="equal">
      <formula>"Napkin Hs"</formula>
    </cfRule>
  </conditionalFormatting>
  <conditionalFormatting sqref="C112">
    <cfRule type="cellIs" dxfId="13571" priority="5571" stopIfTrue="1" operator="equal">
      <formula>"Towel"</formula>
    </cfRule>
    <cfRule type="cellIs" dxfId="13570" priority="5572" stopIfTrue="1" operator="equal">
      <formula>"Napkin Hs"</formula>
    </cfRule>
  </conditionalFormatting>
  <conditionalFormatting sqref="B112:C112">
    <cfRule type="cellIs" dxfId="13569" priority="5567" stopIfTrue="1" operator="equal">
      <formula>"Towel"</formula>
    </cfRule>
    <cfRule type="cellIs" dxfId="13568" priority="5568" stopIfTrue="1" operator="equal">
      <formula>"Napkin Hs"</formula>
    </cfRule>
  </conditionalFormatting>
  <conditionalFormatting sqref="C112">
    <cfRule type="cellIs" dxfId="13567" priority="5565" stopIfTrue="1" operator="equal">
      <formula>"Towel"</formula>
    </cfRule>
    <cfRule type="cellIs" dxfId="13566" priority="5566" stopIfTrue="1" operator="equal">
      <formula>"Napkin Hs"</formula>
    </cfRule>
  </conditionalFormatting>
  <conditionalFormatting sqref="B112:C112">
    <cfRule type="cellIs" dxfId="13565" priority="5550" stopIfTrue="1" operator="equal">
      <formula>"Napkin Hs"</formula>
    </cfRule>
  </conditionalFormatting>
  <conditionalFormatting sqref="B112:C112">
    <cfRule type="cellIs" dxfId="13564" priority="5549" stopIfTrue="1" operator="equal">
      <formula>"Towel"</formula>
    </cfRule>
  </conditionalFormatting>
  <conditionalFormatting sqref="C112">
    <cfRule type="cellIs" dxfId="13563" priority="5548" stopIfTrue="1" operator="equal">
      <formula>"Napkin Hs"</formula>
    </cfRule>
  </conditionalFormatting>
  <conditionalFormatting sqref="C112">
    <cfRule type="cellIs" dxfId="13562" priority="5545" stopIfTrue="1" operator="equal">
      <formula>"Towel"</formula>
    </cfRule>
    <cfRule type="cellIs" dxfId="13561" priority="5546" stopIfTrue="1" operator="equal">
      <formula>"Napkin Hs"</formula>
    </cfRule>
  </conditionalFormatting>
  <conditionalFormatting sqref="C112">
    <cfRule type="cellIs" dxfId="13560" priority="5547" stopIfTrue="1" operator="equal">
      <formula>"Towel"</formula>
    </cfRule>
  </conditionalFormatting>
  <conditionalFormatting sqref="B111:C111">
    <cfRule type="cellIs" dxfId="13559" priority="5541" stopIfTrue="1" operator="equal">
      <formula>"Towel"</formula>
    </cfRule>
    <cfRule type="cellIs" dxfId="13558" priority="5542" stopIfTrue="1" operator="equal">
      <formula>"Napkin Hs"</formula>
    </cfRule>
  </conditionalFormatting>
  <conditionalFormatting sqref="C111">
    <cfRule type="cellIs" dxfId="13557" priority="5543" stopIfTrue="1" operator="equal">
      <formula>"Towel"</formula>
    </cfRule>
    <cfRule type="cellIs" dxfId="13556" priority="5544" stopIfTrue="1" operator="equal">
      <formula>"Napkin Hs"</formula>
    </cfRule>
  </conditionalFormatting>
  <conditionalFormatting sqref="C111">
    <cfRule type="cellIs" dxfId="13555" priority="5539" stopIfTrue="1" operator="equal">
      <formula>"Towel"</formula>
    </cfRule>
    <cfRule type="cellIs" dxfId="13554" priority="5540" stopIfTrue="1" operator="equal">
      <formula>"Napkin Hs"</formula>
    </cfRule>
  </conditionalFormatting>
  <conditionalFormatting sqref="B111:C111">
    <cfRule type="cellIs" dxfId="13553" priority="5538" stopIfTrue="1" operator="equal">
      <formula>"Napkin Hs"</formula>
    </cfRule>
  </conditionalFormatting>
  <conditionalFormatting sqref="B111:C111">
    <cfRule type="cellIs" dxfId="13552" priority="5537" stopIfTrue="1" operator="equal">
      <formula>"Towel"</formula>
    </cfRule>
  </conditionalFormatting>
  <conditionalFormatting sqref="C111">
    <cfRule type="cellIs" dxfId="13551" priority="5536" stopIfTrue="1" operator="equal">
      <formula>"Napkin Hs"</formula>
    </cfRule>
  </conditionalFormatting>
  <conditionalFormatting sqref="C111">
    <cfRule type="cellIs" dxfId="13550" priority="5535" stopIfTrue="1" operator="equal">
      <formula>"Towel"</formula>
    </cfRule>
  </conditionalFormatting>
  <conditionalFormatting sqref="C111">
    <cfRule type="cellIs" dxfId="13549" priority="5533" stopIfTrue="1" operator="equal">
      <formula>"Towel"</formula>
    </cfRule>
    <cfRule type="cellIs" dxfId="13548" priority="5534" stopIfTrue="1" operator="equal">
      <formula>"Napkin Hs"</formula>
    </cfRule>
  </conditionalFormatting>
  <conditionalFormatting sqref="B111:C111">
    <cfRule type="cellIs" dxfId="13547" priority="5531" stopIfTrue="1" operator="equal">
      <formula>"Towel"</formula>
    </cfRule>
    <cfRule type="cellIs" dxfId="13546" priority="5532" stopIfTrue="1" operator="equal">
      <formula>"Napkin Hs"</formula>
    </cfRule>
  </conditionalFormatting>
  <conditionalFormatting sqref="C111">
    <cfRule type="cellIs" dxfId="13545" priority="5527" stopIfTrue="1" operator="equal">
      <formula>"Towel"</formula>
    </cfRule>
    <cfRule type="cellIs" dxfId="13544" priority="5528" stopIfTrue="1" operator="equal">
      <formula>"Napkin Hs"</formula>
    </cfRule>
  </conditionalFormatting>
  <conditionalFormatting sqref="C111">
    <cfRule type="cellIs" dxfId="13543" priority="5529" stopIfTrue="1" operator="equal">
      <formula>"Towel"</formula>
    </cfRule>
    <cfRule type="cellIs" dxfId="13542" priority="5530" stopIfTrue="1" operator="equal">
      <formula>"Napkin Hs"</formula>
    </cfRule>
  </conditionalFormatting>
  <conditionalFormatting sqref="B111:C111">
    <cfRule type="cellIs" dxfId="13541" priority="5526" stopIfTrue="1" operator="equal">
      <formula>"Napkin Hs"</formula>
    </cfRule>
  </conditionalFormatting>
  <conditionalFormatting sqref="B111:C111">
    <cfRule type="cellIs" dxfId="13540" priority="5525" stopIfTrue="1" operator="equal">
      <formula>"Towel"</formula>
    </cfRule>
  </conditionalFormatting>
  <conditionalFormatting sqref="C111">
    <cfRule type="cellIs" dxfId="13539" priority="5524" stopIfTrue="1" operator="equal">
      <formula>"Napkin Hs"</formula>
    </cfRule>
  </conditionalFormatting>
  <conditionalFormatting sqref="C111">
    <cfRule type="cellIs" dxfId="13538" priority="5523" stopIfTrue="1" operator="equal">
      <formula>"Towel"</formula>
    </cfRule>
  </conditionalFormatting>
  <conditionalFormatting sqref="C111">
    <cfRule type="cellIs" dxfId="13537" priority="5521" stopIfTrue="1" operator="equal">
      <formula>"Towel"</formula>
    </cfRule>
    <cfRule type="cellIs" dxfId="13536" priority="5522" stopIfTrue="1" operator="equal">
      <formula>"Napkin Hs"</formula>
    </cfRule>
  </conditionalFormatting>
  <conditionalFormatting sqref="B111:C111">
    <cfRule type="cellIs" dxfId="13535" priority="5519" stopIfTrue="1" operator="equal">
      <formula>"Towel"</formula>
    </cfRule>
    <cfRule type="cellIs" dxfId="13534" priority="5520" stopIfTrue="1" operator="equal">
      <formula>"Napkin Hs"</formula>
    </cfRule>
  </conditionalFormatting>
  <conditionalFormatting sqref="C111">
    <cfRule type="cellIs" dxfId="13533" priority="5517" stopIfTrue="1" operator="equal">
      <formula>"Towel"</formula>
    </cfRule>
    <cfRule type="cellIs" dxfId="13532" priority="5518" stopIfTrue="1" operator="equal">
      <formula>"Napkin Hs"</formula>
    </cfRule>
  </conditionalFormatting>
  <conditionalFormatting sqref="C111">
    <cfRule type="cellIs" dxfId="13531" priority="5515" stopIfTrue="1" operator="equal">
      <formula>"Towel"</formula>
    </cfRule>
    <cfRule type="cellIs" dxfId="13530" priority="5516" stopIfTrue="1" operator="equal">
      <formula>"Napkin Hs"</formula>
    </cfRule>
  </conditionalFormatting>
  <conditionalFormatting sqref="B111:C111">
    <cfRule type="cellIs" dxfId="13529" priority="5513" stopIfTrue="1" operator="equal">
      <formula>"Towel"</formula>
    </cfRule>
    <cfRule type="cellIs" dxfId="13528" priority="5514" stopIfTrue="1" operator="equal">
      <formula>"Napkin Hs"</formula>
    </cfRule>
  </conditionalFormatting>
  <conditionalFormatting sqref="C111">
    <cfRule type="cellIs" dxfId="13527" priority="5511" stopIfTrue="1" operator="equal">
      <formula>"Towel"</formula>
    </cfRule>
    <cfRule type="cellIs" dxfId="13526" priority="5512" stopIfTrue="1" operator="equal">
      <formula>"Napkin Hs"</formula>
    </cfRule>
  </conditionalFormatting>
  <conditionalFormatting sqref="C111">
    <cfRule type="cellIs" dxfId="13525" priority="5509" stopIfTrue="1" operator="equal">
      <formula>"Towel"</formula>
    </cfRule>
    <cfRule type="cellIs" dxfId="13524" priority="5510" stopIfTrue="1" operator="equal">
      <formula>"Napkin Hs"</formula>
    </cfRule>
  </conditionalFormatting>
  <conditionalFormatting sqref="B111:C111">
    <cfRule type="cellIs" dxfId="13523" priority="5507" stopIfTrue="1" operator="equal">
      <formula>"Towel"</formula>
    </cfRule>
    <cfRule type="cellIs" dxfId="13522" priority="5508" stopIfTrue="1" operator="equal">
      <formula>"Napkin Hs"</formula>
    </cfRule>
  </conditionalFormatting>
  <conditionalFormatting sqref="C111">
    <cfRule type="cellIs" dxfId="13521" priority="5505" stopIfTrue="1" operator="equal">
      <formula>"Towel"</formula>
    </cfRule>
    <cfRule type="cellIs" dxfId="13520" priority="5506" stopIfTrue="1" operator="equal">
      <formula>"Napkin Hs"</formula>
    </cfRule>
  </conditionalFormatting>
  <conditionalFormatting sqref="C111">
    <cfRule type="cellIs" dxfId="13519" priority="5503" stopIfTrue="1" operator="equal">
      <formula>"Towel"</formula>
    </cfRule>
    <cfRule type="cellIs" dxfId="13518" priority="5504" stopIfTrue="1" operator="equal">
      <formula>"Napkin Hs"</formula>
    </cfRule>
  </conditionalFormatting>
  <conditionalFormatting sqref="B111:C111">
    <cfRule type="cellIs" dxfId="13517" priority="5501" stopIfTrue="1" operator="equal">
      <formula>"Towel"</formula>
    </cfRule>
    <cfRule type="cellIs" dxfId="13516" priority="5502" stopIfTrue="1" operator="equal">
      <formula>"Napkin Hs"</formula>
    </cfRule>
  </conditionalFormatting>
  <conditionalFormatting sqref="C111">
    <cfRule type="cellIs" dxfId="13515" priority="5499" stopIfTrue="1" operator="equal">
      <formula>"Towel"</formula>
    </cfRule>
    <cfRule type="cellIs" dxfId="13514" priority="5500" stopIfTrue="1" operator="equal">
      <formula>"Napkin Hs"</formula>
    </cfRule>
  </conditionalFormatting>
  <conditionalFormatting sqref="C111">
    <cfRule type="cellIs" dxfId="13513" priority="5497" stopIfTrue="1" operator="equal">
      <formula>"Towel"</formula>
    </cfRule>
    <cfRule type="cellIs" dxfId="13512" priority="5498" stopIfTrue="1" operator="equal">
      <formula>"Napkin Hs"</formula>
    </cfRule>
  </conditionalFormatting>
  <conditionalFormatting sqref="B111:C111">
    <cfRule type="cellIs" dxfId="13511" priority="5495" stopIfTrue="1" operator="equal">
      <formula>"Towel"</formula>
    </cfRule>
    <cfRule type="cellIs" dxfId="13510" priority="5496" stopIfTrue="1" operator="equal">
      <formula>"Napkin Hs"</formula>
    </cfRule>
  </conditionalFormatting>
  <conditionalFormatting sqref="C111">
    <cfRule type="cellIs" dxfId="13509" priority="5493" stopIfTrue="1" operator="equal">
      <formula>"Towel"</formula>
    </cfRule>
    <cfRule type="cellIs" dxfId="13508" priority="5494" stopIfTrue="1" operator="equal">
      <formula>"Napkin Hs"</formula>
    </cfRule>
  </conditionalFormatting>
  <conditionalFormatting sqref="C111">
    <cfRule type="cellIs" dxfId="13507" priority="5491" stopIfTrue="1" operator="equal">
      <formula>"Towel"</formula>
    </cfRule>
    <cfRule type="cellIs" dxfId="13506" priority="5492" stopIfTrue="1" operator="equal">
      <formula>"Napkin Hs"</formula>
    </cfRule>
  </conditionalFormatting>
  <conditionalFormatting sqref="B111:C111">
    <cfRule type="cellIs" dxfId="13505" priority="5490" stopIfTrue="1" operator="equal">
      <formula>"Napkin Hs"</formula>
    </cfRule>
  </conditionalFormatting>
  <conditionalFormatting sqref="B111:C111">
    <cfRule type="cellIs" dxfId="13504" priority="5489" stopIfTrue="1" operator="equal">
      <formula>"Towel"</formula>
    </cfRule>
  </conditionalFormatting>
  <conditionalFormatting sqref="C111">
    <cfRule type="cellIs" dxfId="13503" priority="5488" stopIfTrue="1" operator="equal">
      <formula>"Napkin Hs"</formula>
    </cfRule>
  </conditionalFormatting>
  <conditionalFormatting sqref="C111">
    <cfRule type="cellIs" dxfId="13502" priority="5485" stopIfTrue="1" operator="equal">
      <formula>"Towel"</formula>
    </cfRule>
    <cfRule type="cellIs" dxfId="13501" priority="5486" stopIfTrue="1" operator="equal">
      <formula>"Napkin Hs"</formula>
    </cfRule>
  </conditionalFormatting>
  <conditionalFormatting sqref="C111">
    <cfRule type="cellIs" dxfId="13500" priority="5487" stopIfTrue="1" operator="equal">
      <formula>"Towel"</formula>
    </cfRule>
  </conditionalFormatting>
  <conditionalFormatting sqref="B111:C111">
    <cfRule type="cellIs" dxfId="13499" priority="5484" stopIfTrue="1" operator="equal">
      <formula>"Napkin Hs"</formula>
    </cfRule>
  </conditionalFormatting>
  <conditionalFormatting sqref="B111:C111">
    <cfRule type="cellIs" dxfId="13498" priority="5483" stopIfTrue="1" operator="equal">
      <formula>"Towel"</formula>
    </cfRule>
  </conditionalFormatting>
  <conditionalFormatting sqref="C111">
    <cfRule type="cellIs" dxfId="13497" priority="5482" stopIfTrue="1" operator="equal">
      <formula>"Napkin Hs"</formula>
    </cfRule>
  </conditionalFormatting>
  <conditionalFormatting sqref="C111">
    <cfRule type="cellIs" dxfId="13496" priority="5481" stopIfTrue="1" operator="equal">
      <formula>"Towel"</formula>
    </cfRule>
  </conditionalFormatting>
  <conditionalFormatting sqref="C111">
    <cfRule type="cellIs" dxfId="13495" priority="5479" stopIfTrue="1" operator="equal">
      <formula>"Towel"</formula>
    </cfRule>
    <cfRule type="cellIs" dxfId="13494" priority="5480" stopIfTrue="1" operator="equal">
      <formula>"Napkin Hs"</formula>
    </cfRule>
  </conditionalFormatting>
  <conditionalFormatting sqref="C111">
    <cfRule type="cellIs" dxfId="13493" priority="5473" stopIfTrue="1" operator="equal">
      <formula>"Towel"</formula>
    </cfRule>
    <cfRule type="cellIs" dxfId="13492" priority="5474" stopIfTrue="1" operator="equal">
      <formula>"Napkin Hs"</formula>
    </cfRule>
  </conditionalFormatting>
  <conditionalFormatting sqref="B111:C111">
    <cfRule type="cellIs" dxfId="13491" priority="5472" stopIfTrue="1" operator="equal">
      <formula>"Napkin Hs"</formula>
    </cfRule>
  </conditionalFormatting>
  <conditionalFormatting sqref="B111:C111">
    <cfRule type="cellIs" dxfId="13490" priority="5471" stopIfTrue="1" operator="equal">
      <formula>"Towel"</formula>
    </cfRule>
  </conditionalFormatting>
  <conditionalFormatting sqref="C111">
    <cfRule type="cellIs" dxfId="13489" priority="5470" stopIfTrue="1" operator="equal">
      <formula>"Napkin Hs"</formula>
    </cfRule>
  </conditionalFormatting>
  <conditionalFormatting sqref="C111">
    <cfRule type="cellIs" dxfId="13488" priority="5469" stopIfTrue="1" operator="equal">
      <formula>"Towel"</formula>
    </cfRule>
  </conditionalFormatting>
  <conditionalFormatting sqref="C111">
    <cfRule type="cellIs" dxfId="13487" priority="5467" stopIfTrue="1" operator="equal">
      <formula>"Towel"</formula>
    </cfRule>
    <cfRule type="cellIs" dxfId="13486" priority="5468" stopIfTrue="1" operator="equal">
      <formula>"Napkin Hs"</formula>
    </cfRule>
  </conditionalFormatting>
  <conditionalFormatting sqref="C111">
    <cfRule type="cellIs" dxfId="13485" priority="5461" stopIfTrue="1" operator="equal">
      <formula>"Towel"</formula>
    </cfRule>
    <cfRule type="cellIs" dxfId="13484" priority="5462" stopIfTrue="1" operator="equal">
      <formula>"Napkin Hs"</formula>
    </cfRule>
  </conditionalFormatting>
  <conditionalFormatting sqref="C111">
    <cfRule type="cellIs" dxfId="13483" priority="5455" stopIfTrue="1" operator="equal">
      <formula>"Towel"</formula>
    </cfRule>
    <cfRule type="cellIs" dxfId="13482" priority="5456" stopIfTrue="1" operator="equal">
      <formula>"Napkin Hs"</formula>
    </cfRule>
  </conditionalFormatting>
  <conditionalFormatting sqref="C111">
    <cfRule type="cellIs" dxfId="13481" priority="5449" stopIfTrue="1" operator="equal">
      <formula>"Towel"</formula>
    </cfRule>
    <cfRule type="cellIs" dxfId="13480" priority="5450" stopIfTrue="1" operator="equal">
      <formula>"Napkin Hs"</formula>
    </cfRule>
  </conditionalFormatting>
  <conditionalFormatting sqref="C111">
    <cfRule type="cellIs" dxfId="13479" priority="5443" stopIfTrue="1" operator="equal">
      <formula>"Towel"</formula>
    </cfRule>
    <cfRule type="cellIs" dxfId="13478" priority="5444" stopIfTrue="1" operator="equal">
      <formula>"Napkin Hs"</formula>
    </cfRule>
  </conditionalFormatting>
  <conditionalFormatting sqref="C111">
    <cfRule type="cellIs" dxfId="13477" priority="5437" stopIfTrue="1" operator="equal">
      <formula>"Towel"</formula>
    </cfRule>
    <cfRule type="cellIs" dxfId="13476" priority="5438" stopIfTrue="1" operator="equal">
      <formula>"Napkin Hs"</formula>
    </cfRule>
  </conditionalFormatting>
  <conditionalFormatting sqref="B111:C111">
    <cfRule type="cellIs" dxfId="13475" priority="5436" stopIfTrue="1" operator="equal">
      <formula>"Napkin Hs"</formula>
    </cfRule>
  </conditionalFormatting>
  <conditionalFormatting sqref="B111:C111">
    <cfRule type="cellIs" dxfId="13474" priority="5435" stopIfTrue="1" operator="equal">
      <formula>"Towel"</formula>
    </cfRule>
  </conditionalFormatting>
  <conditionalFormatting sqref="C111">
    <cfRule type="cellIs" dxfId="13473" priority="5434" stopIfTrue="1" operator="equal">
      <formula>"Napkin Hs"</formula>
    </cfRule>
  </conditionalFormatting>
  <conditionalFormatting sqref="C111">
    <cfRule type="cellIs" dxfId="13472" priority="5431" stopIfTrue="1" operator="equal">
      <formula>"Towel"</formula>
    </cfRule>
    <cfRule type="cellIs" dxfId="13471" priority="5432" stopIfTrue="1" operator="equal">
      <formula>"Napkin Hs"</formula>
    </cfRule>
  </conditionalFormatting>
  <conditionalFormatting sqref="C111">
    <cfRule type="cellIs" dxfId="13470" priority="5433" stopIfTrue="1" operator="equal">
      <formula>"Towel"</formula>
    </cfRule>
  </conditionalFormatting>
  <conditionalFormatting sqref="B111:C111">
    <cfRule type="cellIs" dxfId="13469" priority="5430" stopIfTrue="1" operator="equal">
      <formula>"Napkin Hs"</formula>
    </cfRule>
  </conditionalFormatting>
  <conditionalFormatting sqref="B111:C111">
    <cfRule type="cellIs" dxfId="13468" priority="5429" stopIfTrue="1" operator="equal">
      <formula>"Towel"</formula>
    </cfRule>
  </conditionalFormatting>
  <conditionalFormatting sqref="C111">
    <cfRule type="cellIs" dxfId="13467" priority="5428" stopIfTrue="1" operator="equal">
      <formula>"Napkin Hs"</formula>
    </cfRule>
  </conditionalFormatting>
  <conditionalFormatting sqref="C111">
    <cfRule type="cellIs" dxfId="13466" priority="5425" stopIfTrue="1" operator="equal">
      <formula>"Towel"</formula>
    </cfRule>
    <cfRule type="cellIs" dxfId="13465" priority="5426" stopIfTrue="1" operator="equal">
      <formula>"Napkin Hs"</formula>
    </cfRule>
  </conditionalFormatting>
  <conditionalFormatting sqref="C111">
    <cfRule type="cellIs" dxfId="13464" priority="5427" stopIfTrue="1" operator="equal">
      <formula>"Towel"</formula>
    </cfRule>
  </conditionalFormatting>
  <conditionalFormatting sqref="B111:C111">
    <cfRule type="cellIs" dxfId="13463" priority="5477" stopIfTrue="1" operator="equal">
      <formula>"Towel"</formula>
    </cfRule>
    <cfRule type="cellIs" dxfId="13462" priority="5478" stopIfTrue="1" operator="equal">
      <formula>"Napkin Hs"</formula>
    </cfRule>
  </conditionalFormatting>
  <conditionalFormatting sqref="C111">
    <cfRule type="cellIs" dxfId="13461" priority="5475" stopIfTrue="1" operator="equal">
      <formula>"Towel"</formula>
    </cfRule>
    <cfRule type="cellIs" dxfId="13460" priority="5476" stopIfTrue="1" operator="equal">
      <formula>"Napkin Hs"</formula>
    </cfRule>
  </conditionalFormatting>
  <conditionalFormatting sqref="B111:C111">
    <cfRule type="cellIs" dxfId="13459" priority="5465" stopIfTrue="1" operator="equal">
      <formula>"Towel"</formula>
    </cfRule>
    <cfRule type="cellIs" dxfId="13458" priority="5466" stopIfTrue="1" operator="equal">
      <formula>"Napkin Hs"</formula>
    </cfRule>
  </conditionalFormatting>
  <conditionalFormatting sqref="C111">
    <cfRule type="cellIs" dxfId="13457" priority="5463" stopIfTrue="1" operator="equal">
      <formula>"Towel"</formula>
    </cfRule>
    <cfRule type="cellIs" dxfId="13456" priority="5464" stopIfTrue="1" operator="equal">
      <formula>"Napkin Hs"</formula>
    </cfRule>
  </conditionalFormatting>
  <conditionalFormatting sqref="B111:C111">
    <cfRule type="cellIs" dxfId="13455" priority="5459" stopIfTrue="1" operator="equal">
      <formula>"Towel"</formula>
    </cfRule>
    <cfRule type="cellIs" dxfId="13454" priority="5460" stopIfTrue="1" operator="equal">
      <formula>"Napkin Hs"</formula>
    </cfRule>
  </conditionalFormatting>
  <conditionalFormatting sqref="C111">
    <cfRule type="cellIs" dxfId="13453" priority="5457" stopIfTrue="1" operator="equal">
      <formula>"Towel"</formula>
    </cfRule>
    <cfRule type="cellIs" dxfId="13452" priority="5458" stopIfTrue="1" operator="equal">
      <formula>"Napkin Hs"</formula>
    </cfRule>
  </conditionalFormatting>
  <conditionalFormatting sqref="B111:C111">
    <cfRule type="cellIs" dxfId="13451" priority="5453" stopIfTrue="1" operator="equal">
      <formula>"Towel"</formula>
    </cfRule>
    <cfRule type="cellIs" dxfId="13450" priority="5454" stopIfTrue="1" operator="equal">
      <formula>"Napkin Hs"</formula>
    </cfRule>
  </conditionalFormatting>
  <conditionalFormatting sqref="C111">
    <cfRule type="cellIs" dxfId="13449" priority="5451" stopIfTrue="1" operator="equal">
      <formula>"Towel"</formula>
    </cfRule>
    <cfRule type="cellIs" dxfId="13448" priority="5452" stopIfTrue="1" operator="equal">
      <formula>"Napkin Hs"</formula>
    </cfRule>
  </conditionalFormatting>
  <conditionalFormatting sqref="B111:C111">
    <cfRule type="cellIs" dxfId="13447" priority="5447" stopIfTrue="1" operator="equal">
      <formula>"Towel"</formula>
    </cfRule>
    <cfRule type="cellIs" dxfId="13446" priority="5448" stopIfTrue="1" operator="equal">
      <formula>"Napkin Hs"</formula>
    </cfRule>
  </conditionalFormatting>
  <conditionalFormatting sqref="C111">
    <cfRule type="cellIs" dxfId="13445" priority="5445" stopIfTrue="1" operator="equal">
      <formula>"Towel"</formula>
    </cfRule>
    <cfRule type="cellIs" dxfId="13444" priority="5446" stopIfTrue="1" operator="equal">
      <formula>"Napkin Hs"</formula>
    </cfRule>
  </conditionalFormatting>
  <conditionalFormatting sqref="B111:C111">
    <cfRule type="cellIs" dxfId="13443" priority="5441" stopIfTrue="1" operator="equal">
      <formula>"Towel"</formula>
    </cfRule>
    <cfRule type="cellIs" dxfId="13442" priority="5442" stopIfTrue="1" operator="equal">
      <formula>"Napkin Hs"</formula>
    </cfRule>
  </conditionalFormatting>
  <conditionalFormatting sqref="C111">
    <cfRule type="cellIs" dxfId="13441" priority="5439" stopIfTrue="1" operator="equal">
      <formula>"Towel"</formula>
    </cfRule>
    <cfRule type="cellIs" dxfId="13440" priority="5440" stopIfTrue="1" operator="equal">
      <formula>"Napkin Hs"</formula>
    </cfRule>
  </conditionalFormatting>
  <conditionalFormatting sqref="B111:C111">
    <cfRule type="cellIs" dxfId="13439" priority="5424" stopIfTrue="1" operator="equal">
      <formula>"Napkin Hs"</formula>
    </cfRule>
  </conditionalFormatting>
  <conditionalFormatting sqref="B111:C111">
    <cfRule type="cellIs" dxfId="13438" priority="5423" stopIfTrue="1" operator="equal">
      <formula>"Towel"</formula>
    </cfRule>
  </conditionalFormatting>
  <conditionalFormatting sqref="C111">
    <cfRule type="cellIs" dxfId="13437" priority="5422" stopIfTrue="1" operator="equal">
      <formula>"Napkin Hs"</formula>
    </cfRule>
  </conditionalFormatting>
  <conditionalFormatting sqref="C111">
    <cfRule type="cellIs" dxfId="13436" priority="5419" stopIfTrue="1" operator="equal">
      <formula>"Towel"</formula>
    </cfRule>
    <cfRule type="cellIs" dxfId="13435" priority="5420" stopIfTrue="1" operator="equal">
      <formula>"Napkin Hs"</formula>
    </cfRule>
  </conditionalFormatting>
  <conditionalFormatting sqref="C111">
    <cfRule type="cellIs" dxfId="13434" priority="5421" stopIfTrue="1" operator="equal">
      <formula>"Towel"</formula>
    </cfRule>
  </conditionalFormatting>
  <conditionalFormatting sqref="C120">
    <cfRule type="cellIs" dxfId="13433" priority="5415" stopIfTrue="1" operator="equal">
      <formula>"Towel"</formula>
    </cfRule>
    <cfRule type="cellIs" dxfId="13432" priority="5416" stopIfTrue="1" operator="equal">
      <formula>"Napkin Hs"</formula>
    </cfRule>
  </conditionalFormatting>
  <conditionalFormatting sqref="B120:C120">
    <cfRule type="cellIs" dxfId="13431" priority="5417" stopIfTrue="1" operator="equal">
      <formula>"Towel"</formula>
    </cfRule>
    <cfRule type="cellIs" dxfId="13430" priority="5418" stopIfTrue="1" operator="equal">
      <formula>"Napkin Hs"</formula>
    </cfRule>
  </conditionalFormatting>
  <conditionalFormatting sqref="C120">
    <cfRule type="cellIs" dxfId="13429" priority="5413" stopIfTrue="1" operator="equal">
      <formula>"Towel"</formula>
    </cfRule>
    <cfRule type="cellIs" dxfId="13428" priority="5414" stopIfTrue="1" operator="equal">
      <formula>"Napkin Hs"</formula>
    </cfRule>
  </conditionalFormatting>
  <conditionalFormatting sqref="B120:C120">
    <cfRule type="cellIs" dxfId="13427" priority="5411" stopIfTrue="1" operator="equal">
      <formula>"Towel"</formula>
    </cfRule>
    <cfRule type="cellIs" dxfId="13426" priority="5412" stopIfTrue="1" operator="equal">
      <formula>"Napkin Hs"</formula>
    </cfRule>
  </conditionalFormatting>
  <conditionalFormatting sqref="C120">
    <cfRule type="cellIs" dxfId="13425" priority="5409" stopIfTrue="1" operator="equal">
      <formula>"Towel"</formula>
    </cfRule>
    <cfRule type="cellIs" dxfId="13424" priority="5410" stopIfTrue="1" operator="equal">
      <formula>"Napkin Hs"</formula>
    </cfRule>
  </conditionalFormatting>
  <conditionalFormatting sqref="C120">
    <cfRule type="cellIs" dxfId="13423" priority="5407" stopIfTrue="1" operator="equal">
      <formula>"Towel"</formula>
    </cfRule>
    <cfRule type="cellIs" dxfId="13422" priority="5408" stopIfTrue="1" operator="equal">
      <formula>"Napkin Hs"</formula>
    </cfRule>
  </conditionalFormatting>
  <conditionalFormatting sqref="B119:C119">
    <cfRule type="cellIs" dxfId="13421" priority="5406" stopIfTrue="1" operator="equal">
      <formula>"Napkin Hs"</formula>
    </cfRule>
  </conditionalFormatting>
  <conditionalFormatting sqref="B119:C119">
    <cfRule type="cellIs" dxfId="13420" priority="5405" stopIfTrue="1" operator="equal">
      <formula>"Towel"</formula>
    </cfRule>
  </conditionalFormatting>
  <conditionalFormatting sqref="C119">
    <cfRule type="cellIs" dxfId="13419" priority="5404" stopIfTrue="1" operator="equal">
      <formula>"Napkin Hs"</formula>
    </cfRule>
  </conditionalFormatting>
  <conditionalFormatting sqref="C119">
    <cfRule type="cellIs" dxfId="13418" priority="5403" stopIfTrue="1" operator="equal">
      <formula>"Towel"</formula>
    </cfRule>
  </conditionalFormatting>
  <conditionalFormatting sqref="C119">
    <cfRule type="cellIs" dxfId="13417" priority="5401" stopIfTrue="1" operator="equal">
      <formula>"Towel"</formula>
    </cfRule>
    <cfRule type="cellIs" dxfId="13416" priority="5402" stopIfTrue="1" operator="equal">
      <formula>"Napkin Hs"</formula>
    </cfRule>
  </conditionalFormatting>
  <conditionalFormatting sqref="B119:C119">
    <cfRule type="cellIs" dxfId="13415" priority="5399" stopIfTrue="1" operator="equal">
      <formula>"Towel"</formula>
    </cfRule>
    <cfRule type="cellIs" dxfId="13414" priority="5400" stopIfTrue="1" operator="equal">
      <formula>"Napkin Hs"</formula>
    </cfRule>
  </conditionalFormatting>
  <conditionalFormatting sqref="C119">
    <cfRule type="cellIs" dxfId="13413" priority="5395" stopIfTrue="1" operator="equal">
      <formula>"Towel"</formula>
    </cfRule>
    <cfRule type="cellIs" dxfId="13412" priority="5396" stopIfTrue="1" operator="equal">
      <formula>"Napkin Hs"</formula>
    </cfRule>
  </conditionalFormatting>
  <conditionalFormatting sqref="C119">
    <cfRule type="cellIs" dxfId="13411" priority="5397" stopIfTrue="1" operator="equal">
      <formula>"Towel"</formula>
    </cfRule>
    <cfRule type="cellIs" dxfId="13410" priority="5398" stopIfTrue="1" operator="equal">
      <formula>"Napkin Hs"</formula>
    </cfRule>
  </conditionalFormatting>
  <conditionalFormatting sqref="B119:C119">
    <cfRule type="cellIs" dxfId="13409" priority="5394" stopIfTrue="1" operator="equal">
      <formula>"Napkin Hs"</formula>
    </cfRule>
  </conditionalFormatting>
  <conditionalFormatting sqref="B119:C119">
    <cfRule type="cellIs" dxfId="13408" priority="5393" stopIfTrue="1" operator="equal">
      <formula>"Towel"</formula>
    </cfRule>
  </conditionalFormatting>
  <conditionalFormatting sqref="C119">
    <cfRule type="cellIs" dxfId="13407" priority="5392" stopIfTrue="1" operator="equal">
      <formula>"Napkin Hs"</formula>
    </cfRule>
  </conditionalFormatting>
  <conditionalFormatting sqref="C119">
    <cfRule type="cellIs" dxfId="13406" priority="5391" stopIfTrue="1" operator="equal">
      <formula>"Towel"</formula>
    </cfRule>
  </conditionalFormatting>
  <conditionalFormatting sqref="C119">
    <cfRule type="cellIs" dxfId="13405" priority="5389" stopIfTrue="1" operator="equal">
      <formula>"Towel"</formula>
    </cfRule>
    <cfRule type="cellIs" dxfId="13404" priority="5390" stopIfTrue="1" operator="equal">
      <formula>"Napkin Hs"</formula>
    </cfRule>
  </conditionalFormatting>
  <conditionalFormatting sqref="B119:C119">
    <cfRule type="cellIs" dxfId="13403" priority="5387" stopIfTrue="1" operator="equal">
      <formula>"Towel"</formula>
    </cfRule>
    <cfRule type="cellIs" dxfId="13402" priority="5388" stopIfTrue="1" operator="equal">
      <formula>"Napkin Hs"</formula>
    </cfRule>
  </conditionalFormatting>
  <conditionalFormatting sqref="C119">
    <cfRule type="cellIs" dxfId="13401" priority="5385" stopIfTrue="1" operator="equal">
      <formula>"Towel"</formula>
    </cfRule>
    <cfRule type="cellIs" dxfId="13400" priority="5386" stopIfTrue="1" operator="equal">
      <formula>"Napkin Hs"</formula>
    </cfRule>
  </conditionalFormatting>
  <conditionalFormatting sqref="C119">
    <cfRule type="cellIs" dxfId="13399" priority="5383" stopIfTrue="1" operator="equal">
      <formula>"Towel"</formula>
    </cfRule>
    <cfRule type="cellIs" dxfId="13398" priority="5384" stopIfTrue="1" operator="equal">
      <formula>"Napkin Hs"</formula>
    </cfRule>
  </conditionalFormatting>
  <conditionalFormatting sqref="B119:C119">
    <cfRule type="cellIs" dxfId="13397" priority="5381" stopIfTrue="1" operator="equal">
      <formula>"Towel"</formula>
    </cfRule>
    <cfRule type="cellIs" dxfId="13396" priority="5382" stopIfTrue="1" operator="equal">
      <formula>"Napkin Hs"</formula>
    </cfRule>
  </conditionalFormatting>
  <conditionalFormatting sqref="C119">
    <cfRule type="cellIs" dxfId="13395" priority="5379" stopIfTrue="1" operator="equal">
      <formula>"Towel"</formula>
    </cfRule>
    <cfRule type="cellIs" dxfId="13394" priority="5380" stopIfTrue="1" operator="equal">
      <formula>"Napkin Hs"</formula>
    </cfRule>
  </conditionalFormatting>
  <conditionalFormatting sqref="C119">
    <cfRule type="cellIs" dxfId="13393" priority="5377" stopIfTrue="1" operator="equal">
      <formula>"Towel"</formula>
    </cfRule>
    <cfRule type="cellIs" dxfId="13392" priority="5378" stopIfTrue="1" operator="equal">
      <formula>"Napkin Hs"</formula>
    </cfRule>
  </conditionalFormatting>
  <conditionalFormatting sqref="B119:C119">
    <cfRule type="cellIs" dxfId="13391" priority="5375" stopIfTrue="1" operator="equal">
      <formula>"Towel"</formula>
    </cfRule>
    <cfRule type="cellIs" dxfId="13390" priority="5376" stopIfTrue="1" operator="equal">
      <formula>"Napkin Hs"</formula>
    </cfRule>
  </conditionalFormatting>
  <conditionalFormatting sqref="C119">
    <cfRule type="cellIs" dxfId="13389" priority="5373" stopIfTrue="1" operator="equal">
      <formula>"Towel"</formula>
    </cfRule>
    <cfRule type="cellIs" dxfId="13388" priority="5374" stopIfTrue="1" operator="equal">
      <formula>"Napkin Hs"</formula>
    </cfRule>
  </conditionalFormatting>
  <conditionalFormatting sqref="C119">
    <cfRule type="cellIs" dxfId="13387" priority="5371" stopIfTrue="1" operator="equal">
      <formula>"Towel"</formula>
    </cfRule>
    <cfRule type="cellIs" dxfId="13386" priority="5372" stopIfTrue="1" operator="equal">
      <formula>"Napkin Hs"</formula>
    </cfRule>
  </conditionalFormatting>
  <conditionalFormatting sqref="B119:C119">
    <cfRule type="cellIs" dxfId="13385" priority="5369" stopIfTrue="1" operator="equal">
      <formula>"Towel"</formula>
    </cfRule>
    <cfRule type="cellIs" dxfId="13384" priority="5370" stopIfTrue="1" operator="equal">
      <formula>"Napkin Hs"</formula>
    </cfRule>
  </conditionalFormatting>
  <conditionalFormatting sqref="C119">
    <cfRule type="cellIs" dxfId="13383" priority="5367" stopIfTrue="1" operator="equal">
      <formula>"Towel"</formula>
    </cfRule>
    <cfRule type="cellIs" dxfId="13382" priority="5368" stopIfTrue="1" operator="equal">
      <formula>"Napkin Hs"</formula>
    </cfRule>
  </conditionalFormatting>
  <conditionalFormatting sqref="C119">
    <cfRule type="cellIs" dxfId="13381" priority="5365" stopIfTrue="1" operator="equal">
      <formula>"Towel"</formula>
    </cfRule>
    <cfRule type="cellIs" dxfId="13380" priority="5366" stopIfTrue="1" operator="equal">
      <formula>"Napkin Hs"</formula>
    </cfRule>
  </conditionalFormatting>
  <conditionalFormatting sqref="B119:C119">
    <cfRule type="cellIs" dxfId="13379" priority="5363" stopIfTrue="1" operator="equal">
      <formula>"Towel"</formula>
    </cfRule>
    <cfRule type="cellIs" dxfId="13378" priority="5364" stopIfTrue="1" operator="equal">
      <formula>"Napkin Hs"</formula>
    </cfRule>
  </conditionalFormatting>
  <conditionalFormatting sqref="C119">
    <cfRule type="cellIs" dxfId="13377" priority="5361" stopIfTrue="1" operator="equal">
      <formula>"Towel"</formula>
    </cfRule>
    <cfRule type="cellIs" dxfId="13376" priority="5362" stopIfTrue="1" operator="equal">
      <formula>"Napkin Hs"</formula>
    </cfRule>
  </conditionalFormatting>
  <conditionalFormatting sqref="C119">
    <cfRule type="cellIs" dxfId="13375" priority="5359" stopIfTrue="1" operator="equal">
      <formula>"Towel"</formula>
    </cfRule>
    <cfRule type="cellIs" dxfId="13374" priority="5360" stopIfTrue="1" operator="equal">
      <formula>"Napkin Hs"</formula>
    </cfRule>
  </conditionalFormatting>
  <conditionalFormatting sqref="B119:C119">
    <cfRule type="cellIs" dxfId="13373" priority="5358" stopIfTrue="1" operator="equal">
      <formula>"Napkin Hs"</formula>
    </cfRule>
  </conditionalFormatting>
  <conditionalFormatting sqref="B119:C119">
    <cfRule type="cellIs" dxfId="13372" priority="5357" stopIfTrue="1" operator="equal">
      <formula>"Towel"</formula>
    </cfRule>
  </conditionalFormatting>
  <conditionalFormatting sqref="C119">
    <cfRule type="cellIs" dxfId="13371" priority="5356" stopIfTrue="1" operator="equal">
      <formula>"Napkin Hs"</formula>
    </cfRule>
  </conditionalFormatting>
  <conditionalFormatting sqref="C119">
    <cfRule type="cellIs" dxfId="13370" priority="5353" stopIfTrue="1" operator="equal">
      <formula>"Towel"</formula>
    </cfRule>
    <cfRule type="cellIs" dxfId="13369" priority="5354" stopIfTrue="1" operator="equal">
      <formula>"Napkin Hs"</formula>
    </cfRule>
  </conditionalFormatting>
  <conditionalFormatting sqref="C119">
    <cfRule type="cellIs" dxfId="13368" priority="5355" stopIfTrue="1" operator="equal">
      <formula>"Towel"</formula>
    </cfRule>
  </conditionalFormatting>
  <conditionalFormatting sqref="C118">
    <cfRule type="cellIs" dxfId="13367" priority="5223" stopIfTrue="1" operator="equal">
      <formula>"Towel"</formula>
    </cfRule>
    <cfRule type="cellIs" dxfId="13366" priority="5224" stopIfTrue="1" operator="equal">
      <formula>"Napkin Hs"</formula>
    </cfRule>
  </conditionalFormatting>
  <conditionalFormatting sqref="B118:C118">
    <cfRule type="cellIs" dxfId="13365" priority="5225" stopIfTrue="1" operator="equal">
      <formula>"Towel"</formula>
    </cfRule>
    <cfRule type="cellIs" dxfId="13364" priority="5226" stopIfTrue="1" operator="equal">
      <formula>"Napkin Hs"</formula>
    </cfRule>
  </conditionalFormatting>
  <conditionalFormatting sqref="C118">
    <cfRule type="cellIs" dxfId="13363" priority="5221" stopIfTrue="1" operator="equal">
      <formula>"Towel"</formula>
    </cfRule>
    <cfRule type="cellIs" dxfId="13362" priority="5222" stopIfTrue="1" operator="equal">
      <formula>"Napkin Hs"</formula>
    </cfRule>
  </conditionalFormatting>
  <conditionalFormatting sqref="C118">
    <cfRule type="cellIs" dxfId="13361" priority="5215" stopIfTrue="1" operator="equal">
      <formula>"Towel"</formula>
    </cfRule>
    <cfRule type="cellIs" dxfId="13360" priority="5216" stopIfTrue="1" operator="equal">
      <formula>"Napkin Hs"</formula>
    </cfRule>
  </conditionalFormatting>
  <conditionalFormatting sqref="B118">
    <cfRule type="cellIs" dxfId="13359" priority="5340" stopIfTrue="1" operator="equal">
      <formula>"Napkin Hs"</formula>
    </cfRule>
  </conditionalFormatting>
  <conditionalFormatting sqref="B118">
    <cfRule type="cellIs" dxfId="13358" priority="5339" stopIfTrue="1" operator="equal">
      <formula>"Towel"</formula>
    </cfRule>
  </conditionalFormatting>
  <conditionalFormatting sqref="B118">
    <cfRule type="cellIs" dxfId="13357" priority="5337" stopIfTrue="1" operator="equal">
      <formula>"Towel"</formula>
    </cfRule>
    <cfRule type="cellIs" dxfId="13356" priority="5338" stopIfTrue="1" operator="equal">
      <formula>"Napkin Hs"</formula>
    </cfRule>
  </conditionalFormatting>
  <conditionalFormatting sqref="B118">
    <cfRule type="cellIs" dxfId="13355" priority="5336" stopIfTrue="1" operator="equal">
      <formula>"Napkin Hs"</formula>
    </cfRule>
  </conditionalFormatting>
  <conditionalFormatting sqref="B118">
    <cfRule type="cellIs" dxfId="13354" priority="5335" stopIfTrue="1" operator="equal">
      <formula>"Towel"</formula>
    </cfRule>
  </conditionalFormatting>
  <conditionalFormatting sqref="B118">
    <cfRule type="cellIs" dxfId="13353" priority="5333" stopIfTrue="1" operator="equal">
      <formula>"Towel"</formula>
    </cfRule>
    <cfRule type="cellIs" dxfId="13352" priority="5334" stopIfTrue="1" operator="equal">
      <formula>"Napkin Hs"</formula>
    </cfRule>
  </conditionalFormatting>
  <conditionalFormatting sqref="B118">
    <cfRule type="cellIs" dxfId="13351" priority="5331" stopIfTrue="1" operator="equal">
      <formula>"Towel"</formula>
    </cfRule>
    <cfRule type="cellIs" dxfId="13350" priority="5332" stopIfTrue="1" operator="equal">
      <formula>"Napkin Hs"</formula>
    </cfRule>
  </conditionalFormatting>
  <conditionalFormatting sqref="B118">
    <cfRule type="cellIs" dxfId="13349" priority="5329" stopIfTrue="1" operator="equal">
      <formula>"Towel"</formula>
    </cfRule>
    <cfRule type="cellIs" dxfId="13348" priority="5330" stopIfTrue="1" operator="equal">
      <formula>"Napkin Hs"</formula>
    </cfRule>
  </conditionalFormatting>
  <conditionalFormatting sqref="B118">
    <cfRule type="cellIs" dxfId="13347" priority="5327" stopIfTrue="1" operator="equal">
      <formula>"Towel"</formula>
    </cfRule>
    <cfRule type="cellIs" dxfId="13346" priority="5328" stopIfTrue="1" operator="equal">
      <formula>"Napkin Hs"</formula>
    </cfRule>
  </conditionalFormatting>
  <conditionalFormatting sqref="B118">
    <cfRule type="cellIs" dxfId="13345" priority="5325" stopIfTrue="1" operator="equal">
      <formula>"Towel"</formula>
    </cfRule>
    <cfRule type="cellIs" dxfId="13344" priority="5326" stopIfTrue="1" operator="equal">
      <formula>"Napkin Hs"</formula>
    </cfRule>
  </conditionalFormatting>
  <conditionalFormatting sqref="B118">
    <cfRule type="cellIs" dxfId="13343" priority="5324" stopIfTrue="1" operator="equal">
      <formula>"Napkin Hs"</formula>
    </cfRule>
  </conditionalFormatting>
  <conditionalFormatting sqref="B118">
    <cfRule type="cellIs" dxfId="13342" priority="5323" stopIfTrue="1" operator="equal">
      <formula>"Towel"</formula>
    </cfRule>
  </conditionalFormatting>
  <conditionalFormatting sqref="C118">
    <cfRule type="cellIs" dxfId="13341" priority="5322" stopIfTrue="1" operator="equal">
      <formula>"Napkin Hs"</formula>
    </cfRule>
  </conditionalFormatting>
  <conditionalFormatting sqref="C118">
    <cfRule type="cellIs" dxfId="13340" priority="5321" stopIfTrue="1" operator="equal">
      <formula>"Towel"</formula>
    </cfRule>
  </conditionalFormatting>
  <conditionalFormatting sqref="C118">
    <cfRule type="cellIs" dxfId="13339" priority="5320" stopIfTrue="1" operator="equal">
      <formula>"Napkin Hs"</formula>
    </cfRule>
  </conditionalFormatting>
  <conditionalFormatting sqref="C118">
    <cfRule type="cellIs" dxfId="13338" priority="5319" stopIfTrue="1" operator="equal">
      <formula>"Towel"</formula>
    </cfRule>
  </conditionalFormatting>
  <conditionalFormatting sqref="C118">
    <cfRule type="cellIs" dxfId="13337" priority="5317" stopIfTrue="1" operator="equal">
      <formula>"Towel"</formula>
    </cfRule>
    <cfRule type="cellIs" dxfId="13336" priority="5318" stopIfTrue="1" operator="equal">
      <formula>"Napkin Hs"</formula>
    </cfRule>
  </conditionalFormatting>
  <conditionalFormatting sqref="C118">
    <cfRule type="cellIs" dxfId="13335" priority="5315" stopIfTrue="1" operator="equal">
      <formula>"Towel"</formula>
    </cfRule>
    <cfRule type="cellIs" dxfId="13334" priority="5316" stopIfTrue="1" operator="equal">
      <formula>"Napkin Hs"</formula>
    </cfRule>
  </conditionalFormatting>
  <conditionalFormatting sqref="C118">
    <cfRule type="cellIs" dxfId="13333" priority="5311" stopIfTrue="1" operator="equal">
      <formula>"Towel"</formula>
    </cfRule>
    <cfRule type="cellIs" dxfId="13332" priority="5312" stopIfTrue="1" operator="equal">
      <formula>"Napkin Hs"</formula>
    </cfRule>
  </conditionalFormatting>
  <conditionalFormatting sqref="C118">
    <cfRule type="cellIs" dxfId="13331" priority="5313" stopIfTrue="1" operator="equal">
      <formula>"Towel"</formula>
    </cfRule>
    <cfRule type="cellIs" dxfId="13330" priority="5314" stopIfTrue="1" operator="equal">
      <formula>"Napkin Hs"</formula>
    </cfRule>
  </conditionalFormatting>
  <conditionalFormatting sqref="C118">
    <cfRule type="cellIs" dxfId="13329" priority="5310" stopIfTrue="1" operator="equal">
      <formula>"Napkin Hs"</formula>
    </cfRule>
  </conditionalFormatting>
  <conditionalFormatting sqref="C118">
    <cfRule type="cellIs" dxfId="13328" priority="5309" stopIfTrue="1" operator="equal">
      <formula>"Towel"</formula>
    </cfRule>
  </conditionalFormatting>
  <conditionalFormatting sqref="C118">
    <cfRule type="cellIs" dxfId="13327" priority="5308" stopIfTrue="1" operator="equal">
      <formula>"Napkin Hs"</formula>
    </cfRule>
  </conditionalFormatting>
  <conditionalFormatting sqref="C118">
    <cfRule type="cellIs" dxfId="13326" priority="5307" stopIfTrue="1" operator="equal">
      <formula>"Towel"</formula>
    </cfRule>
  </conditionalFormatting>
  <conditionalFormatting sqref="C118">
    <cfRule type="cellIs" dxfId="13325" priority="5305" stopIfTrue="1" operator="equal">
      <formula>"Towel"</formula>
    </cfRule>
    <cfRule type="cellIs" dxfId="13324" priority="5306" stopIfTrue="1" operator="equal">
      <formula>"Napkin Hs"</formula>
    </cfRule>
  </conditionalFormatting>
  <conditionalFormatting sqref="C118">
    <cfRule type="cellIs" dxfId="13323" priority="5303" stopIfTrue="1" operator="equal">
      <formula>"Towel"</formula>
    </cfRule>
    <cfRule type="cellIs" dxfId="13322" priority="5304" stopIfTrue="1" operator="equal">
      <formula>"Napkin Hs"</formula>
    </cfRule>
  </conditionalFormatting>
  <conditionalFormatting sqref="C118">
    <cfRule type="cellIs" dxfId="13321" priority="5301" stopIfTrue="1" operator="equal">
      <formula>"Towel"</formula>
    </cfRule>
    <cfRule type="cellIs" dxfId="13320" priority="5302" stopIfTrue="1" operator="equal">
      <formula>"Napkin Hs"</formula>
    </cfRule>
  </conditionalFormatting>
  <conditionalFormatting sqref="C118">
    <cfRule type="cellIs" dxfId="13319" priority="5299" stopIfTrue="1" operator="equal">
      <formula>"Towel"</formula>
    </cfRule>
    <cfRule type="cellIs" dxfId="13318" priority="5300" stopIfTrue="1" operator="equal">
      <formula>"Napkin Hs"</formula>
    </cfRule>
  </conditionalFormatting>
  <conditionalFormatting sqref="C118">
    <cfRule type="cellIs" dxfId="13317" priority="5297" stopIfTrue="1" operator="equal">
      <formula>"Towel"</formula>
    </cfRule>
    <cfRule type="cellIs" dxfId="13316" priority="5298" stopIfTrue="1" operator="equal">
      <formula>"Napkin Hs"</formula>
    </cfRule>
  </conditionalFormatting>
  <conditionalFormatting sqref="C118">
    <cfRule type="cellIs" dxfId="13315" priority="5295" stopIfTrue="1" operator="equal">
      <formula>"Towel"</formula>
    </cfRule>
    <cfRule type="cellIs" dxfId="13314" priority="5296" stopIfTrue="1" operator="equal">
      <formula>"Napkin Hs"</formula>
    </cfRule>
  </conditionalFormatting>
  <conditionalFormatting sqref="C118">
    <cfRule type="cellIs" dxfId="13313" priority="5293" stopIfTrue="1" operator="equal">
      <formula>"Towel"</formula>
    </cfRule>
    <cfRule type="cellIs" dxfId="13312" priority="5294" stopIfTrue="1" operator="equal">
      <formula>"Napkin Hs"</formula>
    </cfRule>
  </conditionalFormatting>
  <conditionalFormatting sqref="C118">
    <cfRule type="cellIs" dxfId="13311" priority="5291" stopIfTrue="1" operator="equal">
      <formula>"Towel"</formula>
    </cfRule>
    <cfRule type="cellIs" dxfId="13310" priority="5292" stopIfTrue="1" operator="equal">
      <formula>"Napkin Hs"</formula>
    </cfRule>
  </conditionalFormatting>
  <conditionalFormatting sqref="C118">
    <cfRule type="cellIs" dxfId="13309" priority="5289" stopIfTrue="1" operator="equal">
      <formula>"Towel"</formula>
    </cfRule>
    <cfRule type="cellIs" dxfId="13308" priority="5290" stopIfTrue="1" operator="equal">
      <formula>"Napkin Hs"</formula>
    </cfRule>
  </conditionalFormatting>
  <conditionalFormatting sqref="C118">
    <cfRule type="cellIs" dxfId="13307" priority="5287" stopIfTrue="1" operator="equal">
      <formula>"Towel"</formula>
    </cfRule>
    <cfRule type="cellIs" dxfId="13306" priority="5288" stopIfTrue="1" operator="equal">
      <formula>"Napkin Hs"</formula>
    </cfRule>
  </conditionalFormatting>
  <conditionalFormatting sqref="C118">
    <cfRule type="cellIs" dxfId="13305" priority="5285" stopIfTrue="1" operator="equal">
      <formula>"Towel"</formula>
    </cfRule>
    <cfRule type="cellIs" dxfId="13304" priority="5286" stopIfTrue="1" operator="equal">
      <formula>"Napkin Hs"</formula>
    </cfRule>
  </conditionalFormatting>
  <conditionalFormatting sqref="C118">
    <cfRule type="cellIs" dxfId="13303" priority="5283" stopIfTrue="1" operator="equal">
      <formula>"Towel"</formula>
    </cfRule>
    <cfRule type="cellIs" dxfId="13302" priority="5284" stopIfTrue="1" operator="equal">
      <formula>"Napkin Hs"</formula>
    </cfRule>
  </conditionalFormatting>
  <conditionalFormatting sqref="C118">
    <cfRule type="cellIs" dxfId="13301" priority="5281" stopIfTrue="1" operator="equal">
      <formula>"Towel"</formula>
    </cfRule>
    <cfRule type="cellIs" dxfId="13300" priority="5282" stopIfTrue="1" operator="equal">
      <formula>"Napkin Hs"</formula>
    </cfRule>
  </conditionalFormatting>
  <conditionalFormatting sqref="C118">
    <cfRule type="cellIs" dxfId="13299" priority="5279" stopIfTrue="1" operator="equal">
      <formula>"Towel"</formula>
    </cfRule>
    <cfRule type="cellIs" dxfId="13298" priority="5280" stopIfTrue="1" operator="equal">
      <formula>"Napkin Hs"</formula>
    </cfRule>
  </conditionalFormatting>
  <conditionalFormatting sqref="C118">
    <cfRule type="cellIs" dxfId="13297" priority="5277" stopIfTrue="1" operator="equal">
      <formula>"Towel"</formula>
    </cfRule>
    <cfRule type="cellIs" dxfId="13296" priority="5278" stopIfTrue="1" operator="equal">
      <formula>"Napkin Hs"</formula>
    </cfRule>
  </conditionalFormatting>
  <conditionalFormatting sqref="C118">
    <cfRule type="cellIs" dxfId="13295" priority="5275" stopIfTrue="1" operator="equal">
      <formula>"Towel"</formula>
    </cfRule>
    <cfRule type="cellIs" dxfId="13294" priority="5276" stopIfTrue="1" operator="equal">
      <formula>"Napkin Hs"</formula>
    </cfRule>
  </conditionalFormatting>
  <conditionalFormatting sqref="C118">
    <cfRule type="cellIs" dxfId="13293" priority="5274" stopIfTrue="1" operator="equal">
      <formula>"Napkin Hs"</formula>
    </cfRule>
  </conditionalFormatting>
  <conditionalFormatting sqref="C118">
    <cfRule type="cellIs" dxfId="13292" priority="5273" stopIfTrue="1" operator="equal">
      <formula>"Towel"</formula>
    </cfRule>
  </conditionalFormatting>
  <conditionalFormatting sqref="C118">
    <cfRule type="cellIs" dxfId="13291" priority="5272" stopIfTrue="1" operator="equal">
      <formula>"Napkin Hs"</formula>
    </cfRule>
  </conditionalFormatting>
  <conditionalFormatting sqref="C118">
    <cfRule type="cellIs" dxfId="13290" priority="5269" stopIfTrue="1" operator="equal">
      <formula>"Towel"</formula>
    </cfRule>
    <cfRule type="cellIs" dxfId="13289" priority="5270" stopIfTrue="1" operator="equal">
      <formula>"Napkin Hs"</formula>
    </cfRule>
  </conditionalFormatting>
  <conditionalFormatting sqref="C118">
    <cfRule type="cellIs" dxfId="13288" priority="5271" stopIfTrue="1" operator="equal">
      <formula>"Towel"</formula>
    </cfRule>
  </conditionalFormatting>
  <conditionalFormatting sqref="B118:C118">
    <cfRule type="cellIs" dxfId="13287" priority="5267" stopIfTrue="1" operator="equal">
      <formula>"Towel"</formula>
    </cfRule>
    <cfRule type="cellIs" dxfId="13286" priority="5268" stopIfTrue="1" operator="equal">
      <formula>"Napkin Hs"</formula>
    </cfRule>
  </conditionalFormatting>
  <conditionalFormatting sqref="C118">
    <cfRule type="cellIs" dxfId="13285" priority="5265" stopIfTrue="1" operator="equal">
      <formula>"Towel"</formula>
    </cfRule>
    <cfRule type="cellIs" dxfId="13284" priority="5266" stopIfTrue="1" operator="equal">
      <formula>"Napkin Hs"</formula>
    </cfRule>
  </conditionalFormatting>
  <conditionalFormatting sqref="C118">
    <cfRule type="cellIs" dxfId="13283" priority="5263" stopIfTrue="1" operator="equal">
      <formula>"Towel"</formula>
    </cfRule>
    <cfRule type="cellIs" dxfId="13282" priority="5264" stopIfTrue="1" operator="equal">
      <formula>"Napkin Hs"</formula>
    </cfRule>
  </conditionalFormatting>
  <conditionalFormatting sqref="B118:C118">
    <cfRule type="cellIs" dxfId="13281" priority="5202" stopIfTrue="1" operator="equal">
      <formula>"Napkin Hs"</formula>
    </cfRule>
  </conditionalFormatting>
  <conditionalFormatting sqref="B118:C118">
    <cfRule type="cellIs" dxfId="13280" priority="5201" stopIfTrue="1" operator="equal">
      <formula>"Towel"</formula>
    </cfRule>
  </conditionalFormatting>
  <conditionalFormatting sqref="C118">
    <cfRule type="cellIs" dxfId="13279" priority="5200" stopIfTrue="1" operator="equal">
      <formula>"Napkin Hs"</formula>
    </cfRule>
  </conditionalFormatting>
  <conditionalFormatting sqref="C118">
    <cfRule type="cellIs" dxfId="13278" priority="5197" stopIfTrue="1" operator="equal">
      <formula>"Towel"</formula>
    </cfRule>
    <cfRule type="cellIs" dxfId="13277" priority="5198" stopIfTrue="1" operator="equal">
      <formula>"Napkin Hs"</formula>
    </cfRule>
  </conditionalFormatting>
  <conditionalFormatting sqref="C118">
    <cfRule type="cellIs" dxfId="13276" priority="5199" stopIfTrue="1" operator="equal">
      <formula>"Towel"</formula>
    </cfRule>
  </conditionalFormatting>
  <conditionalFormatting sqref="B118:C118">
    <cfRule type="cellIs" dxfId="13275" priority="5262" stopIfTrue="1" operator="equal">
      <formula>"Napkin Hs"</formula>
    </cfRule>
  </conditionalFormatting>
  <conditionalFormatting sqref="B118:C118">
    <cfRule type="cellIs" dxfId="13274" priority="5261" stopIfTrue="1" operator="equal">
      <formula>"Towel"</formula>
    </cfRule>
  </conditionalFormatting>
  <conditionalFormatting sqref="C118">
    <cfRule type="cellIs" dxfId="13273" priority="5260" stopIfTrue="1" operator="equal">
      <formula>"Napkin Hs"</formula>
    </cfRule>
  </conditionalFormatting>
  <conditionalFormatting sqref="C118">
    <cfRule type="cellIs" dxfId="13272" priority="5259" stopIfTrue="1" operator="equal">
      <formula>"Towel"</formula>
    </cfRule>
  </conditionalFormatting>
  <conditionalFormatting sqref="C118">
    <cfRule type="cellIs" dxfId="13271" priority="5257" stopIfTrue="1" operator="equal">
      <formula>"Towel"</formula>
    </cfRule>
    <cfRule type="cellIs" dxfId="13270" priority="5258" stopIfTrue="1" operator="equal">
      <formula>"Napkin Hs"</formula>
    </cfRule>
  </conditionalFormatting>
  <conditionalFormatting sqref="B118:C118">
    <cfRule type="cellIs" dxfId="13269" priority="5255" stopIfTrue="1" operator="equal">
      <formula>"Towel"</formula>
    </cfRule>
    <cfRule type="cellIs" dxfId="13268" priority="5256" stopIfTrue="1" operator="equal">
      <formula>"Napkin Hs"</formula>
    </cfRule>
  </conditionalFormatting>
  <conditionalFormatting sqref="C118">
    <cfRule type="cellIs" dxfId="13267" priority="5251" stopIfTrue="1" operator="equal">
      <formula>"Towel"</formula>
    </cfRule>
    <cfRule type="cellIs" dxfId="13266" priority="5252" stopIfTrue="1" operator="equal">
      <formula>"Napkin Hs"</formula>
    </cfRule>
  </conditionalFormatting>
  <conditionalFormatting sqref="C118">
    <cfRule type="cellIs" dxfId="13265" priority="5253" stopIfTrue="1" operator="equal">
      <formula>"Towel"</formula>
    </cfRule>
    <cfRule type="cellIs" dxfId="13264" priority="5254" stopIfTrue="1" operator="equal">
      <formula>"Napkin Hs"</formula>
    </cfRule>
  </conditionalFormatting>
  <conditionalFormatting sqref="B118:C118">
    <cfRule type="cellIs" dxfId="13263" priority="5250" stopIfTrue="1" operator="equal">
      <formula>"Napkin Hs"</formula>
    </cfRule>
  </conditionalFormatting>
  <conditionalFormatting sqref="B118:C118">
    <cfRule type="cellIs" dxfId="13262" priority="5249" stopIfTrue="1" operator="equal">
      <formula>"Towel"</formula>
    </cfRule>
  </conditionalFormatting>
  <conditionalFormatting sqref="C118">
    <cfRule type="cellIs" dxfId="13261" priority="5248" stopIfTrue="1" operator="equal">
      <formula>"Napkin Hs"</formula>
    </cfRule>
  </conditionalFormatting>
  <conditionalFormatting sqref="C118">
    <cfRule type="cellIs" dxfId="13260" priority="5247" stopIfTrue="1" operator="equal">
      <formula>"Towel"</formula>
    </cfRule>
  </conditionalFormatting>
  <conditionalFormatting sqref="C118">
    <cfRule type="cellIs" dxfId="13259" priority="5245" stopIfTrue="1" operator="equal">
      <formula>"Towel"</formula>
    </cfRule>
    <cfRule type="cellIs" dxfId="13258" priority="5246" stopIfTrue="1" operator="equal">
      <formula>"Napkin Hs"</formula>
    </cfRule>
  </conditionalFormatting>
  <conditionalFormatting sqref="B118:C118">
    <cfRule type="cellIs" dxfId="13257" priority="5243" stopIfTrue="1" operator="equal">
      <formula>"Towel"</formula>
    </cfRule>
    <cfRule type="cellIs" dxfId="13256" priority="5244" stopIfTrue="1" operator="equal">
      <formula>"Napkin Hs"</formula>
    </cfRule>
  </conditionalFormatting>
  <conditionalFormatting sqref="C118">
    <cfRule type="cellIs" dxfId="13255" priority="5241" stopIfTrue="1" operator="equal">
      <formula>"Towel"</formula>
    </cfRule>
    <cfRule type="cellIs" dxfId="13254" priority="5242" stopIfTrue="1" operator="equal">
      <formula>"Napkin Hs"</formula>
    </cfRule>
  </conditionalFormatting>
  <conditionalFormatting sqref="C118">
    <cfRule type="cellIs" dxfId="13253" priority="5239" stopIfTrue="1" operator="equal">
      <formula>"Towel"</formula>
    </cfRule>
    <cfRule type="cellIs" dxfId="13252" priority="5240" stopIfTrue="1" operator="equal">
      <formula>"Napkin Hs"</formula>
    </cfRule>
  </conditionalFormatting>
  <conditionalFormatting sqref="B118:C118">
    <cfRule type="cellIs" dxfId="13251" priority="5237" stopIfTrue="1" operator="equal">
      <formula>"Towel"</formula>
    </cfRule>
    <cfRule type="cellIs" dxfId="13250" priority="5238" stopIfTrue="1" operator="equal">
      <formula>"Napkin Hs"</formula>
    </cfRule>
  </conditionalFormatting>
  <conditionalFormatting sqref="C118">
    <cfRule type="cellIs" dxfId="13249" priority="5235" stopIfTrue="1" operator="equal">
      <formula>"Towel"</formula>
    </cfRule>
    <cfRule type="cellIs" dxfId="13248" priority="5236" stopIfTrue="1" operator="equal">
      <formula>"Napkin Hs"</formula>
    </cfRule>
  </conditionalFormatting>
  <conditionalFormatting sqref="C118">
    <cfRule type="cellIs" dxfId="13247" priority="5233" stopIfTrue="1" operator="equal">
      <formula>"Towel"</formula>
    </cfRule>
    <cfRule type="cellIs" dxfId="13246" priority="5234" stopIfTrue="1" operator="equal">
      <formula>"Napkin Hs"</formula>
    </cfRule>
  </conditionalFormatting>
  <conditionalFormatting sqref="B118:C118">
    <cfRule type="cellIs" dxfId="13245" priority="5231" stopIfTrue="1" operator="equal">
      <formula>"Towel"</formula>
    </cfRule>
    <cfRule type="cellIs" dxfId="13244" priority="5232" stopIfTrue="1" operator="equal">
      <formula>"Napkin Hs"</formula>
    </cfRule>
  </conditionalFormatting>
  <conditionalFormatting sqref="C118">
    <cfRule type="cellIs" dxfId="13243" priority="5229" stopIfTrue="1" operator="equal">
      <formula>"Towel"</formula>
    </cfRule>
    <cfRule type="cellIs" dxfId="13242" priority="5230" stopIfTrue="1" operator="equal">
      <formula>"Napkin Hs"</formula>
    </cfRule>
  </conditionalFormatting>
  <conditionalFormatting sqref="C118">
    <cfRule type="cellIs" dxfId="13241" priority="5227" stopIfTrue="1" operator="equal">
      <formula>"Towel"</formula>
    </cfRule>
    <cfRule type="cellIs" dxfId="13240" priority="5228" stopIfTrue="1" operator="equal">
      <formula>"Napkin Hs"</formula>
    </cfRule>
  </conditionalFormatting>
  <conditionalFormatting sqref="B118:C118">
    <cfRule type="cellIs" dxfId="13239" priority="5219" stopIfTrue="1" operator="equal">
      <formula>"Towel"</formula>
    </cfRule>
    <cfRule type="cellIs" dxfId="13238" priority="5220" stopIfTrue="1" operator="equal">
      <formula>"Napkin Hs"</formula>
    </cfRule>
  </conditionalFormatting>
  <conditionalFormatting sqref="C118">
    <cfRule type="cellIs" dxfId="13237" priority="5217" stopIfTrue="1" operator="equal">
      <formula>"Towel"</formula>
    </cfRule>
    <cfRule type="cellIs" dxfId="13236" priority="5218" stopIfTrue="1" operator="equal">
      <formula>"Napkin Hs"</formula>
    </cfRule>
  </conditionalFormatting>
  <conditionalFormatting sqref="B118:C118">
    <cfRule type="cellIs" dxfId="13235" priority="5214" stopIfTrue="1" operator="equal">
      <formula>"Napkin Hs"</formula>
    </cfRule>
  </conditionalFormatting>
  <conditionalFormatting sqref="B118:C118">
    <cfRule type="cellIs" dxfId="13234" priority="5213" stopIfTrue="1" operator="equal">
      <formula>"Towel"</formula>
    </cfRule>
  </conditionalFormatting>
  <conditionalFormatting sqref="C118">
    <cfRule type="cellIs" dxfId="13233" priority="5212" stopIfTrue="1" operator="equal">
      <formula>"Napkin Hs"</formula>
    </cfRule>
  </conditionalFormatting>
  <conditionalFormatting sqref="C118">
    <cfRule type="cellIs" dxfId="13232" priority="5209" stopIfTrue="1" operator="equal">
      <formula>"Towel"</formula>
    </cfRule>
    <cfRule type="cellIs" dxfId="13231" priority="5210" stopIfTrue="1" operator="equal">
      <formula>"Napkin Hs"</formula>
    </cfRule>
  </conditionalFormatting>
  <conditionalFormatting sqref="C118">
    <cfRule type="cellIs" dxfId="13230" priority="5211" stopIfTrue="1" operator="equal">
      <formula>"Towel"</formula>
    </cfRule>
  </conditionalFormatting>
  <conditionalFormatting sqref="B118:C118">
    <cfRule type="cellIs" dxfId="13229" priority="5208" stopIfTrue="1" operator="equal">
      <formula>"Napkin Hs"</formula>
    </cfRule>
  </conditionalFormatting>
  <conditionalFormatting sqref="B118:C118">
    <cfRule type="cellIs" dxfId="13228" priority="5207" stopIfTrue="1" operator="equal">
      <formula>"Towel"</formula>
    </cfRule>
  </conditionalFormatting>
  <conditionalFormatting sqref="C118">
    <cfRule type="cellIs" dxfId="13227" priority="5206" stopIfTrue="1" operator="equal">
      <formula>"Napkin Hs"</formula>
    </cfRule>
  </conditionalFormatting>
  <conditionalFormatting sqref="C118">
    <cfRule type="cellIs" dxfId="13226" priority="5203" stopIfTrue="1" operator="equal">
      <formula>"Towel"</formula>
    </cfRule>
    <cfRule type="cellIs" dxfId="13225" priority="5204" stopIfTrue="1" operator="equal">
      <formula>"Napkin Hs"</formula>
    </cfRule>
  </conditionalFormatting>
  <conditionalFormatting sqref="C118">
    <cfRule type="cellIs" dxfId="13224" priority="5205" stopIfTrue="1" operator="equal">
      <formula>"Towel"</formula>
    </cfRule>
  </conditionalFormatting>
  <conditionalFormatting sqref="B116:C116">
    <cfRule type="cellIs" dxfId="13223" priority="5069" stopIfTrue="1" operator="equal">
      <formula>"Towel"</formula>
    </cfRule>
    <cfRule type="cellIs" dxfId="13222" priority="5070" stopIfTrue="1" operator="equal">
      <formula>"Napkin Hs"</formula>
    </cfRule>
  </conditionalFormatting>
  <conditionalFormatting sqref="C116">
    <cfRule type="cellIs" dxfId="13221" priority="5065" stopIfTrue="1" operator="equal">
      <formula>"Towel"</formula>
    </cfRule>
    <cfRule type="cellIs" dxfId="13220" priority="5066" stopIfTrue="1" operator="equal">
      <formula>"Napkin Hs"</formula>
    </cfRule>
  </conditionalFormatting>
  <conditionalFormatting sqref="C116">
    <cfRule type="cellIs" dxfId="13219" priority="5067" stopIfTrue="1" operator="equal">
      <formula>"Towel"</formula>
    </cfRule>
    <cfRule type="cellIs" dxfId="13218" priority="5068" stopIfTrue="1" operator="equal">
      <formula>"Napkin Hs"</formula>
    </cfRule>
  </conditionalFormatting>
  <conditionalFormatting sqref="B116:C116">
    <cfRule type="cellIs" dxfId="13217" priority="5064" stopIfTrue="1" operator="equal">
      <formula>"Napkin Hs"</formula>
    </cfRule>
  </conditionalFormatting>
  <conditionalFormatting sqref="B116:C116">
    <cfRule type="cellIs" dxfId="13216" priority="5063" stopIfTrue="1" operator="equal">
      <formula>"Towel"</formula>
    </cfRule>
  </conditionalFormatting>
  <conditionalFormatting sqref="C116">
    <cfRule type="cellIs" dxfId="13215" priority="5062" stopIfTrue="1" operator="equal">
      <formula>"Napkin Hs"</formula>
    </cfRule>
  </conditionalFormatting>
  <conditionalFormatting sqref="C116">
    <cfRule type="cellIs" dxfId="13214" priority="5061" stopIfTrue="1" operator="equal">
      <formula>"Towel"</formula>
    </cfRule>
  </conditionalFormatting>
  <conditionalFormatting sqref="C116">
    <cfRule type="cellIs" dxfId="13213" priority="5059" stopIfTrue="1" operator="equal">
      <formula>"Towel"</formula>
    </cfRule>
    <cfRule type="cellIs" dxfId="13212" priority="5060" stopIfTrue="1" operator="equal">
      <formula>"Napkin Hs"</formula>
    </cfRule>
  </conditionalFormatting>
  <conditionalFormatting sqref="B116:C116">
    <cfRule type="cellIs" dxfId="13211" priority="5057" stopIfTrue="1" operator="equal">
      <formula>"Towel"</formula>
    </cfRule>
    <cfRule type="cellIs" dxfId="13210" priority="5058" stopIfTrue="1" operator="equal">
      <formula>"Napkin Hs"</formula>
    </cfRule>
  </conditionalFormatting>
  <conditionalFormatting sqref="C116">
    <cfRule type="cellIs" dxfId="13209" priority="5055" stopIfTrue="1" operator="equal">
      <formula>"Towel"</formula>
    </cfRule>
    <cfRule type="cellIs" dxfId="13208" priority="5056" stopIfTrue="1" operator="equal">
      <formula>"Napkin Hs"</formula>
    </cfRule>
  </conditionalFormatting>
  <conditionalFormatting sqref="C116">
    <cfRule type="cellIs" dxfId="13207" priority="5053" stopIfTrue="1" operator="equal">
      <formula>"Towel"</formula>
    </cfRule>
    <cfRule type="cellIs" dxfId="13206" priority="5054" stopIfTrue="1" operator="equal">
      <formula>"Napkin Hs"</formula>
    </cfRule>
  </conditionalFormatting>
  <conditionalFormatting sqref="B116:C116">
    <cfRule type="cellIs" dxfId="13205" priority="5051" stopIfTrue="1" operator="equal">
      <formula>"Towel"</formula>
    </cfRule>
    <cfRule type="cellIs" dxfId="13204" priority="5052" stopIfTrue="1" operator="equal">
      <formula>"Napkin Hs"</formula>
    </cfRule>
  </conditionalFormatting>
  <conditionalFormatting sqref="C116">
    <cfRule type="cellIs" dxfId="13203" priority="5049" stopIfTrue="1" operator="equal">
      <formula>"Towel"</formula>
    </cfRule>
    <cfRule type="cellIs" dxfId="13202" priority="5050" stopIfTrue="1" operator="equal">
      <formula>"Napkin Hs"</formula>
    </cfRule>
  </conditionalFormatting>
  <conditionalFormatting sqref="C116">
    <cfRule type="cellIs" dxfId="13201" priority="5047" stopIfTrue="1" operator="equal">
      <formula>"Towel"</formula>
    </cfRule>
    <cfRule type="cellIs" dxfId="13200" priority="5048" stopIfTrue="1" operator="equal">
      <formula>"Napkin Hs"</formula>
    </cfRule>
  </conditionalFormatting>
  <conditionalFormatting sqref="B116:C116">
    <cfRule type="cellIs" dxfId="13199" priority="5045" stopIfTrue="1" operator="equal">
      <formula>"Towel"</formula>
    </cfRule>
    <cfRule type="cellIs" dxfId="13198" priority="5046" stopIfTrue="1" operator="equal">
      <formula>"Napkin Hs"</formula>
    </cfRule>
  </conditionalFormatting>
  <conditionalFormatting sqref="C116">
    <cfRule type="cellIs" dxfId="13197" priority="5043" stopIfTrue="1" operator="equal">
      <formula>"Towel"</formula>
    </cfRule>
    <cfRule type="cellIs" dxfId="13196" priority="5044" stopIfTrue="1" operator="equal">
      <formula>"Napkin Hs"</formula>
    </cfRule>
  </conditionalFormatting>
  <conditionalFormatting sqref="C116">
    <cfRule type="cellIs" dxfId="13195" priority="5041" stopIfTrue="1" operator="equal">
      <formula>"Towel"</formula>
    </cfRule>
    <cfRule type="cellIs" dxfId="13194" priority="5042" stopIfTrue="1" operator="equal">
      <formula>"Napkin Hs"</formula>
    </cfRule>
  </conditionalFormatting>
  <conditionalFormatting sqref="B116:C116">
    <cfRule type="cellIs" dxfId="13193" priority="5039" stopIfTrue="1" operator="equal">
      <formula>"Towel"</formula>
    </cfRule>
    <cfRule type="cellIs" dxfId="13192" priority="5040" stopIfTrue="1" operator="equal">
      <formula>"Napkin Hs"</formula>
    </cfRule>
  </conditionalFormatting>
  <conditionalFormatting sqref="C116">
    <cfRule type="cellIs" dxfId="13191" priority="5037" stopIfTrue="1" operator="equal">
      <formula>"Towel"</formula>
    </cfRule>
    <cfRule type="cellIs" dxfId="13190" priority="5038" stopIfTrue="1" operator="equal">
      <formula>"Napkin Hs"</formula>
    </cfRule>
  </conditionalFormatting>
  <conditionalFormatting sqref="C116">
    <cfRule type="cellIs" dxfId="13189" priority="5035" stopIfTrue="1" operator="equal">
      <formula>"Towel"</formula>
    </cfRule>
    <cfRule type="cellIs" dxfId="13188" priority="5036" stopIfTrue="1" operator="equal">
      <formula>"Napkin Hs"</formula>
    </cfRule>
  </conditionalFormatting>
  <conditionalFormatting sqref="B116:C116">
    <cfRule type="cellIs" dxfId="13187" priority="5033" stopIfTrue="1" operator="equal">
      <formula>"Towel"</formula>
    </cfRule>
    <cfRule type="cellIs" dxfId="13186" priority="5034" stopIfTrue="1" operator="equal">
      <formula>"Napkin Hs"</formula>
    </cfRule>
  </conditionalFormatting>
  <conditionalFormatting sqref="C116">
    <cfRule type="cellIs" dxfId="13185" priority="5031" stopIfTrue="1" operator="equal">
      <formula>"Towel"</formula>
    </cfRule>
    <cfRule type="cellIs" dxfId="13184" priority="5032" stopIfTrue="1" operator="equal">
      <formula>"Napkin Hs"</formula>
    </cfRule>
  </conditionalFormatting>
  <conditionalFormatting sqref="C116">
    <cfRule type="cellIs" dxfId="13183" priority="5029" stopIfTrue="1" operator="equal">
      <formula>"Towel"</formula>
    </cfRule>
    <cfRule type="cellIs" dxfId="13182" priority="5030" stopIfTrue="1" operator="equal">
      <formula>"Napkin Hs"</formula>
    </cfRule>
  </conditionalFormatting>
  <conditionalFormatting sqref="B116:C116">
    <cfRule type="cellIs" dxfId="13181" priority="5028" stopIfTrue="1" operator="equal">
      <formula>"Napkin Hs"</formula>
    </cfRule>
  </conditionalFormatting>
  <conditionalFormatting sqref="B116:C116">
    <cfRule type="cellIs" dxfId="13180" priority="5027" stopIfTrue="1" operator="equal">
      <formula>"Towel"</formula>
    </cfRule>
  </conditionalFormatting>
  <conditionalFormatting sqref="C116">
    <cfRule type="cellIs" dxfId="13179" priority="5026" stopIfTrue="1" operator="equal">
      <formula>"Napkin Hs"</formula>
    </cfRule>
  </conditionalFormatting>
  <conditionalFormatting sqref="C116">
    <cfRule type="cellIs" dxfId="13178" priority="5023" stopIfTrue="1" operator="equal">
      <formula>"Towel"</formula>
    </cfRule>
    <cfRule type="cellIs" dxfId="13177" priority="5024" stopIfTrue="1" operator="equal">
      <formula>"Napkin Hs"</formula>
    </cfRule>
  </conditionalFormatting>
  <conditionalFormatting sqref="C116">
    <cfRule type="cellIs" dxfId="13176" priority="5025" stopIfTrue="1" operator="equal">
      <formula>"Towel"</formula>
    </cfRule>
  </conditionalFormatting>
  <conditionalFormatting sqref="B116:C116">
    <cfRule type="cellIs" dxfId="13175" priority="5022" stopIfTrue="1" operator="equal">
      <formula>"Napkin Hs"</formula>
    </cfRule>
  </conditionalFormatting>
  <conditionalFormatting sqref="B116:C116">
    <cfRule type="cellIs" dxfId="13174" priority="5021" stopIfTrue="1" operator="equal">
      <formula>"Towel"</formula>
    </cfRule>
  </conditionalFormatting>
  <conditionalFormatting sqref="C116">
    <cfRule type="cellIs" dxfId="13173" priority="5020" stopIfTrue="1" operator="equal">
      <formula>"Napkin Hs"</formula>
    </cfRule>
  </conditionalFormatting>
  <conditionalFormatting sqref="C116">
    <cfRule type="cellIs" dxfId="13172" priority="5019" stopIfTrue="1" operator="equal">
      <formula>"Towel"</formula>
    </cfRule>
  </conditionalFormatting>
  <conditionalFormatting sqref="C116">
    <cfRule type="cellIs" dxfId="13171" priority="5017" stopIfTrue="1" operator="equal">
      <formula>"Towel"</formula>
    </cfRule>
    <cfRule type="cellIs" dxfId="13170" priority="5018" stopIfTrue="1" operator="equal">
      <formula>"Napkin Hs"</formula>
    </cfRule>
  </conditionalFormatting>
  <conditionalFormatting sqref="C116">
    <cfRule type="cellIs" dxfId="13169" priority="5011" stopIfTrue="1" operator="equal">
      <formula>"Towel"</formula>
    </cfRule>
    <cfRule type="cellIs" dxfId="13168" priority="5012" stopIfTrue="1" operator="equal">
      <formula>"Napkin Hs"</formula>
    </cfRule>
  </conditionalFormatting>
  <conditionalFormatting sqref="B116:C116">
    <cfRule type="cellIs" dxfId="13167" priority="5010" stopIfTrue="1" operator="equal">
      <formula>"Napkin Hs"</formula>
    </cfRule>
  </conditionalFormatting>
  <conditionalFormatting sqref="B116:C116">
    <cfRule type="cellIs" dxfId="13166" priority="5009" stopIfTrue="1" operator="equal">
      <formula>"Towel"</formula>
    </cfRule>
  </conditionalFormatting>
  <conditionalFormatting sqref="C116">
    <cfRule type="cellIs" dxfId="13165" priority="5008" stopIfTrue="1" operator="equal">
      <formula>"Napkin Hs"</formula>
    </cfRule>
  </conditionalFormatting>
  <conditionalFormatting sqref="C116">
    <cfRule type="cellIs" dxfId="13164" priority="5007" stopIfTrue="1" operator="equal">
      <formula>"Towel"</formula>
    </cfRule>
  </conditionalFormatting>
  <conditionalFormatting sqref="C116">
    <cfRule type="cellIs" dxfId="13163" priority="5005" stopIfTrue="1" operator="equal">
      <formula>"Towel"</formula>
    </cfRule>
    <cfRule type="cellIs" dxfId="13162" priority="5006" stopIfTrue="1" operator="equal">
      <formula>"Napkin Hs"</formula>
    </cfRule>
  </conditionalFormatting>
  <conditionalFormatting sqref="C116">
    <cfRule type="cellIs" dxfId="13161" priority="4999" stopIfTrue="1" operator="equal">
      <formula>"Towel"</formula>
    </cfRule>
    <cfRule type="cellIs" dxfId="13160" priority="5000" stopIfTrue="1" operator="equal">
      <formula>"Napkin Hs"</formula>
    </cfRule>
  </conditionalFormatting>
  <conditionalFormatting sqref="C116">
    <cfRule type="cellIs" dxfId="13159" priority="4993" stopIfTrue="1" operator="equal">
      <formula>"Towel"</formula>
    </cfRule>
    <cfRule type="cellIs" dxfId="13158" priority="4994" stopIfTrue="1" operator="equal">
      <formula>"Napkin Hs"</formula>
    </cfRule>
  </conditionalFormatting>
  <conditionalFormatting sqref="C116">
    <cfRule type="cellIs" dxfId="13157" priority="4987" stopIfTrue="1" operator="equal">
      <formula>"Towel"</formula>
    </cfRule>
    <cfRule type="cellIs" dxfId="13156" priority="4988" stopIfTrue="1" operator="equal">
      <formula>"Napkin Hs"</formula>
    </cfRule>
  </conditionalFormatting>
  <conditionalFormatting sqref="C116">
    <cfRule type="cellIs" dxfId="13155" priority="4981" stopIfTrue="1" operator="equal">
      <formula>"Towel"</formula>
    </cfRule>
    <cfRule type="cellIs" dxfId="13154" priority="4982" stopIfTrue="1" operator="equal">
      <formula>"Napkin Hs"</formula>
    </cfRule>
  </conditionalFormatting>
  <conditionalFormatting sqref="C116">
    <cfRule type="cellIs" dxfId="13153" priority="4975" stopIfTrue="1" operator="equal">
      <formula>"Towel"</formula>
    </cfRule>
    <cfRule type="cellIs" dxfId="13152" priority="4976" stopIfTrue="1" operator="equal">
      <formula>"Napkin Hs"</formula>
    </cfRule>
  </conditionalFormatting>
  <conditionalFormatting sqref="B116:C116">
    <cfRule type="cellIs" dxfId="13151" priority="4974" stopIfTrue="1" operator="equal">
      <formula>"Napkin Hs"</formula>
    </cfRule>
  </conditionalFormatting>
  <conditionalFormatting sqref="B116:C116">
    <cfRule type="cellIs" dxfId="13150" priority="4973" stopIfTrue="1" operator="equal">
      <formula>"Towel"</formula>
    </cfRule>
  </conditionalFormatting>
  <conditionalFormatting sqref="C116">
    <cfRule type="cellIs" dxfId="13149" priority="4972" stopIfTrue="1" operator="equal">
      <formula>"Napkin Hs"</formula>
    </cfRule>
  </conditionalFormatting>
  <conditionalFormatting sqref="C116">
    <cfRule type="cellIs" dxfId="13148" priority="4969" stopIfTrue="1" operator="equal">
      <formula>"Towel"</formula>
    </cfRule>
    <cfRule type="cellIs" dxfId="13147" priority="4970" stopIfTrue="1" operator="equal">
      <formula>"Napkin Hs"</formula>
    </cfRule>
  </conditionalFormatting>
  <conditionalFormatting sqref="C116">
    <cfRule type="cellIs" dxfId="13146" priority="4971" stopIfTrue="1" operator="equal">
      <formula>"Towel"</formula>
    </cfRule>
  </conditionalFormatting>
  <conditionalFormatting sqref="B116:C116">
    <cfRule type="cellIs" dxfId="13145" priority="4968" stopIfTrue="1" operator="equal">
      <formula>"Napkin Hs"</formula>
    </cfRule>
  </conditionalFormatting>
  <conditionalFormatting sqref="B116:C116">
    <cfRule type="cellIs" dxfId="13144" priority="4967" stopIfTrue="1" operator="equal">
      <formula>"Towel"</formula>
    </cfRule>
  </conditionalFormatting>
  <conditionalFormatting sqref="C116">
    <cfRule type="cellIs" dxfId="13143" priority="4966" stopIfTrue="1" operator="equal">
      <formula>"Napkin Hs"</formula>
    </cfRule>
  </conditionalFormatting>
  <conditionalFormatting sqref="C116">
    <cfRule type="cellIs" dxfId="13142" priority="4963" stopIfTrue="1" operator="equal">
      <formula>"Towel"</formula>
    </cfRule>
    <cfRule type="cellIs" dxfId="13141" priority="4964" stopIfTrue="1" operator="equal">
      <formula>"Napkin Hs"</formula>
    </cfRule>
  </conditionalFormatting>
  <conditionalFormatting sqref="C116">
    <cfRule type="cellIs" dxfId="13140" priority="4965" stopIfTrue="1" operator="equal">
      <formula>"Towel"</formula>
    </cfRule>
  </conditionalFormatting>
  <conditionalFormatting sqref="B116:C116">
    <cfRule type="cellIs" dxfId="13139" priority="5015" stopIfTrue="1" operator="equal">
      <formula>"Towel"</formula>
    </cfRule>
    <cfRule type="cellIs" dxfId="13138" priority="5016" stopIfTrue="1" operator="equal">
      <formula>"Napkin Hs"</formula>
    </cfRule>
  </conditionalFormatting>
  <conditionalFormatting sqref="C116">
    <cfRule type="cellIs" dxfId="13137" priority="5013" stopIfTrue="1" operator="equal">
      <formula>"Towel"</formula>
    </cfRule>
    <cfRule type="cellIs" dxfId="13136" priority="5014" stopIfTrue="1" operator="equal">
      <formula>"Napkin Hs"</formula>
    </cfRule>
  </conditionalFormatting>
  <conditionalFormatting sqref="B116:C116">
    <cfRule type="cellIs" dxfId="13135" priority="5003" stopIfTrue="1" operator="equal">
      <formula>"Towel"</formula>
    </cfRule>
    <cfRule type="cellIs" dxfId="13134" priority="5004" stopIfTrue="1" operator="equal">
      <formula>"Napkin Hs"</formula>
    </cfRule>
  </conditionalFormatting>
  <conditionalFormatting sqref="C116">
    <cfRule type="cellIs" dxfId="13133" priority="5001" stopIfTrue="1" operator="equal">
      <formula>"Towel"</formula>
    </cfRule>
    <cfRule type="cellIs" dxfId="13132" priority="5002" stopIfTrue="1" operator="equal">
      <formula>"Napkin Hs"</formula>
    </cfRule>
  </conditionalFormatting>
  <conditionalFormatting sqref="B116:C116">
    <cfRule type="cellIs" dxfId="13131" priority="4997" stopIfTrue="1" operator="equal">
      <formula>"Towel"</formula>
    </cfRule>
    <cfRule type="cellIs" dxfId="13130" priority="4998" stopIfTrue="1" operator="equal">
      <formula>"Napkin Hs"</formula>
    </cfRule>
  </conditionalFormatting>
  <conditionalFormatting sqref="C116">
    <cfRule type="cellIs" dxfId="13129" priority="4995" stopIfTrue="1" operator="equal">
      <formula>"Towel"</formula>
    </cfRule>
    <cfRule type="cellIs" dxfId="13128" priority="4996" stopIfTrue="1" operator="equal">
      <formula>"Napkin Hs"</formula>
    </cfRule>
  </conditionalFormatting>
  <conditionalFormatting sqref="B116:C116">
    <cfRule type="cellIs" dxfId="13127" priority="4991" stopIfTrue="1" operator="equal">
      <formula>"Towel"</formula>
    </cfRule>
    <cfRule type="cellIs" dxfId="13126" priority="4992" stopIfTrue="1" operator="equal">
      <formula>"Napkin Hs"</formula>
    </cfRule>
  </conditionalFormatting>
  <conditionalFormatting sqref="C116">
    <cfRule type="cellIs" dxfId="13125" priority="4989" stopIfTrue="1" operator="equal">
      <formula>"Towel"</formula>
    </cfRule>
    <cfRule type="cellIs" dxfId="13124" priority="4990" stopIfTrue="1" operator="equal">
      <formula>"Napkin Hs"</formula>
    </cfRule>
  </conditionalFormatting>
  <conditionalFormatting sqref="B116:C116">
    <cfRule type="cellIs" dxfId="13123" priority="4985" stopIfTrue="1" operator="equal">
      <formula>"Towel"</formula>
    </cfRule>
    <cfRule type="cellIs" dxfId="13122" priority="4986" stopIfTrue="1" operator="equal">
      <formula>"Napkin Hs"</formula>
    </cfRule>
  </conditionalFormatting>
  <conditionalFormatting sqref="C116">
    <cfRule type="cellIs" dxfId="13121" priority="4983" stopIfTrue="1" operator="equal">
      <formula>"Towel"</formula>
    </cfRule>
    <cfRule type="cellIs" dxfId="13120" priority="4984" stopIfTrue="1" operator="equal">
      <formula>"Napkin Hs"</formula>
    </cfRule>
  </conditionalFormatting>
  <conditionalFormatting sqref="B116:C116">
    <cfRule type="cellIs" dxfId="13119" priority="4979" stopIfTrue="1" operator="equal">
      <formula>"Towel"</formula>
    </cfRule>
    <cfRule type="cellIs" dxfId="13118" priority="4980" stopIfTrue="1" operator="equal">
      <formula>"Napkin Hs"</formula>
    </cfRule>
  </conditionalFormatting>
  <conditionalFormatting sqref="C116">
    <cfRule type="cellIs" dxfId="13117" priority="4977" stopIfTrue="1" operator="equal">
      <formula>"Towel"</formula>
    </cfRule>
    <cfRule type="cellIs" dxfId="13116" priority="4978" stopIfTrue="1" operator="equal">
      <formula>"Napkin Hs"</formula>
    </cfRule>
  </conditionalFormatting>
  <conditionalFormatting sqref="B116:C116">
    <cfRule type="cellIs" dxfId="13115" priority="4962" stopIfTrue="1" operator="equal">
      <formula>"Napkin Hs"</formula>
    </cfRule>
  </conditionalFormatting>
  <conditionalFormatting sqref="B116:C116">
    <cfRule type="cellIs" dxfId="13114" priority="4961" stopIfTrue="1" operator="equal">
      <formula>"Towel"</formula>
    </cfRule>
  </conditionalFormatting>
  <conditionalFormatting sqref="C116">
    <cfRule type="cellIs" dxfId="13113" priority="4960" stopIfTrue="1" operator="equal">
      <formula>"Napkin Hs"</formula>
    </cfRule>
  </conditionalFormatting>
  <conditionalFormatting sqref="C116">
    <cfRule type="cellIs" dxfId="13112" priority="4957" stopIfTrue="1" operator="equal">
      <formula>"Towel"</formula>
    </cfRule>
    <cfRule type="cellIs" dxfId="13111" priority="4958" stopIfTrue="1" operator="equal">
      <formula>"Napkin Hs"</formula>
    </cfRule>
  </conditionalFormatting>
  <conditionalFormatting sqref="C116">
    <cfRule type="cellIs" dxfId="13110" priority="4959" stopIfTrue="1" operator="equal">
      <formula>"Towel"</formula>
    </cfRule>
  </conditionalFormatting>
  <conditionalFormatting sqref="B116:C116">
    <cfRule type="cellIs" dxfId="13109" priority="5079" stopIfTrue="1" operator="equal">
      <formula>"Towel"</formula>
    </cfRule>
    <cfRule type="cellIs" dxfId="13108" priority="5080" stopIfTrue="1" operator="equal">
      <formula>"Napkin Hs"</formula>
    </cfRule>
  </conditionalFormatting>
  <conditionalFormatting sqref="C116">
    <cfRule type="cellIs" dxfId="13107" priority="5081" stopIfTrue="1" operator="equal">
      <formula>"Towel"</formula>
    </cfRule>
    <cfRule type="cellIs" dxfId="13106" priority="5082" stopIfTrue="1" operator="equal">
      <formula>"Napkin Hs"</formula>
    </cfRule>
  </conditionalFormatting>
  <conditionalFormatting sqref="C116">
    <cfRule type="cellIs" dxfId="13105" priority="5077" stopIfTrue="1" operator="equal">
      <formula>"Towel"</formula>
    </cfRule>
    <cfRule type="cellIs" dxfId="13104" priority="5078" stopIfTrue="1" operator="equal">
      <formula>"Napkin Hs"</formula>
    </cfRule>
  </conditionalFormatting>
  <conditionalFormatting sqref="B116:C116">
    <cfRule type="cellIs" dxfId="13103" priority="5076" stopIfTrue="1" operator="equal">
      <formula>"Napkin Hs"</formula>
    </cfRule>
  </conditionalFormatting>
  <conditionalFormatting sqref="B116:C116">
    <cfRule type="cellIs" dxfId="13102" priority="5075" stopIfTrue="1" operator="equal">
      <formula>"Towel"</formula>
    </cfRule>
  </conditionalFormatting>
  <conditionalFormatting sqref="C116">
    <cfRule type="cellIs" dxfId="13101" priority="5074" stopIfTrue="1" operator="equal">
      <formula>"Napkin Hs"</formula>
    </cfRule>
  </conditionalFormatting>
  <conditionalFormatting sqref="C116">
    <cfRule type="cellIs" dxfId="13100" priority="5073" stopIfTrue="1" operator="equal">
      <formula>"Towel"</formula>
    </cfRule>
  </conditionalFormatting>
  <conditionalFormatting sqref="C116">
    <cfRule type="cellIs" dxfId="13099" priority="5071" stopIfTrue="1" operator="equal">
      <formula>"Towel"</formula>
    </cfRule>
    <cfRule type="cellIs" dxfId="13098" priority="5072" stopIfTrue="1" operator="equal">
      <formula>"Napkin Hs"</formula>
    </cfRule>
  </conditionalFormatting>
  <conditionalFormatting sqref="B117:C117">
    <cfRule type="cellIs" dxfId="13097" priority="4953" stopIfTrue="1" operator="equal">
      <formula>"Towel"</formula>
    </cfRule>
    <cfRule type="cellIs" dxfId="13096" priority="4954" stopIfTrue="1" operator="equal">
      <formula>"Napkin Hs"</formula>
    </cfRule>
  </conditionalFormatting>
  <conditionalFormatting sqref="C117">
    <cfRule type="cellIs" dxfId="13095" priority="4955" stopIfTrue="1" operator="equal">
      <formula>"Towel"</formula>
    </cfRule>
    <cfRule type="cellIs" dxfId="13094" priority="4956" stopIfTrue="1" operator="equal">
      <formula>"Napkin Hs"</formula>
    </cfRule>
  </conditionalFormatting>
  <conditionalFormatting sqref="C117">
    <cfRule type="cellIs" dxfId="13093" priority="4951" stopIfTrue="1" operator="equal">
      <formula>"Towel"</formula>
    </cfRule>
    <cfRule type="cellIs" dxfId="13092" priority="4952" stopIfTrue="1" operator="equal">
      <formula>"Napkin Hs"</formula>
    </cfRule>
  </conditionalFormatting>
  <conditionalFormatting sqref="B117:C117">
    <cfRule type="cellIs" dxfId="13091" priority="4950" stopIfTrue="1" operator="equal">
      <formula>"Napkin Hs"</formula>
    </cfRule>
  </conditionalFormatting>
  <conditionalFormatting sqref="B117:C117">
    <cfRule type="cellIs" dxfId="13090" priority="4949" stopIfTrue="1" operator="equal">
      <formula>"Towel"</formula>
    </cfRule>
  </conditionalFormatting>
  <conditionalFormatting sqref="C117">
    <cfRule type="cellIs" dxfId="13089" priority="4948" stopIfTrue="1" operator="equal">
      <formula>"Napkin Hs"</formula>
    </cfRule>
  </conditionalFormatting>
  <conditionalFormatting sqref="C117">
    <cfRule type="cellIs" dxfId="13088" priority="4947" stopIfTrue="1" operator="equal">
      <formula>"Towel"</formula>
    </cfRule>
  </conditionalFormatting>
  <conditionalFormatting sqref="C117">
    <cfRule type="cellIs" dxfId="13087" priority="4945" stopIfTrue="1" operator="equal">
      <formula>"Towel"</formula>
    </cfRule>
    <cfRule type="cellIs" dxfId="13086" priority="4946" stopIfTrue="1" operator="equal">
      <formula>"Napkin Hs"</formula>
    </cfRule>
  </conditionalFormatting>
  <conditionalFormatting sqref="B117:C117">
    <cfRule type="cellIs" dxfId="13085" priority="4943" stopIfTrue="1" operator="equal">
      <formula>"Towel"</formula>
    </cfRule>
    <cfRule type="cellIs" dxfId="13084" priority="4944" stopIfTrue="1" operator="equal">
      <formula>"Napkin Hs"</formula>
    </cfRule>
  </conditionalFormatting>
  <conditionalFormatting sqref="C117">
    <cfRule type="cellIs" dxfId="13083" priority="4939" stopIfTrue="1" operator="equal">
      <formula>"Towel"</formula>
    </cfRule>
    <cfRule type="cellIs" dxfId="13082" priority="4940" stopIfTrue="1" operator="equal">
      <formula>"Napkin Hs"</formula>
    </cfRule>
  </conditionalFormatting>
  <conditionalFormatting sqref="C117">
    <cfRule type="cellIs" dxfId="13081" priority="4941" stopIfTrue="1" operator="equal">
      <formula>"Towel"</formula>
    </cfRule>
    <cfRule type="cellIs" dxfId="13080" priority="4942" stopIfTrue="1" operator="equal">
      <formula>"Napkin Hs"</formula>
    </cfRule>
  </conditionalFormatting>
  <conditionalFormatting sqref="B117:C117">
    <cfRule type="cellIs" dxfId="13079" priority="4938" stopIfTrue="1" operator="equal">
      <formula>"Napkin Hs"</formula>
    </cfRule>
  </conditionalFormatting>
  <conditionalFormatting sqref="B117:C117">
    <cfRule type="cellIs" dxfId="13078" priority="4937" stopIfTrue="1" operator="equal">
      <formula>"Towel"</formula>
    </cfRule>
  </conditionalFormatting>
  <conditionalFormatting sqref="C117">
    <cfRule type="cellIs" dxfId="13077" priority="4936" stopIfTrue="1" operator="equal">
      <formula>"Napkin Hs"</formula>
    </cfRule>
  </conditionalFormatting>
  <conditionalFormatting sqref="C117">
    <cfRule type="cellIs" dxfId="13076" priority="4935" stopIfTrue="1" operator="equal">
      <formula>"Towel"</formula>
    </cfRule>
  </conditionalFormatting>
  <conditionalFormatting sqref="C117">
    <cfRule type="cellIs" dxfId="13075" priority="4933" stopIfTrue="1" operator="equal">
      <formula>"Towel"</formula>
    </cfRule>
    <cfRule type="cellIs" dxfId="13074" priority="4934" stopIfTrue="1" operator="equal">
      <formula>"Napkin Hs"</formula>
    </cfRule>
  </conditionalFormatting>
  <conditionalFormatting sqref="B117:C117">
    <cfRule type="cellIs" dxfId="13073" priority="4931" stopIfTrue="1" operator="equal">
      <formula>"Towel"</formula>
    </cfRule>
    <cfRule type="cellIs" dxfId="13072" priority="4932" stopIfTrue="1" operator="equal">
      <formula>"Napkin Hs"</formula>
    </cfRule>
  </conditionalFormatting>
  <conditionalFormatting sqref="C117">
    <cfRule type="cellIs" dxfId="13071" priority="4929" stopIfTrue="1" operator="equal">
      <formula>"Towel"</formula>
    </cfRule>
    <cfRule type="cellIs" dxfId="13070" priority="4930" stopIfTrue="1" operator="equal">
      <formula>"Napkin Hs"</formula>
    </cfRule>
  </conditionalFormatting>
  <conditionalFormatting sqref="C117">
    <cfRule type="cellIs" dxfId="13069" priority="4927" stopIfTrue="1" operator="equal">
      <formula>"Towel"</formula>
    </cfRule>
    <cfRule type="cellIs" dxfId="13068" priority="4928" stopIfTrue="1" operator="equal">
      <formula>"Napkin Hs"</formula>
    </cfRule>
  </conditionalFormatting>
  <conditionalFormatting sqref="B117:C117">
    <cfRule type="cellIs" dxfId="13067" priority="4925" stopIfTrue="1" operator="equal">
      <formula>"Towel"</formula>
    </cfRule>
    <cfRule type="cellIs" dxfId="13066" priority="4926" stopIfTrue="1" operator="equal">
      <formula>"Napkin Hs"</formula>
    </cfRule>
  </conditionalFormatting>
  <conditionalFormatting sqref="C117">
    <cfRule type="cellIs" dxfId="13065" priority="4923" stopIfTrue="1" operator="equal">
      <formula>"Towel"</formula>
    </cfRule>
    <cfRule type="cellIs" dxfId="13064" priority="4924" stopIfTrue="1" operator="equal">
      <formula>"Napkin Hs"</formula>
    </cfRule>
  </conditionalFormatting>
  <conditionalFormatting sqref="C117">
    <cfRule type="cellIs" dxfId="13063" priority="4921" stopIfTrue="1" operator="equal">
      <formula>"Towel"</formula>
    </cfRule>
    <cfRule type="cellIs" dxfId="13062" priority="4922" stopIfTrue="1" operator="equal">
      <formula>"Napkin Hs"</formula>
    </cfRule>
  </conditionalFormatting>
  <conditionalFormatting sqref="B117:C117">
    <cfRule type="cellIs" dxfId="13061" priority="4919" stopIfTrue="1" operator="equal">
      <formula>"Towel"</formula>
    </cfRule>
    <cfRule type="cellIs" dxfId="13060" priority="4920" stopIfTrue="1" operator="equal">
      <formula>"Napkin Hs"</formula>
    </cfRule>
  </conditionalFormatting>
  <conditionalFormatting sqref="C117">
    <cfRule type="cellIs" dxfId="13059" priority="4917" stopIfTrue="1" operator="equal">
      <formula>"Towel"</formula>
    </cfRule>
    <cfRule type="cellIs" dxfId="13058" priority="4918" stopIfTrue="1" operator="equal">
      <formula>"Napkin Hs"</formula>
    </cfRule>
  </conditionalFormatting>
  <conditionalFormatting sqref="C117">
    <cfRule type="cellIs" dxfId="13057" priority="4915" stopIfTrue="1" operator="equal">
      <formula>"Towel"</formula>
    </cfRule>
    <cfRule type="cellIs" dxfId="13056" priority="4916" stopIfTrue="1" operator="equal">
      <formula>"Napkin Hs"</formula>
    </cfRule>
  </conditionalFormatting>
  <conditionalFormatting sqref="B117:C117">
    <cfRule type="cellIs" dxfId="13055" priority="4913" stopIfTrue="1" operator="equal">
      <formula>"Towel"</formula>
    </cfRule>
    <cfRule type="cellIs" dxfId="13054" priority="4914" stopIfTrue="1" operator="equal">
      <formula>"Napkin Hs"</formula>
    </cfRule>
  </conditionalFormatting>
  <conditionalFormatting sqref="C117">
    <cfRule type="cellIs" dxfId="13053" priority="4911" stopIfTrue="1" operator="equal">
      <formula>"Towel"</formula>
    </cfRule>
    <cfRule type="cellIs" dxfId="13052" priority="4912" stopIfTrue="1" operator="equal">
      <formula>"Napkin Hs"</formula>
    </cfRule>
  </conditionalFormatting>
  <conditionalFormatting sqref="C117">
    <cfRule type="cellIs" dxfId="13051" priority="4909" stopIfTrue="1" operator="equal">
      <formula>"Towel"</formula>
    </cfRule>
    <cfRule type="cellIs" dxfId="13050" priority="4910" stopIfTrue="1" operator="equal">
      <formula>"Napkin Hs"</formula>
    </cfRule>
  </conditionalFormatting>
  <conditionalFormatting sqref="B117:C117">
    <cfRule type="cellIs" dxfId="13049" priority="4907" stopIfTrue="1" operator="equal">
      <formula>"Towel"</formula>
    </cfRule>
    <cfRule type="cellIs" dxfId="13048" priority="4908" stopIfTrue="1" operator="equal">
      <formula>"Napkin Hs"</formula>
    </cfRule>
  </conditionalFormatting>
  <conditionalFormatting sqref="C117">
    <cfRule type="cellIs" dxfId="13047" priority="4905" stopIfTrue="1" operator="equal">
      <formula>"Towel"</formula>
    </cfRule>
    <cfRule type="cellIs" dxfId="13046" priority="4906" stopIfTrue="1" operator="equal">
      <formula>"Napkin Hs"</formula>
    </cfRule>
  </conditionalFormatting>
  <conditionalFormatting sqref="C117">
    <cfRule type="cellIs" dxfId="13045" priority="4903" stopIfTrue="1" operator="equal">
      <formula>"Towel"</formula>
    </cfRule>
    <cfRule type="cellIs" dxfId="13044" priority="4904" stopIfTrue="1" operator="equal">
      <formula>"Napkin Hs"</formula>
    </cfRule>
  </conditionalFormatting>
  <conditionalFormatting sqref="B117:C117">
    <cfRule type="cellIs" dxfId="13043" priority="4902" stopIfTrue="1" operator="equal">
      <formula>"Napkin Hs"</formula>
    </cfRule>
  </conditionalFormatting>
  <conditionalFormatting sqref="B117:C117">
    <cfRule type="cellIs" dxfId="13042" priority="4901" stopIfTrue="1" operator="equal">
      <formula>"Towel"</formula>
    </cfRule>
  </conditionalFormatting>
  <conditionalFormatting sqref="C117">
    <cfRule type="cellIs" dxfId="13041" priority="4900" stopIfTrue="1" operator="equal">
      <formula>"Napkin Hs"</formula>
    </cfRule>
  </conditionalFormatting>
  <conditionalFormatting sqref="C117">
    <cfRule type="cellIs" dxfId="13040" priority="4897" stopIfTrue="1" operator="equal">
      <formula>"Towel"</formula>
    </cfRule>
    <cfRule type="cellIs" dxfId="13039" priority="4898" stopIfTrue="1" operator="equal">
      <formula>"Napkin Hs"</formula>
    </cfRule>
  </conditionalFormatting>
  <conditionalFormatting sqref="C117">
    <cfRule type="cellIs" dxfId="13038" priority="4899" stopIfTrue="1" operator="equal">
      <formula>"Towel"</formula>
    </cfRule>
  </conditionalFormatting>
  <conditionalFormatting sqref="B117:C117">
    <cfRule type="cellIs" dxfId="13037" priority="4896" stopIfTrue="1" operator="equal">
      <formula>"Napkin Hs"</formula>
    </cfRule>
  </conditionalFormatting>
  <conditionalFormatting sqref="B117:C117">
    <cfRule type="cellIs" dxfId="13036" priority="4895" stopIfTrue="1" operator="equal">
      <formula>"Towel"</formula>
    </cfRule>
  </conditionalFormatting>
  <conditionalFormatting sqref="C117">
    <cfRule type="cellIs" dxfId="13035" priority="4894" stopIfTrue="1" operator="equal">
      <formula>"Napkin Hs"</formula>
    </cfRule>
  </conditionalFormatting>
  <conditionalFormatting sqref="C117">
    <cfRule type="cellIs" dxfId="13034" priority="4893" stopIfTrue="1" operator="equal">
      <formula>"Towel"</formula>
    </cfRule>
  </conditionalFormatting>
  <conditionalFormatting sqref="C117">
    <cfRule type="cellIs" dxfId="13033" priority="4891" stopIfTrue="1" operator="equal">
      <formula>"Towel"</formula>
    </cfRule>
    <cfRule type="cellIs" dxfId="13032" priority="4892" stopIfTrue="1" operator="equal">
      <formula>"Napkin Hs"</formula>
    </cfRule>
  </conditionalFormatting>
  <conditionalFormatting sqref="C117">
    <cfRule type="cellIs" dxfId="13031" priority="4885" stopIfTrue="1" operator="equal">
      <formula>"Towel"</formula>
    </cfRule>
    <cfRule type="cellIs" dxfId="13030" priority="4886" stopIfTrue="1" operator="equal">
      <formula>"Napkin Hs"</formula>
    </cfRule>
  </conditionalFormatting>
  <conditionalFormatting sqref="B117:C117">
    <cfRule type="cellIs" dxfId="13029" priority="4884" stopIfTrue="1" operator="equal">
      <formula>"Napkin Hs"</formula>
    </cfRule>
  </conditionalFormatting>
  <conditionalFormatting sqref="B117:C117">
    <cfRule type="cellIs" dxfId="13028" priority="4883" stopIfTrue="1" operator="equal">
      <formula>"Towel"</formula>
    </cfRule>
  </conditionalFormatting>
  <conditionalFormatting sqref="C117">
    <cfRule type="cellIs" dxfId="13027" priority="4882" stopIfTrue="1" operator="equal">
      <formula>"Napkin Hs"</formula>
    </cfRule>
  </conditionalFormatting>
  <conditionalFormatting sqref="C117">
    <cfRule type="cellIs" dxfId="13026" priority="4881" stopIfTrue="1" operator="equal">
      <formula>"Towel"</formula>
    </cfRule>
  </conditionalFormatting>
  <conditionalFormatting sqref="C117">
    <cfRule type="cellIs" dxfId="13025" priority="4879" stopIfTrue="1" operator="equal">
      <formula>"Towel"</formula>
    </cfRule>
    <cfRule type="cellIs" dxfId="13024" priority="4880" stopIfTrue="1" operator="equal">
      <formula>"Napkin Hs"</formula>
    </cfRule>
  </conditionalFormatting>
  <conditionalFormatting sqref="C117">
    <cfRule type="cellIs" dxfId="13023" priority="4873" stopIfTrue="1" operator="equal">
      <formula>"Towel"</formula>
    </cfRule>
    <cfRule type="cellIs" dxfId="13022" priority="4874" stopIfTrue="1" operator="equal">
      <formula>"Napkin Hs"</formula>
    </cfRule>
  </conditionalFormatting>
  <conditionalFormatting sqref="C117">
    <cfRule type="cellIs" dxfId="13021" priority="4867" stopIfTrue="1" operator="equal">
      <formula>"Towel"</formula>
    </cfRule>
    <cfRule type="cellIs" dxfId="13020" priority="4868" stopIfTrue="1" operator="equal">
      <formula>"Napkin Hs"</formula>
    </cfRule>
  </conditionalFormatting>
  <conditionalFormatting sqref="C117">
    <cfRule type="cellIs" dxfId="13019" priority="4861" stopIfTrue="1" operator="equal">
      <formula>"Towel"</formula>
    </cfRule>
    <cfRule type="cellIs" dxfId="13018" priority="4862" stopIfTrue="1" operator="equal">
      <formula>"Napkin Hs"</formula>
    </cfRule>
  </conditionalFormatting>
  <conditionalFormatting sqref="C117">
    <cfRule type="cellIs" dxfId="13017" priority="4855" stopIfTrue="1" operator="equal">
      <formula>"Towel"</formula>
    </cfRule>
    <cfRule type="cellIs" dxfId="13016" priority="4856" stopIfTrue="1" operator="equal">
      <formula>"Napkin Hs"</formula>
    </cfRule>
  </conditionalFormatting>
  <conditionalFormatting sqref="C117">
    <cfRule type="cellIs" dxfId="13015" priority="4849" stopIfTrue="1" operator="equal">
      <formula>"Towel"</formula>
    </cfRule>
    <cfRule type="cellIs" dxfId="13014" priority="4850" stopIfTrue="1" operator="equal">
      <formula>"Napkin Hs"</formula>
    </cfRule>
  </conditionalFormatting>
  <conditionalFormatting sqref="B117:C117">
    <cfRule type="cellIs" dxfId="13013" priority="4848" stopIfTrue="1" operator="equal">
      <formula>"Napkin Hs"</formula>
    </cfRule>
  </conditionalFormatting>
  <conditionalFormatting sqref="B117:C117">
    <cfRule type="cellIs" dxfId="13012" priority="4847" stopIfTrue="1" operator="equal">
      <formula>"Towel"</formula>
    </cfRule>
  </conditionalFormatting>
  <conditionalFormatting sqref="C117">
    <cfRule type="cellIs" dxfId="13011" priority="4846" stopIfTrue="1" operator="equal">
      <formula>"Napkin Hs"</formula>
    </cfRule>
  </conditionalFormatting>
  <conditionalFormatting sqref="C117">
    <cfRule type="cellIs" dxfId="13010" priority="4843" stopIfTrue="1" operator="equal">
      <formula>"Towel"</formula>
    </cfRule>
    <cfRule type="cellIs" dxfId="13009" priority="4844" stopIfTrue="1" operator="equal">
      <formula>"Napkin Hs"</formula>
    </cfRule>
  </conditionalFormatting>
  <conditionalFormatting sqref="C117">
    <cfRule type="cellIs" dxfId="13008" priority="4845" stopIfTrue="1" operator="equal">
      <formula>"Towel"</formula>
    </cfRule>
  </conditionalFormatting>
  <conditionalFormatting sqref="B117:C117">
    <cfRule type="cellIs" dxfId="13007" priority="4842" stopIfTrue="1" operator="equal">
      <formula>"Napkin Hs"</formula>
    </cfRule>
  </conditionalFormatting>
  <conditionalFormatting sqref="B117:C117">
    <cfRule type="cellIs" dxfId="13006" priority="4841" stopIfTrue="1" operator="equal">
      <formula>"Towel"</formula>
    </cfRule>
  </conditionalFormatting>
  <conditionalFormatting sqref="C117">
    <cfRule type="cellIs" dxfId="13005" priority="4840" stopIfTrue="1" operator="equal">
      <formula>"Napkin Hs"</formula>
    </cfRule>
  </conditionalFormatting>
  <conditionalFormatting sqref="C117">
    <cfRule type="cellIs" dxfId="13004" priority="4837" stopIfTrue="1" operator="equal">
      <formula>"Towel"</formula>
    </cfRule>
    <cfRule type="cellIs" dxfId="13003" priority="4838" stopIfTrue="1" operator="equal">
      <formula>"Napkin Hs"</formula>
    </cfRule>
  </conditionalFormatting>
  <conditionalFormatting sqref="C117">
    <cfRule type="cellIs" dxfId="13002" priority="4839" stopIfTrue="1" operator="equal">
      <formula>"Towel"</formula>
    </cfRule>
  </conditionalFormatting>
  <conditionalFormatting sqref="B117:C117">
    <cfRule type="cellIs" dxfId="13001" priority="4889" stopIfTrue="1" operator="equal">
      <formula>"Towel"</formula>
    </cfRule>
    <cfRule type="cellIs" dxfId="13000" priority="4890" stopIfTrue="1" operator="equal">
      <formula>"Napkin Hs"</formula>
    </cfRule>
  </conditionalFormatting>
  <conditionalFormatting sqref="C117">
    <cfRule type="cellIs" dxfId="12999" priority="4887" stopIfTrue="1" operator="equal">
      <formula>"Towel"</formula>
    </cfRule>
    <cfRule type="cellIs" dxfId="12998" priority="4888" stopIfTrue="1" operator="equal">
      <formula>"Napkin Hs"</formula>
    </cfRule>
  </conditionalFormatting>
  <conditionalFormatting sqref="B117:C117">
    <cfRule type="cellIs" dxfId="12997" priority="4877" stopIfTrue="1" operator="equal">
      <formula>"Towel"</formula>
    </cfRule>
    <cfRule type="cellIs" dxfId="12996" priority="4878" stopIfTrue="1" operator="equal">
      <formula>"Napkin Hs"</formula>
    </cfRule>
  </conditionalFormatting>
  <conditionalFormatting sqref="C117">
    <cfRule type="cellIs" dxfId="12995" priority="4875" stopIfTrue="1" operator="equal">
      <formula>"Towel"</formula>
    </cfRule>
    <cfRule type="cellIs" dxfId="12994" priority="4876" stopIfTrue="1" operator="equal">
      <formula>"Napkin Hs"</formula>
    </cfRule>
  </conditionalFormatting>
  <conditionalFormatting sqref="B117:C117">
    <cfRule type="cellIs" dxfId="12993" priority="4871" stopIfTrue="1" operator="equal">
      <formula>"Towel"</formula>
    </cfRule>
    <cfRule type="cellIs" dxfId="12992" priority="4872" stopIfTrue="1" operator="equal">
      <formula>"Napkin Hs"</formula>
    </cfRule>
  </conditionalFormatting>
  <conditionalFormatting sqref="C117">
    <cfRule type="cellIs" dxfId="12991" priority="4869" stopIfTrue="1" operator="equal">
      <formula>"Towel"</formula>
    </cfRule>
    <cfRule type="cellIs" dxfId="12990" priority="4870" stopIfTrue="1" operator="equal">
      <formula>"Napkin Hs"</formula>
    </cfRule>
  </conditionalFormatting>
  <conditionalFormatting sqref="B117:C117">
    <cfRule type="cellIs" dxfId="12989" priority="4865" stopIfTrue="1" operator="equal">
      <formula>"Towel"</formula>
    </cfRule>
    <cfRule type="cellIs" dxfId="12988" priority="4866" stopIfTrue="1" operator="equal">
      <formula>"Napkin Hs"</formula>
    </cfRule>
  </conditionalFormatting>
  <conditionalFormatting sqref="C117">
    <cfRule type="cellIs" dxfId="12987" priority="4863" stopIfTrue="1" operator="equal">
      <formula>"Towel"</formula>
    </cfRule>
    <cfRule type="cellIs" dxfId="12986" priority="4864" stopIfTrue="1" operator="equal">
      <formula>"Napkin Hs"</formula>
    </cfRule>
  </conditionalFormatting>
  <conditionalFormatting sqref="B117:C117">
    <cfRule type="cellIs" dxfId="12985" priority="4859" stopIfTrue="1" operator="equal">
      <formula>"Towel"</formula>
    </cfRule>
    <cfRule type="cellIs" dxfId="12984" priority="4860" stopIfTrue="1" operator="equal">
      <formula>"Napkin Hs"</formula>
    </cfRule>
  </conditionalFormatting>
  <conditionalFormatting sqref="C117">
    <cfRule type="cellIs" dxfId="12983" priority="4857" stopIfTrue="1" operator="equal">
      <formula>"Towel"</formula>
    </cfRule>
    <cfRule type="cellIs" dxfId="12982" priority="4858" stopIfTrue="1" operator="equal">
      <formula>"Napkin Hs"</formula>
    </cfRule>
  </conditionalFormatting>
  <conditionalFormatting sqref="B117:C117">
    <cfRule type="cellIs" dxfId="12981" priority="4853" stopIfTrue="1" operator="equal">
      <formula>"Towel"</formula>
    </cfRule>
    <cfRule type="cellIs" dxfId="12980" priority="4854" stopIfTrue="1" operator="equal">
      <formula>"Napkin Hs"</formula>
    </cfRule>
  </conditionalFormatting>
  <conditionalFormatting sqref="C117">
    <cfRule type="cellIs" dxfId="12979" priority="4851" stopIfTrue="1" operator="equal">
      <formula>"Towel"</formula>
    </cfRule>
    <cfRule type="cellIs" dxfId="12978" priority="4852" stopIfTrue="1" operator="equal">
      <formula>"Napkin Hs"</formula>
    </cfRule>
  </conditionalFormatting>
  <conditionalFormatting sqref="B117:C117">
    <cfRule type="cellIs" dxfId="12977" priority="4836" stopIfTrue="1" operator="equal">
      <formula>"Napkin Hs"</formula>
    </cfRule>
  </conditionalFormatting>
  <conditionalFormatting sqref="B117:C117">
    <cfRule type="cellIs" dxfId="12976" priority="4835" stopIfTrue="1" operator="equal">
      <formula>"Towel"</formula>
    </cfRule>
  </conditionalFormatting>
  <conditionalFormatting sqref="C117">
    <cfRule type="cellIs" dxfId="12975" priority="4834" stopIfTrue="1" operator="equal">
      <formula>"Napkin Hs"</formula>
    </cfRule>
  </conditionalFormatting>
  <conditionalFormatting sqref="C117">
    <cfRule type="cellIs" dxfId="12974" priority="4831" stopIfTrue="1" operator="equal">
      <formula>"Towel"</formula>
    </cfRule>
    <cfRule type="cellIs" dxfId="12973" priority="4832" stopIfTrue="1" operator="equal">
      <formula>"Napkin Hs"</formula>
    </cfRule>
  </conditionalFormatting>
  <conditionalFormatting sqref="C117">
    <cfRule type="cellIs" dxfId="12972" priority="4833" stopIfTrue="1" operator="equal">
      <formula>"Towel"</formula>
    </cfRule>
  </conditionalFormatting>
  <conditionalFormatting sqref="B124:C124">
    <cfRule type="cellIs" dxfId="12971" priority="4698" stopIfTrue="1" operator="equal">
      <formula>"Napkin Hs"</formula>
    </cfRule>
  </conditionalFormatting>
  <conditionalFormatting sqref="B124:C124">
    <cfRule type="cellIs" dxfId="12970" priority="4697" stopIfTrue="1" operator="equal">
      <formula>"Towel"</formula>
    </cfRule>
  </conditionalFormatting>
  <conditionalFormatting sqref="C124">
    <cfRule type="cellIs" dxfId="12969" priority="4696" stopIfTrue="1" operator="equal">
      <formula>"Napkin Hs"</formula>
    </cfRule>
  </conditionalFormatting>
  <conditionalFormatting sqref="C124">
    <cfRule type="cellIs" dxfId="12968" priority="4695" stopIfTrue="1" operator="equal">
      <formula>"Towel"</formula>
    </cfRule>
  </conditionalFormatting>
  <conditionalFormatting sqref="C124">
    <cfRule type="cellIs" dxfId="12967" priority="4693" stopIfTrue="1" operator="equal">
      <formula>"Towel"</formula>
    </cfRule>
    <cfRule type="cellIs" dxfId="12966" priority="4694" stopIfTrue="1" operator="equal">
      <formula>"Napkin Hs"</formula>
    </cfRule>
  </conditionalFormatting>
  <conditionalFormatting sqref="B124:C124">
    <cfRule type="cellIs" dxfId="12965" priority="4691" stopIfTrue="1" operator="equal">
      <formula>"Towel"</formula>
    </cfRule>
    <cfRule type="cellIs" dxfId="12964" priority="4692" stopIfTrue="1" operator="equal">
      <formula>"Napkin Hs"</formula>
    </cfRule>
  </conditionalFormatting>
  <conditionalFormatting sqref="C124">
    <cfRule type="cellIs" dxfId="12963" priority="4687" stopIfTrue="1" operator="equal">
      <formula>"Towel"</formula>
    </cfRule>
    <cfRule type="cellIs" dxfId="12962" priority="4688" stopIfTrue="1" operator="equal">
      <formula>"Napkin Hs"</formula>
    </cfRule>
  </conditionalFormatting>
  <conditionalFormatting sqref="C124">
    <cfRule type="cellIs" dxfId="12961" priority="4689" stopIfTrue="1" operator="equal">
      <formula>"Towel"</formula>
    </cfRule>
    <cfRule type="cellIs" dxfId="12960" priority="4690" stopIfTrue="1" operator="equal">
      <formula>"Napkin Hs"</formula>
    </cfRule>
  </conditionalFormatting>
  <conditionalFormatting sqref="B124:C124">
    <cfRule type="cellIs" dxfId="12959" priority="4686" stopIfTrue="1" operator="equal">
      <formula>"Napkin Hs"</formula>
    </cfRule>
  </conditionalFormatting>
  <conditionalFormatting sqref="B124:C124">
    <cfRule type="cellIs" dxfId="12958" priority="4685" stopIfTrue="1" operator="equal">
      <formula>"Towel"</formula>
    </cfRule>
  </conditionalFormatting>
  <conditionalFormatting sqref="C124">
    <cfRule type="cellIs" dxfId="12957" priority="4684" stopIfTrue="1" operator="equal">
      <formula>"Napkin Hs"</formula>
    </cfRule>
  </conditionalFormatting>
  <conditionalFormatting sqref="C124">
    <cfRule type="cellIs" dxfId="12956" priority="4683" stopIfTrue="1" operator="equal">
      <formula>"Towel"</formula>
    </cfRule>
  </conditionalFormatting>
  <conditionalFormatting sqref="C124">
    <cfRule type="cellIs" dxfId="12955" priority="4681" stopIfTrue="1" operator="equal">
      <formula>"Towel"</formula>
    </cfRule>
    <cfRule type="cellIs" dxfId="12954" priority="4682" stopIfTrue="1" operator="equal">
      <formula>"Napkin Hs"</formula>
    </cfRule>
  </conditionalFormatting>
  <conditionalFormatting sqref="B124:C124">
    <cfRule type="cellIs" dxfId="12953" priority="4679" stopIfTrue="1" operator="equal">
      <formula>"Towel"</formula>
    </cfRule>
    <cfRule type="cellIs" dxfId="12952" priority="4680" stopIfTrue="1" operator="equal">
      <formula>"Napkin Hs"</formula>
    </cfRule>
  </conditionalFormatting>
  <conditionalFormatting sqref="C124">
    <cfRule type="cellIs" dxfId="12951" priority="4677" stopIfTrue="1" operator="equal">
      <formula>"Towel"</formula>
    </cfRule>
    <cfRule type="cellIs" dxfId="12950" priority="4678" stopIfTrue="1" operator="equal">
      <formula>"Napkin Hs"</formula>
    </cfRule>
  </conditionalFormatting>
  <conditionalFormatting sqref="C124">
    <cfRule type="cellIs" dxfId="12949" priority="4675" stopIfTrue="1" operator="equal">
      <formula>"Towel"</formula>
    </cfRule>
    <cfRule type="cellIs" dxfId="12948" priority="4676" stopIfTrue="1" operator="equal">
      <formula>"Napkin Hs"</formula>
    </cfRule>
  </conditionalFormatting>
  <conditionalFormatting sqref="B124:C124">
    <cfRule type="cellIs" dxfId="12947" priority="4673" stopIfTrue="1" operator="equal">
      <formula>"Towel"</formula>
    </cfRule>
    <cfRule type="cellIs" dxfId="12946" priority="4674" stopIfTrue="1" operator="equal">
      <formula>"Napkin Hs"</formula>
    </cfRule>
  </conditionalFormatting>
  <conditionalFormatting sqref="C124">
    <cfRule type="cellIs" dxfId="12945" priority="4671" stopIfTrue="1" operator="equal">
      <formula>"Towel"</formula>
    </cfRule>
    <cfRule type="cellIs" dxfId="12944" priority="4672" stopIfTrue="1" operator="equal">
      <formula>"Napkin Hs"</formula>
    </cfRule>
  </conditionalFormatting>
  <conditionalFormatting sqref="C124">
    <cfRule type="cellIs" dxfId="12943" priority="4669" stopIfTrue="1" operator="equal">
      <formula>"Towel"</formula>
    </cfRule>
    <cfRule type="cellIs" dxfId="12942" priority="4670" stopIfTrue="1" operator="equal">
      <formula>"Napkin Hs"</formula>
    </cfRule>
  </conditionalFormatting>
  <conditionalFormatting sqref="B124:C124">
    <cfRule type="cellIs" dxfId="12941" priority="4667" stopIfTrue="1" operator="equal">
      <formula>"Towel"</formula>
    </cfRule>
    <cfRule type="cellIs" dxfId="12940" priority="4668" stopIfTrue="1" operator="equal">
      <formula>"Napkin Hs"</formula>
    </cfRule>
  </conditionalFormatting>
  <conditionalFormatting sqref="C124">
    <cfRule type="cellIs" dxfId="12939" priority="4665" stopIfTrue="1" operator="equal">
      <formula>"Towel"</formula>
    </cfRule>
    <cfRule type="cellIs" dxfId="12938" priority="4666" stopIfTrue="1" operator="equal">
      <formula>"Napkin Hs"</formula>
    </cfRule>
  </conditionalFormatting>
  <conditionalFormatting sqref="C124">
    <cfRule type="cellIs" dxfId="12937" priority="4663" stopIfTrue="1" operator="equal">
      <formula>"Towel"</formula>
    </cfRule>
    <cfRule type="cellIs" dxfId="12936" priority="4664" stopIfTrue="1" operator="equal">
      <formula>"Napkin Hs"</formula>
    </cfRule>
  </conditionalFormatting>
  <conditionalFormatting sqref="B124:C124">
    <cfRule type="cellIs" dxfId="12935" priority="4661" stopIfTrue="1" operator="equal">
      <formula>"Towel"</formula>
    </cfRule>
    <cfRule type="cellIs" dxfId="12934" priority="4662" stopIfTrue="1" operator="equal">
      <formula>"Napkin Hs"</formula>
    </cfRule>
  </conditionalFormatting>
  <conditionalFormatting sqref="C124">
    <cfRule type="cellIs" dxfId="12933" priority="4659" stopIfTrue="1" operator="equal">
      <formula>"Towel"</formula>
    </cfRule>
    <cfRule type="cellIs" dxfId="12932" priority="4660" stopIfTrue="1" operator="equal">
      <formula>"Napkin Hs"</formula>
    </cfRule>
  </conditionalFormatting>
  <conditionalFormatting sqref="C124">
    <cfRule type="cellIs" dxfId="12931" priority="4657" stopIfTrue="1" operator="equal">
      <formula>"Towel"</formula>
    </cfRule>
    <cfRule type="cellIs" dxfId="12930" priority="4658" stopIfTrue="1" operator="equal">
      <formula>"Napkin Hs"</formula>
    </cfRule>
  </conditionalFormatting>
  <conditionalFormatting sqref="B124:C124">
    <cfRule type="cellIs" dxfId="12929" priority="4655" stopIfTrue="1" operator="equal">
      <formula>"Towel"</formula>
    </cfRule>
    <cfRule type="cellIs" dxfId="12928" priority="4656" stopIfTrue="1" operator="equal">
      <formula>"Napkin Hs"</formula>
    </cfRule>
  </conditionalFormatting>
  <conditionalFormatting sqref="C124">
    <cfRule type="cellIs" dxfId="12927" priority="4653" stopIfTrue="1" operator="equal">
      <formula>"Towel"</formula>
    </cfRule>
    <cfRule type="cellIs" dxfId="12926" priority="4654" stopIfTrue="1" operator="equal">
      <formula>"Napkin Hs"</formula>
    </cfRule>
  </conditionalFormatting>
  <conditionalFormatting sqref="C124">
    <cfRule type="cellIs" dxfId="12925" priority="4651" stopIfTrue="1" operator="equal">
      <formula>"Towel"</formula>
    </cfRule>
    <cfRule type="cellIs" dxfId="12924" priority="4652" stopIfTrue="1" operator="equal">
      <formula>"Napkin Hs"</formula>
    </cfRule>
  </conditionalFormatting>
  <conditionalFormatting sqref="B124:C124">
    <cfRule type="cellIs" dxfId="12923" priority="4650" stopIfTrue="1" operator="equal">
      <formula>"Napkin Hs"</formula>
    </cfRule>
  </conditionalFormatting>
  <conditionalFormatting sqref="B124:C124">
    <cfRule type="cellIs" dxfId="12922" priority="4649" stopIfTrue="1" operator="equal">
      <formula>"Towel"</formula>
    </cfRule>
  </conditionalFormatting>
  <conditionalFormatting sqref="C124">
    <cfRule type="cellIs" dxfId="12921" priority="4648" stopIfTrue="1" operator="equal">
      <formula>"Napkin Hs"</formula>
    </cfRule>
  </conditionalFormatting>
  <conditionalFormatting sqref="C124">
    <cfRule type="cellIs" dxfId="12920" priority="4645" stopIfTrue="1" operator="equal">
      <formula>"Towel"</formula>
    </cfRule>
    <cfRule type="cellIs" dxfId="12919" priority="4646" stopIfTrue="1" operator="equal">
      <formula>"Napkin Hs"</formula>
    </cfRule>
  </conditionalFormatting>
  <conditionalFormatting sqref="C124">
    <cfRule type="cellIs" dxfId="12918" priority="4647" stopIfTrue="1" operator="equal">
      <formula>"Towel"</formula>
    </cfRule>
  </conditionalFormatting>
  <conditionalFormatting sqref="C123">
    <cfRule type="cellIs" dxfId="12917" priority="4527" stopIfTrue="1" operator="equal">
      <formula>"Towel"</formula>
    </cfRule>
    <cfRule type="cellIs" dxfId="12916" priority="4528" stopIfTrue="1" operator="equal">
      <formula>"Napkin Hs"</formula>
    </cfRule>
  </conditionalFormatting>
  <conditionalFormatting sqref="B123:C123">
    <cfRule type="cellIs" dxfId="12915" priority="4529" stopIfTrue="1" operator="equal">
      <formula>"Towel"</formula>
    </cfRule>
    <cfRule type="cellIs" dxfId="12914" priority="4530" stopIfTrue="1" operator="equal">
      <formula>"Napkin Hs"</formula>
    </cfRule>
  </conditionalFormatting>
  <conditionalFormatting sqref="C123">
    <cfRule type="cellIs" dxfId="12913" priority="4525" stopIfTrue="1" operator="equal">
      <formula>"Towel"</formula>
    </cfRule>
    <cfRule type="cellIs" dxfId="12912" priority="4526" stopIfTrue="1" operator="equal">
      <formula>"Napkin Hs"</formula>
    </cfRule>
  </conditionalFormatting>
  <conditionalFormatting sqref="C123">
    <cfRule type="cellIs" dxfId="12911" priority="4519" stopIfTrue="1" operator="equal">
      <formula>"Towel"</formula>
    </cfRule>
    <cfRule type="cellIs" dxfId="12910" priority="4520" stopIfTrue="1" operator="equal">
      <formula>"Napkin Hs"</formula>
    </cfRule>
  </conditionalFormatting>
  <conditionalFormatting sqref="B123">
    <cfRule type="cellIs" dxfId="12909" priority="4644" stopIfTrue="1" operator="equal">
      <formula>"Napkin Hs"</formula>
    </cfRule>
  </conditionalFormatting>
  <conditionalFormatting sqref="B123">
    <cfRule type="cellIs" dxfId="12908" priority="4643" stopIfTrue="1" operator="equal">
      <formula>"Towel"</formula>
    </cfRule>
  </conditionalFormatting>
  <conditionalFormatting sqref="B123">
    <cfRule type="cellIs" dxfId="12907" priority="4641" stopIfTrue="1" operator="equal">
      <formula>"Towel"</formula>
    </cfRule>
    <cfRule type="cellIs" dxfId="12906" priority="4642" stopIfTrue="1" operator="equal">
      <formula>"Napkin Hs"</formula>
    </cfRule>
  </conditionalFormatting>
  <conditionalFormatting sqref="B123">
    <cfRule type="cellIs" dxfId="12905" priority="4640" stopIfTrue="1" operator="equal">
      <formula>"Napkin Hs"</formula>
    </cfRule>
  </conditionalFormatting>
  <conditionalFormatting sqref="B123">
    <cfRule type="cellIs" dxfId="12904" priority="4639" stopIfTrue="1" operator="equal">
      <formula>"Towel"</formula>
    </cfRule>
  </conditionalFormatting>
  <conditionalFormatting sqref="B123">
    <cfRule type="cellIs" dxfId="12903" priority="4637" stopIfTrue="1" operator="equal">
      <formula>"Towel"</formula>
    </cfRule>
    <cfRule type="cellIs" dxfId="12902" priority="4638" stopIfTrue="1" operator="equal">
      <formula>"Napkin Hs"</formula>
    </cfRule>
  </conditionalFormatting>
  <conditionalFormatting sqref="B123">
    <cfRule type="cellIs" dxfId="12901" priority="4635" stopIfTrue="1" operator="equal">
      <formula>"Towel"</formula>
    </cfRule>
    <cfRule type="cellIs" dxfId="12900" priority="4636" stopIfTrue="1" operator="equal">
      <formula>"Napkin Hs"</formula>
    </cfRule>
  </conditionalFormatting>
  <conditionalFormatting sqref="B123">
    <cfRule type="cellIs" dxfId="12899" priority="4633" stopIfTrue="1" operator="equal">
      <formula>"Towel"</formula>
    </cfRule>
    <cfRule type="cellIs" dxfId="12898" priority="4634" stopIfTrue="1" operator="equal">
      <formula>"Napkin Hs"</formula>
    </cfRule>
  </conditionalFormatting>
  <conditionalFormatting sqref="B123">
    <cfRule type="cellIs" dxfId="12897" priority="4631" stopIfTrue="1" operator="equal">
      <formula>"Towel"</formula>
    </cfRule>
    <cfRule type="cellIs" dxfId="12896" priority="4632" stopIfTrue="1" operator="equal">
      <formula>"Napkin Hs"</formula>
    </cfRule>
  </conditionalFormatting>
  <conditionalFormatting sqref="B123">
    <cfRule type="cellIs" dxfId="12895" priority="4629" stopIfTrue="1" operator="equal">
      <formula>"Towel"</formula>
    </cfRule>
    <cfRule type="cellIs" dxfId="12894" priority="4630" stopIfTrue="1" operator="equal">
      <formula>"Napkin Hs"</formula>
    </cfRule>
  </conditionalFormatting>
  <conditionalFormatting sqref="B123">
    <cfRule type="cellIs" dxfId="12893" priority="4628" stopIfTrue="1" operator="equal">
      <formula>"Napkin Hs"</formula>
    </cfRule>
  </conditionalFormatting>
  <conditionalFormatting sqref="B123">
    <cfRule type="cellIs" dxfId="12892" priority="4627" stopIfTrue="1" operator="equal">
      <formula>"Towel"</formula>
    </cfRule>
  </conditionalFormatting>
  <conditionalFormatting sqref="C123">
    <cfRule type="cellIs" dxfId="12891" priority="4626" stopIfTrue="1" operator="equal">
      <formula>"Napkin Hs"</formula>
    </cfRule>
  </conditionalFormatting>
  <conditionalFormatting sqref="C123">
    <cfRule type="cellIs" dxfId="12890" priority="4625" stopIfTrue="1" operator="equal">
      <formula>"Towel"</formula>
    </cfRule>
  </conditionalFormatting>
  <conditionalFormatting sqref="C123">
    <cfRule type="cellIs" dxfId="12889" priority="4624" stopIfTrue="1" operator="equal">
      <formula>"Napkin Hs"</formula>
    </cfRule>
  </conditionalFormatting>
  <conditionalFormatting sqref="C123">
    <cfRule type="cellIs" dxfId="12888" priority="4623" stopIfTrue="1" operator="equal">
      <formula>"Towel"</formula>
    </cfRule>
  </conditionalFormatting>
  <conditionalFormatting sqref="C123">
    <cfRule type="cellIs" dxfId="12887" priority="4621" stopIfTrue="1" operator="equal">
      <formula>"Towel"</formula>
    </cfRule>
    <cfRule type="cellIs" dxfId="12886" priority="4622" stopIfTrue="1" operator="equal">
      <formula>"Napkin Hs"</formula>
    </cfRule>
  </conditionalFormatting>
  <conditionalFormatting sqref="C123">
    <cfRule type="cellIs" dxfId="12885" priority="4619" stopIfTrue="1" operator="equal">
      <formula>"Towel"</formula>
    </cfRule>
    <cfRule type="cellIs" dxfId="12884" priority="4620" stopIfTrue="1" operator="equal">
      <formula>"Napkin Hs"</formula>
    </cfRule>
  </conditionalFormatting>
  <conditionalFormatting sqref="C123">
    <cfRule type="cellIs" dxfId="12883" priority="4615" stopIfTrue="1" operator="equal">
      <formula>"Towel"</formula>
    </cfRule>
    <cfRule type="cellIs" dxfId="12882" priority="4616" stopIfTrue="1" operator="equal">
      <formula>"Napkin Hs"</formula>
    </cfRule>
  </conditionalFormatting>
  <conditionalFormatting sqref="C123">
    <cfRule type="cellIs" dxfId="12881" priority="4617" stopIfTrue="1" operator="equal">
      <formula>"Towel"</formula>
    </cfRule>
    <cfRule type="cellIs" dxfId="12880" priority="4618" stopIfTrue="1" operator="equal">
      <formula>"Napkin Hs"</formula>
    </cfRule>
  </conditionalFormatting>
  <conditionalFormatting sqref="C123">
    <cfRule type="cellIs" dxfId="12879" priority="4614" stopIfTrue="1" operator="equal">
      <formula>"Napkin Hs"</formula>
    </cfRule>
  </conditionalFormatting>
  <conditionalFormatting sqref="C123">
    <cfRule type="cellIs" dxfId="12878" priority="4613" stopIfTrue="1" operator="equal">
      <formula>"Towel"</formula>
    </cfRule>
  </conditionalFormatting>
  <conditionalFormatting sqref="C123">
    <cfRule type="cellIs" dxfId="12877" priority="4612" stopIfTrue="1" operator="equal">
      <formula>"Napkin Hs"</formula>
    </cfRule>
  </conditionalFormatting>
  <conditionalFormatting sqref="C123">
    <cfRule type="cellIs" dxfId="12876" priority="4611" stopIfTrue="1" operator="equal">
      <formula>"Towel"</formula>
    </cfRule>
  </conditionalFormatting>
  <conditionalFormatting sqref="C123">
    <cfRule type="cellIs" dxfId="12875" priority="4609" stopIfTrue="1" operator="equal">
      <formula>"Towel"</formula>
    </cfRule>
    <cfRule type="cellIs" dxfId="12874" priority="4610" stopIfTrue="1" operator="equal">
      <formula>"Napkin Hs"</formula>
    </cfRule>
  </conditionalFormatting>
  <conditionalFormatting sqref="C123">
    <cfRule type="cellIs" dxfId="12873" priority="4607" stopIfTrue="1" operator="equal">
      <formula>"Towel"</formula>
    </cfRule>
    <cfRule type="cellIs" dxfId="12872" priority="4608" stopIfTrue="1" operator="equal">
      <formula>"Napkin Hs"</formula>
    </cfRule>
  </conditionalFormatting>
  <conditionalFormatting sqref="C123">
    <cfRule type="cellIs" dxfId="12871" priority="4605" stopIfTrue="1" operator="equal">
      <formula>"Towel"</formula>
    </cfRule>
    <cfRule type="cellIs" dxfId="12870" priority="4606" stopIfTrue="1" operator="equal">
      <formula>"Napkin Hs"</formula>
    </cfRule>
  </conditionalFormatting>
  <conditionalFormatting sqref="C123">
    <cfRule type="cellIs" dxfId="12869" priority="4603" stopIfTrue="1" operator="equal">
      <formula>"Towel"</formula>
    </cfRule>
    <cfRule type="cellIs" dxfId="12868" priority="4604" stopIfTrue="1" operator="equal">
      <formula>"Napkin Hs"</formula>
    </cfRule>
  </conditionalFormatting>
  <conditionalFormatting sqref="C123">
    <cfRule type="cellIs" dxfId="12867" priority="4601" stopIfTrue="1" operator="equal">
      <formula>"Towel"</formula>
    </cfRule>
    <cfRule type="cellIs" dxfId="12866" priority="4602" stopIfTrue="1" operator="equal">
      <formula>"Napkin Hs"</formula>
    </cfRule>
  </conditionalFormatting>
  <conditionalFormatting sqref="C123">
    <cfRule type="cellIs" dxfId="12865" priority="4599" stopIfTrue="1" operator="equal">
      <formula>"Towel"</formula>
    </cfRule>
    <cfRule type="cellIs" dxfId="12864" priority="4600" stopIfTrue="1" operator="equal">
      <formula>"Napkin Hs"</formula>
    </cfRule>
  </conditionalFormatting>
  <conditionalFormatting sqref="C123">
    <cfRule type="cellIs" dxfId="12863" priority="4597" stopIfTrue="1" operator="equal">
      <formula>"Towel"</formula>
    </cfRule>
    <cfRule type="cellIs" dxfId="12862" priority="4598" stopIfTrue="1" operator="equal">
      <formula>"Napkin Hs"</formula>
    </cfRule>
  </conditionalFormatting>
  <conditionalFormatting sqref="C123">
    <cfRule type="cellIs" dxfId="12861" priority="4595" stopIfTrue="1" operator="equal">
      <formula>"Towel"</formula>
    </cfRule>
    <cfRule type="cellIs" dxfId="12860" priority="4596" stopIfTrue="1" operator="equal">
      <formula>"Napkin Hs"</formula>
    </cfRule>
  </conditionalFormatting>
  <conditionalFormatting sqref="C123">
    <cfRule type="cellIs" dxfId="12859" priority="4593" stopIfTrue="1" operator="equal">
      <formula>"Towel"</formula>
    </cfRule>
    <cfRule type="cellIs" dxfId="12858" priority="4594" stopIfTrue="1" operator="equal">
      <formula>"Napkin Hs"</formula>
    </cfRule>
  </conditionalFormatting>
  <conditionalFormatting sqref="C123">
    <cfRule type="cellIs" dxfId="12857" priority="4591" stopIfTrue="1" operator="equal">
      <formula>"Towel"</formula>
    </cfRule>
    <cfRule type="cellIs" dxfId="12856" priority="4592" stopIfTrue="1" operator="equal">
      <formula>"Napkin Hs"</formula>
    </cfRule>
  </conditionalFormatting>
  <conditionalFormatting sqref="C123">
    <cfRule type="cellIs" dxfId="12855" priority="4589" stopIfTrue="1" operator="equal">
      <formula>"Towel"</formula>
    </cfRule>
    <cfRule type="cellIs" dxfId="12854" priority="4590" stopIfTrue="1" operator="equal">
      <formula>"Napkin Hs"</formula>
    </cfRule>
  </conditionalFormatting>
  <conditionalFormatting sqref="C123">
    <cfRule type="cellIs" dxfId="12853" priority="4587" stopIfTrue="1" operator="equal">
      <formula>"Towel"</formula>
    </cfRule>
    <cfRule type="cellIs" dxfId="12852" priority="4588" stopIfTrue="1" operator="equal">
      <formula>"Napkin Hs"</formula>
    </cfRule>
  </conditionalFormatting>
  <conditionalFormatting sqref="C123">
    <cfRule type="cellIs" dxfId="12851" priority="4585" stopIfTrue="1" operator="equal">
      <formula>"Towel"</formula>
    </cfRule>
    <cfRule type="cellIs" dxfId="12850" priority="4586" stopIfTrue="1" operator="equal">
      <formula>"Napkin Hs"</formula>
    </cfRule>
  </conditionalFormatting>
  <conditionalFormatting sqref="C123">
    <cfRule type="cellIs" dxfId="12849" priority="4583" stopIfTrue="1" operator="equal">
      <formula>"Towel"</formula>
    </cfRule>
    <cfRule type="cellIs" dxfId="12848" priority="4584" stopIfTrue="1" operator="equal">
      <formula>"Napkin Hs"</formula>
    </cfRule>
  </conditionalFormatting>
  <conditionalFormatting sqref="C123">
    <cfRule type="cellIs" dxfId="12847" priority="4581" stopIfTrue="1" operator="equal">
      <formula>"Towel"</formula>
    </cfRule>
    <cfRule type="cellIs" dxfId="12846" priority="4582" stopIfTrue="1" operator="equal">
      <formula>"Napkin Hs"</formula>
    </cfRule>
  </conditionalFormatting>
  <conditionalFormatting sqref="C123">
    <cfRule type="cellIs" dxfId="12845" priority="4579" stopIfTrue="1" operator="equal">
      <formula>"Towel"</formula>
    </cfRule>
    <cfRule type="cellIs" dxfId="12844" priority="4580" stopIfTrue="1" operator="equal">
      <formula>"Napkin Hs"</formula>
    </cfRule>
  </conditionalFormatting>
  <conditionalFormatting sqref="C123">
    <cfRule type="cellIs" dxfId="12843" priority="4578" stopIfTrue="1" operator="equal">
      <formula>"Napkin Hs"</formula>
    </cfRule>
  </conditionalFormatting>
  <conditionalFormatting sqref="C123">
    <cfRule type="cellIs" dxfId="12842" priority="4577" stopIfTrue="1" operator="equal">
      <formula>"Towel"</formula>
    </cfRule>
  </conditionalFormatting>
  <conditionalFormatting sqref="C123">
    <cfRule type="cellIs" dxfId="12841" priority="4576" stopIfTrue="1" operator="equal">
      <formula>"Napkin Hs"</formula>
    </cfRule>
  </conditionalFormatting>
  <conditionalFormatting sqref="C123">
    <cfRule type="cellIs" dxfId="12840" priority="4573" stopIfTrue="1" operator="equal">
      <formula>"Towel"</formula>
    </cfRule>
    <cfRule type="cellIs" dxfId="12839" priority="4574" stopIfTrue="1" operator="equal">
      <formula>"Napkin Hs"</formula>
    </cfRule>
  </conditionalFormatting>
  <conditionalFormatting sqref="C123">
    <cfRule type="cellIs" dxfId="12838" priority="4575" stopIfTrue="1" operator="equal">
      <formula>"Towel"</formula>
    </cfRule>
  </conditionalFormatting>
  <conditionalFormatting sqref="B123:C123">
    <cfRule type="cellIs" dxfId="12837" priority="4571" stopIfTrue="1" operator="equal">
      <formula>"Towel"</formula>
    </cfRule>
    <cfRule type="cellIs" dxfId="12836" priority="4572" stopIfTrue="1" operator="equal">
      <formula>"Napkin Hs"</formula>
    </cfRule>
  </conditionalFormatting>
  <conditionalFormatting sqref="C123">
    <cfRule type="cellIs" dxfId="12835" priority="4569" stopIfTrue="1" operator="equal">
      <formula>"Towel"</formula>
    </cfRule>
    <cfRule type="cellIs" dxfId="12834" priority="4570" stopIfTrue="1" operator="equal">
      <formula>"Napkin Hs"</formula>
    </cfRule>
  </conditionalFormatting>
  <conditionalFormatting sqref="C123">
    <cfRule type="cellIs" dxfId="12833" priority="4567" stopIfTrue="1" operator="equal">
      <formula>"Towel"</formula>
    </cfRule>
    <cfRule type="cellIs" dxfId="12832" priority="4568" stopIfTrue="1" operator="equal">
      <formula>"Napkin Hs"</formula>
    </cfRule>
  </conditionalFormatting>
  <conditionalFormatting sqref="B123:C123">
    <cfRule type="cellIs" dxfId="12831" priority="4506" stopIfTrue="1" operator="equal">
      <formula>"Napkin Hs"</formula>
    </cfRule>
  </conditionalFormatting>
  <conditionalFormatting sqref="B123:C123">
    <cfRule type="cellIs" dxfId="12830" priority="4505" stopIfTrue="1" operator="equal">
      <formula>"Towel"</formula>
    </cfRule>
  </conditionalFormatting>
  <conditionalFormatting sqref="C123">
    <cfRule type="cellIs" dxfId="12829" priority="4504" stopIfTrue="1" operator="equal">
      <formula>"Napkin Hs"</formula>
    </cfRule>
  </conditionalFormatting>
  <conditionalFormatting sqref="C123">
    <cfRule type="cellIs" dxfId="12828" priority="4501" stopIfTrue="1" operator="equal">
      <formula>"Towel"</formula>
    </cfRule>
    <cfRule type="cellIs" dxfId="12827" priority="4502" stopIfTrue="1" operator="equal">
      <formula>"Napkin Hs"</formula>
    </cfRule>
  </conditionalFormatting>
  <conditionalFormatting sqref="C123">
    <cfRule type="cellIs" dxfId="12826" priority="4503" stopIfTrue="1" operator="equal">
      <formula>"Towel"</formula>
    </cfRule>
  </conditionalFormatting>
  <conditionalFormatting sqref="B123:C123">
    <cfRule type="cellIs" dxfId="12825" priority="4566" stopIfTrue="1" operator="equal">
      <formula>"Napkin Hs"</formula>
    </cfRule>
  </conditionalFormatting>
  <conditionalFormatting sqref="B123:C123">
    <cfRule type="cellIs" dxfId="12824" priority="4565" stopIfTrue="1" operator="equal">
      <formula>"Towel"</formula>
    </cfRule>
  </conditionalFormatting>
  <conditionalFormatting sqref="C123">
    <cfRule type="cellIs" dxfId="12823" priority="4564" stopIfTrue="1" operator="equal">
      <formula>"Napkin Hs"</formula>
    </cfRule>
  </conditionalFormatting>
  <conditionalFormatting sqref="C123">
    <cfRule type="cellIs" dxfId="12822" priority="4563" stopIfTrue="1" operator="equal">
      <formula>"Towel"</formula>
    </cfRule>
  </conditionalFormatting>
  <conditionalFormatting sqref="C123">
    <cfRule type="cellIs" dxfId="12821" priority="4561" stopIfTrue="1" operator="equal">
      <formula>"Towel"</formula>
    </cfRule>
    <cfRule type="cellIs" dxfId="12820" priority="4562" stopIfTrue="1" operator="equal">
      <formula>"Napkin Hs"</formula>
    </cfRule>
  </conditionalFormatting>
  <conditionalFormatting sqref="B123:C123">
    <cfRule type="cellIs" dxfId="12819" priority="4559" stopIfTrue="1" operator="equal">
      <formula>"Towel"</formula>
    </cfRule>
    <cfRule type="cellIs" dxfId="12818" priority="4560" stopIfTrue="1" operator="equal">
      <formula>"Napkin Hs"</formula>
    </cfRule>
  </conditionalFormatting>
  <conditionalFormatting sqref="C123">
    <cfRule type="cellIs" dxfId="12817" priority="4555" stopIfTrue="1" operator="equal">
      <formula>"Towel"</formula>
    </cfRule>
    <cfRule type="cellIs" dxfId="12816" priority="4556" stopIfTrue="1" operator="equal">
      <formula>"Napkin Hs"</formula>
    </cfRule>
  </conditionalFormatting>
  <conditionalFormatting sqref="C123">
    <cfRule type="cellIs" dxfId="12815" priority="4557" stopIfTrue="1" operator="equal">
      <formula>"Towel"</formula>
    </cfRule>
    <cfRule type="cellIs" dxfId="12814" priority="4558" stopIfTrue="1" operator="equal">
      <formula>"Napkin Hs"</formula>
    </cfRule>
  </conditionalFormatting>
  <conditionalFormatting sqref="B123:C123">
    <cfRule type="cellIs" dxfId="12813" priority="4554" stopIfTrue="1" operator="equal">
      <formula>"Napkin Hs"</formula>
    </cfRule>
  </conditionalFormatting>
  <conditionalFormatting sqref="B123:C123">
    <cfRule type="cellIs" dxfId="12812" priority="4553" stopIfTrue="1" operator="equal">
      <formula>"Towel"</formula>
    </cfRule>
  </conditionalFormatting>
  <conditionalFormatting sqref="C123">
    <cfRule type="cellIs" dxfId="12811" priority="4552" stopIfTrue="1" operator="equal">
      <formula>"Napkin Hs"</formula>
    </cfRule>
  </conditionalFormatting>
  <conditionalFormatting sqref="C123">
    <cfRule type="cellIs" dxfId="12810" priority="4551" stopIfTrue="1" operator="equal">
      <formula>"Towel"</formula>
    </cfRule>
  </conditionalFormatting>
  <conditionalFormatting sqref="C123">
    <cfRule type="cellIs" dxfId="12809" priority="4549" stopIfTrue="1" operator="equal">
      <formula>"Towel"</formula>
    </cfRule>
    <cfRule type="cellIs" dxfId="12808" priority="4550" stopIfTrue="1" operator="equal">
      <formula>"Napkin Hs"</formula>
    </cfRule>
  </conditionalFormatting>
  <conditionalFormatting sqref="B123:C123">
    <cfRule type="cellIs" dxfId="12807" priority="4547" stopIfTrue="1" operator="equal">
      <formula>"Towel"</formula>
    </cfRule>
    <cfRule type="cellIs" dxfId="12806" priority="4548" stopIfTrue="1" operator="equal">
      <formula>"Napkin Hs"</formula>
    </cfRule>
  </conditionalFormatting>
  <conditionalFormatting sqref="C123">
    <cfRule type="cellIs" dxfId="12805" priority="4545" stopIfTrue="1" operator="equal">
      <formula>"Towel"</formula>
    </cfRule>
    <cfRule type="cellIs" dxfId="12804" priority="4546" stopIfTrue="1" operator="equal">
      <formula>"Napkin Hs"</formula>
    </cfRule>
  </conditionalFormatting>
  <conditionalFormatting sqref="C123">
    <cfRule type="cellIs" dxfId="12803" priority="4543" stopIfTrue="1" operator="equal">
      <formula>"Towel"</formula>
    </cfRule>
    <cfRule type="cellIs" dxfId="12802" priority="4544" stopIfTrue="1" operator="equal">
      <formula>"Napkin Hs"</formula>
    </cfRule>
  </conditionalFormatting>
  <conditionalFormatting sqref="B123:C123">
    <cfRule type="cellIs" dxfId="12801" priority="4541" stopIfTrue="1" operator="equal">
      <formula>"Towel"</formula>
    </cfRule>
    <cfRule type="cellIs" dxfId="12800" priority="4542" stopIfTrue="1" operator="equal">
      <formula>"Napkin Hs"</formula>
    </cfRule>
  </conditionalFormatting>
  <conditionalFormatting sqref="C123">
    <cfRule type="cellIs" dxfId="12799" priority="4539" stopIfTrue="1" operator="equal">
      <formula>"Towel"</formula>
    </cfRule>
    <cfRule type="cellIs" dxfId="12798" priority="4540" stopIfTrue="1" operator="equal">
      <formula>"Napkin Hs"</formula>
    </cfRule>
  </conditionalFormatting>
  <conditionalFormatting sqref="C123">
    <cfRule type="cellIs" dxfId="12797" priority="4537" stopIfTrue="1" operator="equal">
      <formula>"Towel"</formula>
    </cfRule>
    <cfRule type="cellIs" dxfId="12796" priority="4538" stopIfTrue="1" operator="equal">
      <formula>"Napkin Hs"</formula>
    </cfRule>
  </conditionalFormatting>
  <conditionalFormatting sqref="B123:C123">
    <cfRule type="cellIs" dxfId="12795" priority="4535" stopIfTrue="1" operator="equal">
      <formula>"Towel"</formula>
    </cfRule>
    <cfRule type="cellIs" dxfId="12794" priority="4536" stopIfTrue="1" operator="equal">
      <formula>"Napkin Hs"</formula>
    </cfRule>
  </conditionalFormatting>
  <conditionalFormatting sqref="C123">
    <cfRule type="cellIs" dxfId="12793" priority="4533" stopIfTrue="1" operator="equal">
      <formula>"Towel"</formula>
    </cfRule>
    <cfRule type="cellIs" dxfId="12792" priority="4534" stopIfTrue="1" operator="equal">
      <formula>"Napkin Hs"</formula>
    </cfRule>
  </conditionalFormatting>
  <conditionalFormatting sqref="C123">
    <cfRule type="cellIs" dxfId="12791" priority="4531" stopIfTrue="1" operator="equal">
      <formula>"Towel"</formula>
    </cfRule>
    <cfRule type="cellIs" dxfId="12790" priority="4532" stopIfTrue="1" operator="equal">
      <formula>"Napkin Hs"</formula>
    </cfRule>
  </conditionalFormatting>
  <conditionalFormatting sqref="B123:C123">
    <cfRule type="cellIs" dxfId="12789" priority="4523" stopIfTrue="1" operator="equal">
      <formula>"Towel"</formula>
    </cfRule>
    <cfRule type="cellIs" dxfId="12788" priority="4524" stopIfTrue="1" operator="equal">
      <formula>"Napkin Hs"</formula>
    </cfRule>
  </conditionalFormatting>
  <conditionalFormatting sqref="C123">
    <cfRule type="cellIs" dxfId="12787" priority="4521" stopIfTrue="1" operator="equal">
      <formula>"Towel"</formula>
    </cfRule>
    <cfRule type="cellIs" dxfId="12786" priority="4522" stopIfTrue="1" operator="equal">
      <formula>"Napkin Hs"</formula>
    </cfRule>
  </conditionalFormatting>
  <conditionalFormatting sqref="B123:C123">
    <cfRule type="cellIs" dxfId="12785" priority="4518" stopIfTrue="1" operator="equal">
      <formula>"Napkin Hs"</formula>
    </cfRule>
  </conditionalFormatting>
  <conditionalFormatting sqref="B123:C123">
    <cfRule type="cellIs" dxfId="12784" priority="4517" stopIfTrue="1" operator="equal">
      <formula>"Towel"</formula>
    </cfRule>
  </conditionalFormatting>
  <conditionalFormatting sqref="C123">
    <cfRule type="cellIs" dxfId="12783" priority="4516" stopIfTrue="1" operator="equal">
      <formula>"Napkin Hs"</formula>
    </cfRule>
  </conditionalFormatting>
  <conditionalFormatting sqref="C123">
    <cfRule type="cellIs" dxfId="12782" priority="4513" stopIfTrue="1" operator="equal">
      <formula>"Towel"</formula>
    </cfRule>
    <cfRule type="cellIs" dxfId="12781" priority="4514" stopIfTrue="1" operator="equal">
      <formula>"Napkin Hs"</formula>
    </cfRule>
  </conditionalFormatting>
  <conditionalFormatting sqref="C123">
    <cfRule type="cellIs" dxfId="12780" priority="4515" stopIfTrue="1" operator="equal">
      <formula>"Towel"</formula>
    </cfRule>
  </conditionalFormatting>
  <conditionalFormatting sqref="B123:C123">
    <cfRule type="cellIs" dxfId="12779" priority="4512" stopIfTrue="1" operator="equal">
      <formula>"Napkin Hs"</formula>
    </cfRule>
  </conditionalFormatting>
  <conditionalFormatting sqref="B123:C123">
    <cfRule type="cellIs" dxfId="12778" priority="4511" stopIfTrue="1" operator="equal">
      <formula>"Towel"</formula>
    </cfRule>
  </conditionalFormatting>
  <conditionalFormatting sqref="C123">
    <cfRule type="cellIs" dxfId="12777" priority="4510" stopIfTrue="1" operator="equal">
      <formula>"Napkin Hs"</formula>
    </cfRule>
  </conditionalFormatting>
  <conditionalFormatting sqref="C123">
    <cfRule type="cellIs" dxfId="12776" priority="4507" stopIfTrue="1" operator="equal">
      <formula>"Towel"</formula>
    </cfRule>
    <cfRule type="cellIs" dxfId="12775" priority="4508" stopIfTrue="1" operator="equal">
      <formula>"Napkin Hs"</formula>
    </cfRule>
  </conditionalFormatting>
  <conditionalFormatting sqref="C123">
    <cfRule type="cellIs" dxfId="12774" priority="4509" stopIfTrue="1" operator="equal">
      <formula>"Towel"</formula>
    </cfRule>
  </conditionalFormatting>
  <conditionalFormatting sqref="B122:C122">
    <cfRule type="cellIs" dxfId="12773" priority="4371" stopIfTrue="1" operator="equal">
      <formula>"Towel"</formula>
    </cfRule>
    <cfRule type="cellIs" dxfId="12772" priority="4372" stopIfTrue="1" operator="equal">
      <formula>"Napkin Hs"</formula>
    </cfRule>
  </conditionalFormatting>
  <conditionalFormatting sqref="C122">
    <cfRule type="cellIs" dxfId="12771" priority="4373" stopIfTrue="1" operator="equal">
      <formula>"Towel"</formula>
    </cfRule>
    <cfRule type="cellIs" dxfId="12770" priority="4374" stopIfTrue="1" operator="equal">
      <formula>"Napkin Hs"</formula>
    </cfRule>
  </conditionalFormatting>
  <conditionalFormatting sqref="C122">
    <cfRule type="cellIs" dxfId="12769" priority="4369" stopIfTrue="1" operator="equal">
      <formula>"Towel"</formula>
    </cfRule>
    <cfRule type="cellIs" dxfId="12768" priority="4370" stopIfTrue="1" operator="equal">
      <formula>"Napkin Hs"</formula>
    </cfRule>
  </conditionalFormatting>
  <conditionalFormatting sqref="B122:C122">
    <cfRule type="cellIs" dxfId="12767" priority="4368" stopIfTrue="1" operator="equal">
      <formula>"Napkin Hs"</formula>
    </cfRule>
  </conditionalFormatting>
  <conditionalFormatting sqref="B122:C122">
    <cfRule type="cellIs" dxfId="12766" priority="4367" stopIfTrue="1" operator="equal">
      <formula>"Towel"</formula>
    </cfRule>
  </conditionalFormatting>
  <conditionalFormatting sqref="C122">
    <cfRule type="cellIs" dxfId="12765" priority="4366" stopIfTrue="1" operator="equal">
      <formula>"Napkin Hs"</formula>
    </cfRule>
  </conditionalFormatting>
  <conditionalFormatting sqref="C122">
    <cfRule type="cellIs" dxfId="12764" priority="4365" stopIfTrue="1" operator="equal">
      <formula>"Towel"</formula>
    </cfRule>
  </conditionalFormatting>
  <conditionalFormatting sqref="C122">
    <cfRule type="cellIs" dxfId="12763" priority="4363" stopIfTrue="1" operator="equal">
      <formula>"Towel"</formula>
    </cfRule>
    <cfRule type="cellIs" dxfId="12762" priority="4364" stopIfTrue="1" operator="equal">
      <formula>"Napkin Hs"</formula>
    </cfRule>
  </conditionalFormatting>
  <conditionalFormatting sqref="B122:C122">
    <cfRule type="cellIs" dxfId="12761" priority="4361" stopIfTrue="1" operator="equal">
      <formula>"Towel"</formula>
    </cfRule>
    <cfRule type="cellIs" dxfId="12760" priority="4362" stopIfTrue="1" operator="equal">
      <formula>"Napkin Hs"</formula>
    </cfRule>
  </conditionalFormatting>
  <conditionalFormatting sqref="C122">
    <cfRule type="cellIs" dxfId="12759" priority="4357" stopIfTrue="1" operator="equal">
      <formula>"Towel"</formula>
    </cfRule>
    <cfRule type="cellIs" dxfId="12758" priority="4358" stopIfTrue="1" operator="equal">
      <formula>"Napkin Hs"</formula>
    </cfRule>
  </conditionalFormatting>
  <conditionalFormatting sqref="C122">
    <cfRule type="cellIs" dxfId="12757" priority="4359" stopIfTrue="1" operator="equal">
      <formula>"Towel"</formula>
    </cfRule>
    <cfRule type="cellIs" dxfId="12756" priority="4360" stopIfTrue="1" operator="equal">
      <formula>"Napkin Hs"</formula>
    </cfRule>
  </conditionalFormatting>
  <conditionalFormatting sqref="B122:C122">
    <cfRule type="cellIs" dxfId="12755" priority="4356" stopIfTrue="1" operator="equal">
      <formula>"Napkin Hs"</formula>
    </cfRule>
  </conditionalFormatting>
  <conditionalFormatting sqref="B122:C122">
    <cfRule type="cellIs" dxfId="12754" priority="4355" stopIfTrue="1" operator="equal">
      <formula>"Towel"</formula>
    </cfRule>
  </conditionalFormatting>
  <conditionalFormatting sqref="C122">
    <cfRule type="cellIs" dxfId="12753" priority="4354" stopIfTrue="1" operator="equal">
      <formula>"Napkin Hs"</formula>
    </cfRule>
  </conditionalFormatting>
  <conditionalFormatting sqref="C122">
    <cfRule type="cellIs" dxfId="12752" priority="4353" stopIfTrue="1" operator="equal">
      <formula>"Towel"</formula>
    </cfRule>
  </conditionalFormatting>
  <conditionalFormatting sqref="C122">
    <cfRule type="cellIs" dxfId="12751" priority="4351" stopIfTrue="1" operator="equal">
      <formula>"Towel"</formula>
    </cfRule>
    <cfRule type="cellIs" dxfId="12750" priority="4352" stopIfTrue="1" operator="equal">
      <formula>"Napkin Hs"</formula>
    </cfRule>
  </conditionalFormatting>
  <conditionalFormatting sqref="B122:C122">
    <cfRule type="cellIs" dxfId="12749" priority="4349" stopIfTrue="1" operator="equal">
      <formula>"Towel"</formula>
    </cfRule>
    <cfRule type="cellIs" dxfId="12748" priority="4350" stopIfTrue="1" operator="equal">
      <formula>"Napkin Hs"</formula>
    </cfRule>
  </conditionalFormatting>
  <conditionalFormatting sqref="C122">
    <cfRule type="cellIs" dxfId="12747" priority="4347" stopIfTrue="1" operator="equal">
      <formula>"Towel"</formula>
    </cfRule>
    <cfRule type="cellIs" dxfId="12746" priority="4348" stopIfTrue="1" operator="equal">
      <formula>"Napkin Hs"</formula>
    </cfRule>
  </conditionalFormatting>
  <conditionalFormatting sqref="C122">
    <cfRule type="cellIs" dxfId="12745" priority="4345" stopIfTrue="1" operator="equal">
      <formula>"Towel"</formula>
    </cfRule>
    <cfRule type="cellIs" dxfId="12744" priority="4346" stopIfTrue="1" operator="equal">
      <formula>"Napkin Hs"</formula>
    </cfRule>
  </conditionalFormatting>
  <conditionalFormatting sqref="B122:C122">
    <cfRule type="cellIs" dxfId="12743" priority="4343" stopIfTrue="1" operator="equal">
      <formula>"Towel"</formula>
    </cfRule>
    <cfRule type="cellIs" dxfId="12742" priority="4344" stopIfTrue="1" operator="equal">
      <formula>"Napkin Hs"</formula>
    </cfRule>
  </conditionalFormatting>
  <conditionalFormatting sqref="C122">
    <cfRule type="cellIs" dxfId="12741" priority="4341" stopIfTrue="1" operator="equal">
      <formula>"Towel"</formula>
    </cfRule>
    <cfRule type="cellIs" dxfId="12740" priority="4342" stopIfTrue="1" operator="equal">
      <formula>"Napkin Hs"</formula>
    </cfRule>
  </conditionalFormatting>
  <conditionalFormatting sqref="C122">
    <cfRule type="cellIs" dxfId="12739" priority="4339" stopIfTrue="1" operator="equal">
      <formula>"Towel"</formula>
    </cfRule>
    <cfRule type="cellIs" dxfId="12738" priority="4340" stopIfTrue="1" operator="equal">
      <formula>"Napkin Hs"</formula>
    </cfRule>
  </conditionalFormatting>
  <conditionalFormatting sqref="B122:C122">
    <cfRule type="cellIs" dxfId="12737" priority="4337" stopIfTrue="1" operator="equal">
      <formula>"Towel"</formula>
    </cfRule>
    <cfRule type="cellIs" dxfId="12736" priority="4338" stopIfTrue="1" operator="equal">
      <formula>"Napkin Hs"</formula>
    </cfRule>
  </conditionalFormatting>
  <conditionalFormatting sqref="C122">
    <cfRule type="cellIs" dxfId="12735" priority="4335" stopIfTrue="1" operator="equal">
      <formula>"Towel"</formula>
    </cfRule>
    <cfRule type="cellIs" dxfId="12734" priority="4336" stopIfTrue="1" operator="equal">
      <formula>"Napkin Hs"</formula>
    </cfRule>
  </conditionalFormatting>
  <conditionalFormatting sqref="C122">
    <cfRule type="cellIs" dxfId="12733" priority="4333" stopIfTrue="1" operator="equal">
      <formula>"Towel"</formula>
    </cfRule>
    <cfRule type="cellIs" dxfId="12732" priority="4334" stopIfTrue="1" operator="equal">
      <formula>"Napkin Hs"</formula>
    </cfRule>
  </conditionalFormatting>
  <conditionalFormatting sqref="B122:C122">
    <cfRule type="cellIs" dxfId="12731" priority="4331" stopIfTrue="1" operator="equal">
      <formula>"Towel"</formula>
    </cfRule>
    <cfRule type="cellIs" dxfId="12730" priority="4332" stopIfTrue="1" operator="equal">
      <formula>"Napkin Hs"</formula>
    </cfRule>
  </conditionalFormatting>
  <conditionalFormatting sqref="C122">
    <cfRule type="cellIs" dxfId="12729" priority="4329" stopIfTrue="1" operator="equal">
      <formula>"Towel"</formula>
    </cfRule>
    <cfRule type="cellIs" dxfId="12728" priority="4330" stopIfTrue="1" operator="equal">
      <formula>"Napkin Hs"</formula>
    </cfRule>
  </conditionalFormatting>
  <conditionalFormatting sqref="C122">
    <cfRule type="cellIs" dxfId="12727" priority="4327" stopIfTrue="1" operator="equal">
      <formula>"Towel"</formula>
    </cfRule>
    <cfRule type="cellIs" dxfId="12726" priority="4328" stopIfTrue="1" operator="equal">
      <formula>"Napkin Hs"</formula>
    </cfRule>
  </conditionalFormatting>
  <conditionalFormatting sqref="B122:C122">
    <cfRule type="cellIs" dxfId="12725" priority="4325" stopIfTrue="1" operator="equal">
      <formula>"Towel"</formula>
    </cfRule>
    <cfRule type="cellIs" dxfId="12724" priority="4326" stopIfTrue="1" operator="equal">
      <formula>"Napkin Hs"</formula>
    </cfRule>
  </conditionalFormatting>
  <conditionalFormatting sqref="C122">
    <cfRule type="cellIs" dxfId="12723" priority="4323" stopIfTrue="1" operator="equal">
      <formula>"Towel"</formula>
    </cfRule>
    <cfRule type="cellIs" dxfId="12722" priority="4324" stopIfTrue="1" operator="equal">
      <formula>"Napkin Hs"</formula>
    </cfRule>
  </conditionalFormatting>
  <conditionalFormatting sqref="C122">
    <cfRule type="cellIs" dxfId="12721" priority="4321" stopIfTrue="1" operator="equal">
      <formula>"Towel"</formula>
    </cfRule>
    <cfRule type="cellIs" dxfId="12720" priority="4322" stopIfTrue="1" operator="equal">
      <formula>"Napkin Hs"</formula>
    </cfRule>
  </conditionalFormatting>
  <conditionalFormatting sqref="B122:C122">
    <cfRule type="cellIs" dxfId="12719" priority="4320" stopIfTrue="1" operator="equal">
      <formula>"Napkin Hs"</formula>
    </cfRule>
  </conditionalFormatting>
  <conditionalFormatting sqref="B122:C122">
    <cfRule type="cellIs" dxfId="12718" priority="4319" stopIfTrue="1" operator="equal">
      <formula>"Towel"</formula>
    </cfRule>
  </conditionalFormatting>
  <conditionalFormatting sqref="C122">
    <cfRule type="cellIs" dxfId="12717" priority="4318" stopIfTrue="1" operator="equal">
      <formula>"Napkin Hs"</formula>
    </cfRule>
  </conditionalFormatting>
  <conditionalFormatting sqref="C122">
    <cfRule type="cellIs" dxfId="12716" priority="4315" stopIfTrue="1" operator="equal">
      <formula>"Towel"</formula>
    </cfRule>
    <cfRule type="cellIs" dxfId="12715" priority="4316" stopIfTrue="1" operator="equal">
      <formula>"Napkin Hs"</formula>
    </cfRule>
  </conditionalFormatting>
  <conditionalFormatting sqref="C122">
    <cfRule type="cellIs" dxfId="12714" priority="4317" stopIfTrue="1" operator="equal">
      <formula>"Towel"</formula>
    </cfRule>
  </conditionalFormatting>
  <conditionalFormatting sqref="B122:C122">
    <cfRule type="cellIs" dxfId="12713" priority="4314" stopIfTrue="1" operator="equal">
      <formula>"Napkin Hs"</formula>
    </cfRule>
  </conditionalFormatting>
  <conditionalFormatting sqref="B122:C122">
    <cfRule type="cellIs" dxfId="12712" priority="4313" stopIfTrue="1" operator="equal">
      <formula>"Towel"</formula>
    </cfRule>
  </conditionalFormatting>
  <conditionalFormatting sqref="C122">
    <cfRule type="cellIs" dxfId="12711" priority="4312" stopIfTrue="1" operator="equal">
      <formula>"Napkin Hs"</formula>
    </cfRule>
  </conditionalFormatting>
  <conditionalFormatting sqref="C122">
    <cfRule type="cellIs" dxfId="12710" priority="4311" stopIfTrue="1" operator="equal">
      <formula>"Towel"</formula>
    </cfRule>
  </conditionalFormatting>
  <conditionalFormatting sqref="C122">
    <cfRule type="cellIs" dxfId="12709" priority="4309" stopIfTrue="1" operator="equal">
      <formula>"Towel"</formula>
    </cfRule>
    <cfRule type="cellIs" dxfId="12708" priority="4310" stopIfTrue="1" operator="equal">
      <formula>"Napkin Hs"</formula>
    </cfRule>
  </conditionalFormatting>
  <conditionalFormatting sqref="C122">
    <cfRule type="cellIs" dxfId="12707" priority="4303" stopIfTrue="1" operator="equal">
      <formula>"Towel"</formula>
    </cfRule>
    <cfRule type="cellIs" dxfId="12706" priority="4304" stopIfTrue="1" operator="equal">
      <formula>"Napkin Hs"</formula>
    </cfRule>
  </conditionalFormatting>
  <conditionalFormatting sqref="B122:C122">
    <cfRule type="cellIs" dxfId="12705" priority="4302" stopIfTrue="1" operator="equal">
      <formula>"Napkin Hs"</formula>
    </cfRule>
  </conditionalFormatting>
  <conditionalFormatting sqref="B122:C122">
    <cfRule type="cellIs" dxfId="12704" priority="4301" stopIfTrue="1" operator="equal">
      <formula>"Towel"</formula>
    </cfRule>
  </conditionalFormatting>
  <conditionalFormatting sqref="C122">
    <cfRule type="cellIs" dxfId="12703" priority="4300" stopIfTrue="1" operator="equal">
      <formula>"Napkin Hs"</formula>
    </cfRule>
  </conditionalFormatting>
  <conditionalFormatting sqref="C122">
    <cfRule type="cellIs" dxfId="12702" priority="4299" stopIfTrue="1" operator="equal">
      <formula>"Towel"</formula>
    </cfRule>
  </conditionalFormatting>
  <conditionalFormatting sqref="C122">
    <cfRule type="cellIs" dxfId="12701" priority="4297" stopIfTrue="1" operator="equal">
      <formula>"Towel"</formula>
    </cfRule>
    <cfRule type="cellIs" dxfId="12700" priority="4298" stopIfTrue="1" operator="equal">
      <formula>"Napkin Hs"</formula>
    </cfRule>
  </conditionalFormatting>
  <conditionalFormatting sqref="C122">
    <cfRule type="cellIs" dxfId="12699" priority="4291" stopIfTrue="1" operator="equal">
      <formula>"Towel"</formula>
    </cfRule>
    <cfRule type="cellIs" dxfId="12698" priority="4292" stopIfTrue="1" operator="equal">
      <formula>"Napkin Hs"</formula>
    </cfRule>
  </conditionalFormatting>
  <conditionalFormatting sqref="C122">
    <cfRule type="cellIs" dxfId="12697" priority="4285" stopIfTrue="1" operator="equal">
      <formula>"Towel"</formula>
    </cfRule>
    <cfRule type="cellIs" dxfId="12696" priority="4286" stopIfTrue="1" operator="equal">
      <formula>"Napkin Hs"</formula>
    </cfRule>
  </conditionalFormatting>
  <conditionalFormatting sqref="C122">
    <cfRule type="cellIs" dxfId="12695" priority="4279" stopIfTrue="1" operator="equal">
      <formula>"Towel"</formula>
    </cfRule>
    <cfRule type="cellIs" dxfId="12694" priority="4280" stopIfTrue="1" operator="equal">
      <formula>"Napkin Hs"</formula>
    </cfRule>
  </conditionalFormatting>
  <conditionalFormatting sqref="C122">
    <cfRule type="cellIs" dxfId="12693" priority="4273" stopIfTrue="1" operator="equal">
      <formula>"Towel"</formula>
    </cfRule>
    <cfRule type="cellIs" dxfId="12692" priority="4274" stopIfTrue="1" operator="equal">
      <formula>"Napkin Hs"</formula>
    </cfRule>
  </conditionalFormatting>
  <conditionalFormatting sqref="C122">
    <cfRule type="cellIs" dxfId="12691" priority="4267" stopIfTrue="1" operator="equal">
      <formula>"Towel"</formula>
    </cfRule>
    <cfRule type="cellIs" dxfId="12690" priority="4268" stopIfTrue="1" operator="equal">
      <formula>"Napkin Hs"</formula>
    </cfRule>
  </conditionalFormatting>
  <conditionalFormatting sqref="B122:C122">
    <cfRule type="cellIs" dxfId="12689" priority="4266" stopIfTrue="1" operator="equal">
      <formula>"Napkin Hs"</formula>
    </cfRule>
  </conditionalFormatting>
  <conditionalFormatting sqref="B122:C122">
    <cfRule type="cellIs" dxfId="12688" priority="4265" stopIfTrue="1" operator="equal">
      <formula>"Towel"</formula>
    </cfRule>
  </conditionalFormatting>
  <conditionalFormatting sqref="C122">
    <cfRule type="cellIs" dxfId="12687" priority="4264" stopIfTrue="1" operator="equal">
      <formula>"Napkin Hs"</formula>
    </cfRule>
  </conditionalFormatting>
  <conditionalFormatting sqref="C122">
    <cfRule type="cellIs" dxfId="12686" priority="4261" stopIfTrue="1" operator="equal">
      <formula>"Towel"</formula>
    </cfRule>
    <cfRule type="cellIs" dxfId="12685" priority="4262" stopIfTrue="1" operator="equal">
      <formula>"Napkin Hs"</formula>
    </cfRule>
  </conditionalFormatting>
  <conditionalFormatting sqref="C122">
    <cfRule type="cellIs" dxfId="12684" priority="4263" stopIfTrue="1" operator="equal">
      <formula>"Towel"</formula>
    </cfRule>
  </conditionalFormatting>
  <conditionalFormatting sqref="B122:C122">
    <cfRule type="cellIs" dxfId="12683" priority="4260" stopIfTrue="1" operator="equal">
      <formula>"Napkin Hs"</formula>
    </cfRule>
  </conditionalFormatting>
  <conditionalFormatting sqref="B122:C122">
    <cfRule type="cellIs" dxfId="12682" priority="4259" stopIfTrue="1" operator="equal">
      <formula>"Towel"</formula>
    </cfRule>
  </conditionalFormatting>
  <conditionalFormatting sqref="C122">
    <cfRule type="cellIs" dxfId="12681" priority="4258" stopIfTrue="1" operator="equal">
      <formula>"Napkin Hs"</formula>
    </cfRule>
  </conditionalFormatting>
  <conditionalFormatting sqref="C122">
    <cfRule type="cellIs" dxfId="12680" priority="4255" stopIfTrue="1" operator="equal">
      <formula>"Towel"</formula>
    </cfRule>
    <cfRule type="cellIs" dxfId="12679" priority="4256" stopIfTrue="1" operator="equal">
      <formula>"Napkin Hs"</formula>
    </cfRule>
  </conditionalFormatting>
  <conditionalFormatting sqref="C122">
    <cfRule type="cellIs" dxfId="12678" priority="4257" stopIfTrue="1" operator="equal">
      <formula>"Towel"</formula>
    </cfRule>
  </conditionalFormatting>
  <conditionalFormatting sqref="B122:C122">
    <cfRule type="cellIs" dxfId="12677" priority="4307" stopIfTrue="1" operator="equal">
      <formula>"Towel"</formula>
    </cfRule>
    <cfRule type="cellIs" dxfId="12676" priority="4308" stopIfTrue="1" operator="equal">
      <formula>"Napkin Hs"</formula>
    </cfRule>
  </conditionalFormatting>
  <conditionalFormatting sqref="C122">
    <cfRule type="cellIs" dxfId="12675" priority="4305" stopIfTrue="1" operator="equal">
      <formula>"Towel"</formula>
    </cfRule>
    <cfRule type="cellIs" dxfId="12674" priority="4306" stopIfTrue="1" operator="equal">
      <formula>"Napkin Hs"</formula>
    </cfRule>
  </conditionalFormatting>
  <conditionalFormatting sqref="B122:C122">
    <cfRule type="cellIs" dxfId="12673" priority="4295" stopIfTrue="1" operator="equal">
      <formula>"Towel"</formula>
    </cfRule>
    <cfRule type="cellIs" dxfId="12672" priority="4296" stopIfTrue="1" operator="equal">
      <formula>"Napkin Hs"</formula>
    </cfRule>
  </conditionalFormatting>
  <conditionalFormatting sqref="C122">
    <cfRule type="cellIs" dxfId="12671" priority="4293" stopIfTrue="1" operator="equal">
      <formula>"Towel"</formula>
    </cfRule>
    <cfRule type="cellIs" dxfId="12670" priority="4294" stopIfTrue="1" operator="equal">
      <formula>"Napkin Hs"</formula>
    </cfRule>
  </conditionalFormatting>
  <conditionalFormatting sqref="B122:C122">
    <cfRule type="cellIs" dxfId="12669" priority="4289" stopIfTrue="1" operator="equal">
      <formula>"Towel"</formula>
    </cfRule>
    <cfRule type="cellIs" dxfId="12668" priority="4290" stopIfTrue="1" operator="equal">
      <formula>"Napkin Hs"</formula>
    </cfRule>
  </conditionalFormatting>
  <conditionalFormatting sqref="C122">
    <cfRule type="cellIs" dxfId="12667" priority="4287" stopIfTrue="1" operator="equal">
      <formula>"Towel"</formula>
    </cfRule>
    <cfRule type="cellIs" dxfId="12666" priority="4288" stopIfTrue="1" operator="equal">
      <formula>"Napkin Hs"</formula>
    </cfRule>
  </conditionalFormatting>
  <conditionalFormatting sqref="B122:C122">
    <cfRule type="cellIs" dxfId="12665" priority="4283" stopIfTrue="1" operator="equal">
      <formula>"Towel"</formula>
    </cfRule>
    <cfRule type="cellIs" dxfId="12664" priority="4284" stopIfTrue="1" operator="equal">
      <formula>"Napkin Hs"</formula>
    </cfRule>
  </conditionalFormatting>
  <conditionalFormatting sqref="C122">
    <cfRule type="cellIs" dxfId="12663" priority="4281" stopIfTrue="1" operator="equal">
      <formula>"Towel"</formula>
    </cfRule>
    <cfRule type="cellIs" dxfId="12662" priority="4282" stopIfTrue="1" operator="equal">
      <formula>"Napkin Hs"</formula>
    </cfRule>
  </conditionalFormatting>
  <conditionalFormatting sqref="B122:C122">
    <cfRule type="cellIs" dxfId="12661" priority="4277" stopIfTrue="1" operator="equal">
      <formula>"Towel"</formula>
    </cfRule>
    <cfRule type="cellIs" dxfId="12660" priority="4278" stopIfTrue="1" operator="equal">
      <formula>"Napkin Hs"</formula>
    </cfRule>
  </conditionalFormatting>
  <conditionalFormatting sqref="C122">
    <cfRule type="cellIs" dxfId="12659" priority="4275" stopIfTrue="1" operator="equal">
      <formula>"Towel"</formula>
    </cfRule>
    <cfRule type="cellIs" dxfId="12658" priority="4276" stopIfTrue="1" operator="equal">
      <formula>"Napkin Hs"</formula>
    </cfRule>
  </conditionalFormatting>
  <conditionalFormatting sqref="B122:C122">
    <cfRule type="cellIs" dxfId="12657" priority="4271" stopIfTrue="1" operator="equal">
      <formula>"Towel"</formula>
    </cfRule>
    <cfRule type="cellIs" dxfId="12656" priority="4272" stopIfTrue="1" operator="equal">
      <formula>"Napkin Hs"</formula>
    </cfRule>
  </conditionalFormatting>
  <conditionalFormatting sqref="C122">
    <cfRule type="cellIs" dxfId="12655" priority="4269" stopIfTrue="1" operator="equal">
      <formula>"Towel"</formula>
    </cfRule>
    <cfRule type="cellIs" dxfId="12654" priority="4270" stopIfTrue="1" operator="equal">
      <formula>"Napkin Hs"</formula>
    </cfRule>
  </conditionalFormatting>
  <conditionalFormatting sqref="B122:C122">
    <cfRule type="cellIs" dxfId="12653" priority="4254" stopIfTrue="1" operator="equal">
      <formula>"Napkin Hs"</formula>
    </cfRule>
  </conditionalFormatting>
  <conditionalFormatting sqref="B122:C122">
    <cfRule type="cellIs" dxfId="12652" priority="4253" stopIfTrue="1" operator="equal">
      <formula>"Towel"</formula>
    </cfRule>
  </conditionalFormatting>
  <conditionalFormatting sqref="C122">
    <cfRule type="cellIs" dxfId="12651" priority="4252" stopIfTrue="1" operator="equal">
      <formula>"Napkin Hs"</formula>
    </cfRule>
  </conditionalFormatting>
  <conditionalFormatting sqref="C122">
    <cfRule type="cellIs" dxfId="12650" priority="4249" stopIfTrue="1" operator="equal">
      <formula>"Towel"</formula>
    </cfRule>
    <cfRule type="cellIs" dxfId="12649" priority="4250" stopIfTrue="1" operator="equal">
      <formula>"Napkin Hs"</formula>
    </cfRule>
  </conditionalFormatting>
  <conditionalFormatting sqref="C122">
    <cfRule type="cellIs" dxfId="12648" priority="4251" stopIfTrue="1" operator="equal">
      <formula>"Towel"</formula>
    </cfRule>
  </conditionalFormatting>
  <conditionalFormatting sqref="C121">
    <cfRule type="cellIs" dxfId="12647" priority="4245" stopIfTrue="1" operator="equal">
      <formula>"Towel"</formula>
    </cfRule>
    <cfRule type="cellIs" dxfId="12646" priority="4246" stopIfTrue="1" operator="equal">
      <formula>"Napkin Hs"</formula>
    </cfRule>
  </conditionalFormatting>
  <conditionalFormatting sqref="C121">
    <cfRule type="cellIs" dxfId="12645" priority="4243" stopIfTrue="1" operator="equal">
      <formula>"Towel"</formula>
    </cfRule>
    <cfRule type="cellIs" dxfId="12644" priority="4244" stopIfTrue="1" operator="equal">
      <formula>"Napkin Hs"</formula>
    </cfRule>
  </conditionalFormatting>
  <conditionalFormatting sqref="B121:C121">
    <cfRule type="cellIs" dxfId="12643" priority="4194" stopIfTrue="1" operator="equal">
      <formula>"Napkin Hs"</formula>
    </cfRule>
  </conditionalFormatting>
  <conditionalFormatting sqref="B121:C121">
    <cfRule type="cellIs" dxfId="12642" priority="4193" stopIfTrue="1" operator="equal">
      <formula>"Towel"</formula>
    </cfRule>
  </conditionalFormatting>
  <conditionalFormatting sqref="B121:C121">
    <cfRule type="cellIs" dxfId="12641" priority="4247" stopIfTrue="1" operator="equal">
      <formula>"Towel"</formula>
    </cfRule>
    <cfRule type="cellIs" dxfId="12640" priority="4248" stopIfTrue="1" operator="equal">
      <formula>"Napkin Hs"</formula>
    </cfRule>
  </conditionalFormatting>
  <conditionalFormatting sqref="C121">
    <cfRule type="cellIs" dxfId="12639" priority="4192" stopIfTrue="1" operator="equal">
      <formula>"Napkin Hs"</formula>
    </cfRule>
  </conditionalFormatting>
  <conditionalFormatting sqref="C121">
    <cfRule type="cellIs" dxfId="12638" priority="4191" stopIfTrue="1" operator="equal">
      <formula>"Towel"</formula>
    </cfRule>
  </conditionalFormatting>
  <conditionalFormatting sqref="C121">
    <cfRule type="cellIs" dxfId="12637" priority="4189" stopIfTrue="1" operator="equal">
      <formula>"Towel"</formula>
    </cfRule>
    <cfRule type="cellIs" dxfId="12636" priority="4190" stopIfTrue="1" operator="equal">
      <formula>"Napkin Hs"</formula>
    </cfRule>
  </conditionalFormatting>
  <conditionalFormatting sqref="B121:C121">
    <cfRule type="cellIs" dxfId="12635" priority="4242" stopIfTrue="1" operator="equal">
      <formula>"Napkin Hs"</formula>
    </cfRule>
  </conditionalFormatting>
  <conditionalFormatting sqref="B121:C121">
    <cfRule type="cellIs" dxfId="12634" priority="4241" stopIfTrue="1" operator="equal">
      <formula>"Towel"</formula>
    </cfRule>
  </conditionalFormatting>
  <conditionalFormatting sqref="C121">
    <cfRule type="cellIs" dxfId="12633" priority="4240" stopIfTrue="1" operator="equal">
      <formula>"Napkin Hs"</formula>
    </cfRule>
  </conditionalFormatting>
  <conditionalFormatting sqref="C121">
    <cfRule type="cellIs" dxfId="12632" priority="4239" stopIfTrue="1" operator="equal">
      <formula>"Towel"</formula>
    </cfRule>
  </conditionalFormatting>
  <conditionalFormatting sqref="C121">
    <cfRule type="cellIs" dxfId="12631" priority="4237" stopIfTrue="1" operator="equal">
      <formula>"Towel"</formula>
    </cfRule>
    <cfRule type="cellIs" dxfId="12630" priority="4238" stopIfTrue="1" operator="equal">
      <formula>"Napkin Hs"</formula>
    </cfRule>
  </conditionalFormatting>
  <conditionalFormatting sqref="B121:C121">
    <cfRule type="cellIs" dxfId="12629" priority="4235" stopIfTrue="1" operator="equal">
      <formula>"Towel"</formula>
    </cfRule>
    <cfRule type="cellIs" dxfId="12628" priority="4236" stopIfTrue="1" operator="equal">
      <formula>"Napkin Hs"</formula>
    </cfRule>
  </conditionalFormatting>
  <conditionalFormatting sqref="C121">
    <cfRule type="cellIs" dxfId="12627" priority="4231" stopIfTrue="1" operator="equal">
      <formula>"Towel"</formula>
    </cfRule>
    <cfRule type="cellIs" dxfId="12626" priority="4232" stopIfTrue="1" operator="equal">
      <formula>"Napkin Hs"</formula>
    </cfRule>
  </conditionalFormatting>
  <conditionalFormatting sqref="C121">
    <cfRule type="cellIs" dxfId="12625" priority="4233" stopIfTrue="1" operator="equal">
      <formula>"Towel"</formula>
    </cfRule>
    <cfRule type="cellIs" dxfId="12624" priority="4234" stopIfTrue="1" operator="equal">
      <formula>"Napkin Hs"</formula>
    </cfRule>
  </conditionalFormatting>
  <conditionalFormatting sqref="B121:C121">
    <cfRule type="cellIs" dxfId="12623" priority="4230" stopIfTrue="1" operator="equal">
      <formula>"Napkin Hs"</formula>
    </cfRule>
  </conditionalFormatting>
  <conditionalFormatting sqref="B121:C121">
    <cfRule type="cellIs" dxfId="12622" priority="4229" stopIfTrue="1" operator="equal">
      <formula>"Towel"</formula>
    </cfRule>
  </conditionalFormatting>
  <conditionalFormatting sqref="C121">
    <cfRule type="cellIs" dxfId="12621" priority="4228" stopIfTrue="1" operator="equal">
      <formula>"Napkin Hs"</formula>
    </cfRule>
  </conditionalFormatting>
  <conditionalFormatting sqref="C121">
    <cfRule type="cellIs" dxfId="12620" priority="4227" stopIfTrue="1" operator="equal">
      <formula>"Towel"</formula>
    </cfRule>
  </conditionalFormatting>
  <conditionalFormatting sqref="C121">
    <cfRule type="cellIs" dxfId="12619" priority="4225" stopIfTrue="1" operator="equal">
      <formula>"Towel"</formula>
    </cfRule>
    <cfRule type="cellIs" dxfId="12618" priority="4226" stopIfTrue="1" operator="equal">
      <formula>"Napkin Hs"</formula>
    </cfRule>
  </conditionalFormatting>
  <conditionalFormatting sqref="B121:C121">
    <cfRule type="cellIs" dxfId="12617" priority="4223" stopIfTrue="1" operator="equal">
      <formula>"Towel"</formula>
    </cfRule>
    <cfRule type="cellIs" dxfId="12616" priority="4224" stopIfTrue="1" operator="equal">
      <formula>"Napkin Hs"</formula>
    </cfRule>
  </conditionalFormatting>
  <conditionalFormatting sqref="C121">
    <cfRule type="cellIs" dxfId="12615" priority="4221" stopIfTrue="1" operator="equal">
      <formula>"Towel"</formula>
    </cfRule>
    <cfRule type="cellIs" dxfId="12614" priority="4222" stopIfTrue="1" operator="equal">
      <formula>"Napkin Hs"</formula>
    </cfRule>
  </conditionalFormatting>
  <conditionalFormatting sqref="C121">
    <cfRule type="cellIs" dxfId="12613" priority="4219" stopIfTrue="1" operator="equal">
      <formula>"Towel"</formula>
    </cfRule>
    <cfRule type="cellIs" dxfId="12612" priority="4220" stopIfTrue="1" operator="equal">
      <formula>"Napkin Hs"</formula>
    </cfRule>
  </conditionalFormatting>
  <conditionalFormatting sqref="B121:C121">
    <cfRule type="cellIs" dxfId="12611" priority="4217" stopIfTrue="1" operator="equal">
      <formula>"Towel"</formula>
    </cfRule>
    <cfRule type="cellIs" dxfId="12610" priority="4218" stopIfTrue="1" operator="equal">
      <formula>"Napkin Hs"</formula>
    </cfRule>
  </conditionalFormatting>
  <conditionalFormatting sqref="C121">
    <cfRule type="cellIs" dxfId="12609" priority="4215" stopIfTrue="1" operator="equal">
      <formula>"Towel"</formula>
    </cfRule>
    <cfRule type="cellIs" dxfId="12608" priority="4216" stopIfTrue="1" operator="equal">
      <formula>"Napkin Hs"</formula>
    </cfRule>
  </conditionalFormatting>
  <conditionalFormatting sqref="C121">
    <cfRule type="cellIs" dxfId="12607" priority="4213" stopIfTrue="1" operator="equal">
      <formula>"Towel"</formula>
    </cfRule>
    <cfRule type="cellIs" dxfId="12606" priority="4214" stopIfTrue="1" operator="equal">
      <formula>"Napkin Hs"</formula>
    </cfRule>
  </conditionalFormatting>
  <conditionalFormatting sqref="B121:C121">
    <cfRule type="cellIs" dxfId="12605" priority="4211" stopIfTrue="1" operator="equal">
      <formula>"Towel"</formula>
    </cfRule>
    <cfRule type="cellIs" dxfId="12604" priority="4212" stopIfTrue="1" operator="equal">
      <formula>"Napkin Hs"</formula>
    </cfRule>
  </conditionalFormatting>
  <conditionalFormatting sqref="C121">
    <cfRule type="cellIs" dxfId="12603" priority="4209" stopIfTrue="1" operator="equal">
      <formula>"Towel"</formula>
    </cfRule>
    <cfRule type="cellIs" dxfId="12602" priority="4210" stopIfTrue="1" operator="equal">
      <formula>"Napkin Hs"</formula>
    </cfRule>
  </conditionalFormatting>
  <conditionalFormatting sqref="C121">
    <cfRule type="cellIs" dxfId="12601" priority="4207" stopIfTrue="1" operator="equal">
      <formula>"Towel"</formula>
    </cfRule>
    <cfRule type="cellIs" dxfId="12600" priority="4208" stopIfTrue="1" operator="equal">
      <formula>"Napkin Hs"</formula>
    </cfRule>
  </conditionalFormatting>
  <conditionalFormatting sqref="B121:C121">
    <cfRule type="cellIs" dxfId="12599" priority="4205" stopIfTrue="1" operator="equal">
      <formula>"Towel"</formula>
    </cfRule>
    <cfRule type="cellIs" dxfId="12598" priority="4206" stopIfTrue="1" operator="equal">
      <formula>"Napkin Hs"</formula>
    </cfRule>
  </conditionalFormatting>
  <conditionalFormatting sqref="C121">
    <cfRule type="cellIs" dxfId="12597" priority="4203" stopIfTrue="1" operator="equal">
      <formula>"Towel"</formula>
    </cfRule>
    <cfRule type="cellIs" dxfId="12596" priority="4204" stopIfTrue="1" operator="equal">
      <formula>"Napkin Hs"</formula>
    </cfRule>
  </conditionalFormatting>
  <conditionalFormatting sqref="C121">
    <cfRule type="cellIs" dxfId="12595" priority="4201" stopIfTrue="1" operator="equal">
      <formula>"Towel"</formula>
    </cfRule>
    <cfRule type="cellIs" dxfId="12594" priority="4202" stopIfTrue="1" operator="equal">
      <formula>"Napkin Hs"</formula>
    </cfRule>
  </conditionalFormatting>
  <conditionalFormatting sqref="B121:C121">
    <cfRule type="cellIs" dxfId="12593" priority="4199" stopIfTrue="1" operator="equal">
      <formula>"Towel"</formula>
    </cfRule>
    <cfRule type="cellIs" dxfId="12592" priority="4200" stopIfTrue="1" operator="equal">
      <formula>"Napkin Hs"</formula>
    </cfRule>
  </conditionalFormatting>
  <conditionalFormatting sqref="C121">
    <cfRule type="cellIs" dxfId="12591" priority="4197" stopIfTrue="1" operator="equal">
      <formula>"Towel"</formula>
    </cfRule>
    <cfRule type="cellIs" dxfId="12590" priority="4198" stopIfTrue="1" operator="equal">
      <formula>"Napkin Hs"</formula>
    </cfRule>
  </conditionalFormatting>
  <conditionalFormatting sqref="C121">
    <cfRule type="cellIs" dxfId="12589" priority="4195" stopIfTrue="1" operator="equal">
      <formula>"Towel"</formula>
    </cfRule>
    <cfRule type="cellIs" dxfId="12588" priority="4196" stopIfTrue="1" operator="equal">
      <formula>"Napkin Hs"</formula>
    </cfRule>
  </conditionalFormatting>
  <conditionalFormatting sqref="B121:C121">
    <cfRule type="cellIs" dxfId="12587" priority="4185" stopIfTrue="1" operator="equal">
      <formula>"Towel"</formula>
    </cfRule>
    <cfRule type="cellIs" dxfId="12586" priority="4186" stopIfTrue="1" operator="equal">
      <formula>"Napkin Hs"</formula>
    </cfRule>
  </conditionalFormatting>
  <conditionalFormatting sqref="C121">
    <cfRule type="cellIs" dxfId="12585" priority="4187" stopIfTrue="1" operator="equal">
      <formula>"Towel"</formula>
    </cfRule>
    <cfRule type="cellIs" dxfId="12584" priority="4188" stopIfTrue="1" operator="equal">
      <formula>"Napkin Hs"</formula>
    </cfRule>
  </conditionalFormatting>
  <conditionalFormatting sqref="C121">
    <cfRule type="cellIs" dxfId="12583" priority="4183" stopIfTrue="1" operator="equal">
      <formula>"Towel"</formula>
    </cfRule>
    <cfRule type="cellIs" dxfId="12582" priority="4184" stopIfTrue="1" operator="equal">
      <formula>"Napkin Hs"</formula>
    </cfRule>
  </conditionalFormatting>
  <conditionalFormatting sqref="B121:C121">
    <cfRule type="cellIs" dxfId="12581" priority="4182" stopIfTrue="1" operator="equal">
      <formula>"Napkin Hs"</formula>
    </cfRule>
  </conditionalFormatting>
  <conditionalFormatting sqref="B121:C121">
    <cfRule type="cellIs" dxfId="12580" priority="4181" stopIfTrue="1" operator="equal">
      <formula>"Towel"</formula>
    </cfRule>
  </conditionalFormatting>
  <conditionalFormatting sqref="C121">
    <cfRule type="cellIs" dxfId="12579" priority="4180" stopIfTrue="1" operator="equal">
      <formula>"Napkin Hs"</formula>
    </cfRule>
  </conditionalFormatting>
  <conditionalFormatting sqref="C121">
    <cfRule type="cellIs" dxfId="12578" priority="4179" stopIfTrue="1" operator="equal">
      <formula>"Towel"</formula>
    </cfRule>
  </conditionalFormatting>
  <conditionalFormatting sqref="C121">
    <cfRule type="cellIs" dxfId="12577" priority="4177" stopIfTrue="1" operator="equal">
      <formula>"Towel"</formula>
    </cfRule>
    <cfRule type="cellIs" dxfId="12576" priority="4178" stopIfTrue="1" operator="equal">
      <formula>"Napkin Hs"</formula>
    </cfRule>
  </conditionalFormatting>
  <conditionalFormatting sqref="B121:C121">
    <cfRule type="cellIs" dxfId="12575" priority="4175" stopIfTrue="1" operator="equal">
      <formula>"Towel"</formula>
    </cfRule>
    <cfRule type="cellIs" dxfId="12574" priority="4176" stopIfTrue="1" operator="equal">
      <formula>"Napkin Hs"</formula>
    </cfRule>
  </conditionalFormatting>
  <conditionalFormatting sqref="C121">
    <cfRule type="cellIs" dxfId="12573" priority="4171" stopIfTrue="1" operator="equal">
      <formula>"Towel"</formula>
    </cfRule>
    <cfRule type="cellIs" dxfId="12572" priority="4172" stopIfTrue="1" operator="equal">
      <formula>"Napkin Hs"</formula>
    </cfRule>
  </conditionalFormatting>
  <conditionalFormatting sqref="C121">
    <cfRule type="cellIs" dxfId="12571" priority="4173" stopIfTrue="1" operator="equal">
      <formula>"Towel"</formula>
    </cfRule>
    <cfRule type="cellIs" dxfId="12570" priority="4174" stopIfTrue="1" operator="equal">
      <formula>"Napkin Hs"</formula>
    </cfRule>
  </conditionalFormatting>
  <conditionalFormatting sqref="B121:C121">
    <cfRule type="cellIs" dxfId="12569" priority="4170" stopIfTrue="1" operator="equal">
      <formula>"Napkin Hs"</formula>
    </cfRule>
  </conditionalFormatting>
  <conditionalFormatting sqref="B121:C121">
    <cfRule type="cellIs" dxfId="12568" priority="4169" stopIfTrue="1" operator="equal">
      <formula>"Towel"</formula>
    </cfRule>
  </conditionalFormatting>
  <conditionalFormatting sqref="C121">
    <cfRule type="cellIs" dxfId="12567" priority="4168" stopIfTrue="1" operator="equal">
      <formula>"Napkin Hs"</formula>
    </cfRule>
  </conditionalFormatting>
  <conditionalFormatting sqref="C121">
    <cfRule type="cellIs" dxfId="12566" priority="4167" stopIfTrue="1" operator="equal">
      <formula>"Towel"</formula>
    </cfRule>
  </conditionalFormatting>
  <conditionalFormatting sqref="C121">
    <cfRule type="cellIs" dxfId="12565" priority="4165" stopIfTrue="1" operator="equal">
      <formula>"Towel"</formula>
    </cfRule>
    <cfRule type="cellIs" dxfId="12564" priority="4166" stopIfTrue="1" operator="equal">
      <formula>"Napkin Hs"</formula>
    </cfRule>
  </conditionalFormatting>
  <conditionalFormatting sqref="B121:C121">
    <cfRule type="cellIs" dxfId="12563" priority="4163" stopIfTrue="1" operator="equal">
      <formula>"Towel"</formula>
    </cfRule>
    <cfRule type="cellIs" dxfId="12562" priority="4164" stopIfTrue="1" operator="equal">
      <formula>"Napkin Hs"</formula>
    </cfRule>
  </conditionalFormatting>
  <conditionalFormatting sqref="C121">
    <cfRule type="cellIs" dxfId="12561" priority="4161" stopIfTrue="1" operator="equal">
      <formula>"Towel"</formula>
    </cfRule>
    <cfRule type="cellIs" dxfId="12560" priority="4162" stopIfTrue="1" operator="equal">
      <formula>"Napkin Hs"</formula>
    </cfRule>
  </conditionalFormatting>
  <conditionalFormatting sqref="C121">
    <cfRule type="cellIs" dxfId="12559" priority="4159" stopIfTrue="1" operator="equal">
      <formula>"Towel"</formula>
    </cfRule>
    <cfRule type="cellIs" dxfId="12558" priority="4160" stopIfTrue="1" operator="equal">
      <formula>"Napkin Hs"</formula>
    </cfRule>
  </conditionalFormatting>
  <conditionalFormatting sqref="B121:C121">
    <cfRule type="cellIs" dxfId="12557" priority="4157" stopIfTrue="1" operator="equal">
      <formula>"Towel"</formula>
    </cfRule>
    <cfRule type="cellIs" dxfId="12556" priority="4158" stopIfTrue="1" operator="equal">
      <formula>"Napkin Hs"</formula>
    </cfRule>
  </conditionalFormatting>
  <conditionalFormatting sqref="C121">
    <cfRule type="cellIs" dxfId="12555" priority="4155" stopIfTrue="1" operator="equal">
      <formula>"Towel"</formula>
    </cfRule>
    <cfRule type="cellIs" dxfId="12554" priority="4156" stopIfTrue="1" operator="equal">
      <formula>"Napkin Hs"</formula>
    </cfRule>
  </conditionalFormatting>
  <conditionalFormatting sqref="C121">
    <cfRule type="cellIs" dxfId="12553" priority="4153" stopIfTrue="1" operator="equal">
      <formula>"Towel"</formula>
    </cfRule>
    <cfRule type="cellIs" dxfId="12552" priority="4154" stopIfTrue="1" operator="equal">
      <formula>"Napkin Hs"</formula>
    </cfRule>
  </conditionalFormatting>
  <conditionalFormatting sqref="B121:C121">
    <cfRule type="cellIs" dxfId="12551" priority="4151" stopIfTrue="1" operator="equal">
      <formula>"Towel"</formula>
    </cfRule>
    <cfRule type="cellIs" dxfId="12550" priority="4152" stopIfTrue="1" operator="equal">
      <formula>"Napkin Hs"</formula>
    </cfRule>
  </conditionalFormatting>
  <conditionalFormatting sqref="C121">
    <cfRule type="cellIs" dxfId="12549" priority="4149" stopIfTrue="1" operator="equal">
      <formula>"Towel"</formula>
    </cfRule>
    <cfRule type="cellIs" dxfId="12548" priority="4150" stopIfTrue="1" operator="equal">
      <formula>"Napkin Hs"</formula>
    </cfRule>
  </conditionalFormatting>
  <conditionalFormatting sqref="C121">
    <cfRule type="cellIs" dxfId="12547" priority="4147" stopIfTrue="1" operator="equal">
      <formula>"Towel"</formula>
    </cfRule>
    <cfRule type="cellIs" dxfId="12546" priority="4148" stopIfTrue="1" operator="equal">
      <formula>"Napkin Hs"</formula>
    </cfRule>
  </conditionalFormatting>
  <conditionalFormatting sqref="B121:C121">
    <cfRule type="cellIs" dxfId="12545" priority="4145" stopIfTrue="1" operator="equal">
      <formula>"Towel"</formula>
    </cfRule>
    <cfRule type="cellIs" dxfId="12544" priority="4146" stopIfTrue="1" operator="equal">
      <formula>"Napkin Hs"</formula>
    </cfRule>
  </conditionalFormatting>
  <conditionalFormatting sqref="C121">
    <cfRule type="cellIs" dxfId="12543" priority="4143" stopIfTrue="1" operator="equal">
      <formula>"Towel"</formula>
    </cfRule>
    <cfRule type="cellIs" dxfId="12542" priority="4144" stopIfTrue="1" operator="equal">
      <formula>"Napkin Hs"</formula>
    </cfRule>
  </conditionalFormatting>
  <conditionalFormatting sqref="C121">
    <cfRule type="cellIs" dxfId="12541" priority="4141" stopIfTrue="1" operator="equal">
      <formula>"Towel"</formula>
    </cfRule>
    <cfRule type="cellIs" dxfId="12540" priority="4142" stopIfTrue="1" operator="equal">
      <formula>"Napkin Hs"</formula>
    </cfRule>
  </conditionalFormatting>
  <conditionalFormatting sqref="B121:C121">
    <cfRule type="cellIs" dxfId="12539" priority="4139" stopIfTrue="1" operator="equal">
      <formula>"Towel"</formula>
    </cfRule>
    <cfRule type="cellIs" dxfId="12538" priority="4140" stopIfTrue="1" operator="equal">
      <formula>"Napkin Hs"</formula>
    </cfRule>
  </conditionalFormatting>
  <conditionalFormatting sqref="C121">
    <cfRule type="cellIs" dxfId="12537" priority="4137" stopIfTrue="1" operator="equal">
      <formula>"Towel"</formula>
    </cfRule>
    <cfRule type="cellIs" dxfId="12536" priority="4138" stopIfTrue="1" operator="equal">
      <formula>"Napkin Hs"</formula>
    </cfRule>
  </conditionalFormatting>
  <conditionalFormatting sqref="C121">
    <cfRule type="cellIs" dxfId="12535" priority="4135" stopIfTrue="1" operator="equal">
      <formula>"Towel"</formula>
    </cfRule>
    <cfRule type="cellIs" dxfId="12534" priority="4136" stopIfTrue="1" operator="equal">
      <formula>"Napkin Hs"</formula>
    </cfRule>
  </conditionalFormatting>
  <conditionalFormatting sqref="B121:C121">
    <cfRule type="cellIs" dxfId="12533" priority="4134" stopIfTrue="1" operator="equal">
      <formula>"Napkin Hs"</formula>
    </cfRule>
  </conditionalFormatting>
  <conditionalFormatting sqref="B121:C121">
    <cfRule type="cellIs" dxfId="12532" priority="4133" stopIfTrue="1" operator="equal">
      <formula>"Towel"</formula>
    </cfRule>
  </conditionalFormatting>
  <conditionalFormatting sqref="C121">
    <cfRule type="cellIs" dxfId="12531" priority="4132" stopIfTrue="1" operator="equal">
      <formula>"Napkin Hs"</formula>
    </cfRule>
  </conditionalFormatting>
  <conditionalFormatting sqref="C121">
    <cfRule type="cellIs" dxfId="12530" priority="4129" stopIfTrue="1" operator="equal">
      <formula>"Towel"</formula>
    </cfRule>
    <cfRule type="cellIs" dxfId="12529" priority="4130" stopIfTrue="1" operator="equal">
      <formula>"Napkin Hs"</formula>
    </cfRule>
  </conditionalFormatting>
  <conditionalFormatting sqref="C121">
    <cfRule type="cellIs" dxfId="12528" priority="4131" stopIfTrue="1" operator="equal">
      <formula>"Towel"</formula>
    </cfRule>
  </conditionalFormatting>
  <conditionalFormatting sqref="B121:C121">
    <cfRule type="cellIs" dxfId="12527" priority="4128" stopIfTrue="1" operator="equal">
      <formula>"Napkin Hs"</formula>
    </cfRule>
  </conditionalFormatting>
  <conditionalFormatting sqref="B121:C121">
    <cfRule type="cellIs" dxfId="12526" priority="4127" stopIfTrue="1" operator="equal">
      <formula>"Towel"</formula>
    </cfRule>
  </conditionalFormatting>
  <conditionalFormatting sqref="C121">
    <cfRule type="cellIs" dxfId="12525" priority="4126" stopIfTrue="1" operator="equal">
      <formula>"Napkin Hs"</formula>
    </cfRule>
  </conditionalFormatting>
  <conditionalFormatting sqref="C121">
    <cfRule type="cellIs" dxfId="12524" priority="4125" stopIfTrue="1" operator="equal">
      <formula>"Towel"</formula>
    </cfRule>
  </conditionalFormatting>
  <conditionalFormatting sqref="C121">
    <cfRule type="cellIs" dxfId="12523" priority="4123" stopIfTrue="1" operator="equal">
      <formula>"Towel"</formula>
    </cfRule>
    <cfRule type="cellIs" dxfId="12522" priority="4124" stopIfTrue="1" operator="equal">
      <formula>"Napkin Hs"</formula>
    </cfRule>
  </conditionalFormatting>
  <conditionalFormatting sqref="C121">
    <cfRule type="cellIs" dxfId="12521" priority="4117" stopIfTrue="1" operator="equal">
      <formula>"Towel"</formula>
    </cfRule>
    <cfRule type="cellIs" dxfId="12520" priority="4118" stopIfTrue="1" operator="equal">
      <formula>"Napkin Hs"</formula>
    </cfRule>
  </conditionalFormatting>
  <conditionalFormatting sqref="B121:C121">
    <cfRule type="cellIs" dxfId="12519" priority="4116" stopIfTrue="1" operator="equal">
      <formula>"Napkin Hs"</formula>
    </cfRule>
  </conditionalFormatting>
  <conditionalFormatting sqref="B121:C121">
    <cfRule type="cellIs" dxfId="12518" priority="4115" stopIfTrue="1" operator="equal">
      <formula>"Towel"</formula>
    </cfRule>
  </conditionalFormatting>
  <conditionalFormatting sqref="C121">
    <cfRule type="cellIs" dxfId="12517" priority="4114" stopIfTrue="1" operator="equal">
      <formula>"Napkin Hs"</formula>
    </cfRule>
  </conditionalFormatting>
  <conditionalFormatting sqref="C121">
    <cfRule type="cellIs" dxfId="12516" priority="4113" stopIfTrue="1" operator="equal">
      <formula>"Towel"</formula>
    </cfRule>
  </conditionalFormatting>
  <conditionalFormatting sqref="C121">
    <cfRule type="cellIs" dxfId="12515" priority="4111" stopIfTrue="1" operator="equal">
      <formula>"Towel"</formula>
    </cfRule>
    <cfRule type="cellIs" dxfId="12514" priority="4112" stopIfTrue="1" operator="equal">
      <formula>"Napkin Hs"</formula>
    </cfRule>
  </conditionalFormatting>
  <conditionalFormatting sqref="C121">
    <cfRule type="cellIs" dxfId="12513" priority="4105" stopIfTrue="1" operator="equal">
      <formula>"Towel"</formula>
    </cfRule>
    <cfRule type="cellIs" dxfId="12512" priority="4106" stopIfTrue="1" operator="equal">
      <formula>"Napkin Hs"</formula>
    </cfRule>
  </conditionalFormatting>
  <conditionalFormatting sqref="C121">
    <cfRule type="cellIs" dxfId="12511" priority="4099" stopIfTrue="1" operator="equal">
      <formula>"Towel"</formula>
    </cfRule>
    <cfRule type="cellIs" dxfId="12510" priority="4100" stopIfTrue="1" operator="equal">
      <formula>"Napkin Hs"</formula>
    </cfRule>
  </conditionalFormatting>
  <conditionalFormatting sqref="C121">
    <cfRule type="cellIs" dxfId="12509" priority="4093" stopIfTrue="1" operator="equal">
      <formula>"Towel"</formula>
    </cfRule>
    <cfRule type="cellIs" dxfId="12508" priority="4094" stopIfTrue="1" operator="equal">
      <formula>"Napkin Hs"</formula>
    </cfRule>
  </conditionalFormatting>
  <conditionalFormatting sqref="C121">
    <cfRule type="cellIs" dxfId="12507" priority="4087" stopIfTrue="1" operator="equal">
      <formula>"Towel"</formula>
    </cfRule>
    <cfRule type="cellIs" dxfId="12506" priority="4088" stopIfTrue="1" operator="equal">
      <formula>"Napkin Hs"</formula>
    </cfRule>
  </conditionalFormatting>
  <conditionalFormatting sqref="C121">
    <cfRule type="cellIs" dxfId="12505" priority="4081" stopIfTrue="1" operator="equal">
      <formula>"Towel"</formula>
    </cfRule>
    <cfRule type="cellIs" dxfId="12504" priority="4082" stopIfTrue="1" operator="equal">
      <formula>"Napkin Hs"</formula>
    </cfRule>
  </conditionalFormatting>
  <conditionalFormatting sqref="B121:C121">
    <cfRule type="cellIs" dxfId="12503" priority="4080" stopIfTrue="1" operator="equal">
      <formula>"Napkin Hs"</formula>
    </cfRule>
  </conditionalFormatting>
  <conditionalFormatting sqref="B121:C121">
    <cfRule type="cellIs" dxfId="12502" priority="4079" stopIfTrue="1" operator="equal">
      <formula>"Towel"</formula>
    </cfRule>
  </conditionalFormatting>
  <conditionalFormatting sqref="C121">
    <cfRule type="cellIs" dxfId="12501" priority="4078" stopIfTrue="1" operator="equal">
      <formula>"Napkin Hs"</formula>
    </cfRule>
  </conditionalFormatting>
  <conditionalFormatting sqref="C121">
    <cfRule type="cellIs" dxfId="12500" priority="4075" stopIfTrue="1" operator="equal">
      <formula>"Towel"</formula>
    </cfRule>
    <cfRule type="cellIs" dxfId="12499" priority="4076" stopIfTrue="1" operator="equal">
      <formula>"Napkin Hs"</formula>
    </cfRule>
  </conditionalFormatting>
  <conditionalFormatting sqref="C121">
    <cfRule type="cellIs" dxfId="12498" priority="4077" stopIfTrue="1" operator="equal">
      <formula>"Towel"</formula>
    </cfRule>
  </conditionalFormatting>
  <conditionalFormatting sqref="B121:C121">
    <cfRule type="cellIs" dxfId="12497" priority="4074" stopIfTrue="1" operator="equal">
      <formula>"Napkin Hs"</formula>
    </cfRule>
  </conditionalFormatting>
  <conditionalFormatting sqref="B121:C121">
    <cfRule type="cellIs" dxfId="12496" priority="4073" stopIfTrue="1" operator="equal">
      <formula>"Towel"</formula>
    </cfRule>
  </conditionalFormatting>
  <conditionalFormatting sqref="C121">
    <cfRule type="cellIs" dxfId="12495" priority="4072" stopIfTrue="1" operator="equal">
      <formula>"Napkin Hs"</formula>
    </cfRule>
  </conditionalFormatting>
  <conditionalFormatting sqref="C121">
    <cfRule type="cellIs" dxfId="12494" priority="4069" stopIfTrue="1" operator="equal">
      <formula>"Towel"</formula>
    </cfRule>
    <cfRule type="cellIs" dxfId="12493" priority="4070" stopIfTrue="1" operator="equal">
      <formula>"Napkin Hs"</formula>
    </cfRule>
  </conditionalFormatting>
  <conditionalFormatting sqref="C121">
    <cfRule type="cellIs" dxfId="12492" priority="4071" stopIfTrue="1" operator="equal">
      <formula>"Towel"</formula>
    </cfRule>
  </conditionalFormatting>
  <conditionalFormatting sqref="B121:C121">
    <cfRule type="cellIs" dxfId="12491" priority="4121" stopIfTrue="1" operator="equal">
      <formula>"Towel"</formula>
    </cfRule>
    <cfRule type="cellIs" dxfId="12490" priority="4122" stopIfTrue="1" operator="equal">
      <formula>"Napkin Hs"</formula>
    </cfRule>
  </conditionalFormatting>
  <conditionalFormatting sqref="C121">
    <cfRule type="cellIs" dxfId="12489" priority="4119" stopIfTrue="1" operator="equal">
      <formula>"Towel"</formula>
    </cfRule>
    <cfRule type="cellIs" dxfId="12488" priority="4120" stopIfTrue="1" operator="equal">
      <formula>"Napkin Hs"</formula>
    </cfRule>
  </conditionalFormatting>
  <conditionalFormatting sqref="B121:C121">
    <cfRule type="cellIs" dxfId="12487" priority="4109" stopIfTrue="1" operator="equal">
      <formula>"Towel"</formula>
    </cfRule>
    <cfRule type="cellIs" dxfId="12486" priority="4110" stopIfTrue="1" operator="equal">
      <formula>"Napkin Hs"</formula>
    </cfRule>
  </conditionalFormatting>
  <conditionalFormatting sqref="C121">
    <cfRule type="cellIs" dxfId="12485" priority="4107" stopIfTrue="1" operator="equal">
      <formula>"Towel"</formula>
    </cfRule>
    <cfRule type="cellIs" dxfId="12484" priority="4108" stopIfTrue="1" operator="equal">
      <formula>"Napkin Hs"</formula>
    </cfRule>
  </conditionalFormatting>
  <conditionalFormatting sqref="B121:C121">
    <cfRule type="cellIs" dxfId="12483" priority="4103" stopIfTrue="1" operator="equal">
      <formula>"Towel"</formula>
    </cfRule>
    <cfRule type="cellIs" dxfId="12482" priority="4104" stopIfTrue="1" operator="equal">
      <formula>"Napkin Hs"</formula>
    </cfRule>
  </conditionalFormatting>
  <conditionalFormatting sqref="C121">
    <cfRule type="cellIs" dxfId="12481" priority="4101" stopIfTrue="1" operator="equal">
      <formula>"Towel"</formula>
    </cfRule>
    <cfRule type="cellIs" dxfId="12480" priority="4102" stopIfTrue="1" operator="equal">
      <formula>"Napkin Hs"</formula>
    </cfRule>
  </conditionalFormatting>
  <conditionalFormatting sqref="B121:C121">
    <cfRule type="cellIs" dxfId="12479" priority="4097" stopIfTrue="1" operator="equal">
      <formula>"Towel"</formula>
    </cfRule>
    <cfRule type="cellIs" dxfId="12478" priority="4098" stopIfTrue="1" operator="equal">
      <formula>"Napkin Hs"</formula>
    </cfRule>
  </conditionalFormatting>
  <conditionalFormatting sqref="C121">
    <cfRule type="cellIs" dxfId="12477" priority="4095" stopIfTrue="1" operator="equal">
      <formula>"Towel"</formula>
    </cfRule>
    <cfRule type="cellIs" dxfId="12476" priority="4096" stopIfTrue="1" operator="equal">
      <formula>"Napkin Hs"</formula>
    </cfRule>
  </conditionalFormatting>
  <conditionalFormatting sqref="B121:C121">
    <cfRule type="cellIs" dxfId="12475" priority="4091" stopIfTrue="1" operator="equal">
      <formula>"Towel"</formula>
    </cfRule>
    <cfRule type="cellIs" dxfId="12474" priority="4092" stopIfTrue="1" operator="equal">
      <formula>"Napkin Hs"</formula>
    </cfRule>
  </conditionalFormatting>
  <conditionalFormatting sqref="C121">
    <cfRule type="cellIs" dxfId="12473" priority="4089" stopIfTrue="1" operator="equal">
      <formula>"Towel"</formula>
    </cfRule>
    <cfRule type="cellIs" dxfId="12472" priority="4090" stopIfTrue="1" operator="equal">
      <formula>"Napkin Hs"</formula>
    </cfRule>
  </conditionalFormatting>
  <conditionalFormatting sqref="B121:C121">
    <cfRule type="cellIs" dxfId="12471" priority="4085" stopIfTrue="1" operator="equal">
      <formula>"Towel"</formula>
    </cfRule>
    <cfRule type="cellIs" dxfId="12470" priority="4086" stopIfTrue="1" operator="equal">
      <formula>"Napkin Hs"</formula>
    </cfRule>
  </conditionalFormatting>
  <conditionalFormatting sqref="C121">
    <cfRule type="cellIs" dxfId="12469" priority="4083" stopIfTrue="1" operator="equal">
      <formula>"Towel"</formula>
    </cfRule>
    <cfRule type="cellIs" dxfId="12468" priority="4084" stopIfTrue="1" operator="equal">
      <formula>"Napkin Hs"</formula>
    </cfRule>
  </conditionalFormatting>
  <conditionalFormatting sqref="B121:C121">
    <cfRule type="cellIs" dxfId="12467" priority="4068" stopIfTrue="1" operator="equal">
      <formula>"Napkin Hs"</formula>
    </cfRule>
  </conditionalFormatting>
  <conditionalFormatting sqref="B121:C121">
    <cfRule type="cellIs" dxfId="12466" priority="4067" stopIfTrue="1" operator="equal">
      <formula>"Towel"</formula>
    </cfRule>
  </conditionalFormatting>
  <conditionalFormatting sqref="C121">
    <cfRule type="cellIs" dxfId="12465" priority="4066" stopIfTrue="1" operator="equal">
      <formula>"Napkin Hs"</formula>
    </cfRule>
  </conditionalFormatting>
  <conditionalFormatting sqref="C121">
    <cfRule type="cellIs" dxfId="12464" priority="4063" stopIfTrue="1" operator="equal">
      <formula>"Towel"</formula>
    </cfRule>
    <cfRule type="cellIs" dxfId="12463" priority="4064" stopIfTrue="1" operator="equal">
      <formula>"Napkin Hs"</formula>
    </cfRule>
  </conditionalFormatting>
  <conditionalFormatting sqref="C121">
    <cfRule type="cellIs" dxfId="12462" priority="4065" stopIfTrue="1" operator="equal">
      <formula>"Towel"</formula>
    </cfRule>
  </conditionalFormatting>
  <conditionalFormatting sqref="B127:C127">
    <cfRule type="cellIs" dxfId="12461" priority="4062" stopIfTrue="1" operator="equal">
      <formula>"Napkin Hs"</formula>
    </cfRule>
  </conditionalFormatting>
  <conditionalFormatting sqref="B127:C127">
    <cfRule type="cellIs" dxfId="12460" priority="4061" stopIfTrue="1" operator="equal">
      <formula>"Towel"</formula>
    </cfRule>
  </conditionalFormatting>
  <conditionalFormatting sqref="B128:C128">
    <cfRule type="cellIs" dxfId="12459" priority="4055" stopIfTrue="1" operator="equal">
      <formula>"Towel"</formula>
    </cfRule>
    <cfRule type="cellIs" dxfId="12458" priority="4056" stopIfTrue="1" operator="equal">
      <formula>"Napkin Hs"</formula>
    </cfRule>
  </conditionalFormatting>
  <conditionalFormatting sqref="C127">
    <cfRule type="cellIs" dxfId="12457" priority="4060" stopIfTrue="1" operator="equal">
      <formula>"Napkin Hs"</formula>
    </cfRule>
  </conditionalFormatting>
  <conditionalFormatting sqref="C127">
    <cfRule type="cellIs" dxfId="12456" priority="4059" stopIfTrue="1" operator="equal">
      <formula>"Towel"</formula>
    </cfRule>
  </conditionalFormatting>
  <conditionalFormatting sqref="C127">
    <cfRule type="cellIs" dxfId="12455" priority="4057" stopIfTrue="1" operator="equal">
      <formula>"Towel"</formula>
    </cfRule>
    <cfRule type="cellIs" dxfId="12454" priority="4058" stopIfTrue="1" operator="equal">
      <formula>"Napkin Hs"</formula>
    </cfRule>
  </conditionalFormatting>
  <conditionalFormatting sqref="C128">
    <cfRule type="cellIs" dxfId="12453" priority="4051" stopIfTrue="1" operator="equal">
      <formula>"Towel"</formula>
    </cfRule>
    <cfRule type="cellIs" dxfId="12452" priority="4052" stopIfTrue="1" operator="equal">
      <formula>"Napkin Hs"</formula>
    </cfRule>
  </conditionalFormatting>
  <conditionalFormatting sqref="C128">
    <cfRule type="cellIs" dxfId="12451" priority="4053" stopIfTrue="1" operator="equal">
      <formula>"Towel"</formula>
    </cfRule>
    <cfRule type="cellIs" dxfId="12450" priority="4054" stopIfTrue="1" operator="equal">
      <formula>"Napkin Hs"</formula>
    </cfRule>
  </conditionalFormatting>
  <conditionalFormatting sqref="B128:C128">
    <cfRule type="cellIs" dxfId="12449" priority="3990" stopIfTrue="1" operator="equal">
      <formula>"Napkin Hs"</formula>
    </cfRule>
  </conditionalFormatting>
  <conditionalFormatting sqref="B128:C128">
    <cfRule type="cellIs" dxfId="12448" priority="3989" stopIfTrue="1" operator="equal">
      <formula>"Towel"</formula>
    </cfRule>
  </conditionalFormatting>
  <conditionalFormatting sqref="C128">
    <cfRule type="cellIs" dxfId="12447" priority="3988" stopIfTrue="1" operator="equal">
      <formula>"Napkin Hs"</formula>
    </cfRule>
  </conditionalFormatting>
  <conditionalFormatting sqref="C128">
    <cfRule type="cellIs" dxfId="12446" priority="3987" stopIfTrue="1" operator="equal">
      <formula>"Towel"</formula>
    </cfRule>
  </conditionalFormatting>
  <conditionalFormatting sqref="C128">
    <cfRule type="cellIs" dxfId="12445" priority="3985" stopIfTrue="1" operator="equal">
      <formula>"Towel"</formula>
    </cfRule>
    <cfRule type="cellIs" dxfId="12444" priority="3986" stopIfTrue="1" operator="equal">
      <formula>"Napkin Hs"</formula>
    </cfRule>
  </conditionalFormatting>
  <conditionalFormatting sqref="B128:C128">
    <cfRule type="cellIs" dxfId="12443" priority="3983" stopIfTrue="1" operator="equal">
      <formula>"Towel"</formula>
    </cfRule>
    <cfRule type="cellIs" dxfId="12442" priority="3984" stopIfTrue="1" operator="equal">
      <formula>"Napkin Hs"</formula>
    </cfRule>
  </conditionalFormatting>
  <conditionalFormatting sqref="C128">
    <cfRule type="cellIs" dxfId="12441" priority="3979" stopIfTrue="1" operator="equal">
      <formula>"Towel"</formula>
    </cfRule>
    <cfRule type="cellIs" dxfId="12440" priority="3980" stopIfTrue="1" operator="equal">
      <formula>"Napkin Hs"</formula>
    </cfRule>
  </conditionalFormatting>
  <conditionalFormatting sqref="C128">
    <cfRule type="cellIs" dxfId="12439" priority="3981" stopIfTrue="1" operator="equal">
      <formula>"Towel"</formula>
    </cfRule>
    <cfRule type="cellIs" dxfId="12438" priority="3982" stopIfTrue="1" operator="equal">
      <formula>"Napkin Hs"</formula>
    </cfRule>
  </conditionalFormatting>
  <conditionalFormatting sqref="B128:C128">
    <cfRule type="cellIs" dxfId="12437" priority="3978" stopIfTrue="1" operator="equal">
      <formula>"Napkin Hs"</formula>
    </cfRule>
  </conditionalFormatting>
  <conditionalFormatting sqref="B128:C128">
    <cfRule type="cellIs" dxfId="12436" priority="3977" stopIfTrue="1" operator="equal">
      <formula>"Towel"</formula>
    </cfRule>
  </conditionalFormatting>
  <conditionalFormatting sqref="C128">
    <cfRule type="cellIs" dxfId="12435" priority="3976" stopIfTrue="1" operator="equal">
      <formula>"Napkin Hs"</formula>
    </cfRule>
  </conditionalFormatting>
  <conditionalFormatting sqref="C128">
    <cfRule type="cellIs" dxfId="12434" priority="3975" stopIfTrue="1" operator="equal">
      <formula>"Towel"</formula>
    </cfRule>
  </conditionalFormatting>
  <conditionalFormatting sqref="C128">
    <cfRule type="cellIs" dxfId="12433" priority="3973" stopIfTrue="1" operator="equal">
      <formula>"Towel"</formula>
    </cfRule>
    <cfRule type="cellIs" dxfId="12432" priority="3974" stopIfTrue="1" operator="equal">
      <formula>"Napkin Hs"</formula>
    </cfRule>
  </conditionalFormatting>
  <conditionalFormatting sqref="B128:C128">
    <cfRule type="cellIs" dxfId="12431" priority="3971" stopIfTrue="1" operator="equal">
      <formula>"Towel"</formula>
    </cfRule>
    <cfRule type="cellIs" dxfId="12430" priority="3972" stopIfTrue="1" operator="equal">
      <formula>"Napkin Hs"</formula>
    </cfRule>
  </conditionalFormatting>
  <conditionalFormatting sqref="C128">
    <cfRule type="cellIs" dxfId="12429" priority="3969" stopIfTrue="1" operator="equal">
      <formula>"Towel"</formula>
    </cfRule>
    <cfRule type="cellIs" dxfId="12428" priority="3970" stopIfTrue="1" operator="equal">
      <formula>"Napkin Hs"</formula>
    </cfRule>
  </conditionalFormatting>
  <conditionalFormatting sqref="C128">
    <cfRule type="cellIs" dxfId="12427" priority="3967" stopIfTrue="1" operator="equal">
      <formula>"Towel"</formula>
    </cfRule>
    <cfRule type="cellIs" dxfId="12426" priority="3968" stopIfTrue="1" operator="equal">
      <formula>"Napkin Hs"</formula>
    </cfRule>
  </conditionalFormatting>
  <conditionalFormatting sqref="B128:C128">
    <cfRule type="cellIs" dxfId="12425" priority="3965" stopIfTrue="1" operator="equal">
      <formula>"Towel"</formula>
    </cfRule>
    <cfRule type="cellIs" dxfId="12424" priority="3966" stopIfTrue="1" operator="equal">
      <formula>"Napkin Hs"</formula>
    </cfRule>
  </conditionalFormatting>
  <conditionalFormatting sqref="C128">
    <cfRule type="cellIs" dxfId="12423" priority="3963" stopIfTrue="1" operator="equal">
      <formula>"Towel"</formula>
    </cfRule>
    <cfRule type="cellIs" dxfId="12422" priority="3964" stopIfTrue="1" operator="equal">
      <formula>"Napkin Hs"</formula>
    </cfRule>
  </conditionalFormatting>
  <conditionalFormatting sqref="C128">
    <cfRule type="cellIs" dxfId="12421" priority="3961" stopIfTrue="1" operator="equal">
      <formula>"Towel"</formula>
    </cfRule>
    <cfRule type="cellIs" dxfId="12420" priority="3962" stopIfTrue="1" operator="equal">
      <formula>"Napkin Hs"</formula>
    </cfRule>
  </conditionalFormatting>
  <conditionalFormatting sqref="B128:C128">
    <cfRule type="cellIs" dxfId="12419" priority="3959" stopIfTrue="1" operator="equal">
      <formula>"Towel"</formula>
    </cfRule>
    <cfRule type="cellIs" dxfId="12418" priority="3960" stopIfTrue="1" operator="equal">
      <formula>"Napkin Hs"</formula>
    </cfRule>
  </conditionalFormatting>
  <conditionalFormatting sqref="C128">
    <cfRule type="cellIs" dxfId="12417" priority="3957" stopIfTrue="1" operator="equal">
      <formula>"Towel"</formula>
    </cfRule>
    <cfRule type="cellIs" dxfId="12416" priority="3958" stopIfTrue="1" operator="equal">
      <formula>"Napkin Hs"</formula>
    </cfRule>
  </conditionalFormatting>
  <conditionalFormatting sqref="C128">
    <cfRule type="cellIs" dxfId="12415" priority="3955" stopIfTrue="1" operator="equal">
      <formula>"Towel"</formula>
    </cfRule>
    <cfRule type="cellIs" dxfId="12414" priority="3956" stopIfTrue="1" operator="equal">
      <formula>"Napkin Hs"</formula>
    </cfRule>
  </conditionalFormatting>
  <conditionalFormatting sqref="B128:C128">
    <cfRule type="cellIs" dxfId="12413" priority="3953" stopIfTrue="1" operator="equal">
      <formula>"Towel"</formula>
    </cfRule>
    <cfRule type="cellIs" dxfId="12412" priority="3954" stopIfTrue="1" operator="equal">
      <formula>"Napkin Hs"</formula>
    </cfRule>
  </conditionalFormatting>
  <conditionalFormatting sqref="C128">
    <cfRule type="cellIs" dxfId="12411" priority="3951" stopIfTrue="1" operator="equal">
      <formula>"Towel"</formula>
    </cfRule>
    <cfRule type="cellIs" dxfId="12410" priority="3952" stopIfTrue="1" operator="equal">
      <formula>"Napkin Hs"</formula>
    </cfRule>
  </conditionalFormatting>
  <conditionalFormatting sqref="C128">
    <cfRule type="cellIs" dxfId="12409" priority="3949" stopIfTrue="1" operator="equal">
      <formula>"Towel"</formula>
    </cfRule>
    <cfRule type="cellIs" dxfId="12408" priority="3950" stopIfTrue="1" operator="equal">
      <formula>"Napkin Hs"</formula>
    </cfRule>
  </conditionalFormatting>
  <conditionalFormatting sqref="B128:C128">
    <cfRule type="cellIs" dxfId="12407" priority="3947" stopIfTrue="1" operator="equal">
      <formula>"Towel"</formula>
    </cfRule>
    <cfRule type="cellIs" dxfId="12406" priority="3948" stopIfTrue="1" operator="equal">
      <formula>"Napkin Hs"</formula>
    </cfRule>
  </conditionalFormatting>
  <conditionalFormatting sqref="C128">
    <cfRule type="cellIs" dxfId="12405" priority="3945" stopIfTrue="1" operator="equal">
      <formula>"Towel"</formula>
    </cfRule>
    <cfRule type="cellIs" dxfId="12404" priority="3946" stopIfTrue="1" operator="equal">
      <formula>"Napkin Hs"</formula>
    </cfRule>
  </conditionalFormatting>
  <conditionalFormatting sqref="C128">
    <cfRule type="cellIs" dxfId="12403" priority="3943" stopIfTrue="1" operator="equal">
      <formula>"Towel"</formula>
    </cfRule>
    <cfRule type="cellIs" dxfId="12402" priority="3944" stopIfTrue="1" operator="equal">
      <formula>"Napkin Hs"</formula>
    </cfRule>
  </conditionalFormatting>
  <conditionalFormatting sqref="B128:C128">
    <cfRule type="cellIs" dxfId="12401" priority="3942" stopIfTrue="1" operator="equal">
      <formula>"Napkin Hs"</formula>
    </cfRule>
  </conditionalFormatting>
  <conditionalFormatting sqref="B128:C128">
    <cfRule type="cellIs" dxfId="12400" priority="3941" stopIfTrue="1" operator="equal">
      <formula>"Towel"</formula>
    </cfRule>
  </conditionalFormatting>
  <conditionalFormatting sqref="C128">
    <cfRule type="cellIs" dxfId="12399" priority="3940" stopIfTrue="1" operator="equal">
      <formula>"Napkin Hs"</formula>
    </cfRule>
  </conditionalFormatting>
  <conditionalFormatting sqref="C128">
    <cfRule type="cellIs" dxfId="12398" priority="3937" stopIfTrue="1" operator="equal">
      <formula>"Towel"</formula>
    </cfRule>
    <cfRule type="cellIs" dxfId="12397" priority="3938" stopIfTrue="1" operator="equal">
      <formula>"Napkin Hs"</formula>
    </cfRule>
  </conditionalFormatting>
  <conditionalFormatting sqref="C128">
    <cfRule type="cellIs" dxfId="12396" priority="3939" stopIfTrue="1" operator="equal">
      <formula>"Towel"</formula>
    </cfRule>
  </conditionalFormatting>
  <conditionalFormatting sqref="C127">
    <cfRule type="cellIs" dxfId="12395" priority="3819" stopIfTrue="1" operator="equal">
      <formula>"Towel"</formula>
    </cfRule>
    <cfRule type="cellIs" dxfId="12394" priority="3820" stopIfTrue="1" operator="equal">
      <formula>"Napkin Hs"</formula>
    </cfRule>
  </conditionalFormatting>
  <conditionalFormatting sqref="B127:C127">
    <cfRule type="cellIs" dxfId="12393" priority="3821" stopIfTrue="1" operator="equal">
      <formula>"Towel"</formula>
    </cfRule>
    <cfRule type="cellIs" dxfId="12392" priority="3822" stopIfTrue="1" operator="equal">
      <formula>"Napkin Hs"</formula>
    </cfRule>
  </conditionalFormatting>
  <conditionalFormatting sqref="C127">
    <cfRule type="cellIs" dxfId="12391" priority="3817" stopIfTrue="1" operator="equal">
      <formula>"Towel"</formula>
    </cfRule>
    <cfRule type="cellIs" dxfId="12390" priority="3818" stopIfTrue="1" operator="equal">
      <formula>"Napkin Hs"</formula>
    </cfRule>
  </conditionalFormatting>
  <conditionalFormatting sqref="C127">
    <cfRule type="cellIs" dxfId="12389" priority="3811" stopIfTrue="1" operator="equal">
      <formula>"Towel"</formula>
    </cfRule>
    <cfRule type="cellIs" dxfId="12388" priority="3812" stopIfTrue="1" operator="equal">
      <formula>"Napkin Hs"</formula>
    </cfRule>
  </conditionalFormatting>
  <conditionalFormatting sqref="B127">
    <cfRule type="cellIs" dxfId="12387" priority="3936" stopIfTrue="1" operator="equal">
      <formula>"Napkin Hs"</formula>
    </cfRule>
  </conditionalFormatting>
  <conditionalFormatting sqref="B127">
    <cfRule type="cellIs" dxfId="12386" priority="3935" stopIfTrue="1" operator="equal">
      <formula>"Towel"</formula>
    </cfRule>
  </conditionalFormatting>
  <conditionalFormatting sqref="B127">
    <cfRule type="cellIs" dxfId="12385" priority="3933" stopIfTrue="1" operator="equal">
      <formula>"Towel"</formula>
    </cfRule>
    <cfRule type="cellIs" dxfId="12384" priority="3934" stopIfTrue="1" operator="equal">
      <formula>"Napkin Hs"</formula>
    </cfRule>
  </conditionalFormatting>
  <conditionalFormatting sqref="B127">
    <cfRule type="cellIs" dxfId="12383" priority="3932" stopIfTrue="1" operator="equal">
      <formula>"Napkin Hs"</formula>
    </cfRule>
  </conditionalFormatting>
  <conditionalFormatting sqref="B127">
    <cfRule type="cellIs" dxfId="12382" priority="3931" stopIfTrue="1" operator="equal">
      <formula>"Towel"</formula>
    </cfRule>
  </conditionalFormatting>
  <conditionalFormatting sqref="B127">
    <cfRule type="cellIs" dxfId="12381" priority="3929" stopIfTrue="1" operator="equal">
      <formula>"Towel"</formula>
    </cfRule>
    <cfRule type="cellIs" dxfId="12380" priority="3930" stopIfTrue="1" operator="equal">
      <formula>"Napkin Hs"</formula>
    </cfRule>
  </conditionalFormatting>
  <conditionalFormatting sqref="B127">
    <cfRule type="cellIs" dxfId="12379" priority="3927" stopIfTrue="1" operator="equal">
      <formula>"Towel"</formula>
    </cfRule>
    <cfRule type="cellIs" dxfId="12378" priority="3928" stopIfTrue="1" operator="equal">
      <formula>"Napkin Hs"</formula>
    </cfRule>
  </conditionalFormatting>
  <conditionalFormatting sqref="B127">
    <cfRule type="cellIs" dxfId="12377" priority="3925" stopIfTrue="1" operator="equal">
      <formula>"Towel"</formula>
    </cfRule>
    <cfRule type="cellIs" dxfId="12376" priority="3926" stopIfTrue="1" operator="equal">
      <formula>"Napkin Hs"</formula>
    </cfRule>
  </conditionalFormatting>
  <conditionalFormatting sqref="B127">
    <cfRule type="cellIs" dxfId="12375" priority="3923" stopIfTrue="1" operator="equal">
      <formula>"Towel"</formula>
    </cfRule>
    <cfRule type="cellIs" dxfId="12374" priority="3924" stopIfTrue="1" operator="equal">
      <formula>"Napkin Hs"</formula>
    </cfRule>
  </conditionalFormatting>
  <conditionalFormatting sqref="B127">
    <cfRule type="cellIs" dxfId="12373" priority="3921" stopIfTrue="1" operator="equal">
      <formula>"Towel"</formula>
    </cfRule>
    <cfRule type="cellIs" dxfId="12372" priority="3922" stopIfTrue="1" operator="equal">
      <formula>"Napkin Hs"</formula>
    </cfRule>
  </conditionalFormatting>
  <conditionalFormatting sqref="B127">
    <cfRule type="cellIs" dxfId="12371" priority="3920" stopIfTrue="1" operator="equal">
      <formula>"Napkin Hs"</formula>
    </cfRule>
  </conditionalFormatting>
  <conditionalFormatting sqref="B127">
    <cfRule type="cellIs" dxfId="12370" priority="3919" stopIfTrue="1" operator="equal">
      <formula>"Towel"</formula>
    </cfRule>
  </conditionalFormatting>
  <conditionalFormatting sqref="C127">
    <cfRule type="cellIs" dxfId="12369" priority="3918" stopIfTrue="1" operator="equal">
      <formula>"Napkin Hs"</formula>
    </cfRule>
  </conditionalFormatting>
  <conditionalFormatting sqref="C127">
    <cfRule type="cellIs" dxfId="12368" priority="3917" stopIfTrue="1" operator="equal">
      <formula>"Towel"</formula>
    </cfRule>
  </conditionalFormatting>
  <conditionalFormatting sqref="C127">
    <cfRule type="cellIs" dxfId="12367" priority="3916" stopIfTrue="1" operator="equal">
      <formula>"Napkin Hs"</formula>
    </cfRule>
  </conditionalFormatting>
  <conditionalFormatting sqref="C127">
    <cfRule type="cellIs" dxfId="12366" priority="3915" stopIfTrue="1" operator="equal">
      <formula>"Towel"</formula>
    </cfRule>
  </conditionalFormatting>
  <conditionalFormatting sqref="C127">
    <cfRule type="cellIs" dxfId="12365" priority="3913" stopIfTrue="1" operator="equal">
      <formula>"Towel"</formula>
    </cfRule>
    <cfRule type="cellIs" dxfId="12364" priority="3914" stopIfTrue="1" operator="equal">
      <formula>"Napkin Hs"</formula>
    </cfRule>
  </conditionalFormatting>
  <conditionalFormatting sqref="C127">
    <cfRule type="cellIs" dxfId="12363" priority="3911" stopIfTrue="1" operator="equal">
      <formula>"Towel"</formula>
    </cfRule>
    <cfRule type="cellIs" dxfId="12362" priority="3912" stopIfTrue="1" operator="equal">
      <formula>"Napkin Hs"</formula>
    </cfRule>
  </conditionalFormatting>
  <conditionalFormatting sqref="C127">
    <cfRule type="cellIs" dxfId="12361" priority="3907" stopIfTrue="1" operator="equal">
      <formula>"Towel"</formula>
    </cfRule>
    <cfRule type="cellIs" dxfId="12360" priority="3908" stopIfTrue="1" operator="equal">
      <formula>"Napkin Hs"</formula>
    </cfRule>
  </conditionalFormatting>
  <conditionalFormatting sqref="C127">
    <cfRule type="cellIs" dxfId="12359" priority="3909" stopIfTrue="1" operator="equal">
      <formula>"Towel"</formula>
    </cfRule>
    <cfRule type="cellIs" dxfId="12358" priority="3910" stopIfTrue="1" operator="equal">
      <formula>"Napkin Hs"</formula>
    </cfRule>
  </conditionalFormatting>
  <conditionalFormatting sqref="C127">
    <cfRule type="cellIs" dxfId="12357" priority="3906" stopIfTrue="1" operator="equal">
      <formula>"Napkin Hs"</formula>
    </cfRule>
  </conditionalFormatting>
  <conditionalFormatting sqref="C127">
    <cfRule type="cellIs" dxfId="12356" priority="3905" stopIfTrue="1" operator="equal">
      <formula>"Towel"</formula>
    </cfRule>
  </conditionalFormatting>
  <conditionalFormatting sqref="C127">
    <cfRule type="cellIs" dxfId="12355" priority="3904" stopIfTrue="1" operator="equal">
      <formula>"Napkin Hs"</formula>
    </cfRule>
  </conditionalFormatting>
  <conditionalFormatting sqref="C127">
    <cfRule type="cellIs" dxfId="12354" priority="3903" stopIfTrue="1" operator="equal">
      <formula>"Towel"</formula>
    </cfRule>
  </conditionalFormatting>
  <conditionalFormatting sqref="C127">
    <cfRule type="cellIs" dxfId="12353" priority="3901" stopIfTrue="1" operator="equal">
      <formula>"Towel"</formula>
    </cfRule>
    <cfRule type="cellIs" dxfId="12352" priority="3902" stopIfTrue="1" operator="equal">
      <formula>"Napkin Hs"</formula>
    </cfRule>
  </conditionalFormatting>
  <conditionalFormatting sqref="C127">
    <cfRule type="cellIs" dxfId="12351" priority="3899" stopIfTrue="1" operator="equal">
      <formula>"Towel"</formula>
    </cfRule>
    <cfRule type="cellIs" dxfId="12350" priority="3900" stopIfTrue="1" operator="equal">
      <formula>"Napkin Hs"</formula>
    </cfRule>
  </conditionalFormatting>
  <conditionalFormatting sqref="C127">
    <cfRule type="cellIs" dxfId="12349" priority="3897" stopIfTrue="1" operator="equal">
      <formula>"Towel"</formula>
    </cfRule>
    <cfRule type="cellIs" dxfId="12348" priority="3898" stopIfTrue="1" operator="equal">
      <formula>"Napkin Hs"</formula>
    </cfRule>
  </conditionalFormatting>
  <conditionalFormatting sqref="C127">
    <cfRule type="cellIs" dxfId="12347" priority="3895" stopIfTrue="1" operator="equal">
      <formula>"Towel"</formula>
    </cfRule>
    <cfRule type="cellIs" dxfId="12346" priority="3896" stopIfTrue="1" operator="equal">
      <formula>"Napkin Hs"</formula>
    </cfRule>
  </conditionalFormatting>
  <conditionalFormatting sqref="C127">
    <cfRule type="cellIs" dxfId="12345" priority="3893" stopIfTrue="1" operator="equal">
      <formula>"Towel"</formula>
    </cfRule>
    <cfRule type="cellIs" dxfId="12344" priority="3894" stopIfTrue="1" operator="equal">
      <formula>"Napkin Hs"</formula>
    </cfRule>
  </conditionalFormatting>
  <conditionalFormatting sqref="C127">
    <cfRule type="cellIs" dxfId="12343" priority="3891" stopIfTrue="1" operator="equal">
      <formula>"Towel"</formula>
    </cfRule>
    <cfRule type="cellIs" dxfId="12342" priority="3892" stopIfTrue="1" operator="equal">
      <formula>"Napkin Hs"</formula>
    </cfRule>
  </conditionalFormatting>
  <conditionalFormatting sqref="C127">
    <cfRule type="cellIs" dxfId="12341" priority="3889" stopIfTrue="1" operator="equal">
      <formula>"Towel"</formula>
    </cfRule>
    <cfRule type="cellIs" dxfId="12340" priority="3890" stopIfTrue="1" operator="equal">
      <formula>"Napkin Hs"</formula>
    </cfRule>
  </conditionalFormatting>
  <conditionalFormatting sqref="C127">
    <cfRule type="cellIs" dxfId="12339" priority="3887" stopIfTrue="1" operator="equal">
      <formula>"Towel"</formula>
    </cfRule>
    <cfRule type="cellIs" dxfId="12338" priority="3888" stopIfTrue="1" operator="equal">
      <formula>"Napkin Hs"</formula>
    </cfRule>
  </conditionalFormatting>
  <conditionalFormatting sqref="C127">
    <cfRule type="cellIs" dxfId="12337" priority="3885" stopIfTrue="1" operator="equal">
      <formula>"Towel"</formula>
    </cfRule>
    <cfRule type="cellIs" dxfId="12336" priority="3886" stopIfTrue="1" operator="equal">
      <formula>"Napkin Hs"</formula>
    </cfRule>
  </conditionalFormatting>
  <conditionalFormatting sqref="C127">
    <cfRule type="cellIs" dxfId="12335" priority="3883" stopIfTrue="1" operator="equal">
      <formula>"Towel"</formula>
    </cfRule>
    <cfRule type="cellIs" dxfId="12334" priority="3884" stopIfTrue="1" operator="equal">
      <formula>"Napkin Hs"</formula>
    </cfRule>
  </conditionalFormatting>
  <conditionalFormatting sqref="C127">
    <cfRule type="cellIs" dxfId="12333" priority="3881" stopIfTrue="1" operator="equal">
      <formula>"Towel"</formula>
    </cfRule>
    <cfRule type="cellIs" dxfId="12332" priority="3882" stopIfTrue="1" operator="equal">
      <formula>"Napkin Hs"</formula>
    </cfRule>
  </conditionalFormatting>
  <conditionalFormatting sqref="C127">
    <cfRule type="cellIs" dxfId="12331" priority="3879" stopIfTrue="1" operator="equal">
      <formula>"Towel"</formula>
    </cfRule>
    <cfRule type="cellIs" dxfId="12330" priority="3880" stopIfTrue="1" operator="equal">
      <formula>"Napkin Hs"</formula>
    </cfRule>
  </conditionalFormatting>
  <conditionalFormatting sqref="C127">
    <cfRule type="cellIs" dxfId="12329" priority="3877" stopIfTrue="1" operator="equal">
      <formula>"Towel"</formula>
    </cfRule>
    <cfRule type="cellIs" dxfId="12328" priority="3878" stopIfTrue="1" operator="equal">
      <formula>"Napkin Hs"</formula>
    </cfRule>
  </conditionalFormatting>
  <conditionalFormatting sqref="C127">
    <cfRule type="cellIs" dxfId="12327" priority="3875" stopIfTrue="1" operator="equal">
      <formula>"Towel"</formula>
    </cfRule>
    <cfRule type="cellIs" dxfId="12326" priority="3876" stopIfTrue="1" operator="equal">
      <formula>"Napkin Hs"</formula>
    </cfRule>
  </conditionalFormatting>
  <conditionalFormatting sqref="C127">
    <cfRule type="cellIs" dxfId="12325" priority="3873" stopIfTrue="1" operator="equal">
      <formula>"Towel"</formula>
    </cfRule>
    <cfRule type="cellIs" dxfId="12324" priority="3874" stopIfTrue="1" operator="equal">
      <formula>"Napkin Hs"</formula>
    </cfRule>
  </conditionalFormatting>
  <conditionalFormatting sqref="C127">
    <cfRule type="cellIs" dxfId="12323" priority="3871" stopIfTrue="1" operator="equal">
      <formula>"Towel"</formula>
    </cfRule>
    <cfRule type="cellIs" dxfId="12322" priority="3872" stopIfTrue="1" operator="equal">
      <formula>"Napkin Hs"</formula>
    </cfRule>
  </conditionalFormatting>
  <conditionalFormatting sqref="C127">
    <cfRule type="cellIs" dxfId="12321" priority="3870" stopIfTrue="1" operator="equal">
      <formula>"Napkin Hs"</formula>
    </cfRule>
  </conditionalFormatting>
  <conditionalFormatting sqref="C127">
    <cfRule type="cellIs" dxfId="12320" priority="3869" stopIfTrue="1" operator="equal">
      <formula>"Towel"</formula>
    </cfRule>
  </conditionalFormatting>
  <conditionalFormatting sqref="C127">
    <cfRule type="cellIs" dxfId="12319" priority="3868" stopIfTrue="1" operator="equal">
      <formula>"Napkin Hs"</formula>
    </cfRule>
  </conditionalFormatting>
  <conditionalFormatting sqref="C127">
    <cfRule type="cellIs" dxfId="12318" priority="3865" stopIfTrue="1" operator="equal">
      <formula>"Towel"</formula>
    </cfRule>
    <cfRule type="cellIs" dxfId="12317" priority="3866" stopIfTrue="1" operator="equal">
      <formula>"Napkin Hs"</formula>
    </cfRule>
  </conditionalFormatting>
  <conditionalFormatting sqref="C127">
    <cfRule type="cellIs" dxfId="12316" priority="3867" stopIfTrue="1" operator="equal">
      <formula>"Towel"</formula>
    </cfRule>
  </conditionalFormatting>
  <conditionalFormatting sqref="B127:C127">
    <cfRule type="cellIs" dxfId="12315" priority="3863" stopIfTrue="1" operator="equal">
      <formula>"Towel"</formula>
    </cfRule>
    <cfRule type="cellIs" dxfId="12314" priority="3864" stopIfTrue="1" operator="equal">
      <formula>"Napkin Hs"</formula>
    </cfRule>
  </conditionalFormatting>
  <conditionalFormatting sqref="C127">
    <cfRule type="cellIs" dxfId="12313" priority="3861" stopIfTrue="1" operator="equal">
      <formula>"Towel"</formula>
    </cfRule>
    <cfRule type="cellIs" dxfId="12312" priority="3862" stopIfTrue="1" operator="equal">
      <formula>"Napkin Hs"</formula>
    </cfRule>
  </conditionalFormatting>
  <conditionalFormatting sqref="C127">
    <cfRule type="cellIs" dxfId="12311" priority="3859" stopIfTrue="1" operator="equal">
      <formula>"Towel"</formula>
    </cfRule>
    <cfRule type="cellIs" dxfId="12310" priority="3860" stopIfTrue="1" operator="equal">
      <formula>"Napkin Hs"</formula>
    </cfRule>
  </conditionalFormatting>
  <conditionalFormatting sqref="B127:C127">
    <cfRule type="cellIs" dxfId="12309" priority="3798" stopIfTrue="1" operator="equal">
      <formula>"Napkin Hs"</formula>
    </cfRule>
  </conditionalFormatting>
  <conditionalFormatting sqref="B127:C127">
    <cfRule type="cellIs" dxfId="12308" priority="3797" stopIfTrue="1" operator="equal">
      <formula>"Towel"</formula>
    </cfRule>
  </conditionalFormatting>
  <conditionalFormatting sqref="C127">
    <cfRule type="cellIs" dxfId="12307" priority="3796" stopIfTrue="1" operator="equal">
      <formula>"Napkin Hs"</formula>
    </cfRule>
  </conditionalFormatting>
  <conditionalFormatting sqref="C127">
    <cfRule type="cellIs" dxfId="12306" priority="3793" stopIfTrue="1" operator="equal">
      <formula>"Towel"</formula>
    </cfRule>
    <cfRule type="cellIs" dxfId="12305" priority="3794" stopIfTrue="1" operator="equal">
      <formula>"Napkin Hs"</formula>
    </cfRule>
  </conditionalFormatting>
  <conditionalFormatting sqref="C127">
    <cfRule type="cellIs" dxfId="12304" priority="3795" stopIfTrue="1" operator="equal">
      <formula>"Towel"</formula>
    </cfRule>
  </conditionalFormatting>
  <conditionalFormatting sqref="B127:C127">
    <cfRule type="cellIs" dxfId="12303" priority="3858" stopIfTrue="1" operator="equal">
      <formula>"Napkin Hs"</formula>
    </cfRule>
  </conditionalFormatting>
  <conditionalFormatting sqref="B127:C127">
    <cfRule type="cellIs" dxfId="12302" priority="3857" stopIfTrue="1" operator="equal">
      <formula>"Towel"</formula>
    </cfRule>
  </conditionalFormatting>
  <conditionalFormatting sqref="C127">
    <cfRule type="cellIs" dxfId="12301" priority="3856" stopIfTrue="1" operator="equal">
      <formula>"Napkin Hs"</formula>
    </cfRule>
  </conditionalFormatting>
  <conditionalFormatting sqref="C127">
    <cfRule type="cellIs" dxfId="12300" priority="3855" stopIfTrue="1" operator="equal">
      <formula>"Towel"</formula>
    </cfRule>
  </conditionalFormatting>
  <conditionalFormatting sqref="C127">
    <cfRule type="cellIs" dxfId="12299" priority="3853" stopIfTrue="1" operator="equal">
      <formula>"Towel"</formula>
    </cfRule>
    <cfRule type="cellIs" dxfId="12298" priority="3854" stopIfTrue="1" operator="equal">
      <formula>"Napkin Hs"</formula>
    </cfRule>
  </conditionalFormatting>
  <conditionalFormatting sqref="B127:C127">
    <cfRule type="cellIs" dxfId="12297" priority="3851" stopIfTrue="1" operator="equal">
      <formula>"Towel"</formula>
    </cfRule>
    <cfRule type="cellIs" dxfId="12296" priority="3852" stopIfTrue="1" operator="equal">
      <formula>"Napkin Hs"</formula>
    </cfRule>
  </conditionalFormatting>
  <conditionalFormatting sqref="C127">
    <cfRule type="cellIs" dxfId="12295" priority="3847" stopIfTrue="1" operator="equal">
      <formula>"Towel"</formula>
    </cfRule>
    <cfRule type="cellIs" dxfId="12294" priority="3848" stopIfTrue="1" operator="equal">
      <formula>"Napkin Hs"</formula>
    </cfRule>
  </conditionalFormatting>
  <conditionalFormatting sqref="C127">
    <cfRule type="cellIs" dxfId="12293" priority="3849" stopIfTrue="1" operator="equal">
      <formula>"Towel"</formula>
    </cfRule>
    <cfRule type="cellIs" dxfId="12292" priority="3850" stopIfTrue="1" operator="equal">
      <formula>"Napkin Hs"</formula>
    </cfRule>
  </conditionalFormatting>
  <conditionalFormatting sqref="B127:C127">
    <cfRule type="cellIs" dxfId="12291" priority="3846" stopIfTrue="1" operator="equal">
      <formula>"Napkin Hs"</formula>
    </cfRule>
  </conditionalFormatting>
  <conditionalFormatting sqref="B127:C127">
    <cfRule type="cellIs" dxfId="12290" priority="3845" stopIfTrue="1" operator="equal">
      <formula>"Towel"</formula>
    </cfRule>
  </conditionalFormatting>
  <conditionalFormatting sqref="C127">
    <cfRule type="cellIs" dxfId="12289" priority="3844" stopIfTrue="1" operator="equal">
      <formula>"Napkin Hs"</formula>
    </cfRule>
  </conditionalFormatting>
  <conditionalFormatting sqref="C127">
    <cfRule type="cellIs" dxfId="12288" priority="3843" stopIfTrue="1" operator="equal">
      <formula>"Towel"</formula>
    </cfRule>
  </conditionalFormatting>
  <conditionalFormatting sqref="C127">
    <cfRule type="cellIs" dxfId="12287" priority="3841" stopIfTrue="1" operator="equal">
      <formula>"Towel"</formula>
    </cfRule>
    <cfRule type="cellIs" dxfId="12286" priority="3842" stopIfTrue="1" operator="equal">
      <formula>"Napkin Hs"</formula>
    </cfRule>
  </conditionalFormatting>
  <conditionalFormatting sqref="B127:C127">
    <cfRule type="cellIs" dxfId="12285" priority="3839" stopIfTrue="1" operator="equal">
      <formula>"Towel"</formula>
    </cfRule>
    <cfRule type="cellIs" dxfId="12284" priority="3840" stopIfTrue="1" operator="equal">
      <formula>"Napkin Hs"</formula>
    </cfRule>
  </conditionalFormatting>
  <conditionalFormatting sqref="C127">
    <cfRule type="cellIs" dxfId="12283" priority="3837" stopIfTrue="1" operator="equal">
      <formula>"Towel"</formula>
    </cfRule>
    <cfRule type="cellIs" dxfId="12282" priority="3838" stopIfTrue="1" operator="equal">
      <formula>"Napkin Hs"</formula>
    </cfRule>
  </conditionalFormatting>
  <conditionalFormatting sqref="C127">
    <cfRule type="cellIs" dxfId="12281" priority="3835" stopIfTrue="1" operator="equal">
      <formula>"Towel"</formula>
    </cfRule>
    <cfRule type="cellIs" dxfId="12280" priority="3836" stopIfTrue="1" operator="equal">
      <formula>"Napkin Hs"</formula>
    </cfRule>
  </conditionalFormatting>
  <conditionalFormatting sqref="B127:C127">
    <cfRule type="cellIs" dxfId="12279" priority="3833" stopIfTrue="1" operator="equal">
      <formula>"Towel"</formula>
    </cfRule>
    <cfRule type="cellIs" dxfId="12278" priority="3834" stopIfTrue="1" operator="equal">
      <formula>"Napkin Hs"</formula>
    </cfRule>
  </conditionalFormatting>
  <conditionalFormatting sqref="C127">
    <cfRule type="cellIs" dxfId="12277" priority="3831" stopIfTrue="1" operator="equal">
      <formula>"Towel"</formula>
    </cfRule>
    <cfRule type="cellIs" dxfId="12276" priority="3832" stopIfTrue="1" operator="equal">
      <formula>"Napkin Hs"</formula>
    </cfRule>
  </conditionalFormatting>
  <conditionalFormatting sqref="C127">
    <cfRule type="cellIs" dxfId="12275" priority="3829" stopIfTrue="1" operator="equal">
      <formula>"Towel"</formula>
    </cfRule>
    <cfRule type="cellIs" dxfId="12274" priority="3830" stopIfTrue="1" operator="equal">
      <formula>"Napkin Hs"</formula>
    </cfRule>
  </conditionalFormatting>
  <conditionalFormatting sqref="B127:C127">
    <cfRule type="cellIs" dxfId="12273" priority="3827" stopIfTrue="1" operator="equal">
      <formula>"Towel"</formula>
    </cfRule>
    <cfRule type="cellIs" dxfId="12272" priority="3828" stopIfTrue="1" operator="equal">
      <formula>"Napkin Hs"</formula>
    </cfRule>
  </conditionalFormatting>
  <conditionalFormatting sqref="C127">
    <cfRule type="cellIs" dxfId="12271" priority="3825" stopIfTrue="1" operator="equal">
      <formula>"Towel"</formula>
    </cfRule>
    <cfRule type="cellIs" dxfId="12270" priority="3826" stopIfTrue="1" operator="equal">
      <formula>"Napkin Hs"</formula>
    </cfRule>
  </conditionalFormatting>
  <conditionalFormatting sqref="C127">
    <cfRule type="cellIs" dxfId="12269" priority="3823" stopIfTrue="1" operator="equal">
      <formula>"Towel"</formula>
    </cfRule>
    <cfRule type="cellIs" dxfId="12268" priority="3824" stopIfTrue="1" operator="equal">
      <formula>"Napkin Hs"</formula>
    </cfRule>
  </conditionalFormatting>
  <conditionalFormatting sqref="B127:C127">
    <cfRule type="cellIs" dxfId="12267" priority="3815" stopIfTrue="1" operator="equal">
      <formula>"Towel"</formula>
    </cfRule>
    <cfRule type="cellIs" dxfId="12266" priority="3816" stopIfTrue="1" operator="equal">
      <formula>"Napkin Hs"</formula>
    </cfRule>
  </conditionalFormatting>
  <conditionalFormatting sqref="C127">
    <cfRule type="cellIs" dxfId="12265" priority="3813" stopIfTrue="1" operator="equal">
      <formula>"Towel"</formula>
    </cfRule>
    <cfRule type="cellIs" dxfId="12264" priority="3814" stopIfTrue="1" operator="equal">
      <formula>"Napkin Hs"</formula>
    </cfRule>
  </conditionalFormatting>
  <conditionalFormatting sqref="B127:C127">
    <cfRule type="cellIs" dxfId="12263" priority="3810" stopIfTrue="1" operator="equal">
      <formula>"Napkin Hs"</formula>
    </cfRule>
  </conditionalFormatting>
  <conditionalFormatting sqref="B127:C127">
    <cfRule type="cellIs" dxfId="12262" priority="3809" stopIfTrue="1" operator="equal">
      <formula>"Towel"</formula>
    </cfRule>
  </conditionalFormatting>
  <conditionalFormatting sqref="C127">
    <cfRule type="cellIs" dxfId="12261" priority="3808" stopIfTrue="1" operator="equal">
      <formula>"Napkin Hs"</formula>
    </cfRule>
  </conditionalFormatting>
  <conditionalFormatting sqref="C127">
    <cfRule type="cellIs" dxfId="12260" priority="3805" stopIfTrue="1" operator="equal">
      <formula>"Towel"</formula>
    </cfRule>
    <cfRule type="cellIs" dxfId="12259" priority="3806" stopIfTrue="1" operator="equal">
      <formula>"Napkin Hs"</formula>
    </cfRule>
  </conditionalFormatting>
  <conditionalFormatting sqref="C127">
    <cfRule type="cellIs" dxfId="12258" priority="3807" stopIfTrue="1" operator="equal">
      <formula>"Towel"</formula>
    </cfRule>
  </conditionalFormatting>
  <conditionalFormatting sqref="B127:C127">
    <cfRule type="cellIs" dxfId="12257" priority="3804" stopIfTrue="1" operator="equal">
      <formula>"Napkin Hs"</formula>
    </cfRule>
  </conditionalFormatting>
  <conditionalFormatting sqref="B127:C127">
    <cfRule type="cellIs" dxfId="12256" priority="3803" stopIfTrue="1" operator="equal">
      <formula>"Towel"</formula>
    </cfRule>
  </conditionalFormatting>
  <conditionalFormatting sqref="C127">
    <cfRule type="cellIs" dxfId="12255" priority="3802" stopIfTrue="1" operator="equal">
      <formula>"Napkin Hs"</formula>
    </cfRule>
  </conditionalFormatting>
  <conditionalFormatting sqref="C127">
    <cfRule type="cellIs" dxfId="12254" priority="3799" stopIfTrue="1" operator="equal">
      <formula>"Towel"</formula>
    </cfRule>
    <cfRule type="cellIs" dxfId="12253" priority="3800" stopIfTrue="1" operator="equal">
      <formula>"Napkin Hs"</formula>
    </cfRule>
  </conditionalFormatting>
  <conditionalFormatting sqref="C127">
    <cfRule type="cellIs" dxfId="12252" priority="3801" stopIfTrue="1" operator="equal">
      <formula>"Towel"</formula>
    </cfRule>
  </conditionalFormatting>
  <conditionalFormatting sqref="C125">
    <cfRule type="cellIs" dxfId="12251" priority="3663" stopIfTrue="1" operator="equal">
      <formula>"Towel"</formula>
    </cfRule>
    <cfRule type="cellIs" dxfId="12250" priority="3664" stopIfTrue="1" operator="equal">
      <formula>"Napkin Hs"</formula>
    </cfRule>
  </conditionalFormatting>
  <conditionalFormatting sqref="C125">
    <cfRule type="cellIs" dxfId="12249" priority="3661" stopIfTrue="1" operator="equal">
      <formula>"Towel"</formula>
    </cfRule>
    <cfRule type="cellIs" dxfId="12248" priority="3662" stopIfTrue="1" operator="equal">
      <formula>"Napkin Hs"</formula>
    </cfRule>
  </conditionalFormatting>
  <conditionalFormatting sqref="B125:C125">
    <cfRule type="cellIs" dxfId="12247" priority="3612" stopIfTrue="1" operator="equal">
      <formula>"Napkin Hs"</formula>
    </cfRule>
  </conditionalFormatting>
  <conditionalFormatting sqref="B125:C125">
    <cfRule type="cellIs" dxfId="12246" priority="3611" stopIfTrue="1" operator="equal">
      <formula>"Towel"</formula>
    </cfRule>
  </conditionalFormatting>
  <conditionalFormatting sqref="B125:C125">
    <cfRule type="cellIs" dxfId="12245" priority="3665" stopIfTrue="1" operator="equal">
      <formula>"Towel"</formula>
    </cfRule>
    <cfRule type="cellIs" dxfId="12244" priority="3666" stopIfTrue="1" operator="equal">
      <formula>"Napkin Hs"</formula>
    </cfRule>
  </conditionalFormatting>
  <conditionalFormatting sqref="C125">
    <cfRule type="cellIs" dxfId="12243" priority="3610" stopIfTrue="1" operator="equal">
      <formula>"Napkin Hs"</formula>
    </cfRule>
  </conditionalFormatting>
  <conditionalFormatting sqref="C125">
    <cfRule type="cellIs" dxfId="12242" priority="3609" stopIfTrue="1" operator="equal">
      <formula>"Towel"</formula>
    </cfRule>
  </conditionalFormatting>
  <conditionalFormatting sqref="C125">
    <cfRule type="cellIs" dxfId="12241" priority="3607" stopIfTrue="1" operator="equal">
      <formula>"Towel"</formula>
    </cfRule>
    <cfRule type="cellIs" dxfId="12240" priority="3608" stopIfTrue="1" operator="equal">
      <formula>"Napkin Hs"</formula>
    </cfRule>
  </conditionalFormatting>
  <conditionalFormatting sqref="B125:C125">
    <cfRule type="cellIs" dxfId="12239" priority="3660" stopIfTrue="1" operator="equal">
      <formula>"Napkin Hs"</formula>
    </cfRule>
  </conditionalFormatting>
  <conditionalFormatting sqref="B125:C125">
    <cfRule type="cellIs" dxfId="12238" priority="3659" stopIfTrue="1" operator="equal">
      <formula>"Towel"</formula>
    </cfRule>
  </conditionalFormatting>
  <conditionalFormatting sqref="C125">
    <cfRule type="cellIs" dxfId="12237" priority="3658" stopIfTrue="1" operator="equal">
      <formula>"Napkin Hs"</formula>
    </cfRule>
  </conditionalFormatting>
  <conditionalFormatting sqref="C125">
    <cfRule type="cellIs" dxfId="12236" priority="3657" stopIfTrue="1" operator="equal">
      <formula>"Towel"</formula>
    </cfRule>
  </conditionalFormatting>
  <conditionalFormatting sqref="C125">
    <cfRule type="cellIs" dxfId="12235" priority="3655" stopIfTrue="1" operator="equal">
      <formula>"Towel"</formula>
    </cfRule>
    <cfRule type="cellIs" dxfId="12234" priority="3656" stopIfTrue="1" operator="equal">
      <formula>"Napkin Hs"</formula>
    </cfRule>
  </conditionalFormatting>
  <conditionalFormatting sqref="B125:C125">
    <cfRule type="cellIs" dxfId="12233" priority="3653" stopIfTrue="1" operator="equal">
      <formula>"Towel"</formula>
    </cfRule>
    <cfRule type="cellIs" dxfId="12232" priority="3654" stopIfTrue="1" operator="equal">
      <formula>"Napkin Hs"</formula>
    </cfRule>
  </conditionalFormatting>
  <conditionalFormatting sqref="C125">
    <cfRule type="cellIs" dxfId="12231" priority="3649" stopIfTrue="1" operator="equal">
      <formula>"Towel"</formula>
    </cfRule>
    <cfRule type="cellIs" dxfId="12230" priority="3650" stopIfTrue="1" operator="equal">
      <formula>"Napkin Hs"</formula>
    </cfRule>
  </conditionalFormatting>
  <conditionalFormatting sqref="C125">
    <cfRule type="cellIs" dxfId="12229" priority="3651" stopIfTrue="1" operator="equal">
      <formula>"Towel"</formula>
    </cfRule>
    <cfRule type="cellIs" dxfId="12228" priority="3652" stopIfTrue="1" operator="equal">
      <formula>"Napkin Hs"</formula>
    </cfRule>
  </conditionalFormatting>
  <conditionalFormatting sqref="B125:C125">
    <cfRule type="cellIs" dxfId="12227" priority="3648" stopIfTrue="1" operator="equal">
      <formula>"Napkin Hs"</formula>
    </cfRule>
  </conditionalFormatting>
  <conditionalFormatting sqref="B125:C125">
    <cfRule type="cellIs" dxfId="12226" priority="3647" stopIfTrue="1" operator="equal">
      <formula>"Towel"</formula>
    </cfRule>
  </conditionalFormatting>
  <conditionalFormatting sqref="C125">
    <cfRule type="cellIs" dxfId="12225" priority="3646" stopIfTrue="1" operator="equal">
      <formula>"Napkin Hs"</formula>
    </cfRule>
  </conditionalFormatting>
  <conditionalFormatting sqref="C125">
    <cfRule type="cellIs" dxfId="12224" priority="3645" stopIfTrue="1" operator="equal">
      <formula>"Towel"</formula>
    </cfRule>
  </conditionalFormatting>
  <conditionalFormatting sqref="C125">
    <cfRule type="cellIs" dxfId="12223" priority="3643" stopIfTrue="1" operator="equal">
      <formula>"Towel"</formula>
    </cfRule>
    <cfRule type="cellIs" dxfId="12222" priority="3644" stopIfTrue="1" operator="equal">
      <formula>"Napkin Hs"</formula>
    </cfRule>
  </conditionalFormatting>
  <conditionalFormatting sqref="B125:C125">
    <cfRule type="cellIs" dxfId="12221" priority="3641" stopIfTrue="1" operator="equal">
      <formula>"Towel"</formula>
    </cfRule>
    <cfRule type="cellIs" dxfId="12220" priority="3642" stopIfTrue="1" operator="equal">
      <formula>"Napkin Hs"</formula>
    </cfRule>
  </conditionalFormatting>
  <conditionalFormatting sqref="C125">
    <cfRule type="cellIs" dxfId="12219" priority="3639" stopIfTrue="1" operator="equal">
      <formula>"Towel"</formula>
    </cfRule>
    <cfRule type="cellIs" dxfId="12218" priority="3640" stopIfTrue="1" operator="equal">
      <formula>"Napkin Hs"</formula>
    </cfRule>
  </conditionalFormatting>
  <conditionalFormatting sqref="C125">
    <cfRule type="cellIs" dxfId="12217" priority="3637" stopIfTrue="1" operator="equal">
      <formula>"Towel"</formula>
    </cfRule>
    <cfRule type="cellIs" dxfId="12216" priority="3638" stopIfTrue="1" operator="equal">
      <formula>"Napkin Hs"</formula>
    </cfRule>
  </conditionalFormatting>
  <conditionalFormatting sqref="B125:C125">
    <cfRule type="cellIs" dxfId="12215" priority="3635" stopIfTrue="1" operator="equal">
      <formula>"Towel"</formula>
    </cfRule>
    <cfRule type="cellIs" dxfId="12214" priority="3636" stopIfTrue="1" operator="equal">
      <formula>"Napkin Hs"</formula>
    </cfRule>
  </conditionalFormatting>
  <conditionalFormatting sqref="C125">
    <cfRule type="cellIs" dxfId="12213" priority="3633" stopIfTrue="1" operator="equal">
      <formula>"Towel"</formula>
    </cfRule>
    <cfRule type="cellIs" dxfId="12212" priority="3634" stopIfTrue="1" operator="equal">
      <formula>"Napkin Hs"</formula>
    </cfRule>
  </conditionalFormatting>
  <conditionalFormatting sqref="C125">
    <cfRule type="cellIs" dxfId="12211" priority="3631" stopIfTrue="1" operator="equal">
      <formula>"Towel"</formula>
    </cfRule>
    <cfRule type="cellIs" dxfId="12210" priority="3632" stopIfTrue="1" operator="equal">
      <formula>"Napkin Hs"</formula>
    </cfRule>
  </conditionalFormatting>
  <conditionalFormatting sqref="B125:C125">
    <cfRule type="cellIs" dxfId="12209" priority="3629" stopIfTrue="1" operator="equal">
      <formula>"Towel"</formula>
    </cfRule>
    <cfRule type="cellIs" dxfId="12208" priority="3630" stopIfTrue="1" operator="equal">
      <formula>"Napkin Hs"</formula>
    </cfRule>
  </conditionalFormatting>
  <conditionalFormatting sqref="C125">
    <cfRule type="cellIs" dxfId="12207" priority="3627" stopIfTrue="1" operator="equal">
      <formula>"Towel"</formula>
    </cfRule>
    <cfRule type="cellIs" dxfId="12206" priority="3628" stopIfTrue="1" operator="equal">
      <formula>"Napkin Hs"</formula>
    </cfRule>
  </conditionalFormatting>
  <conditionalFormatting sqref="C125">
    <cfRule type="cellIs" dxfId="12205" priority="3625" stopIfTrue="1" operator="equal">
      <formula>"Towel"</formula>
    </cfRule>
    <cfRule type="cellIs" dxfId="12204" priority="3626" stopIfTrue="1" operator="equal">
      <formula>"Napkin Hs"</formula>
    </cfRule>
  </conditionalFormatting>
  <conditionalFormatting sqref="B125:C125">
    <cfRule type="cellIs" dxfId="12203" priority="3623" stopIfTrue="1" operator="equal">
      <formula>"Towel"</formula>
    </cfRule>
    <cfRule type="cellIs" dxfId="12202" priority="3624" stopIfTrue="1" operator="equal">
      <formula>"Napkin Hs"</formula>
    </cfRule>
  </conditionalFormatting>
  <conditionalFormatting sqref="C125">
    <cfRule type="cellIs" dxfId="12201" priority="3621" stopIfTrue="1" operator="equal">
      <formula>"Towel"</formula>
    </cfRule>
    <cfRule type="cellIs" dxfId="12200" priority="3622" stopIfTrue="1" operator="equal">
      <formula>"Napkin Hs"</formula>
    </cfRule>
  </conditionalFormatting>
  <conditionalFormatting sqref="C125">
    <cfRule type="cellIs" dxfId="12199" priority="3619" stopIfTrue="1" operator="equal">
      <formula>"Towel"</formula>
    </cfRule>
    <cfRule type="cellIs" dxfId="12198" priority="3620" stopIfTrue="1" operator="equal">
      <formula>"Napkin Hs"</formula>
    </cfRule>
  </conditionalFormatting>
  <conditionalFormatting sqref="B125:C125">
    <cfRule type="cellIs" dxfId="12197" priority="3617" stopIfTrue="1" operator="equal">
      <formula>"Towel"</formula>
    </cfRule>
    <cfRule type="cellIs" dxfId="12196" priority="3618" stopIfTrue="1" operator="equal">
      <formula>"Napkin Hs"</formula>
    </cfRule>
  </conditionalFormatting>
  <conditionalFormatting sqref="C125">
    <cfRule type="cellIs" dxfId="12195" priority="3615" stopIfTrue="1" operator="equal">
      <formula>"Towel"</formula>
    </cfRule>
    <cfRule type="cellIs" dxfId="12194" priority="3616" stopIfTrue="1" operator="equal">
      <formula>"Napkin Hs"</formula>
    </cfRule>
  </conditionalFormatting>
  <conditionalFormatting sqref="C125">
    <cfRule type="cellIs" dxfId="12193" priority="3613" stopIfTrue="1" operator="equal">
      <formula>"Towel"</formula>
    </cfRule>
    <cfRule type="cellIs" dxfId="12192" priority="3614" stopIfTrue="1" operator="equal">
      <formula>"Napkin Hs"</formula>
    </cfRule>
  </conditionalFormatting>
  <conditionalFormatting sqref="B125:C125">
    <cfRule type="cellIs" dxfId="12191" priority="3603" stopIfTrue="1" operator="equal">
      <formula>"Towel"</formula>
    </cfRule>
    <cfRule type="cellIs" dxfId="12190" priority="3604" stopIfTrue="1" operator="equal">
      <formula>"Napkin Hs"</formula>
    </cfRule>
  </conditionalFormatting>
  <conditionalFormatting sqref="C125">
    <cfRule type="cellIs" dxfId="12189" priority="3605" stopIfTrue="1" operator="equal">
      <formula>"Towel"</formula>
    </cfRule>
    <cfRule type="cellIs" dxfId="12188" priority="3606" stopIfTrue="1" operator="equal">
      <formula>"Napkin Hs"</formula>
    </cfRule>
  </conditionalFormatting>
  <conditionalFormatting sqref="C125">
    <cfRule type="cellIs" dxfId="12187" priority="3601" stopIfTrue="1" operator="equal">
      <formula>"Towel"</formula>
    </cfRule>
    <cfRule type="cellIs" dxfId="12186" priority="3602" stopIfTrue="1" operator="equal">
      <formula>"Napkin Hs"</formula>
    </cfRule>
  </conditionalFormatting>
  <conditionalFormatting sqref="B125:C125">
    <cfRule type="cellIs" dxfId="12185" priority="3600" stopIfTrue="1" operator="equal">
      <formula>"Napkin Hs"</formula>
    </cfRule>
  </conditionalFormatting>
  <conditionalFormatting sqref="B125:C125">
    <cfRule type="cellIs" dxfId="12184" priority="3599" stopIfTrue="1" operator="equal">
      <formula>"Towel"</formula>
    </cfRule>
  </conditionalFormatting>
  <conditionalFormatting sqref="C125">
    <cfRule type="cellIs" dxfId="12183" priority="3598" stopIfTrue="1" operator="equal">
      <formula>"Napkin Hs"</formula>
    </cfRule>
  </conditionalFormatting>
  <conditionalFormatting sqref="C125">
    <cfRule type="cellIs" dxfId="12182" priority="3597" stopIfTrue="1" operator="equal">
      <formula>"Towel"</formula>
    </cfRule>
  </conditionalFormatting>
  <conditionalFormatting sqref="C125">
    <cfRule type="cellIs" dxfId="12181" priority="3595" stopIfTrue="1" operator="equal">
      <formula>"Towel"</formula>
    </cfRule>
    <cfRule type="cellIs" dxfId="12180" priority="3596" stopIfTrue="1" operator="equal">
      <formula>"Napkin Hs"</formula>
    </cfRule>
  </conditionalFormatting>
  <conditionalFormatting sqref="B125:C125">
    <cfRule type="cellIs" dxfId="12179" priority="3593" stopIfTrue="1" operator="equal">
      <formula>"Towel"</formula>
    </cfRule>
    <cfRule type="cellIs" dxfId="12178" priority="3594" stopIfTrue="1" operator="equal">
      <formula>"Napkin Hs"</formula>
    </cfRule>
  </conditionalFormatting>
  <conditionalFormatting sqref="C125">
    <cfRule type="cellIs" dxfId="12177" priority="3589" stopIfTrue="1" operator="equal">
      <formula>"Towel"</formula>
    </cfRule>
    <cfRule type="cellIs" dxfId="12176" priority="3590" stopIfTrue="1" operator="equal">
      <formula>"Napkin Hs"</formula>
    </cfRule>
  </conditionalFormatting>
  <conditionalFormatting sqref="C125">
    <cfRule type="cellIs" dxfId="12175" priority="3591" stopIfTrue="1" operator="equal">
      <formula>"Towel"</formula>
    </cfRule>
    <cfRule type="cellIs" dxfId="12174" priority="3592" stopIfTrue="1" operator="equal">
      <formula>"Napkin Hs"</formula>
    </cfRule>
  </conditionalFormatting>
  <conditionalFormatting sqref="B125:C125">
    <cfRule type="cellIs" dxfId="12173" priority="3588" stopIfTrue="1" operator="equal">
      <formula>"Napkin Hs"</formula>
    </cfRule>
  </conditionalFormatting>
  <conditionalFormatting sqref="B125:C125">
    <cfRule type="cellIs" dxfId="12172" priority="3587" stopIfTrue="1" operator="equal">
      <formula>"Towel"</formula>
    </cfRule>
  </conditionalFormatting>
  <conditionalFormatting sqref="C125">
    <cfRule type="cellIs" dxfId="12171" priority="3586" stopIfTrue="1" operator="equal">
      <formula>"Napkin Hs"</formula>
    </cfRule>
  </conditionalFormatting>
  <conditionalFormatting sqref="C125">
    <cfRule type="cellIs" dxfId="12170" priority="3585" stopIfTrue="1" operator="equal">
      <formula>"Towel"</formula>
    </cfRule>
  </conditionalFormatting>
  <conditionalFormatting sqref="C125">
    <cfRule type="cellIs" dxfId="12169" priority="3583" stopIfTrue="1" operator="equal">
      <formula>"Towel"</formula>
    </cfRule>
    <cfRule type="cellIs" dxfId="12168" priority="3584" stopIfTrue="1" operator="equal">
      <formula>"Napkin Hs"</formula>
    </cfRule>
  </conditionalFormatting>
  <conditionalFormatting sqref="B125:C125">
    <cfRule type="cellIs" dxfId="12167" priority="3581" stopIfTrue="1" operator="equal">
      <formula>"Towel"</formula>
    </cfRule>
    <cfRule type="cellIs" dxfId="12166" priority="3582" stopIfTrue="1" operator="equal">
      <formula>"Napkin Hs"</formula>
    </cfRule>
  </conditionalFormatting>
  <conditionalFormatting sqref="C125">
    <cfRule type="cellIs" dxfId="12165" priority="3579" stopIfTrue="1" operator="equal">
      <formula>"Towel"</formula>
    </cfRule>
    <cfRule type="cellIs" dxfId="12164" priority="3580" stopIfTrue="1" operator="equal">
      <formula>"Napkin Hs"</formula>
    </cfRule>
  </conditionalFormatting>
  <conditionalFormatting sqref="C125">
    <cfRule type="cellIs" dxfId="12163" priority="3577" stopIfTrue="1" operator="equal">
      <formula>"Towel"</formula>
    </cfRule>
    <cfRule type="cellIs" dxfId="12162" priority="3578" stopIfTrue="1" operator="equal">
      <formula>"Napkin Hs"</formula>
    </cfRule>
  </conditionalFormatting>
  <conditionalFormatting sqref="B125:C125">
    <cfRule type="cellIs" dxfId="12161" priority="3575" stopIfTrue="1" operator="equal">
      <formula>"Towel"</formula>
    </cfRule>
    <cfRule type="cellIs" dxfId="12160" priority="3576" stopIfTrue="1" operator="equal">
      <formula>"Napkin Hs"</formula>
    </cfRule>
  </conditionalFormatting>
  <conditionalFormatting sqref="C125">
    <cfRule type="cellIs" dxfId="12159" priority="3573" stopIfTrue="1" operator="equal">
      <formula>"Towel"</formula>
    </cfRule>
    <cfRule type="cellIs" dxfId="12158" priority="3574" stopIfTrue="1" operator="equal">
      <formula>"Napkin Hs"</formula>
    </cfRule>
  </conditionalFormatting>
  <conditionalFormatting sqref="C125">
    <cfRule type="cellIs" dxfId="12157" priority="3571" stopIfTrue="1" operator="equal">
      <formula>"Towel"</formula>
    </cfRule>
    <cfRule type="cellIs" dxfId="12156" priority="3572" stopIfTrue="1" operator="equal">
      <formula>"Napkin Hs"</formula>
    </cfRule>
  </conditionalFormatting>
  <conditionalFormatting sqref="B125:C125">
    <cfRule type="cellIs" dxfId="12155" priority="3569" stopIfTrue="1" operator="equal">
      <formula>"Towel"</formula>
    </cfRule>
    <cfRule type="cellIs" dxfId="12154" priority="3570" stopIfTrue="1" operator="equal">
      <formula>"Napkin Hs"</formula>
    </cfRule>
  </conditionalFormatting>
  <conditionalFormatting sqref="C125">
    <cfRule type="cellIs" dxfId="12153" priority="3567" stopIfTrue="1" operator="equal">
      <formula>"Towel"</formula>
    </cfRule>
    <cfRule type="cellIs" dxfId="12152" priority="3568" stopIfTrue="1" operator="equal">
      <formula>"Napkin Hs"</formula>
    </cfRule>
  </conditionalFormatting>
  <conditionalFormatting sqref="C125">
    <cfRule type="cellIs" dxfId="12151" priority="3565" stopIfTrue="1" operator="equal">
      <formula>"Towel"</formula>
    </cfRule>
    <cfRule type="cellIs" dxfId="12150" priority="3566" stopIfTrue="1" operator="equal">
      <formula>"Napkin Hs"</formula>
    </cfRule>
  </conditionalFormatting>
  <conditionalFormatting sqref="B125:C125">
    <cfRule type="cellIs" dxfId="12149" priority="3563" stopIfTrue="1" operator="equal">
      <formula>"Towel"</formula>
    </cfRule>
    <cfRule type="cellIs" dxfId="12148" priority="3564" stopIfTrue="1" operator="equal">
      <formula>"Napkin Hs"</formula>
    </cfRule>
  </conditionalFormatting>
  <conditionalFormatting sqref="C125">
    <cfRule type="cellIs" dxfId="12147" priority="3561" stopIfTrue="1" operator="equal">
      <formula>"Towel"</formula>
    </cfRule>
    <cfRule type="cellIs" dxfId="12146" priority="3562" stopIfTrue="1" operator="equal">
      <formula>"Napkin Hs"</formula>
    </cfRule>
  </conditionalFormatting>
  <conditionalFormatting sqref="C125">
    <cfRule type="cellIs" dxfId="12145" priority="3559" stopIfTrue="1" operator="equal">
      <formula>"Towel"</formula>
    </cfRule>
    <cfRule type="cellIs" dxfId="12144" priority="3560" stopIfTrue="1" operator="equal">
      <formula>"Napkin Hs"</formula>
    </cfRule>
  </conditionalFormatting>
  <conditionalFormatting sqref="B125:C125">
    <cfRule type="cellIs" dxfId="12143" priority="3557" stopIfTrue="1" operator="equal">
      <formula>"Towel"</formula>
    </cfRule>
    <cfRule type="cellIs" dxfId="12142" priority="3558" stopIfTrue="1" operator="equal">
      <formula>"Napkin Hs"</formula>
    </cfRule>
  </conditionalFormatting>
  <conditionalFormatting sqref="C125">
    <cfRule type="cellIs" dxfId="12141" priority="3555" stopIfTrue="1" operator="equal">
      <formula>"Towel"</formula>
    </cfRule>
    <cfRule type="cellIs" dxfId="12140" priority="3556" stopIfTrue="1" operator="equal">
      <formula>"Napkin Hs"</formula>
    </cfRule>
  </conditionalFormatting>
  <conditionalFormatting sqref="C125">
    <cfRule type="cellIs" dxfId="12139" priority="3553" stopIfTrue="1" operator="equal">
      <formula>"Towel"</formula>
    </cfRule>
    <cfRule type="cellIs" dxfId="12138" priority="3554" stopIfTrue="1" operator="equal">
      <formula>"Napkin Hs"</formula>
    </cfRule>
  </conditionalFormatting>
  <conditionalFormatting sqref="B125:C125">
    <cfRule type="cellIs" dxfId="12137" priority="3552" stopIfTrue="1" operator="equal">
      <formula>"Napkin Hs"</formula>
    </cfRule>
  </conditionalFormatting>
  <conditionalFormatting sqref="B125:C125">
    <cfRule type="cellIs" dxfId="12136" priority="3551" stopIfTrue="1" operator="equal">
      <formula>"Towel"</formula>
    </cfRule>
  </conditionalFormatting>
  <conditionalFormatting sqref="C125">
    <cfRule type="cellIs" dxfId="12135" priority="3550" stopIfTrue="1" operator="equal">
      <formula>"Napkin Hs"</formula>
    </cfRule>
  </conditionalFormatting>
  <conditionalFormatting sqref="C125">
    <cfRule type="cellIs" dxfId="12134" priority="3547" stopIfTrue="1" operator="equal">
      <formula>"Towel"</formula>
    </cfRule>
    <cfRule type="cellIs" dxfId="12133" priority="3548" stopIfTrue="1" operator="equal">
      <formula>"Napkin Hs"</formula>
    </cfRule>
  </conditionalFormatting>
  <conditionalFormatting sqref="C125">
    <cfRule type="cellIs" dxfId="12132" priority="3549" stopIfTrue="1" operator="equal">
      <formula>"Towel"</formula>
    </cfRule>
  </conditionalFormatting>
  <conditionalFormatting sqref="B125:C125">
    <cfRule type="cellIs" dxfId="12131" priority="3546" stopIfTrue="1" operator="equal">
      <formula>"Napkin Hs"</formula>
    </cfRule>
  </conditionalFormatting>
  <conditionalFormatting sqref="B125:C125">
    <cfRule type="cellIs" dxfId="12130" priority="3545" stopIfTrue="1" operator="equal">
      <formula>"Towel"</formula>
    </cfRule>
  </conditionalFormatting>
  <conditionalFormatting sqref="C125">
    <cfRule type="cellIs" dxfId="12129" priority="3544" stopIfTrue="1" operator="equal">
      <formula>"Napkin Hs"</formula>
    </cfRule>
  </conditionalFormatting>
  <conditionalFormatting sqref="C125">
    <cfRule type="cellIs" dxfId="12128" priority="3543" stopIfTrue="1" operator="equal">
      <formula>"Towel"</formula>
    </cfRule>
  </conditionalFormatting>
  <conditionalFormatting sqref="C125">
    <cfRule type="cellIs" dxfId="12127" priority="3541" stopIfTrue="1" operator="equal">
      <formula>"Towel"</formula>
    </cfRule>
    <cfRule type="cellIs" dxfId="12126" priority="3542" stopIfTrue="1" operator="equal">
      <formula>"Napkin Hs"</formula>
    </cfRule>
  </conditionalFormatting>
  <conditionalFormatting sqref="C125">
    <cfRule type="cellIs" dxfId="12125" priority="3535" stopIfTrue="1" operator="equal">
      <formula>"Towel"</formula>
    </cfRule>
    <cfRule type="cellIs" dxfId="12124" priority="3536" stopIfTrue="1" operator="equal">
      <formula>"Napkin Hs"</formula>
    </cfRule>
  </conditionalFormatting>
  <conditionalFormatting sqref="B125:C125">
    <cfRule type="cellIs" dxfId="12123" priority="3534" stopIfTrue="1" operator="equal">
      <formula>"Napkin Hs"</formula>
    </cfRule>
  </conditionalFormatting>
  <conditionalFormatting sqref="B125:C125">
    <cfRule type="cellIs" dxfId="12122" priority="3533" stopIfTrue="1" operator="equal">
      <formula>"Towel"</formula>
    </cfRule>
  </conditionalFormatting>
  <conditionalFormatting sqref="C125">
    <cfRule type="cellIs" dxfId="12121" priority="3532" stopIfTrue="1" operator="equal">
      <formula>"Napkin Hs"</formula>
    </cfRule>
  </conditionalFormatting>
  <conditionalFormatting sqref="C125">
    <cfRule type="cellIs" dxfId="12120" priority="3531" stopIfTrue="1" operator="equal">
      <formula>"Towel"</formula>
    </cfRule>
  </conditionalFormatting>
  <conditionalFormatting sqref="C125">
    <cfRule type="cellIs" dxfId="12119" priority="3529" stopIfTrue="1" operator="equal">
      <formula>"Towel"</formula>
    </cfRule>
    <cfRule type="cellIs" dxfId="12118" priority="3530" stopIfTrue="1" operator="equal">
      <formula>"Napkin Hs"</formula>
    </cfRule>
  </conditionalFormatting>
  <conditionalFormatting sqref="C125">
    <cfRule type="cellIs" dxfId="12117" priority="3523" stopIfTrue="1" operator="equal">
      <formula>"Towel"</formula>
    </cfRule>
    <cfRule type="cellIs" dxfId="12116" priority="3524" stopIfTrue="1" operator="equal">
      <formula>"Napkin Hs"</formula>
    </cfRule>
  </conditionalFormatting>
  <conditionalFormatting sqref="C125">
    <cfRule type="cellIs" dxfId="12115" priority="3517" stopIfTrue="1" operator="equal">
      <formula>"Towel"</formula>
    </cfRule>
    <cfRule type="cellIs" dxfId="12114" priority="3518" stopIfTrue="1" operator="equal">
      <formula>"Napkin Hs"</formula>
    </cfRule>
  </conditionalFormatting>
  <conditionalFormatting sqref="C125">
    <cfRule type="cellIs" dxfId="12113" priority="3511" stopIfTrue="1" operator="equal">
      <formula>"Towel"</formula>
    </cfRule>
    <cfRule type="cellIs" dxfId="12112" priority="3512" stopIfTrue="1" operator="equal">
      <formula>"Napkin Hs"</formula>
    </cfRule>
  </conditionalFormatting>
  <conditionalFormatting sqref="C125">
    <cfRule type="cellIs" dxfId="12111" priority="3505" stopIfTrue="1" operator="equal">
      <formula>"Towel"</formula>
    </cfRule>
    <cfRule type="cellIs" dxfId="12110" priority="3506" stopIfTrue="1" operator="equal">
      <formula>"Napkin Hs"</formula>
    </cfRule>
  </conditionalFormatting>
  <conditionalFormatting sqref="C125">
    <cfRule type="cellIs" dxfId="12109" priority="3499" stopIfTrue="1" operator="equal">
      <formula>"Towel"</formula>
    </cfRule>
    <cfRule type="cellIs" dxfId="12108" priority="3500" stopIfTrue="1" operator="equal">
      <formula>"Napkin Hs"</formula>
    </cfRule>
  </conditionalFormatting>
  <conditionalFormatting sqref="B125:C125">
    <cfRule type="cellIs" dxfId="12107" priority="3498" stopIfTrue="1" operator="equal">
      <formula>"Napkin Hs"</formula>
    </cfRule>
  </conditionalFormatting>
  <conditionalFormatting sqref="B125:C125">
    <cfRule type="cellIs" dxfId="12106" priority="3497" stopIfTrue="1" operator="equal">
      <formula>"Towel"</formula>
    </cfRule>
  </conditionalFormatting>
  <conditionalFormatting sqref="C125">
    <cfRule type="cellIs" dxfId="12105" priority="3496" stopIfTrue="1" operator="equal">
      <formula>"Napkin Hs"</formula>
    </cfRule>
  </conditionalFormatting>
  <conditionalFormatting sqref="C125">
    <cfRule type="cellIs" dxfId="12104" priority="3493" stopIfTrue="1" operator="equal">
      <formula>"Towel"</formula>
    </cfRule>
    <cfRule type="cellIs" dxfId="12103" priority="3494" stopIfTrue="1" operator="equal">
      <formula>"Napkin Hs"</formula>
    </cfRule>
  </conditionalFormatting>
  <conditionalFormatting sqref="C125">
    <cfRule type="cellIs" dxfId="12102" priority="3495" stopIfTrue="1" operator="equal">
      <formula>"Towel"</formula>
    </cfRule>
  </conditionalFormatting>
  <conditionalFormatting sqref="B125:C125">
    <cfRule type="cellIs" dxfId="12101" priority="3492" stopIfTrue="1" operator="equal">
      <formula>"Napkin Hs"</formula>
    </cfRule>
  </conditionalFormatting>
  <conditionalFormatting sqref="B125:C125">
    <cfRule type="cellIs" dxfId="12100" priority="3491" stopIfTrue="1" operator="equal">
      <formula>"Towel"</formula>
    </cfRule>
  </conditionalFormatting>
  <conditionalFormatting sqref="C125">
    <cfRule type="cellIs" dxfId="12099" priority="3490" stopIfTrue="1" operator="equal">
      <formula>"Napkin Hs"</formula>
    </cfRule>
  </conditionalFormatting>
  <conditionalFormatting sqref="C125">
    <cfRule type="cellIs" dxfId="12098" priority="3487" stopIfTrue="1" operator="equal">
      <formula>"Towel"</formula>
    </cfRule>
    <cfRule type="cellIs" dxfId="12097" priority="3488" stopIfTrue="1" operator="equal">
      <formula>"Napkin Hs"</formula>
    </cfRule>
  </conditionalFormatting>
  <conditionalFormatting sqref="C125">
    <cfRule type="cellIs" dxfId="12096" priority="3489" stopIfTrue="1" operator="equal">
      <formula>"Towel"</formula>
    </cfRule>
  </conditionalFormatting>
  <conditionalFormatting sqref="B125:C125">
    <cfRule type="cellIs" dxfId="12095" priority="3539" stopIfTrue="1" operator="equal">
      <formula>"Towel"</formula>
    </cfRule>
    <cfRule type="cellIs" dxfId="12094" priority="3540" stopIfTrue="1" operator="equal">
      <formula>"Napkin Hs"</formula>
    </cfRule>
  </conditionalFormatting>
  <conditionalFormatting sqref="C125">
    <cfRule type="cellIs" dxfId="12093" priority="3537" stopIfTrue="1" operator="equal">
      <formula>"Towel"</formula>
    </cfRule>
    <cfRule type="cellIs" dxfId="12092" priority="3538" stopIfTrue="1" operator="equal">
      <formula>"Napkin Hs"</formula>
    </cfRule>
  </conditionalFormatting>
  <conditionalFormatting sqref="B125:C125">
    <cfRule type="cellIs" dxfId="12091" priority="3527" stopIfTrue="1" operator="equal">
      <formula>"Towel"</formula>
    </cfRule>
    <cfRule type="cellIs" dxfId="12090" priority="3528" stopIfTrue="1" operator="equal">
      <formula>"Napkin Hs"</formula>
    </cfRule>
  </conditionalFormatting>
  <conditionalFormatting sqref="C125">
    <cfRule type="cellIs" dxfId="12089" priority="3525" stopIfTrue="1" operator="equal">
      <formula>"Towel"</formula>
    </cfRule>
    <cfRule type="cellIs" dxfId="12088" priority="3526" stopIfTrue="1" operator="equal">
      <formula>"Napkin Hs"</formula>
    </cfRule>
  </conditionalFormatting>
  <conditionalFormatting sqref="B125:C125">
    <cfRule type="cellIs" dxfId="12087" priority="3521" stopIfTrue="1" operator="equal">
      <formula>"Towel"</formula>
    </cfRule>
    <cfRule type="cellIs" dxfId="12086" priority="3522" stopIfTrue="1" operator="equal">
      <formula>"Napkin Hs"</formula>
    </cfRule>
  </conditionalFormatting>
  <conditionalFormatting sqref="C125">
    <cfRule type="cellIs" dxfId="12085" priority="3519" stopIfTrue="1" operator="equal">
      <formula>"Towel"</formula>
    </cfRule>
    <cfRule type="cellIs" dxfId="12084" priority="3520" stopIfTrue="1" operator="equal">
      <formula>"Napkin Hs"</formula>
    </cfRule>
  </conditionalFormatting>
  <conditionalFormatting sqref="B125:C125">
    <cfRule type="cellIs" dxfId="12083" priority="3515" stopIfTrue="1" operator="equal">
      <formula>"Towel"</formula>
    </cfRule>
    <cfRule type="cellIs" dxfId="12082" priority="3516" stopIfTrue="1" operator="equal">
      <formula>"Napkin Hs"</formula>
    </cfRule>
  </conditionalFormatting>
  <conditionalFormatting sqref="C125">
    <cfRule type="cellIs" dxfId="12081" priority="3513" stopIfTrue="1" operator="equal">
      <formula>"Towel"</formula>
    </cfRule>
    <cfRule type="cellIs" dxfId="12080" priority="3514" stopIfTrue="1" operator="equal">
      <formula>"Napkin Hs"</formula>
    </cfRule>
  </conditionalFormatting>
  <conditionalFormatting sqref="B125:C125">
    <cfRule type="cellIs" dxfId="12079" priority="3509" stopIfTrue="1" operator="equal">
      <formula>"Towel"</formula>
    </cfRule>
    <cfRule type="cellIs" dxfId="12078" priority="3510" stopIfTrue="1" operator="equal">
      <formula>"Napkin Hs"</formula>
    </cfRule>
  </conditionalFormatting>
  <conditionalFormatting sqref="C125">
    <cfRule type="cellIs" dxfId="12077" priority="3507" stopIfTrue="1" operator="equal">
      <formula>"Towel"</formula>
    </cfRule>
    <cfRule type="cellIs" dxfId="12076" priority="3508" stopIfTrue="1" operator="equal">
      <formula>"Napkin Hs"</formula>
    </cfRule>
  </conditionalFormatting>
  <conditionalFormatting sqref="B125:C125">
    <cfRule type="cellIs" dxfId="12075" priority="3503" stopIfTrue="1" operator="equal">
      <formula>"Towel"</formula>
    </cfRule>
    <cfRule type="cellIs" dxfId="12074" priority="3504" stopIfTrue="1" operator="equal">
      <formula>"Napkin Hs"</formula>
    </cfRule>
  </conditionalFormatting>
  <conditionalFormatting sqref="C125">
    <cfRule type="cellIs" dxfId="12073" priority="3501" stopIfTrue="1" operator="equal">
      <formula>"Towel"</formula>
    </cfRule>
    <cfRule type="cellIs" dxfId="12072" priority="3502" stopIfTrue="1" operator="equal">
      <formula>"Napkin Hs"</formula>
    </cfRule>
  </conditionalFormatting>
  <conditionalFormatting sqref="B125:C125">
    <cfRule type="cellIs" dxfId="12071" priority="3486" stopIfTrue="1" operator="equal">
      <formula>"Napkin Hs"</formula>
    </cfRule>
  </conditionalFormatting>
  <conditionalFormatting sqref="B125:C125">
    <cfRule type="cellIs" dxfId="12070" priority="3485" stopIfTrue="1" operator="equal">
      <formula>"Towel"</formula>
    </cfRule>
  </conditionalFormatting>
  <conditionalFormatting sqref="C125">
    <cfRule type="cellIs" dxfId="12069" priority="3484" stopIfTrue="1" operator="equal">
      <formula>"Napkin Hs"</formula>
    </cfRule>
  </conditionalFormatting>
  <conditionalFormatting sqref="C125">
    <cfRule type="cellIs" dxfId="12068" priority="3481" stopIfTrue="1" operator="equal">
      <formula>"Towel"</formula>
    </cfRule>
    <cfRule type="cellIs" dxfId="12067" priority="3482" stopIfTrue="1" operator="equal">
      <formula>"Napkin Hs"</formula>
    </cfRule>
  </conditionalFormatting>
  <conditionalFormatting sqref="C125">
    <cfRule type="cellIs" dxfId="12066" priority="3483" stopIfTrue="1" operator="equal">
      <formula>"Towel"</formula>
    </cfRule>
  </conditionalFormatting>
  <conditionalFormatting sqref="C126">
    <cfRule type="cellIs" dxfId="12065" priority="3477" stopIfTrue="1" operator="equal">
      <formula>"Towel"</formula>
    </cfRule>
    <cfRule type="cellIs" dxfId="12064" priority="3478" stopIfTrue="1" operator="equal">
      <formula>"Napkin Hs"</formula>
    </cfRule>
  </conditionalFormatting>
  <conditionalFormatting sqref="C126">
    <cfRule type="cellIs" dxfId="12063" priority="3475" stopIfTrue="1" operator="equal">
      <formula>"Towel"</formula>
    </cfRule>
    <cfRule type="cellIs" dxfId="12062" priority="3476" stopIfTrue="1" operator="equal">
      <formula>"Napkin Hs"</formula>
    </cfRule>
  </conditionalFormatting>
  <conditionalFormatting sqref="B126:C126">
    <cfRule type="cellIs" dxfId="12061" priority="3426" stopIfTrue="1" operator="equal">
      <formula>"Napkin Hs"</formula>
    </cfRule>
  </conditionalFormatting>
  <conditionalFormatting sqref="B126:C126">
    <cfRule type="cellIs" dxfId="12060" priority="3425" stopIfTrue="1" operator="equal">
      <formula>"Towel"</formula>
    </cfRule>
  </conditionalFormatting>
  <conditionalFormatting sqref="B126:C126">
    <cfRule type="cellIs" dxfId="12059" priority="3479" stopIfTrue="1" operator="equal">
      <formula>"Towel"</formula>
    </cfRule>
    <cfRule type="cellIs" dxfId="12058" priority="3480" stopIfTrue="1" operator="equal">
      <formula>"Napkin Hs"</formula>
    </cfRule>
  </conditionalFormatting>
  <conditionalFormatting sqref="C126">
    <cfRule type="cellIs" dxfId="12057" priority="3424" stopIfTrue="1" operator="equal">
      <formula>"Napkin Hs"</formula>
    </cfRule>
  </conditionalFormatting>
  <conditionalFormatting sqref="C126">
    <cfRule type="cellIs" dxfId="12056" priority="3423" stopIfTrue="1" operator="equal">
      <formula>"Towel"</formula>
    </cfRule>
  </conditionalFormatting>
  <conditionalFormatting sqref="C126">
    <cfRule type="cellIs" dxfId="12055" priority="3421" stopIfTrue="1" operator="equal">
      <formula>"Towel"</formula>
    </cfRule>
    <cfRule type="cellIs" dxfId="12054" priority="3422" stopIfTrue="1" operator="equal">
      <formula>"Napkin Hs"</formula>
    </cfRule>
  </conditionalFormatting>
  <conditionalFormatting sqref="B126:C126">
    <cfRule type="cellIs" dxfId="12053" priority="3474" stopIfTrue="1" operator="equal">
      <formula>"Napkin Hs"</formula>
    </cfRule>
  </conditionalFormatting>
  <conditionalFormatting sqref="B126:C126">
    <cfRule type="cellIs" dxfId="12052" priority="3473" stopIfTrue="1" operator="equal">
      <formula>"Towel"</formula>
    </cfRule>
  </conditionalFormatting>
  <conditionalFormatting sqref="C126">
    <cfRule type="cellIs" dxfId="12051" priority="3472" stopIfTrue="1" operator="equal">
      <formula>"Napkin Hs"</formula>
    </cfRule>
  </conditionalFormatting>
  <conditionalFormatting sqref="C126">
    <cfRule type="cellIs" dxfId="12050" priority="3471" stopIfTrue="1" operator="equal">
      <formula>"Towel"</formula>
    </cfRule>
  </conditionalFormatting>
  <conditionalFormatting sqref="C126">
    <cfRule type="cellIs" dxfId="12049" priority="3469" stopIfTrue="1" operator="equal">
      <formula>"Towel"</formula>
    </cfRule>
    <cfRule type="cellIs" dxfId="12048" priority="3470" stopIfTrue="1" operator="equal">
      <formula>"Napkin Hs"</formula>
    </cfRule>
  </conditionalFormatting>
  <conditionalFormatting sqref="B126:C126">
    <cfRule type="cellIs" dxfId="12047" priority="3467" stopIfTrue="1" operator="equal">
      <formula>"Towel"</formula>
    </cfRule>
    <cfRule type="cellIs" dxfId="12046" priority="3468" stopIfTrue="1" operator="equal">
      <formula>"Napkin Hs"</formula>
    </cfRule>
  </conditionalFormatting>
  <conditionalFormatting sqref="C126">
    <cfRule type="cellIs" dxfId="12045" priority="3463" stopIfTrue="1" operator="equal">
      <formula>"Towel"</formula>
    </cfRule>
    <cfRule type="cellIs" dxfId="12044" priority="3464" stopIfTrue="1" operator="equal">
      <formula>"Napkin Hs"</formula>
    </cfRule>
  </conditionalFormatting>
  <conditionalFormatting sqref="C126">
    <cfRule type="cellIs" dxfId="12043" priority="3465" stopIfTrue="1" operator="equal">
      <formula>"Towel"</formula>
    </cfRule>
    <cfRule type="cellIs" dxfId="12042" priority="3466" stopIfTrue="1" operator="equal">
      <formula>"Napkin Hs"</formula>
    </cfRule>
  </conditionalFormatting>
  <conditionalFormatting sqref="B126:C126">
    <cfRule type="cellIs" dxfId="12041" priority="3462" stopIfTrue="1" operator="equal">
      <formula>"Napkin Hs"</formula>
    </cfRule>
  </conditionalFormatting>
  <conditionalFormatting sqref="B126:C126">
    <cfRule type="cellIs" dxfId="12040" priority="3461" stopIfTrue="1" operator="equal">
      <formula>"Towel"</formula>
    </cfRule>
  </conditionalFormatting>
  <conditionalFormatting sqref="C126">
    <cfRule type="cellIs" dxfId="12039" priority="3460" stopIfTrue="1" operator="equal">
      <formula>"Napkin Hs"</formula>
    </cfRule>
  </conditionalFormatting>
  <conditionalFormatting sqref="C126">
    <cfRule type="cellIs" dxfId="12038" priority="3459" stopIfTrue="1" operator="equal">
      <formula>"Towel"</formula>
    </cfRule>
  </conditionalFormatting>
  <conditionalFormatting sqref="C126">
    <cfRule type="cellIs" dxfId="12037" priority="3457" stopIfTrue="1" operator="equal">
      <formula>"Towel"</formula>
    </cfRule>
    <cfRule type="cellIs" dxfId="12036" priority="3458" stopIfTrue="1" operator="equal">
      <formula>"Napkin Hs"</formula>
    </cfRule>
  </conditionalFormatting>
  <conditionalFormatting sqref="B126:C126">
    <cfRule type="cellIs" dxfId="12035" priority="3455" stopIfTrue="1" operator="equal">
      <formula>"Towel"</formula>
    </cfRule>
    <cfRule type="cellIs" dxfId="12034" priority="3456" stopIfTrue="1" operator="equal">
      <formula>"Napkin Hs"</formula>
    </cfRule>
  </conditionalFormatting>
  <conditionalFormatting sqref="C126">
    <cfRule type="cellIs" dxfId="12033" priority="3453" stopIfTrue="1" operator="equal">
      <formula>"Towel"</formula>
    </cfRule>
    <cfRule type="cellIs" dxfId="12032" priority="3454" stopIfTrue="1" operator="equal">
      <formula>"Napkin Hs"</formula>
    </cfRule>
  </conditionalFormatting>
  <conditionalFormatting sqref="C126">
    <cfRule type="cellIs" dxfId="12031" priority="3451" stopIfTrue="1" operator="equal">
      <formula>"Towel"</formula>
    </cfRule>
    <cfRule type="cellIs" dxfId="12030" priority="3452" stopIfTrue="1" operator="equal">
      <formula>"Napkin Hs"</formula>
    </cfRule>
  </conditionalFormatting>
  <conditionalFormatting sqref="B126:C126">
    <cfRule type="cellIs" dxfId="12029" priority="3449" stopIfTrue="1" operator="equal">
      <formula>"Towel"</formula>
    </cfRule>
    <cfRule type="cellIs" dxfId="12028" priority="3450" stopIfTrue="1" operator="equal">
      <formula>"Napkin Hs"</formula>
    </cfRule>
  </conditionalFormatting>
  <conditionalFormatting sqref="C126">
    <cfRule type="cellIs" dxfId="12027" priority="3447" stopIfTrue="1" operator="equal">
      <formula>"Towel"</formula>
    </cfRule>
    <cfRule type="cellIs" dxfId="12026" priority="3448" stopIfTrue="1" operator="equal">
      <formula>"Napkin Hs"</formula>
    </cfRule>
  </conditionalFormatting>
  <conditionalFormatting sqref="C126">
    <cfRule type="cellIs" dxfId="12025" priority="3445" stopIfTrue="1" operator="equal">
      <formula>"Towel"</formula>
    </cfRule>
    <cfRule type="cellIs" dxfId="12024" priority="3446" stopIfTrue="1" operator="equal">
      <formula>"Napkin Hs"</formula>
    </cfRule>
  </conditionalFormatting>
  <conditionalFormatting sqref="B126:C126">
    <cfRule type="cellIs" dxfId="12023" priority="3443" stopIfTrue="1" operator="equal">
      <formula>"Towel"</formula>
    </cfRule>
    <cfRule type="cellIs" dxfId="12022" priority="3444" stopIfTrue="1" operator="equal">
      <formula>"Napkin Hs"</formula>
    </cfRule>
  </conditionalFormatting>
  <conditionalFormatting sqref="C126">
    <cfRule type="cellIs" dxfId="12021" priority="3441" stopIfTrue="1" operator="equal">
      <formula>"Towel"</formula>
    </cfRule>
    <cfRule type="cellIs" dxfId="12020" priority="3442" stopIfTrue="1" operator="equal">
      <formula>"Napkin Hs"</formula>
    </cfRule>
  </conditionalFormatting>
  <conditionalFormatting sqref="C126">
    <cfRule type="cellIs" dxfId="12019" priority="3439" stopIfTrue="1" operator="equal">
      <formula>"Towel"</formula>
    </cfRule>
    <cfRule type="cellIs" dxfId="12018" priority="3440" stopIfTrue="1" operator="equal">
      <formula>"Napkin Hs"</formula>
    </cfRule>
  </conditionalFormatting>
  <conditionalFormatting sqref="B126:C126">
    <cfRule type="cellIs" dxfId="12017" priority="3437" stopIfTrue="1" operator="equal">
      <formula>"Towel"</formula>
    </cfRule>
    <cfRule type="cellIs" dxfId="12016" priority="3438" stopIfTrue="1" operator="equal">
      <formula>"Napkin Hs"</formula>
    </cfRule>
  </conditionalFormatting>
  <conditionalFormatting sqref="C126">
    <cfRule type="cellIs" dxfId="12015" priority="3435" stopIfTrue="1" operator="equal">
      <formula>"Towel"</formula>
    </cfRule>
    <cfRule type="cellIs" dxfId="12014" priority="3436" stopIfTrue="1" operator="equal">
      <formula>"Napkin Hs"</formula>
    </cfRule>
  </conditionalFormatting>
  <conditionalFormatting sqref="C126">
    <cfRule type="cellIs" dxfId="12013" priority="3433" stopIfTrue="1" operator="equal">
      <formula>"Towel"</formula>
    </cfRule>
    <cfRule type="cellIs" dxfId="12012" priority="3434" stopIfTrue="1" operator="equal">
      <formula>"Napkin Hs"</formula>
    </cfRule>
  </conditionalFormatting>
  <conditionalFormatting sqref="B126:C126">
    <cfRule type="cellIs" dxfId="12011" priority="3431" stopIfTrue="1" operator="equal">
      <formula>"Towel"</formula>
    </cfRule>
    <cfRule type="cellIs" dxfId="12010" priority="3432" stopIfTrue="1" operator="equal">
      <formula>"Napkin Hs"</formula>
    </cfRule>
  </conditionalFormatting>
  <conditionalFormatting sqref="C126">
    <cfRule type="cellIs" dxfId="12009" priority="3429" stopIfTrue="1" operator="equal">
      <formula>"Towel"</formula>
    </cfRule>
    <cfRule type="cellIs" dxfId="12008" priority="3430" stopIfTrue="1" operator="equal">
      <formula>"Napkin Hs"</formula>
    </cfRule>
  </conditionalFormatting>
  <conditionalFormatting sqref="C126">
    <cfRule type="cellIs" dxfId="12007" priority="3427" stopIfTrue="1" operator="equal">
      <formula>"Towel"</formula>
    </cfRule>
    <cfRule type="cellIs" dxfId="12006" priority="3428" stopIfTrue="1" operator="equal">
      <formula>"Napkin Hs"</formula>
    </cfRule>
  </conditionalFormatting>
  <conditionalFormatting sqref="B126:C126">
    <cfRule type="cellIs" dxfId="12005" priority="3417" stopIfTrue="1" operator="equal">
      <formula>"Towel"</formula>
    </cfRule>
    <cfRule type="cellIs" dxfId="12004" priority="3418" stopIfTrue="1" operator="equal">
      <formula>"Napkin Hs"</formula>
    </cfRule>
  </conditionalFormatting>
  <conditionalFormatting sqref="C126">
    <cfRule type="cellIs" dxfId="12003" priority="3419" stopIfTrue="1" operator="equal">
      <formula>"Towel"</formula>
    </cfRule>
    <cfRule type="cellIs" dxfId="12002" priority="3420" stopIfTrue="1" operator="equal">
      <formula>"Napkin Hs"</formula>
    </cfRule>
  </conditionalFormatting>
  <conditionalFormatting sqref="C126">
    <cfRule type="cellIs" dxfId="12001" priority="3415" stopIfTrue="1" operator="equal">
      <formula>"Towel"</formula>
    </cfRule>
    <cfRule type="cellIs" dxfId="12000" priority="3416" stopIfTrue="1" operator="equal">
      <formula>"Napkin Hs"</formula>
    </cfRule>
  </conditionalFormatting>
  <conditionalFormatting sqref="B126:C126">
    <cfRule type="cellIs" dxfId="11999" priority="3414" stopIfTrue="1" operator="equal">
      <formula>"Napkin Hs"</formula>
    </cfRule>
  </conditionalFormatting>
  <conditionalFormatting sqref="B126:C126">
    <cfRule type="cellIs" dxfId="11998" priority="3413" stopIfTrue="1" operator="equal">
      <formula>"Towel"</formula>
    </cfRule>
  </conditionalFormatting>
  <conditionalFormatting sqref="C126">
    <cfRule type="cellIs" dxfId="11997" priority="3412" stopIfTrue="1" operator="equal">
      <formula>"Napkin Hs"</formula>
    </cfRule>
  </conditionalFormatting>
  <conditionalFormatting sqref="C126">
    <cfRule type="cellIs" dxfId="11996" priority="3411" stopIfTrue="1" operator="equal">
      <formula>"Towel"</formula>
    </cfRule>
  </conditionalFormatting>
  <conditionalFormatting sqref="C126">
    <cfRule type="cellIs" dxfId="11995" priority="3409" stopIfTrue="1" operator="equal">
      <formula>"Towel"</formula>
    </cfRule>
    <cfRule type="cellIs" dxfId="11994" priority="3410" stopIfTrue="1" operator="equal">
      <formula>"Napkin Hs"</formula>
    </cfRule>
  </conditionalFormatting>
  <conditionalFormatting sqref="B126:C126">
    <cfRule type="cellIs" dxfId="11993" priority="3407" stopIfTrue="1" operator="equal">
      <formula>"Towel"</formula>
    </cfRule>
    <cfRule type="cellIs" dxfId="11992" priority="3408" stopIfTrue="1" operator="equal">
      <formula>"Napkin Hs"</formula>
    </cfRule>
  </conditionalFormatting>
  <conditionalFormatting sqref="C126">
    <cfRule type="cellIs" dxfId="11991" priority="3403" stopIfTrue="1" operator="equal">
      <formula>"Towel"</formula>
    </cfRule>
    <cfRule type="cellIs" dxfId="11990" priority="3404" stopIfTrue="1" operator="equal">
      <formula>"Napkin Hs"</formula>
    </cfRule>
  </conditionalFormatting>
  <conditionalFormatting sqref="C126">
    <cfRule type="cellIs" dxfId="11989" priority="3405" stopIfTrue="1" operator="equal">
      <formula>"Towel"</formula>
    </cfRule>
    <cfRule type="cellIs" dxfId="11988" priority="3406" stopIfTrue="1" operator="equal">
      <formula>"Napkin Hs"</formula>
    </cfRule>
  </conditionalFormatting>
  <conditionalFormatting sqref="B126:C126">
    <cfRule type="cellIs" dxfId="11987" priority="3402" stopIfTrue="1" operator="equal">
      <formula>"Napkin Hs"</formula>
    </cfRule>
  </conditionalFormatting>
  <conditionalFormatting sqref="B126:C126">
    <cfRule type="cellIs" dxfId="11986" priority="3401" stopIfTrue="1" operator="equal">
      <formula>"Towel"</formula>
    </cfRule>
  </conditionalFormatting>
  <conditionalFormatting sqref="C126">
    <cfRule type="cellIs" dxfId="11985" priority="3400" stopIfTrue="1" operator="equal">
      <formula>"Napkin Hs"</formula>
    </cfRule>
  </conditionalFormatting>
  <conditionalFormatting sqref="C126">
    <cfRule type="cellIs" dxfId="11984" priority="3399" stopIfTrue="1" operator="equal">
      <formula>"Towel"</formula>
    </cfRule>
  </conditionalFormatting>
  <conditionalFormatting sqref="C126">
    <cfRule type="cellIs" dxfId="11983" priority="3397" stopIfTrue="1" operator="equal">
      <formula>"Towel"</formula>
    </cfRule>
    <cfRule type="cellIs" dxfId="11982" priority="3398" stopIfTrue="1" operator="equal">
      <formula>"Napkin Hs"</formula>
    </cfRule>
  </conditionalFormatting>
  <conditionalFormatting sqref="B126:C126">
    <cfRule type="cellIs" dxfId="11981" priority="3395" stopIfTrue="1" operator="equal">
      <formula>"Towel"</formula>
    </cfRule>
    <cfRule type="cellIs" dxfId="11980" priority="3396" stopIfTrue="1" operator="equal">
      <formula>"Napkin Hs"</formula>
    </cfRule>
  </conditionalFormatting>
  <conditionalFormatting sqref="C126">
    <cfRule type="cellIs" dxfId="11979" priority="3393" stopIfTrue="1" operator="equal">
      <formula>"Towel"</formula>
    </cfRule>
    <cfRule type="cellIs" dxfId="11978" priority="3394" stopIfTrue="1" operator="equal">
      <formula>"Napkin Hs"</formula>
    </cfRule>
  </conditionalFormatting>
  <conditionalFormatting sqref="C126">
    <cfRule type="cellIs" dxfId="11977" priority="3391" stopIfTrue="1" operator="equal">
      <formula>"Towel"</formula>
    </cfRule>
    <cfRule type="cellIs" dxfId="11976" priority="3392" stopIfTrue="1" operator="equal">
      <formula>"Napkin Hs"</formula>
    </cfRule>
  </conditionalFormatting>
  <conditionalFormatting sqref="B126:C126">
    <cfRule type="cellIs" dxfId="11975" priority="3389" stopIfTrue="1" operator="equal">
      <formula>"Towel"</formula>
    </cfRule>
    <cfRule type="cellIs" dxfId="11974" priority="3390" stopIfTrue="1" operator="equal">
      <formula>"Napkin Hs"</formula>
    </cfRule>
  </conditionalFormatting>
  <conditionalFormatting sqref="C126">
    <cfRule type="cellIs" dxfId="11973" priority="3387" stopIfTrue="1" operator="equal">
      <formula>"Towel"</formula>
    </cfRule>
    <cfRule type="cellIs" dxfId="11972" priority="3388" stopIfTrue="1" operator="equal">
      <formula>"Napkin Hs"</formula>
    </cfRule>
  </conditionalFormatting>
  <conditionalFormatting sqref="C126">
    <cfRule type="cellIs" dxfId="11971" priority="3385" stopIfTrue="1" operator="equal">
      <formula>"Towel"</formula>
    </cfRule>
    <cfRule type="cellIs" dxfId="11970" priority="3386" stopIfTrue="1" operator="equal">
      <formula>"Napkin Hs"</formula>
    </cfRule>
  </conditionalFormatting>
  <conditionalFormatting sqref="B126:C126">
    <cfRule type="cellIs" dxfId="11969" priority="3383" stopIfTrue="1" operator="equal">
      <formula>"Towel"</formula>
    </cfRule>
    <cfRule type="cellIs" dxfId="11968" priority="3384" stopIfTrue="1" operator="equal">
      <formula>"Napkin Hs"</formula>
    </cfRule>
  </conditionalFormatting>
  <conditionalFormatting sqref="C126">
    <cfRule type="cellIs" dxfId="11967" priority="3381" stopIfTrue="1" operator="equal">
      <formula>"Towel"</formula>
    </cfRule>
    <cfRule type="cellIs" dxfId="11966" priority="3382" stopIfTrue="1" operator="equal">
      <formula>"Napkin Hs"</formula>
    </cfRule>
  </conditionalFormatting>
  <conditionalFormatting sqref="C126">
    <cfRule type="cellIs" dxfId="11965" priority="3379" stopIfTrue="1" operator="equal">
      <formula>"Towel"</formula>
    </cfRule>
    <cfRule type="cellIs" dxfId="11964" priority="3380" stopIfTrue="1" operator="equal">
      <formula>"Napkin Hs"</formula>
    </cfRule>
  </conditionalFormatting>
  <conditionalFormatting sqref="B126:C126">
    <cfRule type="cellIs" dxfId="11963" priority="3377" stopIfTrue="1" operator="equal">
      <formula>"Towel"</formula>
    </cfRule>
    <cfRule type="cellIs" dxfId="11962" priority="3378" stopIfTrue="1" operator="equal">
      <formula>"Napkin Hs"</formula>
    </cfRule>
  </conditionalFormatting>
  <conditionalFormatting sqref="C126">
    <cfRule type="cellIs" dxfId="11961" priority="3375" stopIfTrue="1" operator="equal">
      <formula>"Towel"</formula>
    </cfRule>
    <cfRule type="cellIs" dxfId="11960" priority="3376" stopIfTrue="1" operator="equal">
      <formula>"Napkin Hs"</formula>
    </cfRule>
  </conditionalFormatting>
  <conditionalFormatting sqref="C126">
    <cfRule type="cellIs" dxfId="11959" priority="3373" stopIfTrue="1" operator="equal">
      <formula>"Towel"</formula>
    </cfRule>
    <cfRule type="cellIs" dxfId="11958" priority="3374" stopIfTrue="1" operator="equal">
      <formula>"Napkin Hs"</formula>
    </cfRule>
  </conditionalFormatting>
  <conditionalFormatting sqref="B126:C126">
    <cfRule type="cellIs" dxfId="11957" priority="3371" stopIfTrue="1" operator="equal">
      <formula>"Towel"</formula>
    </cfRule>
    <cfRule type="cellIs" dxfId="11956" priority="3372" stopIfTrue="1" operator="equal">
      <formula>"Napkin Hs"</formula>
    </cfRule>
  </conditionalFormatting>
  <conditionalFormatting sqref="C126">
    <cfRule type="cellIs" dxfId="11955" priority="3369" stopIfTrue="1" operator="equal">
      <formula>"Towel"</formula>
    </cfRule>
    <cfRule type="cellIs" dxfId="11954" priority="3370" stopIfTrue="1" operator="equal">
      <formula>"Napkin Hs"</formula>
    </cfRule>
  </conditionalFormatting>
  <conditionalFormatting sqref="C126">
    <cfRule type="cellIs" dxfId="11953" priority="3367" stopIfTrue="1" operator="equal">
      <formula>"Towel"</formula>
    </cfRule>
    <cfRule type="cellIs" dxfId="11952" priority="3368" stopIfTrue="1" operator="equal">
      <formula>"Napkin Hs"</formula>
    </cfRule>
  </conditionalFormatting>
  <conditionalFormatting sqref="B126:C126">
    <cfRule type="cellIs" dxfId="11951" priority="3366" stopIfTrue="1" operator="equal">
      <formula>"Napkin Hs"</formula>
    </cfRule>
  </conditionalFormatting>
  <conditionalFormatting sqref="B126:C126">
    <cfRule type="cellIs" dxfId="11950" priority="3365" stopIfTrue="1" operator="equal">
      <formula>"Towel"</formula>
    </cfRule>
  </conditionalFormatting>
  <conditionalFormatting sqref="C126">
    <cfRule type="cellIs" dxfId="11949" priority="3364" stopIfTrue="1" operator="equal">
      <formula>"Napkin Hs"</formula>
    </cfRule>
  </conditionalFormatting>
  <conditionalFormatting sqref="C126">
    <cfRule type="cellIs" dxfId="11948" priority="3361" stopIfTrue="1" operator="equal">
      <formula>"Towel"</formula>
    </cfRule>
    <cfRule type="cellIs" dxfId="11947" priority="3362" stopIfTrue="1" operator="equal">
      <formula>"Napkin Hs"</formula>
    </cfRule>
  </conditionalFormatting>
  <conditionalFormatting sqref="C126">
    <cfRule type="cellIs" dxfId="11946" priority="3363" stopIfTrue="1" operator="equal">
      <formula>"Towel"</formula>
    </cfRule>
  </conditionalFormatting>
  <conditionalFormatting sqref="B126:C126">
    <cfRule type="cellIs" dxfId="11945" priority="3360" stopIfTrue="1" operator="equal">
      <formula>"Napkin Hs"</formula>
    </cfRule>
  </conditionalFormatting>
  <conditionalFormatting sqref="B126:C126">
    <cfRule type="cellIs" dxfId="11944" priority="3359" stopIfTrue="1" operator="equal">
      <formula>"Towel"</formula>
    </cfRule>
  </conditionalFormatting>
  <conditionalFormatting sqref="C126">
    <cfRule type="cellIs" dxfId="11943" priority="3358" stopIfTrue="1" operator="equal">
      <formula>"Napkin Hs"</formula>
    </cfRule>
  </conditionalFormatting>
  <conditionalFormatting sqref="C126">
    <cfRule type="cellIs" dxfId="11942" priority="3357" stopIfTrue="1" operator="equal">
      <formula>"Towel"</formula>
    </cfRule>
  </conditionalFormatting>
  <conditionalFormatting sqref="C126">
    <cfRule type="cellIs" dxfId="11941" priority="3355" stopIfTrue="1" operator="equal">
      <formula>"Towel"</formula>
    </cfRule>
    <cfRule type="cellIs" dxfId="11940" priority="3356" stopIfTrue="1" operator="equal">
      <formula>"Napkin Hs"</formula>
    </cfRule>
  </conditionalFormatting>
  <conditionalFormatting sqref="C126">
    <cfRule type="cellIs" dxfId="11939" priority="3349" stopIfTrue="1" operator="equal">
      <formula>"Towel"</formula>
    </cfRule>
    <cfRule type="cellIs" dxfId="11938" priority="3350" stopIfTrue="1" operator="equal">
      <formula>"Napkin Hs"</formula>
    </cfRule>
  </conditionalFormatting>
  <conditionalFormatting sqref="B126:C126">
    <cfRule type="cellIs" dxfId="11937" priority="3348" stopIfTrue="1" operator="equal">
      <formula>"Napkin Hs"</formula>
    </cfRule>
  </conditionalFormatting>
  <conditionalFormatting sqref="B126:C126">
    <cfRule type="cellIs" dxfId="11936" priority="3347" stopIfTrue="1" operator="equal">
      <formula>"Towel"</formula>
    </cfRule>
  </conditionalFormatting>
  <conditionalFormatting sqref="C126">
    <cfRule type="cellIs" dxfId="11935" priority="3346" stopIfTrue="1" operator="equal">
      <formula>"Napkin Hs"</formula>
    </cfRule>
  </conditionalFormatting>
  <conditionalFormatting sqref="C126">
    <cfRule type="cellIs" dxfId="11934" priority="3345" stopIfTrue="1" operator="equal">
      <formula>"Towel"</formula>
    </cfRule>
  </conditionalFormatting>
  <conditionalFormatting sqref="C126">
    <cfRule type="cellIs" dxfId="11933" priority="3343" stopIfTrue="1" operator="equal">
      <formula>"Towel"</formula>
    </cfRule>
    <cfRule type="cellIs" dxfId="11932" priority="3344" stopIfTrue="1" operator="equal">
      <formula>"Napkin Hs"</formula>
    </cfRule>
  </conditionalFormatting>
  <conditionalFormatting sqref="C126">
    <cfRule type="cellIs" dxfId="11931" priority="3337" stopIfTrue="1" operator="equal">
      <formula>"Towel"</formula>
    </cfRule>
    <cfRule type="cellIs" dxfId="11930" priority="3338" stopIfTrue="1" operator="equal">
      <formula>"Napkin Hs"</formula>
    </cfRule>
  </conditionalFormatting>
  <conditionalFormatting sqref="C126">
    <cfRule type="cellIs" dxfId="11929" priority="3331" stopIfTrue="1" operator="equal">
      <formula>"Towel"</formula>
    </cfRule>
    <cfRule type="cellIs" dxfId="11928" priority="3332" stopIfTrue="1" operator="equal">
      <formula>"Napkin Hs"</formula>
    </cfRule>
  </conditionalFormatting>
  <conditionalFormatting sqref="C126">
    <cfRule type="cellIs" dxfId="11927" priority="3325" stopIfTrue="1" operator="equal">
      <formula>"Towel"</formula>
    </cfRule>
    <cfRule type="cellIs" dxfId="11926" priority="3326" stopIfTrue="1" operator="equal">
      <formula>"Napkin Hs"</formula>
    </cfRule>
  </conditionalFormatting>
  <conditionalFormatting sqref="C126">
    <cfRule type="cellIs" dxfId="11925" priority="3319" stopIfTrue="1" operator="equal">
      <formula>"Towel"</formula>
    </cfRule>
    <cfRule type="cellIs" dxfId="11924" priority="3320" stopIfTrue="1" operator="equal">
      <formula>"Napkin Hs"</formula>
    </cfRule>
  </conditionalFormatting>
  <conditionalFormatting sqref="C126">
    <cfRule type="cellIs" dxfId="11923" priority="3313" stopIfTrue="1" operator="equal">
      <formula>"Towel"</formula>
    </cfRule>
    <cfRule type="cellIs" dxfId="11922" priority="3314" stopIfTrue="1" operator="equal">
      <formula>"Napkin Hs"</formula>
    </cfRule>
  </conditionalFormatting>
  <conditionalFormatting sqref="B126:C126">
    <cfRule type="cellIs" dxfId="11921" priority="3312" stopIfTrue="1" operator="equal">
      <formula>"Napkin Hs"</formula>
    </cfRule>
  </conditionalFormatting>
  <conditionalFormatting sqref="B126:C126">
    <cfRule type="cellIs" dxfId="11920" priority="3311" stopIfTrue="1" operator="equal">
      <formula>"Towel"</formula>
    </cfRule>
  </conditionalFormatting>
  <conditionalFormatting sqref="C126">
    <cfRule type="cellIs" dxfId="11919" priority="3310" stopIfTrue="1" operator="equal">
      <formula>"Napkin Hs"</formula>
    </cfRule>
  </conditionalFormatting>
  <conditionalFormatting sqref="C126">
    <cfRule type="cellIs" dxfId="11918" priority="3307" stopIfTrue="1" operator="equal">
      <formula>"Towel"</formula>
    </cfRule>
    <cfRule type="cellIs" dxfId="11917" priority="3308" stopIfTrue="1" operator="equal">
      <formula>"Napkin Hs"</formula>
    </cfRule>
  </conditionalFormatting>
  <conditionalFormatting sqref="C126">
    <cfRule type="cellIs" dxfId="11916" priority="3309" stopIfTrue="1" operator="equal">
      <formula>"Towel"</formula>
    </cfRule>
  </conditionalFormatting>
  <conditionalFormatting sqref="B126:C126">
    <cfRule type="cellIs" dxfId="11915" priority="3306" stopIfTrue="1" operator="equal">
      <formula>"Napkin Hs"</formula>
    </cfRule>
  </conditionalFormatting>
  <conditionalFormatting sqref="B126:C126">
    <cfRule type="cellIs" dxfId="11914" priority="3305" stopIfTrue="1" operator="equal">
      <formula>"Towel"</formula>
    </cfRule>
  </conditionalFormatting>
  <conditionalFormatting sqref="C126">
    <cfRule type="cellIs" dxfId="11913" priority="3304" stopIfTrue="1" operator="equal">
      <formula>"Napkin Hs"</formula>
    </cfRule>
  </conditionalFormatting>
  <conditionalFormatting sqref="C126">
    <cfRule type="cellIs" dxfId="11912" priority="3301" stopIfTrue="1" operator="equal">
      <formula>"Towel"</formula>
    </cfRule>
    <cfRule type="cellIs" dxfId="11911" priority="3302" stopIfTrue="1" operator="equal">
      <formula>"Napkin Hs"</formula>
    </cfRule>
  </conditionalFormatting>
  <conditionalFormatting sqref="C126">
    <cfRule type="cellIs" dxfId="11910" priority="3303" stopIfTrue="1" operator="equal">
      <formula>"Towel"</formula>
    </cfRule>
  </conditionalFormatting>
  <conditionalFormatting sqref="B126:C126">
    <cfRule type="cellIs" dxfId="11909" priority="3353" stopIfTrue="1" operator="equal">
      <formula>"Towel"</formula>
    </cfRule>
    <cfRule type="cellIs" dxfId="11908" priority="3354" stopIfTrue="1" operator="equal">
      <formula>"Napkin Hs"</formula>
    </cfRule>
  </conditionalFormatting>
  <conditionalFormatting sqref="C126">
    <cfRule type="cellIs" dxfId="11907" priority="3351" stopIfTrue="1" operator="equal">
      <formula>"Towel"</formula>
    </cfRule>
    <cfRule type="cellIs" dxfId="11906" priority="3352" stopIfTrue="1" operator="equal">
      <formula>"Napkin Hs"</formula>
    </cfRule>
  </conditionalFormatting>
  <conditionalFormatting sqref="B126:C126">
    <cfRule type="cellIs" dxfId="11905" priority="3341" stopIfTrue="1" operator="equal">
      <formula>"Towel"</formula>
    </cfRule>
    <cfRule type="cellIs" dxfId="11904" priority="3342" stopIfTrue="1" operator="equal">
      <formula>"Napkin Hs"</formula>
    </cfRule>
  </conditionalFormatting>
  <conditionalFormatting sqref="C126">
    <cfRule type="cellIs" dxfId="11903" priority="3339" stopIfTrue="1" operator="equal">
      <formula>"Towel"</formula>
    </cfRule>
    <cfRule type="cellIs" dxfId="11902" priority="3340" stopIfTrue="1" operator="equal">
      <formula>"Napkin Hs"</formula>
    </cfRule>
  </conditionalFormatting>
  <conditionalFormatting sqref="B126:C126">
    <cfRule type="cellIs" dxfId="11901" priority="3335" stopIfTrue="1" operator="equal">
      <formula>"Towel"</formula>
    </cfRule>
    <cfRule type="cellIs" dxfId="11900" priority="3336" stopIfTrue="1" operator="equal">
      <formula>"Napkin Hs"</formula>
    </cfRule>
  </conditionalFormatting>
  <conditionalFormatting sqref="C126">
    <cfRule type="cellIs" dxfId="11899" priority="3333" stopIfTrue="1" operator="equal">
      <formula>"Towel"</formula>
    </cfRule>
    <cfRule type="cellIs" dxfId="11898" priority="3334" stopIfTrue="1" operator="equal">
      <formula>"Napkin Hs"</formula>
    </cfRule>
  </conditionalFormatting>
  <conditionalFormatting sqref="B126:C126">
    <cfRule type="cellIs" dxfId="11897" priority="3329" stopIfTrue="1" operator="equal">
      <formula>"Towel"</formula>
    </cfRule>
    <cfRule type="cellIs" dxfId="11896" priority="3330" stopIfTrue="1" operator="equal">
      <formula>"Napkin Hs"</formula>
    </cfRule>
  </conditionalFormatting>
  <conditionalFormatting sqref="C126">
    <cfRule type="cellIs" dxfId="11895" priority="3327" stopIfTrue="1" operator="equal">
      <formula>"Towel"</formula>
    </cfRule>
    <cfRule type="cellIs" dxfId="11894" priority="3328" stopIfTrue="1" operator="equal">
      <formula>"Napkin Hs"</formula>
    </cfRule>
  </conditionalFormatting>
  <conditionalFormatting sqref="B126:C126">
    <cfRule type="cellIs" dxfId="11893" priority="3323" stopIfTrue="1" operator="equal">
      <formula>"Towel"</formula>
    </cfRule>
    <cfRule type="cellIs" dxfId="11892" priority="3324" stopIfTrue="1" operator="equal">
      <formula>"Napkin Hs"</formula>
    </cfRule>
  </conditionalFormatting>
  <conditionalFormatting sqref="C126">
    <cfRule type="cellIs" dxfId="11891" priority="3321" stopIfTrue="1" operator="equal">
      <formula>"Towel"</formula>
    </cfRule>
    <cfRule type="cellIs" dxfId="11890" priority="3322" stopIfTrue="1" operator="equal">
      <formula>"Napkin Hs"</formula>
    </cfRule>
  </conditionalFormatting>
  <conditionalFormatting sqref="B126:C126">
    <cfRule type="cellIs" dxfId="11889" priority="3317" stopIfTrue="1" operator="equal">
      <formula>"Towel"</formula>
    </cfRule>
    <cfRule type="cellIs" dxfId="11888" priority="3318" stopIfTrue="1" operator="equal">
      <formula>"Napkin Hs"</formula>
    </cfRule>
  </conditionalFormatting>
  <conditionalFormatting sqref="C126">
    <cfRule type="cellIs" dxfId="11887" priority="3315" stopIfTrue="1" operator="equal">
      <formula>"Towel"</formula>
    </cfRule>
    <cfRule type="cellIs" dxfId="11886" priority="3316" stopIfTrue="1" operator="equal">
      <formula>"Napkin Hs"</formula>
    </cfRule>
  </conditionalFormatting>
  <conditionalFormatting sqref="B126:C126">
    <cfRule type="cellIs" dxfId="11885" priority="3300" stopIfTrue="1" operator="equal">
      <formula>"Napkin Hs"</formula>
    </cfRule>
  </conditionalFormatting>
  <conditionalFormatting sqref="B126:C126">
    <cfRule type="cellIs" dxfId="11884" priority="3299" stopIfTrue="1" operator="equal">
      <formula>"Towel"</formula>
    </cfRule>
  </conditionalFormatting>
  <conditionalFormatting sqref="C126">
    <cfRule type="cellIs" dxfId="11883" priority="3298" stopIfTrue="1" operator="equal">
      <formula>"Napkin Hs"</formula>
    </cfRule>
  </conditionalFormatting>
  <conditionalFormatting sqref="C126">
    <cfRule type="cellIs" dxfId="11882" priority="3295" stopIfTrue="1" operator="equal">
      <formula>"Towel"</formula>
    </cfRule>
    <cfRule type="cellIs" dxfId="11881" priority="3296" stopIfTrue="1" operator="equal">
      <formula>"Napkin Hs"</formula>
    </cfRule>
  </conditionalFormatting>
  <conditionalFormatting sqref="C126">
    <cfRule type="cellIs" dxfId="11880" priority="3297" stopIfTrue="1" operator="equal">
      <formula>"Towel"</formula>
    </cfRule>
  </conditionalFormatting>
  <conditionalFormatting sqref="B131:C131">
    <cfRule type="cellIs" dxfId="11879" priority="3294" stopIfTrue="1" operator="equal">
      <formula>"Napkin Hs"</formula>
    </cfRule>
  </conditionalFormatting>
  <conditionalFormatting sqref="B131:C131">
    <cfRule type="cellIs" dxfId="11878" priority="3293" stopIfTrue="1" operator="equal">
      <formula>"Towel"</formula>
    </cfRule>
  </conditionalFormatting>
  <conditionalFormatting sqref="C131">
    <cfRule type="cellIs" dxfId="11877" priority="3292" stopIfTrue="1" operator="equal">
      <formula>"Napkin Hs"</formula>
    </cfRule>
  </conditionalFormatting>
  <conditionalFormatting sqref="C131">
    <cfRule type="cellIs" dxfId="11876" priority="3291" stopIfTrue="1" operator="equal">
      <formula>"Towel"</formula>
    </cfRule>
  </conditionalFormatting>
  <conditionalFormatting sqref="C131">
    <cfRule type="cellIs" dxfId="11875" priority="3289" stopIfTrue="1" operator="equal">
      <formula>"Towel"</formula>
    </cfRule>
    <cfRule type="cellIs" dxfId="11874" priority="3290" stopIfTrue="1" operator="equal">
      <formula>"Napkin Hs"</formula>
    </cfRule>
  </conditionalFormatting>
  <conditionalFormatting sqref="C131">
    <cfRule type="cellIs" dxfId="11873" priority="3171" stopIfTrue="1" operator="equal">
      <formula>"Towel"</formula>
    </cfRule>
    <cfRule type="cellIs" dxfId="11872" priority="3172" stopIfTrue="1" operator="equal">
      <formula>"Napkin Hs"</formula>
    </cfRule>
  </conditionalFormatting>
  <conditionalFormatting sqref="B131:C131">
    <cfRule type="cellIs" dxfId="11871" priority="3173" stopIfTrue="1" operator="equal">
      <formula>"Towel"</formula>
    </cfRule>
    <cfRule type="cellIs" dxfId="11870" priority="3174" stopIfTrue="1" operator="equal">
      <formula>"Napkin Hs"</formula>
    </cfRule>
  </conditionalFormatting>
  <conditionalFormatting sqref="C131">
    <cfRule type="cellIs" dxfId="11869" priority="3169" stopIfTrue="1" operator="equal">
      <formula>"Towel"</formula>
    </cfRule>
    <cfRule type="cellIs" dxfId="11868" priority="3170" stopIfTrue="1" operator="equal">
      <formula>"Napkin Hs"</formula>
    </cfRule>
  </conditionalFormatting>
  <conditionalFormatting sqref="C131">
    <cfRule type="cellIs" dxfId="11867" priority="3163" stopIfTrue="1" operator="equal">
      <formula>"Towel"</formula>
    </cfRule>
    <cfRule type="cellIs" dxfId="11866" priority="3164" stopIfTrue="1" operator="equal">
      <formula>"Napkin Hs"</formula>
    </cfRule>
  </conditionalFormatting>
  <conditionalFormatting sqref="B131">
    <cfRule type="cellIs" dxfId="11865" priority="3288" stopIfTrue="1" operator="equal">
      <formula>"Napkin Hs"</formula>
    </cfRule>
  </conditionalFormatting>
  <conditionalFormatting sqref="B131">
    <cfRule type="cellIs" dxfId="11864" priority="3287" stopIfTrue="1" operator="equal">
      <formula>"Towel"</formula>
    </cfRule>
  </conditionalFormatting>
  <conditionalFormatting sqref="B131">
    <cfRule type="cellIs" dxfId="11863" priority="3285" stopIfTrue="1" operator="equal">
      <formula>"Towel"</formula>
    </cfRule>
    <cfRule type="cellIs" dxfId="11862" priority="3286" stopIfTrue="1" operator="equal">
      <formula>"Napkin Hs"</formula>
    </cfRule>
  </conditionalFormatting>
  <conditionalFormatting sqref="B131">
    <cfRule type="cellIs" dxfId="11861" priority="3284" stopIfTrue="1" operator="equal">
      <formula>"Napkin Hs"</formula>
    </cfRule>
  </conditionalFormatting>
  <conditionalFormatting sqref="B131">
    <cfRule type="cellIs" dxfId="11860" priority="3283" stopIfTrue="1" operator="equal">
      <formula>"Towel"</formula>
    </cfRule>
  </conditionalFormatting>
  <conditionalFormatting sqref="B131">
    <cfRule type="cellIs" dxfId="11859" priority="3281" stopIfTrue="1" operator="equal">
      <formula>"Towel"</formula>
    </cfRule>
    <cfRule type="cellIs" dxfId="11858" priority="3282" stopIfTrue="1" operator="equal">
      <formula>"Napkin Hs"</formula>
    </cfRule>
  </conditionalFormatting>
  <conditionalFormatting sqref="B131">
    <cfRule type="cellIs" dxfId="11857" priority="3279" stopIfTrue="1" operator="equal">
      <formula>"Towel"</formula>
    </cfRule>
    <cfRule type="cellIs" dxfId="11856" priority="3280" stopIfTrue="1" operator="equal">
      <formula>"Napkin Hs"</formula>
    </cfRule>
  </conditionalFormatting>
  <conditionalFormatting sqref="B131">
    <cfRule type="cellIs" dxfId="11855" priority="3277" stopIfTrue="1" operator="equal">
      <formula>"Towel"</formula>
    </cfRule>
    <cfRule type="cellIs" dxfId="11854" priority="3278" stopIfTrue="1" operator="equal">
      <formula>"Napkin Hs"</formula>
    </cfRule>
  </conditionalFormatting>
  <conditionalFormatting sqref="B131">
    <cfRule type="cellIs" dxfId="11853" priority="3275" stopIfTrue="1" operator="equal">
      <formula>"Towel"</formula>
    </cfRule>
    <cfRule type="cellIs" dxfId="11852" priority="3276" stopIfTrue="1" operator="equal">
      <formula>"Napkin Hs"</formula>
    </cfRule>
  </conditionalFormatting>
  <conditionalFormatting sqref="B131">
    <cfRule type="cellIs" dxfId="11851" priority="3273" stopIfTrue="1" operator="equal">
      <formula>"Towel"</formula>
    </cfRule>
    <cfRule type="cellIs" dxfId="11850" priority="3274" stopIfTrue="1" operator="equal">
      <formula>"Napkin Hs"</formula>
    </cfRule>
  </conditionalFormatting>
  <conditionalFormatting sqref="B131">
    <cfRule type="cellIs" dxfId="11849" priority="3272" stopIfTrue="1" operator="equal">
      <formula>"Napkin Hs"</formula>
    </cfRule>
  </conditionalFormatting>
  <conditionalFormatting sqref="B131">
    <cfRule type="cellIs" dxfId="11848" priority="3271" stopIfTrue="1" operator="equal">
      <formula>"Towel"</formula>
    </cfRule>
  </conditionalFormatting>
  <conditionalFormatting sqref="C131">
    <cfRule type="cellIs" dxfId="11847" priority="3270" stopIfTrue="1" operator="equal">
      <formula>"Napkin Hs"</formula>
    </cfRule>
  </conditionalFormatting>
  <conditionalFormatting sqref="C131">
    <cfRule type="cellIs" dxfId="11846" priority="3269" stopIfTrue="1" operator="equal">
      <formula>"Towel"</formula>
    </cfRule>
  </conditionalFormatting>
  <conditionalFormatting sqref="C131">
    <cfRule type="cellIs" dxfId="11845" priority="3268" stopIfTrue="1" operator="equal">
      <formula>"Napkin Hs"</formula>
    </cfRule>
  </conditionalFormatting>
  <conditionalFormatting sqref="C131">
    <cfRule type="cellIs" dxfId="11844" priority="3267" stopIfTrue="1" operator="equal">
      <formula>"Towel"</formula>
    </cfRule>
  </conditionalFormatting>
  <conditionalFormatting sqref="C131">
    <cfRule type="cellIs" dxfId="11843" priority="3265" stopIfTrue="1" operator="equal">
      <formula>"Towel"</formula>
    </cfRule>
    <cfRule type="cellIs" dxfId="11842" priority="3266" stopIfTrue="1" operator="equal">
      <formula>"Napkin Hs"</formula>
    </cfRule>
  </conditionalFormatting>
  <conditionalFormatting sqref="C131">
    <cfRule type="cellIs" dxfId="11841" priority="3263" stopIfTrue="1" operator="equal">
      <formula>"Towel"</formula>
    </cfRule>
    <cfRule type="cellIs" dxfId="11840" priority="3264" stopIfTrue="1" operator="equal">
      <formula>"Napkin Hs"</formula>
    </cfRule>
  </conditionalFormatting>
  <conditionalFormatting sqref="C131">
    <cfRule type="cellIs" dxfId="11839" priority="3259" stopIfTrue="1" operator="equal">
      <formula>"Towel"</formula>
    </cfRule>
    <cfRule type="cellIs" dxfId="11838" priority="3260" stopIfTrue="1" operator="equal">
      <formula>"Napkin Hs"</formula>
    </cfRule>
  </conditionalFormatting>
  <conditionalFormatting sqref="C131">
    <cfRule type="cellIs" dxfId="11837" priority="3261" stopIfTrue="1" operator="equal">
      <formula>"Towel"</formula>
    </cfRule>
    <cfRule type="cellIs" dxfId="11836" priority="3262" stopIfTrue="1" operator="equal">
      <formula>"Napkin Hs"</formula>
    </cfRule>
  </conditionalFormatting>
  <conditionalFormatting sqref="C131">
    <cfRule type="cellIs" dxfId="11835" priority="3258" stopIfTrue="1" operator="equal">
      <formula>"Napkin Hs"</formula>
    </cfRule>
  </conditionalFormatting>
  <conditionalFormatting sqref="C131">
    <cfRule type="cellIs" dxfId="11834" priority="3257" stopIfTrue="1" operator="equal">
      <formula>"Towel"</formula>
    </cfRule>
  </conditionalFormatting>
  <conditionalFormatting sqref="C131">
    <cfRule type="cellIs" dxfId="11833" priority="3256" stopIfTrue="1" operator="equal">
      <formula>"Napkin Hs"</formula>
    </cfRule>
  </conditionalFormatting>
  <conditionalFormatting sqref="C131">
    <cfRule type="cellIs" dxfId="11832" priority="3255" stopIfTrue="1" operator="equal">
      <formula>"Towel"</formula>
    </cfRule>
  </conditionalFormatting>
  <conditionalFormatting sqref="C131">
    <cfRule type="cellIs" dxfId="11831" priority="3253" stopIfTrue="1" operator="equal">
      <formula>"Towel"</formula>
    </cfRule>
    <cfRule type="cellIs" dxfId="11830" priority="3254" stopIfTrue="1" operator="equal">
      <formula>"Napkin Hs"</formula>
    </cfRule>
  </conditionalFormatting>
  <conditionalFormatting sqref="C131">
    <cfRule type="cellIs" dxfId="11829" priority="3251" stopIfTrue="1" operator="equal">
      <formula>"Towel"</formula>
    </cfRule>
    <cfRule type="cellIs" dxfId="11828" priority="3252" stopIfTrue="1" operator="equal">
      <formula>"Napkin Hs"</formula>
    </cfRule>
  </conditionalFormatting>
  <conditionalFormatting sqref="C131">
    <cfRule type="cellIs" dxfId="11827" priority="3249" stopIfTrue="1" operator="equal">
      <formula>"Towel"</formula>
    </cfRule>
    <cfRule type="cellIs" dxfId="11826" priority="3250" stopIfTrue="1" operator="equal">
      <formula>"Napkin Hs"</formula>
    </cfRule>
  </conditionalFormatting>
  <conditionalFormatting sqref="C131">
    <cfRule type="cellIs" dxfId="11825" priority="3247" stopIfTrue="1" operator="equal">
      <formula>"Towel"</formula>
    </cfRule>
    <cfRule type="cellIs" dxfId="11824" priority="3248" stopIfTrue="1" operator="equal">
      <formula>"Napkin Hs"</formula>
    </cfRule>
  </conditionalFormatting>
  <conditionalFormatting sqref="C131">
    <cfRule type="cellIs" dxfId="11823" priority="3245" stopIfTrue="1" operator="equal">
      <formula>"Towel"</formula>
    </cfRule>
    <cfRule type="cellIs" dxfId="11822" priority="3246" stopIfTrue="1" operator="equal">
      <formula>"Napkin Hs"</formula>
    </cfRule>
  </conditionalFormatting>
  <conditionalFormatting sqref="C131">
    <cfRule type="cellIs" dxfId="11821" priority="3243" stopIfTrue="1" operator="equal">
      <formula>"Towel"</formula>
    </cfRule>
    <cfRule type="cellIs" dxfId="11820" priority="3244" stopIfTrue="1" operator="equal">
      <formula>"Napkin Hs"</formula>
    </cfRule>
  </conditionalFormatting>
  <conditionalFormatting sqref="C131">
    <cfRule type="cellIs" dxfId="11819" priority="3241" stopIfTrue="1" operator="equal">
      <formula>"Towel"</formula>
    </cfRule>
    <cfRule type="cellIs" dxfId="11818" priority="3242" stopIfTrue="1" operator="equal">
      <formula>"Napkin Hs"</formula>
    </cfRule>
  </conditionalFormatting>
  <conditionalFormatting sqref="C131">
    <cfRule type="cellIs" dxfId="11817" priority="3239" stopIfTrue="1" operator="equal">
      <formula>"Towel"</formula>
    </cfRule>
    <cfRule type="cellIs" dxfId="11816" priority="3240" stopIfTrue="1" operator="equal">
      <formula>"Napkin Hs"</formula>
    </cfRule>
  </conditionalFormatting>
  <conditionalFormatting sqref="C131">
    <cfRule type="cellIs" dxfId="11815" priority="3237" stopIfTrue="1" operator="equal">
      <formula>"Towel"</formula>
    </cfRule>
    <cfRule type="cellIs" dxfId="11814" priority="3238" stopIfTrue="1" operator="equal">
      <formula>"Napkin Hs"</formula>
    </cfRule>
  </conditionalFormatting>
  <conditionalFormatting sqref="C131">
    <cfRule type="cellIs" dxfId="11813" priority="3235" stopIfTrue="1" operator="equal">
      <formula>"Towel"</formula>
    </cfRule>
    <cfRule type="cellIs" dxfId="11812" priority="3236" stopIfTrue="1" operator="equal">
      <formula>"Napkin Hs"</formula>
    </cfRule>
  </conditionalFormatting>
  <conditionalFormatting sqref="C131">
    <cfRule type="cellIs" dxfId="11811" priority="3233" stopIfTrue="1" operator="equal">
      <formula>"Towel"</formula>
    </cfRule>
    <cfRule type="cellIs" dxfId="11810" priority="3234" stopIfTrue="1" operator="equal">
      <formula>"Napkin Hs"</formula>
    </cfRule>
  </conditionalFormatting>
  <conditionalFormatting sqref="C131">
    <cfRule type="cellIs" dxfId="11809" priority="3231" stopIfTrue="1" operator="equal">
      <formula>"Towel"</formula>
    </cfRule>
    <cfRule type="cellIs" dxfId="11808" priority="3232" stopIfTrue="1" operator="equal">
      <formula>"Napkin Hs"</formula>
    </cfRule>
  </conditionalFormatting>
  <conditionalFormatting sqref="C131">
    <cfRule type="cellIs" dxfId="11807" priority="3229" stopIfTrue="1" operator="equal">
      <formula>"Towel"</formula>
    </cfRule>
    <cfRule type="cellIs" dxfId="11806" priority="3230" stopIfTrue="1" operator="equal">
      <formula>"Napkin Hs"</formula>
    </cfRule>
  </conditionalFormatting>
  <conditionalFormatting sqref="C131">
    <cfRule type="cellIs" dxfId="11805" priority="3227" stopIfTrue="1" operator="equal">
      <formula>"Towel"</formula>
    </cfRule>
    <cfRule type="cellIs" dxfId="11804" priority="3228" stopIfTrue="1" operator="equal">
      <formula>"Napkin Hs"</formula>
    </cfRule>
  </conditionalFormatting>
  <conditionalFormatting sqref="C131">
    <cfRule type="cellIs" dxfId="11803" priority="3225" stopIfTrue="1" operator="equal">
      <formula>"Towel"</formula>
    </cfRule>
    <cfRule type="cellIs" dxfId="11802" priority="3226" stopIfTrue="1" operator="equal">
      <formula>"Napkin Hs"</formula>
    </cfRule>
  </conditionalFormatting>
  <conditionalFormatting sqref="C131">
    <cfRule type="cellIs" dxfId="11801" priority="3223" stopIfTrue="1" operator="equal">
      <formula>"Towel"</formula>
    </cfRule>
    <cfRule type="cellIs" dxfId="11800" priority="3224" stopIfTrue="1" operator="equal">
      <formula>"Napkin Hs"</formula>
    </cfRule>
  </conditionalFormatting>
  <conditionalFormatting sqref="C131">
    <cfRule type="cellIs" dxfId="11799" priority="3222" stopIfTrue="1" operator="equal">
      <formula>"Napkin Hs"</formula>
    </cfRule>
  </conditionalFormatting>
  <conditionalFormatting sqref="C131">
    <cfRule type="cellIs" dxfId="11798" priority="3221" stopIfTrue="1" operator="equal">
      <formula>"Towel"</formula>
    </cfRule>
  </conditionalFormatting>
  <conditionalFormatting sqref="C131">
    <cfRule type="cellIs" dxfId="11797" priority="3220" stopIfTrue="1" operator="equal">
      <formula>"Napkin Hs"</formula>
    </cfRule>
  </conditionalFormatting>
  <conditionalFormatting sqref="C131">
    <cfRule type="cellIs" dxfId="11796" priority="3217" stopIfTrue="1" operator="equal">
      <formula>"Towel"</formula>
    </cfRule>
    <cfRule type="cellIs" dxfId="11795" priority="3218" stopIfTrue="1" operator="equal">
      <formula>"Napkin Hs"</formula>
    </cfRule>
  </conditionalFormatting>
  <conditionalFormatting sqref="C131">
    <cfRule type="cellIs" dxfId="11794" priority="3219" stopIfTrue="1" operator="equal">
      <formula>"Towel"</formula>
    </cfRule>
  </conditionalFormatting>
  <conditionalFormatting sqref="B131:C131">
    <cfRule type="cellIs" dxfId="11793" priority="3215" stopIfTrue="1" operator="equal">
      <formula>"Towel"</formula>
    </cfRule>
    <cfRule type="cellIs" dxfId="11792" priority="3216" stopIfTrue="1" operator="equal">
      <formula>"Napkin Hs"</formula>
    </cfRule>
  </conditionalFormatting>
  <conditionalFormatting sqref="C131">
    <cfRule type="cellIs" dxfId="11791" priority="3213" stopIfTrue="1" operator="equal">
      <formula>"Towel"</formula>
    </cfRule>
    <cfRule type="cellIs" dxfId="11790" priority="3214" stopIfTrue="1" operator="equal">
      <formula>"Napkin Hs"</formula>
    </cfRule>
  </conditionalFormatting>
  <conditionalFormatting sqref="C131">
    <cfRule type="cellIs" dxfId="11789" priority="3211" stopIfTrue="1" operator="equal">
      <formula>"Towel"</formula>
    </cfRule>
    <cfRule type="cellIs" dxfId="11788" priority="3212" stopIfTrue="1" operator="equal">
      <formula>"Napkin Hs"</formula>
    </cfRule>
  </conditionalFormatting>
  <conditionalFormatting sqref="B131:C131">
    <cfRule type="cellIs" dxfId="11787" priority="3150" stopIfTrue="1" operator="equal">
      <formula>"Napkin Hs"</formula>
    </cfRule>
  </conditionalFormatting>
  <conditionalFormatting sqref="B131:C131">
    <cfRule type="cellIs" dxfId="11786" priority="3149" stopIfTrue="1" operator="equal">
      <formula>"Towel"</formula>
    </cfRule>
  </conditionalFormatting>
  <conditionalFormatting sqref="C131">
    <cfRule type="cellIs" dxfId="11785" priority="3148" stopIfTrue="1" operator="equal">
      <formula>"Napkin Hs"</formula>
    </cfRule>
  </conditionalFormatting>
  <conditionalFormatting sqref="C131">
    <cfRule type="cellIs" dxfId="11784" priority="3145" stopIfTrue="1" operator="equal">
      <formula>"Towel"</formula>
    </cfRule>
    <cfRule type="cellIs" dxfId="11783" priority="3146" stopIfTrue="1" operator="equal">
      <formula>"Napkin Hs"</formula>
    </cfRule>
  </conditionalFormatting>
  <conditionalFormatting sqref="C131">
    <cfRule type="cellIs" dxfId="11782" priority="3147" stopIfTrue="1" operator="equal">
      <formula>"Towel"</formula>
    </cfRule>
  </conditionalFormatting>
  <conditionalFormatting sqref="B131:C131">
    <cfRule type="cellIs" dxfId="11781" priority="3210" stopIfTrue="1" operator="equal">
      <formula>"Napkin Hs"</formula>
    </cfRule>
  </conditionalFormatting>
  <conditionalFormatting sqref="B131:C131">
    <cfRule type="cellIs" dxfId="11780" priority="3209" stopIfTrue="1" operator="equal">
      <formula>"Towel"</formula>
    </cfRule>
  </conditionalFormatting>
  <conditionalFormatting sqref="C131">
    <cfRule type="cellIs" dxfId="11779" priority="3208" stopIfTrue="1" operator="equal">
      <formula>"Napkin Hs"</formula>
    </cfRule>
  </conditionalFormatting>
  <conditionalFormatting sqref="C131">
    <cfRule type="cellIs" dxfId="11778" priority="3207" stopIfTrue="1" operator="equal">
      <formula>"Towel"</formula>
    </cfRule>
  </conditionalFormatting>
  <conditionalFormatting sqref="C131">
    <cfRule type="cellIs" dxfId="11777" priority="3205" stopIfTrue="1" operator="equal">
      <formula>"Towel"</formula>
    </cfRule>
    <cfRule type="cellIs" dxfId="11776" priority="3206" stopIfTrue="1" operator="equal">
      <formula>"Napkin Hs"</formula>
    </cfRule>
  </conditionalFormatting>
  <conditionalFormatting sqref="B131:C131">
    <cfRule type="cellIs" dxfId="11775" priority="3203" stopIfTrue="1" operator="equal">
      <formula>"Towel"</formula>
    </cfRule>
    <cfRule type="cellIs" dxfId="11774" priority="3204" stopIfTrue="1" operator="equal">
      <formula>"Napkin Hs"</formula>
    </cfRule>
  </conditionalFormatting>
  <conditionalFormatting sqref="C131">
    <cfRule type="cellIs" dxfId="11773" priority="3199" stopIfTrue="1" operator="equal">
      <formula>"Towel"</formula>
    </cfRule>
    <cfRule type="cellIs" dxfId="11772" priority="3200" stopIfTrue="1" operator="equal">
      <formula>"Napkin Hs"</formula>
    </cfRule>
  </conditionalFormatting>
  <conditionalFormatting sqref="C131">
    <cfRule type="cellIs" dxfId="11771" priority="3201" stopIfTrue="1" operator="equal">
      <formula>"Towel"</formula>
    </cfRule>
    <cfRule type="cellIs" dxfId="11770" priority="3202" stopIfTrue="1" operator="equal">
      <formula>"Napkin Hs"</formula>
    </cfRule>
  </conditionalFormatting>
  <conditionalFormatting sqref="B131:C131">
    <cfRule type="cellIs" dxfId="11769" priority="3198" stopIfTrue="1" operator="equal">
      <formula>"Napkin Hs"</formula>
    </cfRule>
  </conditionalFormatting>
  <conditionalFormatting sqref="B131:C131">
    <cfRule type="cellIs" dxfId="11768" priority="3197" stopIfTrue="1" operator="equal">
      <formula>"Towel"</formula>
    </cfRule>
  </conditionalFormatting>
  <conditionalFormatting sqref="C131">
    <cfRule type="cellIs" dxfId="11767" priority="3196" stopIfTrue="1" operator="equal">
      <formula>"Napkin Hs"</formula>
    </cfRule>
  </conditionalFormatting>
  <conditionalFormatting sqref="C131">
    <cfRule type="cellIs" dxfId="11766" priority="3195" stopIfTrue="1" operator="equal">
      <formula>"Towel"</formula>
    </cfRule>
  </conditionalFormatting>
  <conditionalFormatting sqref="C131">
    <cfRule type="cellIs" dxfId="11765" priority="3193" stopIfTrue="1" operator="equal">
      <formula>"Towel"</formula>
    </cfRule>
    <cfRule type="cellIs" dxfId="11764" priority="3194" stopIfTrue="1" operator="equal">
      <formula>"Napkin Hs"</formula>
    </cfRule>
  </conditionalFormatting>
  <conditionalFormatting sqref="B131:C131">
    <cfRule type="cellIs" dxfId="11763" priority="3191" stopIfTrue="1" operator="equal">
      <formula>"Towel"</formula>
    </cfRule>
    <cfRule type="cellIs" dxfId="11762" priority="3192" stopIfTrue="1" operator="equal">
      <formula>"Napkin Hs"</formula>
    </cfRule>
  </conditionalFormatting>
  <conditionalFormatting sqref="C131">
    <cfRule type="cellIs" dxfId="11761" priority="3189" stopIfTrue="1" operator="equal">
      <formula>"Towel"</formula>
    </cfRule>
    <cfRule type="cellIs" dxfId="11760" priority="3190" stopIfTrue="1" operator="equal">
      <formula>"Napkin Hs"</formula>
    </cfRule>
  </conditionalFormatting>
  <conditionalFormatting sqref="C131">
    <cfRule type="cellIs" dxfId="11759" priority="3187" stopIfTrue="1" operator="equal">
      <formula>"Towel"</formula>
    </cfRule>
    <cfRule type="cellIs" dxfId="11758" priority="3188" stopIfTrue="1" operator="equal">
      <formula>"Napkin Hs"</formula>
    </cfRule>
  </conditionalFormatting>
  <conditionalFormatting sqref="B131:C131">
    <cfRule type="cellIs" dxfId="11757" priority="3185" stopIfTrue="1" operator="equal">
      <formula>"Towel"</formula>
    </cfRule>
    <cfRule type="cellIs" dxfId="11756" priority="3186" stopIfTrue="1" operator="equal">
      <formula>"Napkin Hs"</formula>
    </cfRule>
  </conditionalFormatting>
  <conditionalFormatting sqref="C131">
    <cfRule type="cellIs" dxfId="11755" priority="3183" stopIfTrue="1" operator="equal">
      <formula>"Towel"</formula>
    </cfRule>
    <cfRule type="cellIs" dxfId="11754" priority="3184" stopIfTrue="1" operator="equal">
      <formula>"Napkin Hs"</formula>
    </cfRule>
  </conditionalFormatting>
  <conditionalFormatting sqref="C131">
    <cfRule type="cellIs" dxfId="11753" priority="3181" stopIfTrue="1" operator="equal">
      <formula>"Towel"</formula>
    </cfRule>
    <cfRule type="cellIs" dxfId="11752" priority="3182" stopIfTrue="1" operator="equal">
      <formula>"Napkin Hs"</formula>
    </cfRule>
  </conditionalFormatting>
  <conditionalFormatting sqref="B131:C131">
    <cfRule type="cellIs" dxfId="11751" priority="3179" stopIfTrue="1" operator="equal">
      <formula>"Towel"</formula>
    </cfRule>
    <cfRule type="cellIs" dxfId="11750" priority="3180" stopIfTrue="1" operator="equal">
      <formula>"Napkin Hs"</formula>
    </cfRule>
  </conditionalFormatting>
  <conditionalFormatting sqref="C131">
    <cfRule type="cellIs" dxfId="11749" priority="3177" stopIfTrue="1" operator="equal">
      <formula>"Towel"</formula>
    </cfRule>
    <cfRule type="cellIs" dxfId="11748" priority="3178" stopIfTrue="1" operator="equal">
      <formula>"Napkin Hs"</formula>
    </cfRule>
  </conditionalFormatting>
  <conditionalFormatting sqref="C131">
    <cfRule type="cellIs" dxfId="11747" priority="3175" stopIfTrue="1" operator="equal">
      <formula>"Towel"</formula>
    </cfRule>
    <cfRule type="cellIs" dxfId="11746" priority="3176" stopIfTrue="1" operator="equal">
      <formula>"Napkin Hs"</formula>
    </cfRule>
  </conditionalFormatting>
  <conditionalFormatting sqref="B131:C131">
    <cfRule type="cellIs" dxfId="11745" priority="3167" stopIfTrue="1" operator="equal">
      <formula>"Towel"</formula>
    </cfRule>
    <cfRule type="cellIs" dxfId="11744" priority="3168" stopIfTrue="1" operator="equal">
      <formula>"Napkin Hs"</formula>
    </cfRule>
  </conditionalFormatting>
  <conditionalFormatting sqref="C131">
    <cfRule type="cellIs" dxfId="11743" priority="3165" stopIfTrue="1" operator="equal">
      <formula>"Towel"</formula>
    </cfRule>
    <cfRule type="cellIs" dxfId="11742" priority="3166" stopIfTrue="1" operator="equal">
      <formula>"Napkin Hs"</formula>
    </cfRule>
  </conditionalFormatting>
  <conditionalFormatting sqref="B131:C131">
    <cfRule type="cellIs" dxfId="11741" priority="3162" stopIfTrue="1" operator="equal">
      <formula>"Napkin Hs"</formula>
    </cfRule>
  </conditionalFormatting>
  <conditionalFormatting sqref="B131:C131">
    <cfRule type="cellIs" dxfId="11740" priority="3161" stopIfTrue="1" operator="equal">
      <formula>"Towel"</formula>
    </cfRule>
  </conditionalFormatting>
  <conditionalFormatting sqref="C131">
    <cfRule type="cellIs" dxfId="11739" priority="3160" stopIfTrue="1" operator="equal">
      <formula>"Napkin Hs"</formula>
    </cfRule>
  </conditionalFormatting>
  <conditionalFormatting sqref="C131">
    <cfRule type="cellIs" dxfId="11738" priority="3157" stopIfTrue="1" operator="equal">
      <formula>"Towel"</formula>
    </cfRule>
    <cfRule type="cellIs" dxfId="11737" priority="3158" stopIfTrue="1" operator="equal">
      <formula>"Napkin Hs"</formula>
    </cfRule>
  </conditionalFormatting>
  <conditionalFormatting sqref="C131">
    <cfRule type="cellIs" dxfId="11736" priority="3159" stopIfTrue="1" operator="equal">
      <formula>"Towel"</formula>
    </cfRule>
  </conditionalFormatting>
  <conditionalFormatting sqref="B131:C131">
    <cfRule type="cellIs" dxfId="11735" priority="3156" stopIfTrue="1" operator="equal">
      <formula>"Napkin Hs"</formula>
    </cfRule>
  </conditionalFormatting>
  <conditionalFormatting sqref="B131:C131">
    <cfRule type="cellIs" dxfId="11734" priority="3155" stopIfTrue="1" operator="equal">
      <formula>"Towel"</formula>
    </cfRule>
  </conditionalFormatting>
  <conditionalFormatting sqref="C131">
    <cfRule type="cellIs" dxfId="11733" priority="3154" stopIfTrue="1" operator="equal">
      <formula>"Napkin Hs"</formula>
    </cfRule>
  </conditionalFormatting>
  <conditionalFormatting sqref="C131">
    <cfRule type="cellIs" dxfId="11732" priority="3151" stopIfTrue="1" operator="equal">
      <formula>"Towel"</formula>
    </cfRule>
    <cfRule type="cellIs" dxfId="11731" priority="3152" stopIfTrue="1" operator="equal">
      <formula>"Napkin Hs"</formula>
    </cfRule>
  </conditionalFormatting>
  <conditionalFormatting sqref="C131">
    <cfRule type="cellIs" dxfId="11730" priority="3153" stopIfTrue="1" operator="equal">
      <formula>"Towel"</formula>
    </cfRule>
  </conditionalFormatting>
  <conditionalFormatting sqref="C130">
    <cfRule type="cellIs" dxfId="11729" priority="2955" stopIfTrue="1" operator="equal">
      <formula>"Towel"</formula>
    </cfRule>
    <cfRule type="cellIs" dxfId="11728" priority="2956" stopIfTrue="1" operator="equal">
      <formula>"Napkin Hs"</formula>
    </cfRule>
  </conditionalFormatting>
  <conditionalFormatting sqref="C130">
    <cfRule type="cellIs" dxfId="11727" priority="2953" stopIfTrue="1" operator="equal">
      <formula>"Towel"</formula>
    </cfRule>
    <cfRule type="cellIs" dxfId="11726" priority="2954" stopIfTrue="1" operator="equal">
      <formula>"Napkin Hs"</formula>
    </cfRule>
  </conditionalFormatting>
  <conditionalFormatting sqref="B130:C130">
    <cfRule type="cellIs" dxfId="11725" priority="2904" stopIfTrue="1" operator="equal">
      <formula>"Napkin Hs"</formula>
    </cfRule>
  </conditionalFormatting>
  <conditionalFormatting sqref="B130:C130">
    <cfRule type="cellIs" dxfId="11724" priority="2903" stopIfTrue="1" operator="equal">
      <formula>"Towel"</formula>
    </cfRule>
  </conditionalFormatting>
  <conditionalFormatting sqref="B130:C130">
    <cfRule type="cellIs" dxfId="11723" priority="2957" stopIfTrue="1" operator="equal">
      <formula>"Towel"</formula>
    </cfRule>
    <cfRule type="cellIs" dxfId="11722" priority="2958" stopIfTrue="1" operator="equal">
      <formula>"Napkin Hs"</formula>
    </cfRule>
  </conditionalFormatting>
  <conditionalFormatting sqref="C130">
    <cfRule type="cellIs" dxfId="11721" priority="2902" stopIfTrue="1" operator="equal">
      <formula>"Napkin Hs"</formula>
    </cfRule>
  </conditionalFormatting>
  <conditionalFormatting sqref="C130">
    <cfRule type="cellIs" dxfId="11720" priority="2901" stopIfTrue="1" operator="equal">
      <formula>"Towel"</formula>
    </cfRule>
  </conditionalFormatting>
  <conditionalFormatting sqref="C130">
    <cfRule type="cellIs" dxfId="11719" priority="2899" stopIfTrue="1" operator="equal">
      <formula>"Towel"</formula>
    </cfRule>
    <cfRule type="cellIs" dxfId="11718" priority="2900" stopIfTrue="1" operator="equal">
      <formula>"Napkin Hs"</formula>
    </cfRule>
  </conditionalFormatting>
  <conditionalFormatting sqref="B130:C130">
    <cfRule type="cellIs" dxfId="11717" priority="2952" stopIfTrue="1" operator="equal">
      <formula>"Napkin Hs"</formula>
    </cfRule>
  </conditionalFormatting>
  <conditionalFormatting sqref="B130:C130">
    <cfRule type="cellIs" dxfId="11716" priority="2951" stopIfTrue="1" operator="equal">
      <formula>"Towel"</formula>
    </cfRule>
  </conditionalFormatting>
  <conditionalFormatting sqref="C130">
    <cfRule type="cellIs" dxfId="11715" priority="2950" stopIfTrue="1" operator="equal">
      <formula>"Napkin Hs"</formula>
    </cfRule>
  </conditionalFormatting>
  <conditionalFormatting sqref="C130">
    <cfRule type="cellIs" dxfId="11714" priority="2949" stopIfTrue="1" operator="equal">
      <formula>"Towel"</formula>
    </cfRule>
  </conditionalFormatting>
  <conditionalFormatting sqref="C130">
    <cfRule type="cellIs" dxfId="11713" priority="2947" stopIfTrue="1" operator="equal">
      <formula>"Towel"</formula>
    </cfRule>
    <cfRule type="cellIs" dxfId="11712" priority="2948" stopIfTrue="1" operator="equal">
      <formula>"Napkin Hs"</formula>
    </cfRule>
  </conditionalFormatting>
  <conditionalFormatting sqref="B130:C130">
    <cfRule type="cellIs" dxfId="11711" priority="2945" stopIfTrue="1" operator="equal">
      <formula>"Towel"</formula>
    </cfRule>
    <cfRule type="cellIs" dxfId="11710" priority="2946" stopIfTrue="1" operator="equal">
      <formula>"Napkin Hs"</formula>
    </cfRule>
  </conditionalFormatting>
  <conditionalFormatting sqref="C130">
    <cfRule type="cellIs" dxfId="11709" priority="2941" stopIfTrue="1" operator="equal">
      <formula>"Towel"</formula>
    </cfRule>
    <cfRule type="cellIs" dxfId="11708" priority="2942" stopIfTrue="1" operator="equal">
      <formula>"Napkin Hs"</formula>
    </cfRule>
  </conditionalFormatting>
  <conditionalFormatting sqref="C130">
    <cfRule type="cellIs" dxfId="11707" priority="2943" stopIfTrue="1" operator="equal">
      <formula>"Towel"</formula>
    </cfRule>
    <cfRule type="cellIs" dxfId="11706" priority="2944" stopIfTrue="1" operator="equal">
      <formula>"Napkin Hs"</formula>
    </cfRule>
  </conditionalFormatting>
  <conditionalFormatting sqref="B130:C130">
    <cfRule type="cellIs" dxfId="11705" priority="2940" stopIfTrue="1" operator="equal">
      <formula>"Napkin Hs"</formula>
    </cfRule>
  </conditionalFormatting>
  <conditionalFormatting sqref="B130:C130">
    <cfRule type="cellIs" dxfId="11704" priority="2939" stopIfTrue="1" operator="equal">
      <formula>"Towel"</formula>
    </cfRule>
  </conditionalFormatting>
  <conditionalFormatting sqref="C130">
    <cfRule type="cellIs" dxfId="11703" priority="2938" stopIfTrue="1" operator="equal">
      <formula>"Napkin Hs"</formula>
    </cfRule>
  </conditionalFormatting>
  <conditionalFormatting sqref="C130">
    <cfRule type="cellIs" dxfId="11702" priority="2937" stopIfTrue="1" operator="equal">
      <formula>"Towel"</formula>
    </cfRule>
  </conditionalFormatting>
  <conditionalFormatting sqref="C130">
    <cfRule type="cellIs" dxfId="11701" priority="2935" stopIfTrue="1" operator="equal">
      <formula>"Towel"</formula>
    </cfRule>
    <cfRule type="cellIs" dxfId="11700" priority="2936" stopIfTrue="1" operator="equal">
      <formula>"Napkin Hs"</formula>
    </cfRule>
  </conditionalFormatting>
  <conditionalFormatting sqref="B130:C130">
    <cfRule type="cellIs" dxfId="11699" priority="2933" stopIfTrue="1" operator="equal">
      <formula>"Towel"</formula>
    </cfRule>
    <cfRule type="cellIs" dxfId="11698" priority="2934" stopIfTrue="1" operator="equal">
      <formula>"Napkin Hs"</formula>
    </cfRule>
  </conditionalFormatting>
  <conditionalFormatting sqref="C130">
    <cfRule type="cellIs" dxfId="11697" priority="2931" stopIfTrue="1" operator="equal">
      <formula>"Towel"</formula>
    </cfRule>
    <cfRule type="cellIs" dxfId="11696" priority="2932" stopIfTrue="1" operator="equal">
      <formula>"Napkin Hs"</formula>
    </cfRule>
  </conditionalFormatting>
  <conditionalFormatting sqref="C130">
    <cfRule type="cellIs" dxfId="11695" priority="2929" stopIfTrue="1" operator="equal">
      <formula>"Towel"</formula>
    </cfRule>
    <cfRule type="cellIs" dxfId="11694" priority="2930" stopIfTrue="1" operator="equal">
      <formula>"Napkin Hs"</formula>
    </cfRule>
  </conditionalFormatting>
  <conditionalFormatting sqref="B130:C130">
    <cfRule type="cellIs" dxfId="11693" priority="2927" stopIfTrue="1" operator="equal">
      <formula>"Towel"</formula>
    </cfRule>
    <cfRule type="cellIs" dxfId="11692" priority="2928" stopIfTrue="1" operator="equal">
      <formula>"Napkin Hs"</formula>
    </cfRule>
  </conditionalFormatting>
  <conditionalFormatting sqref="C130">
    <cfRule type="cellIs" dxfId="11691" priority="2925" stopIfTrue="1" operator="equal">
      <formula>"Towel"</formula>
    </cfRule>
    <cfRule type="cellIs" dxfId="11690" priority="2926" stopIfTrue="1" operator="equal">
      <formula>"Napkin Hs"</formula>
    </cfRule>
  </conditionalFormatting>
  <conditionalFormatting sqref="C130">
    <cfRule type="cellIs" dxfId="11689" priority="2923" stopIfTrue="1" operator="equal">
      <formula>"Towel"</formula>
    </cfRule>
    <cfRule type="cellIs" dxfId="11688" priority="2924" stopIfTrue="1" operator="equal">
      <formula>"Napkin Hs"</formula>
    </cfRule>
  </conditionalFormatting>
  <conditionalFormatting sqref="B130:C130">
    <cfRule type="cellIs" dxfId="11687" priority="2921" stopIfTrue="1" operator="equal">
      <formula>"Towel"</formula>
    </cfRule>
    <cfRule type="cellIs" dxfId="11686" priority="2922" stopIfTrue="1" operator="equal">
      <formula>"Napkin Hs"</formula>
    </cfRule>
  </conditionalFormatting>
  <conditionalFormatting sqref="C130">
    <cfRule type="cellIs" dxfId="11685" priority="2919" stopIfTrue="1" operator="equal">
      <formula>"Towel"</formula>
    </cfRule>
    <cfRule type="cellIs" dxfId="11684" priority="2920" stopIfTrue="1" operator="equal">
      <formula>"Napkin Hs"</formula>
    </cfRule>
  </conditionalFormatting>
  <conditionalFormatting sqref="C130">
    <cfRule type="cellIs" dxfId="11683" priority="2917" stopIfTrue="1" operator="equal">
      <formula>"Towel"</formula>
    </cfRule>
    <cfRule type="cellIs" dxfId="11682" priority="2918" stopIfTrue="1" operator="equal">
      <formula>"Napkin Hs"</formula>
    </cfRule>
  </conditionalFormatting>
  <conditionalFormatting sqref="B130:C130">
    <cfRule type="cellIs" dxfId="11681" priority="2915" stopIfTrue="1" operator="equal">
      <formula>"Towel"</formula>
    </cfRule>
    <cfRule type="cellIs" dxfId="11680" priority="2916" stopIfTrue="1" operator="equal">
      <formula>"Napkin Hs"</formula>
    </cfRule>
  </conditionalFormatting>
  <conditionalFormatting sqref="C130">
    <cfRule type="cellIs" dxfId="11679" priority="2913" stopIfTrue="1" operator="equal">
      <formula>"Towel"</formula>
    </cfRule>
    <cfRule type="cellIs" dxfId="11678" priority="2914" stopIfTrue="1" operator="equal">
      <formula>"Napkin Hs"</formula>
    </cfRule>
  </conditionalFormatting>
  <conditionalFormatting sqref="C130">
    <cfRule type="cellIs" dxfId="11677" priority="2911" stopIfTrue="1" operator="equal">
      <formula>"Towel"</formula>
    </cfRule>
    <cfRule type="cellIs" dxfId="11676" priority="2912" stopIfTrue="1" operator="equal">
      <formula>"Napkin Hs"</formula>
    </cfRule>
  </conditionalFormatting>
  <conditionalFormatting sqref="B130:C130">
    <cfRule type="cellIs" dxfId="11675" priority="2909" stopIfTrue="1" operator="equal">
      <formula>"Towel"</formula>
    </cfRule>
    <cfRule type="cellIs" dxfId="11674" priority="2910" stopIfTrue="1" operator="equal">
      <formula>"Napkin Hs"</formula>
    </cfRule>
  </conditionalFormatting>
  <conditionalFormatting sqref="C130">
    <cfRule type="cellIs" dxfId="11673" priority="2907" stopIfTrue="1" operator="equal">
      <formula>"Towel"</formula>
    </cfRule>
    <cfRule type="cellIs" dxfId="11672" priority="2908" stopIfTrue="1" operator="equal">
      <formula>"Napkin Hs"</formula>
    </cfRule>
  </conditionalFormatting>
  <conditionalFormatting sqref="C130">
    <cfRule type="cellIs" dxfId="11671" priority="2905" stopIfTrue="1" operator="equal">
      <formula>"Towel"</formula>
    </cfRule>
    <cfRule type="cellIs" dxfId="11670" priority="2906" stopIfTrue="1" operator="equal">
      <formula>"Napkin Hs"</formula>
    </cfRule>
  </conditionalFormatting>
  <conditionalFormatting sqref="B130:C130">
    <cfRule type="cellIs" dxfId="11669" priority="2895" stopIfTrue="1" operator="equal">
      <formula>"Towel"</formula>
    </cfRule>
    <cfRule type="cellIs" dxfId="11668" priority="2896" stopIfTrue="1" operator="equal">
      <formula>"Napkin Hs"</formula>
    </cfRule>
  </conditionalFormatting>
  <conditionalFormatting sqref="C130">
    <cfRule type="cellIs" dxfId="11667" priority="2897" stopIfTrue="1" operator="equal">
      <formula>"Towel"</formula>
    </cfRule>
    <cfRule type="cellIs" dxfId="11666" priority="2898" stopIfTrue="1" operator="equal">
      <formula>"Napkin Hs"</formula>
    </cfRule>
  </conditionalFormatting>
  <conditionalFormatting sqref="C130">
    <cfRule type="cellIs" dxfId="11665" priority="2893" stopIfTrue="1" operator="equal">
      <formula>"Towel"</formula>
    </cfRule>
    <cfRule type="cellIs" dxfId="11664" priority="2894" stopIfTrue="1" operator="equal">
      <formula>"Napkin Hs"</formula>
    </cfRule>
  </conditionalFormatting>
  <conditionalFormatting sqref="B130:C130">
    <cfRule type="cellIs" dxfId="11663" priority="2892" stopIfTrue="1" operator="equal">
      <formula>"Napkin Hs"</formula>
    </cfRule>
  </conditionalFormatting>
  <conditionalFormatting sqref="B130:C130">
    <cfRule type="cellIs" dxfId="11662" priority="2891" stopIfTrue="1" operator="equal">
      <formula>"Towel"</formula>
    </cfRule>
  </conditionalFormatting>
  <conditionalFormatting sqref="C130">
    <cfRule type="cellIs" dxfId="11661" priority="2890" stopIfTrue="1" operator="equal">
      <formula>"Napkin Hs"</formula>
    </cfRule>
  </conditionalFormatting>
  <conditionalFormatting sqref="C130">
    <cfRule type="cellIs" dxfId="11660" priority="2889" stopIfTrue="1" operator="equal">
      <formula>"Towel"</formula>
    </cfRule>
  </conditionalFormatting>
  <conditionalFormatting sqref="C130">
    <cfRule type="cellIs" dxfId="11659" priority="2887" stopIfTrue="1" operator="equal">
      <formula>"Towel"</formula>
    </cfRule>
    <cfRule type="cellIs" dxfId="11658" priority="2888" stopIfTrue="1" operator="equal">
      <formula>"Napkin Hs"</formula>
    </cfRule>
  </conditionalFormatting>
  <conditionalFormatting sqref="B130:C130">
    <cfRule type="cellIs" dxfId="11657" priority="2885" stopIfTrue="1" operator="equal">
      <formula>"Towel"</formula>
    </cfRule>
    <cfRule type="cellIs" dxfId="11656" priority="2886" stopIfTrue="1" operator="equal">
      <formula>"Napkin Hs"</formula>
    </cfRule>
  </conditionalFormatting>
  <conditionalFormatting sqref="C130">
    <cfRule type="cellIs" dxfId="11655" priority="2881" stopIfTrue="1" operator="equal">
      <formula>"Towel"</formula>
    </cfRule>
    <cfRule type="cellIs" dxfId="11654" priority="2882" stopIfTrue="1" operator="equal">
      <formula>"Napkin Hs"</formula>
    </cfRule>
  </conditionalFormatting>
  <conditionalFormatting sqref="C130">
    <cfRule type="cellIs" dxfId="11653" priority="2883" stopIfTrue="1" operator="equal">
      <formula>"Towel"</formula>
    </cfRule>
    <cfRule type="cellIs" dxfId="11652" priority="2884" stopIfTrue="1" operator="equal">
      <formula>"Napkin Hs"</formula>
    </cfRule>
  </conditionalFormatting>
  <conditionalFormatting sqref="B130:C130">
    <cfRule type="cellIs" dxfId="11651" priority="2880" stopIfTrue="1" operator="equal">
      <formula>"Napkin Hs"</formula>
    </cfRule>
  </conditionalFormatting>
  <conditionalFormatting sqref="B130:C130">
    <cfRule type="cellIs" dxfId="11650" priority="2879" stopIfTrue="1" operator="equal">
      <formula>"Towel"</formula>
    </cfRule>
  </conditionalFormatting>
  <conditionalFormatting sqref="C130">
    <cfRule type="cellIs" dxfId="11649" priority="2878" stopIfTrue="1" operator="equal">
      <formula>"Napkin Hs"</formula>
    </cfRule>
  </conditionalFormatting>
  <conditionalFormatting sqref="C130">
    <cfRule type="cellIs" dxfId="11648" priority="2877" stopIfTrue="1" operator="equal">
      <formula>"Towel"</formula>
    </cfRule>
  </conditionalFormatting>
  <conditionalFormatting sqref="C130">
    <cfRule type="cellIs" dxfId="11647" priority="2875" stopIfTrue="1" operator="equal">
      <formula>"Towel"</formula>
    </cfRule>
    <cfRule type="cellIs" dxfId="11646" priority="2876" stopIfTrue="1" operator="equal">
      <formula>"Napkin Hs"</formula>
    </cfRule>
  </conditionalFormatting>
  <conditionalFormatting sqref="B130:C130">
    <cfRule type="cellIs" dxfId="11645" priority="2873" stopIfTrue="1" operator="equal">
      <formula>"Towel"</formula>
    </cfRule>
    <cfRule type="cellIs" dxfId="11644" priority="2874" stopIfTrue="1" operator="equal">
      <formula>"Napkin Hs"</formula>
    </cfRule>
  </conditionalFormatting>
  <conditionalFormatting sqref="C130">
    <cfRule type="cellIs" dxfId="11643" priority="2871" stopIfTrue="1" operator="equal">
      <formula>"Towel"</formula>
    </cfRule>
    <cfRule type="cellIs" dxfId="11642" priority="2872" stopIfTrue="1" operator="equal">
      <formula>"Napkin Hs"</formula>
    </cfRule>
  </conditionalFormatting>
  <conditionalFormatting sqref="C130">
    <cfRule type="cellIs" dxfId="11641" priority="2869" stopIfTrue="1" operator="equal">
      <formula>"Towel"</formula>
    </cfRule>
    <cfRule type="cellIs" dxfId="11640" priority="2870" stopIfTrue="1" operator="equal">
      <formula>"Napkin Hs"</formula>
    </cfRule>
  </conditionalFormatting>
  <conditionalFormatting sqref="B130:C130">
    <cfRule type="cellIs" dxfId="11639" priority="2867" stopIfTrue="1" operator="equal">
      <formula>"Towel"</formula>
    </cfRule>
    <cfRule type="cellIs" dxfId="11638" priority="2868" stopIfTrue="1" operator="equal">
      <formula>"Napkin Hs"</formula>
    </cfRule>
  </conditionalFormatting>
  <conditionalFormatting sqref="C130">
    <cfRule type="cellIs" dxfId="11637" priority="2865" stopIfTrue="1" operator="equal">
      <formula>"Towel"</formula>
    </cfRule>
    <cfRule type="cellIs" dxfId="11636" priority="2866" stopIfTrue="1" operator="equal">
      <formula>"Napkin Hs"</formula>
    </cfRule>
  </conditionalFormatting>
  <conditionalFormatting sqref="C130">
    <cfRule type="cellIs" dxfId="11635" priority="2863" stopIfTrue="1" operator="equal">
      <formula>"Towel"</formula>
    </cfRule>
    <cfRule type="cellIs" dxfId="11634" priority="2864" stopIfTrue="1" operator="equal">
      <formula>"Napkin Hs"</formula>
    </cfRule>
  </conditionalFormatting>
  <conditionalFormatting sqref="B130:C130">
    <cfRule type="cellIs" dxfId="11633" priority="2861" stopIfTrue="1" operator="equal">
      <formula>"Towel"</formula>
    </cfRule>
    <cfRule type="cellIs" dxfId="11632" priority="2862" stopIfTrue="1" operator="equal">
      <formula>"Napkin Hs"</formula>
    </cfRule>
  </conditionalFormatting>
  <conditionalFormatting sqref="C130">
    <cfRule type="cellIs" dxfId="11631" priority="2859" stopIfTrue="1" operator="equal">
      <formula>"Towel"</formula>
    </cfRule>
    <cfRule type="cellIs" dxfId="11630" priority="2860" stopIfTrue="1" operator="equal">
      <formula>"Napkin Hs"</formula>
    </cfRule>
  </conditionalFormatting>
  <conditionalFormatting sqref="C130">
    <cfRule type="cellIs" dxfId="11629" priority="2857" stopIfTrue="1" operator="equal">
      <formula>"Towel"</formula>
    </cfRule>
    <cfRule type="cellIs" dxfId="11628" priority="2858" stopIfTrue="1" operator="equal">
      <formula>"Napkin Hs"</formula>
    </cfRule>
  </conditionalFormatting>
  <conditionalFormatting sqref="B130:C130">
    <cfRule type="cellIs" dxfId="11627" priority="2855" stopIfTrue="1" operator="equal">
      <formula>"Towel"</formula>
    </cfRule>
    <cfRule type="cellIs" dxfId="11626" priority="2856" stopIfTrue="1" operator="equal">
      <formula>"Napkin Hs"</formula>
    </cfRule>
  </conditionalFormatting>
  <conditionalFormatting sqref="C130">
    <cfRule type="cellIs" dxfId="11625" priority="2853" stopIfTrue="1" operator="equal">
      <formula>"Towel"</formula>
    </cfRule>
    <cfRule type="cellIs" dxfId="11624" priority="2854" stopIfTrue="1" operator="equal">
      <formula>"Napkin Hs"</formula>
    </cfRule>
  </conditionalFormatting>
  <conditionalFormatting sqref="C130">
    <cfRule type="cellIs" dxfId="11623" priority="2851" stopIfTrue="1" operator="equal">
      <formula>"Towel"</formula>
    </cfRule>
    <cfRule type="cellIs" dxfId="11622" priority="2852" stopIfTrue="1" operator="equal">
      <formula>"Napkin Hs"</formula>
    </cfRule>
  </conditionalFormatting>
  <conditionalFormatting sqref="B130:C130">
    <cfRule type="cellIs" dxfId="11621" priority="2849" stopIfTrue="1" operator="equal">
      <formula>"Towel"</formula>
    </cfRule>
    <cfRule type="cellIs" dxfId="11620" priority="2850" stopIfTrue="1" operator="equal">
      <formula>"Napkin Hs"</formula>
    </cfRule>
  </conditionalFormatting>
  <conditionalFormatting sqref="C130">
    <cfRule type="cellIs" dxfId="11619" priority="2847" stopIfTrue="1" operator="equal">
      <formula>"Towel"</formula>
    </cfRule>
    <cfRule type="cellIs" dxfId="11618" priority="2848" stopIfTrue="1" operator="equal">
      <formula>"Napkin Hs"</formula>
    </cfRule>
  </conditionalFormatting>
  <conditionalFormatting sqref="C130">
    <cfRule type="cellIs" dxfId="11617" priority="2845" stopIfTrue="1" operator="equal">
      <formula>"Towel"</formula>
    </cfRule>
    <cfRule type="cellIs" dxfId="11616" priority="2846" stopIfTrue="1" operator="equal">
      <formula>"Napkin Hs"</formula>
    </cfRule>
  </conditionalFormatting>
  <conditionalFormatting sqref="B130:C130">
    <cfRule type="cellIs" dxfId="11615" priority="2844" stopIfTrue="1" operator="equal">
      <formula>"Napkin Hs"</formula>
    </cfRule>
  </conditionalFormatting>
  <conditionalFormatting sqref="B130:C130">
    <cfRule type="cellIs" dxfId="11614" priority="2843" stopIfTrue="1" operator="equal">
      <formula>"Towel"</formula>
    </cfRule>
  </conditionalFormatting>
  <conditionalFormatting sqref="C130">
    <cfRule type="cellIs" dxfId="11613" priority="2842" stopIfTrue="1" operator="equal">
      <formula>"Napkin Hs"</formula>
    </cfRule>
  </conditionalFormatting>
  <conditionalFormatting sqref="C130">
    <cfRule type="cellIs" dxfId="11612" priority="2839" stopIfTrue="1" operator="equal">
      <formula>"Towel"</formula>
    </cfRule>
    <cfRule type="cellIs" dxfId="11611" priority="2840" stopIfTrue="1" operator="equal">
      <formula>"Napkin Hs"</formula>
    </cfRule>
  </conditionalFormatting>
  <conditionalFormatting sqref="C130">
    <cfRule type="cellIs" dxfId="11610" priority="2841" stopIfTrue="1" operator="equal">
      <formula>"Towel"</formula>
    </cfRule>
  </conditionalFormatting>
  <conditionalFormatting sqref="B130:C130">
    <cfRule type="cellIs" dxfId="11609" priority="2838" stopIfTrue="1" operator="equal">
      <formula>"Napkin Hs"</formula>
    </cfRule>
  </conditionalFormatting>
  <conditionalFormatting sqref="B130:C130">
    <cfRule type="cellIs" dxfId="11608" priority="2837" stopIfTrue="1" operator="equal">
      <formula>"Towel"</formula>
    </cfRule>
  </conditionalFormatting>
  <conditionalFormatting sqref="C130">
    <cfRule type="cellIs" dxfId="11607" priority="2836" stopIfTrue="1" operator="equal">
      <formula>"Napkin Hs"</formula>
    </cfRule>
  </conditionalFormatting>
  <conditionalFormatting sqref="C130">
    <cfRule type="cellIs" dxfId="11606" priority="2835" stopIfTrue="1" operator="equal">
      <formula>"Towel"</formula>
    </cfRule>
  </conditionalFormatting>
  <conditionalFormatting sqref="C130">
    <cfRule type="cellIs" dxfId="11605" priority="2833" stopIfTrue="1" operator="equal">
      <formula>"Towel"</formula>
    </cfRule>
    <cfRule type="cellIs" dxfId="11604" priority="2834" stopIfTrue="1" operator="equal">
      <formula>"Napkin Hs"</formula>
    </cfRule>
  </conditionalFormatting>
  <conditionalFormatting sqref="C130">
    <cfRule type="cellIs" dxfId="11603" priority="2827" stopIfTrue="1" operator="equal">
      <formula>"Towel"</formula>
    </cfRule>
    <cfRule type="cellIs" dxfId="11602" priority="2828" stopIfTrue="1" operator="equal">
      <formula>"Napkin Hs"</formula>
    </cfRule>
  </conditionalFormatting>
  <conditionalFormatting sqref="B130:C130">
    <cfRule type="cellIs" dxfId="11601" priority="2826" stopIfTrue="1" operator="equal">
      <formula>"Napkin Hs"</formula>
    </cfRule>
  </conditionalFormatting>
  <conditionalFormatting sqref="B130:C130">
    <cfRule type="cellIs" dxfId="11600" priority="2825" stopIfTrue="1" operator="equal">
      <formula>"Towel"</formula>
    </cfRule>
  </conditionalFormatting>
  <conditionalFormatting sqref="C130">
    <cfRule type="cellIs" dxfId="11599" priority="2824" stopIfTrue="1" operator="equal">
      <formula>"Napkin Hs"</formula>
    </cfRule>
  </conditionalFormatting>
  <conditionalFormatting sqref="C130">
    <cfRule type="cellIs" dxfId="11598" priority="2823" stopIfTrue="1" operator="equal">
      <formula>"Towel"</formula>
    </cfRule>
  </conditionalFormatting>
  <conditionalFormatting sqref="C130">
    <cfRule type="cellIs" dxfId="11597" priority="2821" stopIfTrue="1" operator="equal">
      <formula>"Towel"</formula>
    </cfRule>
    <cfRule type="cellIs" dxfId="11596" priority="2822" stopIfTrue="1" operator="equal">
      <formula>"Napkin Hs"</formula>
    </cfRule>
  </conditionalFormatting>
  <conditionalFormatting sqref="C130">
    <cfRule type="cellIs" dxfId="11595" priority="2815" stopIfTrue="1" operator="equal">
      <formula>"Towel"</formula>
    </cfRule>
    <cfRule type="cellIs" dxfId="11594" priority="2816" stopIfTrue="1" operator="equal">
      <formula>"Napkin Hs"</formula>
    </cfRule>
  </conditionalFormatting>
  <conditionalFormatting sqref="C130">
    <cfRule type="cellIs" dxfId="11593" priority="2809" stopIfTrue="1" operator="equal">
      <formula>"Towel"</formula>
    </cfRule>
    <cfRule type="cellIs" dxfId="11592" priority="2810" stopIfTrue="1" operator="equal">
      <formula>"Napkin Hs"</formula>
    </cfRule>
  </conditionalFormatting>
  <conditionalFormatting sqref="C130">
    <cfRule type="cellIs" dxfId="11591" priority="2803" stopIfTrue="1" operator="equal">
      <formula>"Towel"</formula>
    </cfRule>
    <cfRule type="cellIs" dxfId="11590" priority="2804" stopIfTrue="1" operator="equal">
      <formula>"Napkin Hs"</formula>
    </cfRule>
  </conditionalFormatting>
  <conditionalFormatting sqref="C130">
    <cfRule type="cellIs" dxfId="11589" priority="2797" stopIfTrue="1" operator="equal">
      <formula>"Towel"</formula>
    </cfRule>
    <cfRule type="cellIs" dxfId="11588" priority="2798" stopIfTrue="1" operator="equal">
      <formula>"Napkin Hs"</formula>
    </cfRule>
  </conditionalFormatting>
  <conditionalFormatting sqref="C130">
    <cfRule type="cellIs" dxfId="11587" priority="2791" stopIfTrue="1" operator="equal">
      <formula>"Towel"</formula>
    </cfRule>
    <cfRule type="cellIs" dxfId="11586" priority="2792" stopIfTrue="1" operator="equal">
      <formula>"Napkin Hs"</formula>
    </cfRule>
  </conditionalFormatting>
  <conditionalFormatting sqref="B130:C130">
    <cfRule type="cellIs" dxfId="11585" priority="2790" stopIfTrue="1" operator="equal">
      <formula>"Napkin Hs"</formula>
    </cfRule>
  </conditionalFormatting>
  <conditionalFormatting sqref="B130:C130">
    <cfRule type="cellIs" dxfId="11584" priority="2789" stopIfTrue="1" operator="equal">
      <formula>"Towel"</formula>
    </cfRule>
  </conditionalFormatting>
  <conditionalFormatting sqref="C130">
    <cfRule type="cellIs" dxfId="11583" priority="2788" stopIfTrue="1" operator="equal">
      <formula>"Napkin Hs"</formula>
    </cfRule>
  </conditionalFormatting>
  <conditionalFormatting sqref="C130">
    <cfRule type="cellIs" dxfId="11582" priority="2785" stopIfTrue="1" operator="equal">
      <formula>"Towel"</formula>
    </cfRule>
    <cfRule type="cellIs" dxfId="11581" priority="2786" stopIfTrue="1" operator="equal">
      <formula>"Napkin Hs"</formula>
    </cfRule>
  </conditionalFormatting>
  <conditionalFormatting sqref="C130">
    <cfRule type="cellIs" dxfId="11580" priority="2787" stopIfTrue="1" operator="equal">
      <formula>"Towel"</formula>
    </cfRule>
  </conditionalFormatting>
  <conditionalFormatting sqref="B130:C130">
    <cfRule type="cellIs" dxfId="11579" priority="2784" stopIfTrue="1" operator="equal">
      <formula>"Napkin Hs"</formula>
    </cfRule>
  </conditionalFormatting>
  <conditionalFormatting sqref="B130:C130">
    <cfRule type="cellIs" dxfId="11578" priority="2783" stopIfTrue="1" operator="equal">
      <formula>"Towel"</formula>
    </cfRule>
  </conditionalFormatting>
  <conditionalFormatting sqref="C130">
    <cfRule type="cellIs" dxfId="11577" priority="2782" stopIfTrue="1" operator="equal">
      <formula>"Napkin Hs"</formula>
    </cfRule>
  </conditionalFormatting>
  <conditionalFormatting sqref="C130">
    <cfRule type="cellIs" dxfId="11576" priority="2779" stopIfTrue="1" operator="equal">
      <formula>"Towel"</formula>
    </cfRule>
    <cfRule type="cellIs" dxfId="11575" priority="2780" stopIfTrue="1" operator="equal">
      <formula>"Napkin Hs"</formula>
    </cfRule>
  </conditionalFormatting>
  <conditionalFormatting sqref="C130">
    <cfRule type="cellIs" dxfId="11574" priority="2781" stopIfTrue="1" operator="equal">
      <formula>"Towel"</formula>
    </cfRule>
  </conditionalFormatting>
  <conditionalFormatting sqref="B130:C130">
    <cfRule type="cellIs" dxfId="11573" priority="2831" stopIfTrue="1" operator="equal">
      <formula>"Towel"</formula>
    </cfRule>
    <cfRule type="cellIs" dxfId="11572" priority="2832" stopIfTrue="1" operator="equal">
      <formula>"Napkin Hs"</formula>
    </cfRule>
  </conditionalFormatting>
  <conditionalFormatting sqref="C130">
    <cfRule type="cellIs" dxfId="11571" priority="2829" stopIfTrue="1" operator="equal">
      <formula>"Towel"</formula>
    </cfRule>
    <cfRule type="cellIs" dxfId="11570" priority="2830" stopIfTrue="1" operator="equal">
      <formula>"Napkin Hs"</formula>
    </cfRule>
  </conditionalFormatting>
  <conditionalFormatting sqref="B130:C130">
    <cfRule type="cellIs" dxfId="11569" priority="2819" stopIfTrue="1" operator="equal">
      <formula>"Towel"</formula>
    </cfRule>
    <cfRule type="cellIs" dxfId="11568" priority="2820" stopIfTrue="1" operator="equal">
      <formula>"Napkin Hs"</formula>
    </cfRule>
  </conditionalFormatting>
  <conditionalFormatting sqref="C130">
    <cfRule type="cellIs" dxfId="11567" priority="2817" stopIfTrue="1" operator="equal">
      <formula>"Towel"</formula>
    </cfRule>
    <cfRule type="cellIs" dxfId="11566" priority="2818" stopIfTrue="1" operator="equal">
      <formula>"Napkin Hs"</formula>
    </cfRule>
  </conditionalFormatting>
  <conditionalFormatting sqref="B130:C130">
    <cfRule type="cellIs" dxfId="11565" priority="2813" stopIfTrue="1" operator="equal">
      <formula>"Towel"</formula>
    </cfRule>
    <cfRule type="cellIs" dxfId="11564" priority="2814" stopIfTrue="1" operator="equal">
      <formula>"Napkin Hs"</formula>
    </cfRule>
  </conditionalFormatting>
  <conditionalFormatting sqref="C130">
    <cfRule type="cellIs" dxfId="11563" priority="2811" stopIfTrue="1" operator="equal">
      <formula>"Towel"</formula>
    </cfRule>
    <cfRule type="cellIs" dxfId="11562" priority="2812" stopIfTrue="1" operator="equal">
      <formula>"Napkin Hs"</formula>
    </cfRule>
  </conditionalFormatting>
  <conditionalFormatting sqref="B130:C130">
    <cfRule type="cellIs" dxfId="11561" priority="2807" stopIfTrue="1" operator="equal">
      <formula>"Towel"</formula>
    </cfRule>
    <cfRule type="cellIs" dxfId="11560" priority="2808" stopIfTrue="1" operator="equal">
      <formula>"Napkin Hs"</formula>
    </cfRule>
  </conditionalFormatting>
  <conditionalFormatting sqref="C130">
    <cfRule type="cellIs" dxfId="11559" priority="2805" stopIfTrue="1" operator="equal">
      <formula>"Towel"</formula>
    </cfRule>
    <cfRule type="cellIs" dxfId="11558" priority="2806" stopIfTrue="1" operator="equal">
      <formula>"Napkin Hs"</formula>
    </cfRule>
  </conditionalFormatting>
  <conditionalFormatting sqref="B130:C130">
    <cfRule type="cellIs" dxfId="11557" priority="2801" stopIfTrue="1" operator="equal">
      <formula>"Towel"</formula>
    </cfRule>
    <cfRule type="cellIs" dxfId="11556" priority="2802" stopIfTrue="1" operator="equal">
      <formula>"Napkin Hs"</formula>
    </cfRule>
  </conditionalFormatting>
  <conditionalFormatting sqref="C130">
    <cfRule type="cellIs" dxfId="11555" priority="2799" stopIfTrue="1" operator="equal">
      <formula>"Towel"</formula>
    </cfRule>
    <cfRule type="cellIs" dxfId="11554" priority="2800" stopIfTrue="1" operator="equal">
      <formula>"Napkin Hs"</formula>
    </cfRule>
  </conditionalFormatting>
  <conditionalFormatting sqref="B130:C130">
    <cfRule type="cellIs" dxfId="11553" priority="2795" stopIfTrue="1" operator="equal">
      <formula>"Towel"</formula>
    </cfRule>
    <cfRule type="cellIs" dxfId="11552" priority="2796" stopIfTrue="1" operator="equal">
      <formula>"Napkin Hs"</formula>
    </cfRule>
  </conditionalFormatting>
  <conditionalFormatting sqref="C130">
    <cfRule type="cellIs" dxfId="11551" priority="2793" stopIfTrue="1" operator="equal">
      <formula>"Towel"</formula>
    </cfRule>
    <cfRule type="cellIs" dxfId="11550" priority="2794" stopIfTrue="1" operator="equal">
      <formula>"Napkin Hs"</formula>
    </cfRule>
  </conditionalFormatting>
  <conditionalFormatting sqref="B130:C130">
    <cfRule type="cellIs" dxfId="11549" priority="2778" stopIfTrue="1" operator="equal">
      <formula>"Napkin Hs"</formula>
    </cfRule>
  </conditionalFormatting>
  <conditionalFormatting sqref="B130:C130">
    <cfRule type="cellIs" dxfId="11548" priority="2777" stopIfTrue="1" operator="equal">
      <formula>"Towel"</formula>
    </cfRule>
  </conditionalFormatting>
  <conditionalFormatting sqref="C130">
    <cfRule type="cellIs" dxfId="11547" priority="2776" stopIfTrue="1" operator="equal">
      <formula>"Napkin Hs"</formula>
    </cfRule>
  </conditionalFormatting>
  <conditionalFormatting sqref="C130">
    <cfRule type="cellIs" dxfId="11546" priority="2773" stopIfTrue="1" operator="equal">
      <formula>"Towel"</formula>
    </cfRule>
    <cfRule type="cellIs" dxfId="11545" priority="2774" stopIfTrue="1" operator="equal">
      <formula>"Napkin Hs"</formula>
    </cfRule>
  </conditionalFormatting>
  <conditionalFormatting sqref="C130">
    <cfRule type="cellIs" dxfId="11544" priority="2775" stopIfTrue="1" operator="equal">
      <formula>"Towel"</formula>
    </cfRule>
  </conditionalFormatting>
  <conditionalFormatting sqref="C129">
    <cfRule type="cellIs" dxfId="11543" priority="2769" stopIfTrue="1" operator="equal">
      <formula>"Towel"</formula>
    </cfRule>
    <cfRule type="cellIs" dxfId="11542" priority="2770" stopIfTrue="1" operator="equal">
      <formula>"Napkin Hs"</formula>
    </cfRule>
  </conditionalFormatting>
  <conditionalFormatting sqref="C129">
    <cfRule type="cellIs" dxfId="11541" priority="2767" stopIfTrue="1" operator="equal">
      <formula>"Towel"</formula>
    </cfRule>
    <cfRule type="cellIs" dxfId="11540" priority="2768" stopIfTrue="1" operator="equal">
      <formula>"Napkin Hs"</formula>
    </cfRule>
  </conditionalFormatting>
  <conditionalFormatting sqref="B129:C129">
    <cfRule type="cellIs" dxfId="11539" priority="2718" stopIfTrue="1" operator="equal">
      <formula>"Napkin Hs"</formula>
    </cfRule>
  </conditionalFormatting>
  <conditionalFormatting sqref="B129:C129">
    <cfRule type="cellIs" dxfId="11538" priority="2717" stopIfTrue="1" operator="equal">
      <formula>"Towel"</formula>
    </cfRule>
  </conditionalFormatting>
  <conditionalFormatting sqref="B129:C129">
    <cfRule type="cellIs" dxfId="11537" priority="2771" stopIfTrue="1" operator="equal">
      <formula>"Towel"</formula>
    </cfRule>
    <cfRule type="cellIs" dxfId="11536" priority="2772" stopIfTrue="1" operator="equal">
      <formula>"Napkin Hs"</formula>
    </cfRule>
  </conditionalFormatting>
  <conditionalFormatting sqref="C129">
    <cfRule type="cellIs" dxfId="11535" priority="2716" stopIfTrue="1" operator="equal">
      <formula>"Napkin Hs"</formula>
    </cfRule>
  </conditionalFormatting>
  <conditionalFormatting sqref="C129">
    <cfRule type="cellIs" dxfId="11534" priority="2715" stopIfTrue="1" operator="equal">
      <formula>"Towel"</formula>
    </cfRule>
  </conditionalFormatting>
  <conditionalFormatting sqref="C129">
    <cfRule type="cellIs" dxfId="11533" priority="2713" stopIfTrue="1" operator="equal">
      <formula>"Towel"</formula>
    </cfRule>
    <cfRule type="cellIs" dxfId="11532" priority="2714" stopIfTrue="1" operator="equal">
      <formula>"Napkin Hs"</formula>
    </cfRule>
  </conditionalFormatting>
  <conditionalFormatting sqref="B129:C129">
    <cfRule type="cellIs" dxfId="11531" priority="2766" stopIfTrue="1" operator="equal">
      <formula>"Napkin Hs"</formula>
    </cfRule>
  </conditionalFormatting>
  <conditionalFormatting sqref="B129:C129">
    <cfRule type="cellIs" dxfId="11530" priority="2765" stopIfTrue="1" operator="equal">
      <formula>"Towel"</formula>
    </cfRule>
  </conditionalFormatting>
  <conditionalFormatting sqref="C129">
    <cfRule type="cellIs" dxfId="11529" priority="2764" stopIfTrue="1" operator="equal">
      <formula>"Napkin Hs"</formula>
    </cfRule>
  </conditionalFormatting>
  <conditionalFormatting sqref="C129">
    <cfRule type="cellIs" dxfId="11528" priority="2763" stopIfTrue="1" operator="equal">
      <formula>"Towel"</formula>
    </cfRule>
  </conditionalFormatting>
  <conditionalFormatting sqref="C129">
    <cfRule type="cellIs" dxfId="11527" priority="2761" stopIfTrue="1" operator="equal">
      <formula>"Towel"</formula>
    </cfRule>
    <cfRule type="cellIs" dxfId="11526" priority="2762" stopIfTrue="1" operator="equal">
      <formula>"Napkin Hs"</formula>
    </cfRule>
  </conditionalFormatting>
  <conditionalFormatting sqref="B129:C129">
    <cfRule type="cellIs" dxfId="11525" priority="2759" stopIfTrue="1" operator="equal">
      <formula>"Towel"</formula>
    </cfRule>
    <cfRule type="cellIs" dxfId="11524" priority="2760" stopIfTrue="1" operator="equal">
      <formula>"Napkin Hs"</formula>
    </cfRule>
  </conditionalFormatting>
  <conditionalFormatting sqref="C129">
    <cfRule type="cellIs" dxfId="11523" priority="2755" stopIfTrue="1" operator="equal">
      <formula>"Towel"</formula>
    </cfRule>
    <cfRule type="cellIs" dxfId="11522" priority="2756" stopIfTrue="1" operator="equal">
      <formula>"Napkin Hs"</formula>
    </cfRule>
  </conditionalFormatting>
  <conditionalFormatting sqref="C129">
    <cfRule type="cellIs" dxfId="11521" priority="2757" stopIfTrue="1" operator="equal">
      <formula>"Towel"</formula>
    </cfRule>
    <cfRule type="cellIs" dxfId="11520" priority="2758" stopIfTrue="1" operator="equal">
      <formula>"Napkin Hs"</formula>
    </cfRule>
  </conditionalFormatting>
  <conditionalFormatting sqref="B129:C129">
    <cfRule type="cellIs" dxfId="11519" priority="2754" stopIfTrue="1" operator="equal">
      <formula>"Napkin Hs"</formula>
    </cfRule>
  </conditionalFormatting>
  <conditionalFormatting sqref="B129:C129">
    <cfRule type="cellIs" dxfId="11518" priority="2753" stopIfTrue="1" operator="equal">
      <formula>"Towel"</formula>
    </cfRule>
  </conditionalFormatting>
  <conditionalFormatting sqref="C129">
    <cfRule type="cellIs" dxfId="11517" priority="2752" stopIfTrue="1" operator="equal">
      <formula>"Napkin Hs"</formula>
    </cfRule>
  </conditionalFormatting>
  <conditionalFormatting sqref="C129">
    <cfRule type="cellIs" dxfId="11516" priority="2751" stopIfTrue="1" operator="equal">
      <formula>"Towel"</formula>
    </cfRule>
  </conditionalFormatting>
  <conditionalFormatting sqref="C129">
    <cfRule type="cellIs" dxfId="11515" priority="2749" stopIfTrue="1" operator="equal">
      <formula>"Towel"</formula>
    </cfRule>
    <cfRule type="cellIs" dxfId="11514" priority="2750" stopIfTrue="1" operator="equal">
      <formula>"Napkin Hs"</formula>
    </cfRule>
  </conditionalFormatting>
  <conditionalFormatting sqref="B129:C129">
    <cfRule type="cellIs" dxfId="11513" priority="2747" stopIfTrue="1" operator="equal">
      <formula>"Towel"</formula>
    </cfRule>
    <cfRule type="cellIs" dxfId="11512" priority="2748" stopIfTrue="1" operator="equal">
      <formula>"Napkin Hs"</formula>
    </cfRule>
  </conditionalFormatting>
  <conditionalFormatting sqref="C129">
    <cfRule type="cellIs" dxfId="11511" priority="2745" stopIfTrue="1" operator="equal">
      <formula>"Towel"</formula>
    </cfRule>
    <cfRule type="cellIs" dxfId="11510" priority="2746" stopIfTrue="1" operator="equal">
      <formula>"Napkin Hs"</formula>
    </cfRule>
  </conditionalFormatting>
  <conditionalFormatting sqref="C129">
    <cfRule type="cellIs" dxfId="11509" priority="2743" stopIfTrue="1" operator="equal">
      <formula>"Towel"</formula>
    </cfRule>
    <cfRule type="cellIs" dxfId="11508" priority="2744" stopIfTrue="1" operator="equal">
      <formula>"Napkin Hs"</formula>
    </cfRule>
  </conditionalFormatting>
  <conditionalFormatting sqref="B129:C129">
    <cfRule type="cellIs" dxfId="11507" priority="2741" stopIfTrue="1" operator="equal">
      <formula>"Towel"</formula>
    </cfRule>
    <cfRule type="cellIs" dxfId="11506" priority="2742" stopIfTrue="1" operator="equal">
      <formula>"Napkin Hs"</formula>
    </cfRule>
  </conditionalFormatting>
  <conditionalFormatting sqref="C129">
    <cfRule type="cellIs" dxfId="11505" priority="2739" stopIfTrue="1" operator="equal">
      <formula>"Towel"</formula>
    </cfRule>
    <cfRule type="cellIs" dxfId="11504" priority="2740" stopIfTrue="1" operator="equal">
      <formula>"Napkin Hs"</formula>
    </cfRule>
  </conditionalFormatting>
  <conditionalFormatting sqref="C129">
    <cfRule type="cellIs" dxfId="11503" priority="2737" stopIfTrue="1" operator="equal">
      <formula>"Towel"</formula>
    </cfRule>
    <cfRule type="cellIs" dxfId="11502" priority="2738" stopIfTrue="1" operator="equal">
      <formula>"Napkin Hs"</formula>
    </cfRule>
  </conditionalFormatting>
  <conditionalFormatting sqref="B129:C129">
    <cfRule type="cellIs" dxfId="11501" priority="2735" stopIfTrue="1" operator="equal">
      <formula>"Towel"</formula>
    </cfRule>
    <cfRule type="cellIs" dxfId="11500" priority="2736" stopIfTrue="1" operator="equal">
      <formula>"Napkin Hs"</formula>
    </cfRule>
  </conditionalFormatting>
  <conditionalFormatting sqref="C129">
    <cfRule type="cellIs" dxfId="11499" priority="2733" stopIfTrue="1" operator="equal">
      <formula>"Towel"</formula>
    </cfRule>
    <cfRule type="cellIs" dxfId="11498" priority="2734" stopIfTrue="1" operator="equal">
      <formula>"Napkin Hs"</formula>
    </cfRule>
  </conditionalFormatting>
  <conditionalFormatting sqref="C129">
    <cfRule type="cellIs" dxfId="11497" priority="2731" stopIfTrue="1" operator="equal">
      <formula>"Towel"</formula>
    </cfRule>
    <cfRule type="cellIs" dxfId="11496" priority="2732" stopIfTrue="1" operator="equal">
      <formula>"Napkin Hs"</formula>
    </cfRule>
  </conditionalFormatting>
  <conditionalFormatting sqref="B129:C129">
    <cfRule type="cellIs" dxfId="11495" priority="2729" stopIfTrue="1" operator="equal">
      <formula>"Towel"</formula>
    </cfRule>
    <cfRule type="cellIs" dxfId="11494" priority="2730" stopIfTrue="1" operator="equal">
      <formula>"Napkin Hs"</formula>
    </cfRule>
  </conditionalFormatting>
  <conditionalFormatting sqref="C129">
    <cfRule type="cellIs" dxfId="11493" priority="2727" stopIfTrue="1" operator="equal">
      <formula>"Towel"</formula>
    </cfRule>
    <cfRule type="cellIs" dxfId="11492" priority="2728" stopIfTrue="1" operator="equal">
      <formula>"Napkin Hs"</formula>
    </cfRule>
  </conditionalFormatting>
  <conditionalFormatting sqref="C129">
    <cfRule type="cellIs" dxfId="11491" priority="2725" stopIfTrue="1" operator="equal">
      <formula>"Towel"</formula>
    </cfRule>
    <cfRule type="cellIs" dxfId="11490" priority="2726" stopIfTrue="1" operator="equal">
      <formula>"Napkin Hs"</formula>
    </cfRule>
  </conditionalFormatting>
  <conditionalFormatting sqref="B129:C129">
    <cfRule type="cellIs" dxfId="11489" priority="2723" stopIfTrue="1" operator="equal">
      <formula>"Towel"</formula>
    </cfRule>
    <cfRule type="cellIs" dxfId="11488" priority="2724" stopIfTrue="1" operator="equal">
      <formula>"Napkin Hs"</formula>
    </cfRule>
  </conditionalFormatting>
  <conditionalFormatting sqref="C129">
    <cfRule type="cellIs" dxfId="11487" priority="2721" stopIfTrue="1" operator="equal">
      <formula>"Towel"</formula>
    </cfRule>
    <cfRule type="cellIs" dxfId="11486" priority="2722" stopIfTrue="1" operator="equal">
      <formula>"Napkin Hs"</formula>
    </cfRule>
  </conditionalFormatting>
  <conditionalFormatting sqref="C129">
    <cfRule type="cellIs" dxfId="11485" priority="2719" stopIfTrue="1" operator="equal">
      <formula>"Towel"</formula>
    </cfRule>
    <cfRule type="cellIs" dxfId="11484" priority="2720" stopIfTrue="1" operator="equal">
      <formula>"Napkin Hs"</formula>
    </cfRule>
  </conditionalFormatting>
  <conditionalFormatting sqref="B129:C129">
    <cfRule type="cellIs" dxfId="11483" priority="2709" stopIfTrue="1" operator="equal">
      <formula>"Towel"</formula>
    </cfRule>
    <cfRule type="cellIs" dxfId="11482" priority="2710" stopIfTrue="1" operator="equal">
      <formula>"Napkin Hs"</formula>
    </cfRule>
  </conditionalFormatting>
  <conditionalFormatting sqref="C129">
    <cfRule type="cellIs" dxfId="11481" priority="2711" stopIfTrue="1" operator="equal">
      <formula>"Towel"</formula>
    </cfRule>
    <cfRule type="cellIs" dxfId="11480" priority="2712" stopIfTrue="1" operator="equal">
      <formula>"Napkin Hs"</formula>
    </cfRule>
  </conditionalFormatting>
  <conditionalFormatting sqref="C129">
    <cfRule type="cellIs" dxfId="11479" priority="2707" stopIfTrue="1" operator="equal">
      <formula>"Towel"</formula>
    </cfRule>
    <cfRule type="cellIs" dxfId="11478" priority="2708" stopIfTrue="1" operator="equal">
      <formula>"Napkin Hs"</formula>
    </cfRule>
  </conditionalFormatting>
  <conditionalFormatting sqref="B129:C129">
    <cfRule type="cellIs" dxfId="11477" priority="2706" stopIfTrue="1" operator="equal">
      <formula>"Napkin Hs"</formula>
    </cfRule>
  </conditionalFormatting>
  <conditionalFormatting sqref="B129:C129">
    <cfRule type="cellIs" dxfId="11476" priority="2705" stopIfTrue="1" operator="equal">
      <formula>"Towel"</formula>
    </cfRule>
  </conditionalFormatting>
  <conditionalFormatting sqref="C129">
    <cfRule type="cellIs" dxfId="11475" priority="2704" stopIfTrue="1" operator="equal">
      <formula>"Napkin Hs"</formula>
    </cfRule>
  </conditionalFormatting>
  <conditionalFormatting sqref="C129">
    <cfRule type="cellIs" dxfId="11474" priority="2703" stopIfTrue="1" operator="equal">
      <formula>"Towel"</formula>
    </cfRule>
  </conditionalFormatting>
  <conditionalFormatting sqref="C129">
    <cfRule type="cellIs" dxfId="11473" priority="2701" stopIfTrue="1" operator="equal">
      <formula>"Towel"</formula>
    </cfRule>
    <cfRule type="cellIs" dxfId="11472" priority="2702" stopIfTrue="1" operator="equal">
      <formula>"Napkin Hs"</formula>
    </cfRule>
  </conditionalFormatting>
  <conditionalFormatting sqref="B129:C129">
    <cfRule type="cellIs" dxfId="11471" priority="2699" stopIfTrue="1" operator="equal">
      <formula>"Towel"</formula>
    </cfRule>
    <cfRule type="cellIs" dxfId="11470" priority="2700" stopIfTrue="1" operator="equal">
      <formula>"Napkin Hs"</formula>
    </cfRule>
  </conditionalFormatting>
  <conditionalFormatting sqref="C129">
    <cfRule type="cellIs" dxfId="11469" priority="2695" stopIfTrue="1" operator="equal">
      <formula>"Towel"</formula>
    </cfRule>
    <cfRule type="cellIs" dxfId="11468" priority="2696" stopIfTrue="1" operator="equal">
      <formula>"Napkin Hs"</formula>
    </cfRule>
  </conditionalFormatting>
  <conditionalFormatting sqref="C129">
    <cfRule type="cellIs" dxfId="11467" priority="2697" stopIfTrue="1" operator="equal">
      <formula>"Towel"</formula>
    </cfRule>
    <cfRule type="cellIs" dxfId="11466" priority="2698" stopIfTrue="1" operator="equal">
      <formula>"Napkin Hs"</formula>
    </cfRule>
  </conditionalFormatting>
  <conditionalFormatting sqref="B129:C129">
    <cfRule type="cellIs" dxfId="11465" priority="2694" stopIfTrue="1" operator="equal">
      <formula>"Napkin Hs"</formula>
    </cfRule>
  </conditionalFormatting>
  <conditionalFormatting sqref="B129:C129">
    <cfRule type="cellIs" dxfId="11464" priority="2693" stopIfTrue="1" operator="equal">
      <formula>"Towel"</formula>
    </cfRule>
  </conditionalFormatting>
  <conditionalFormatting sqref="C129">
    <cfRule type="cellIs" dxfId="11463" priority="2692" stopIfTrue="1" operator="equal">
      <formula>"Napkin Hs"</formula>
    </cfRule>
  </conditionalFormatting>
  <conditionalFormatting sqref="C129">
    <cfRule type="cellIs" dxfId="11462" priority="2691" stopIfTrue="1" operator="equal">
      <formula>"Towel"</formula>
    </cfRule>
  </conditionalFormatting>
  <conditionalFormatting sqref="C129">
    <cfRule type="cellIs" dxfId="11461" priority="2689" stopIfTrue="1" operator="equal">
      <formula>"Towel"</formula>
    </cfRule>
    <cfRule type="cellIs" dxfId="11460" priority="2690" stopIfTrue="1" operator="equal">
      <formula>"Napkin Hs"</formula>
    </cfRule>
  </conditionalFormatting>
  <conditionalFormatting sqref="B129:C129">
    <cfRule type="cellIs" dxfId="11459" priority="2687" stopIfTrue="1" operator="equal">
      <formula>"Towel"</formula>
    </cfRule>
    <cfRule type="cellIs" dxfId="11458" priority="2688" stopIfTrue="1" operator="equal">
      <formula>"Napkin Hs"</formula>
    </cfRule>
  </conditionalFormatting>
  <conditionalFormatting sqref="C129">
    <cfRule type="cellIs" dxfId="11457" priority="2685" stopIfTrue="1" operator="equal">
      <formula>"Towel"</formula>
    </cfRule>
    <cfRule type="cellIs" dxfId="11456" priority="2686" stopIfTrue="1" operator="equal">
      <formula>"Napkin Hs"</formula>
    </cfRule>
  </conditionalFormatting>
  <conditionalFormatting sqref="C129">
    <cfRule type="cellIs" dxfId="11455" priority="2683" stopIfTrue="1" operator="equal">
      <formula>"Towel"</formula>
    </cfRule>
    <cfRule type="cellIs" dxfId="11454" priority="2684" stopIfTrue="1" operator="equal">
      <formula>"Napkin Hs"</formula>
    </cfRule>
  </conditionalFormatting>
  <conditionalFormatting sqref="B129:C129">
    <cfRule type="cellIs" dxfId="11453" priority="2681" stopIfTrue="1" operator="equal">
      <formula>"Towel"</formula>
    </cfRule>
    <cfRule type="cellIs" dxfId="11452" priority="2682" stopIfTrue="1" operator="equal">
      <formula>"Napkin Hs"</formula>
    </cfRule>
  </conditionalFormatting>
  <conditionalFormatting sqref="C129">
    <cfRule type="cellIs" dxfId="11451" priority="2679" stopIfTrue="1" operator="equal">
      <formula>"Towel"</formula>
    </cfRule>
    <cfRule type="cellIs" dxfId="11450" priority="2680" stopIfTrue="1" operator="equal">
      <formula>"Napkin Hs"</formula>
    </cfRule>
  </conditionalFormatting>
  <conditionalFormatting sqref="C129">
    <cfRule type="cellIs" dxfId="11449" priority="2677" stopIfTrue="1" operator="equal">
      <formula>"Towel"</formula>
    </cfRule>
    <cfRule type="cellIs" dxfId="11448" priority="2678" stopIfTrue="1" operator="equal">
      <formula>"Napkin Hs"</formula>
    </cfRule>
  </conditionalFormatting>
  <conditionalFormatting sqref="B129:C129">
    <cfRule type="cellIs" dxfId="11447" priority="2675" stopIfTrue="1" operator="equal">
      <formula>"Towel"</formula>
    </cfRule>
    <cfRule type="cellIs" dxfId="11446" priority="2676" stopIfTrue="1" operator="equal">
      <formula>"Napkin Hs"</formula>
    </cfRule>
  </conditionalFormatting>
  <conditionalFormatting sqref="C129">
    <cfRule type="cellIs" dxfId="11445" priority="2673" stopIfTrue="1" operator="equal">
      <formula>"Towel"</formula>
    </cfRule>
    <cfRule type="cellIs" dxfId="11444" priority="2674" stopIfTrue="1" operator="equal">
      <formula>"Napkin Hs"</formula>
    </cfRule>
  </conditionalFormatting>
  <conditionalFormatting sqref="C129">
    <cfRule type="cellIs" dxfId="11443" priority="2671" stopIfTrue="1" operator="equal">
      <formula>"Towel"</formula>
    </cfRule>
    <cfRule type="cellIs" dxfId="11442" priority="2672" stopIfTrue="1" operator="equal">
      <formula>"Napkin Hs"</formula>
    </cfRule>
  </conditionalFormatting>
  <conditionalFormatting sqref="B129:C129">
    <cfRule type="cellIs" dxfId="11441" priority="2669" stopIfTrue="1" operator="equal">
      <formula>"Towel"</formula>
    </cfRule>
    <cfRule type="cellIs" dxfId="11440" priority="2670" stopIfTrue="1" operator="equal">
      <formula>"Napkin Hs"</formula>
    </cfRule>
  </conditionalFormatting>
  <conditionalFormatting sqref="C129">
    <cfRule type="cellIs" dxfId="11439" priority="2667" stopIfTrue="1" operator="equal">
      <formula>"Towel"</formula>
    </cfRule>
    <cfRule type="cellIs" dxfId="11438" priority="2668" stopIfTrue="1" operator="equal">
      <formula>"Napkin Hs"</formula>
    </cfRule>
  </conditionalFormatting>
  <conditionalFormatting sqref="C129">
    <cfRule type="cellIs" dxfId="11437" priority="2665" stopIfTrue="1" operator="equal">
      <formula>"Towel"</formula>
    </cfRule>
    <cfRule type="cellIs" dxfId="11436" priority="2666" stopIfTrue="1" operator="equal">
      <formula>"Napkin Hs"</formula>
    </cfRule>
  </conditionalFormatting>
  <conditionalFormatting sqref="B129:C129">
    <cfRule type="cellIs" dxfId="11435" priority="2663" stopIfTrue="1" operator="equal">
      <formula>"Towel"</formula>
    </cfRule>
    <cfRule type="cellIs" dxfId="11434" priority="2664" stopIfTrue="1" operator="equal">
      <formula>"Napkin Hs"</formula>
    </cfRule>
  </conditionalFormatting>
  <conditionalFormatting sqref="C129">
    <cfRule type="cellIs" dxfId="11433" priority="2661" stopIfTrue="1" operator="equal">
      <formula>"Towel"</formula>
    </cfRule>
    <cfRule type="cellIs" dxfId="11432" priority="2662" stopIfTrue="1" operator="equal">
      <formula>"Napkin Hs"</formula>
    </cfRule>
  </conditionalFormatting>
  <conditionalFormatting sqref="C129">
    <cfRule type="cellIs" dxfId="11431" priority="2659" stopIfTrue="1" operator="equal">
      <formula>"Towel"</formula>
    </cfRule>
    <cfRule type="cellIs" dxfId="11430" priority="2660" stopIfTrue="1" operator="equal">
      <formula>"Napkin Hs"</formula>
    </cfRule>
  </conditionalFormatting>
  <conditionalFormatting sqref="B129:C129">
    <cfRule type="cellIs" dxfId="11429" priority="2658" stopIfTrue="1" operator="equal">
      <formula>"Napkin Hs"</formula>
    </cfRule>
  </conditionalFormatting>
  <conditionalFormatting sqref="B129:C129">
    <cfRule type="cellIs" dxfId="11428" priority="2657" stopIfTrue="1" operator="equal">
      <formula>"Towel"</formula>
    </cfRule>
  </conditionalFormatting>
  <conditionalFormatting sqref="C129">
    <cfRule type="cellIs" dxfId="11427" priority="2656" stopIfTrue="1" operator="equal">
      <formula>"Napkin Hs"</formula>
    </cfRule>
  </conditionalFormatting>
  <conditionalFormatting sqref="C129">
    <cfRule type="cellIs" dxfId="11426" priority="2653" stopIfTrue="1" operator="equal">
      <formula>"Towel"</formula>
    </cfRule>
    <cfRule type="cellIs" dxfId="11425" priority="2654" stopIfTrue="1" operator="equal">
      <formula>"Napkin Hs"</formula>
    </cfRule>
  </conditionalFormatting>
  <conditionalFormatting sqref="C129">
    <cfRule type="cellIs" dxfId="11424" priority="2655" stopIfTrue="1" operator="equal">
      <formula>"Towel"</formula>
    </cfRule>
  </conditionalFormatting>
  <conditionalFormatting sqref="B129:C129">
    <cfRule type="cellIs" dxfId="11423" priority="2652" stopIfTrue="1" operator="equal">
      <formula>"Napkin Hs"</formula>
    </cfRule>
  </conditionalFormatting>
  <conditionalFormatting sqref="B129:C129">
    <cfRule type="cellIs" dxfId="11422" priority="2651" stopIfTrue="1" operator="equal">
      <formula>"Towel"</formula>
    </cfRule>
  </conditionalFormatting>
  <conditionalFormatting sqref="C129">
    <cfRule type="cellIs" dxfId="11421" priority="2650" stopIfTrue="1" operator="equal">
      <formula>"Napkin Hs"</formula>
    </cfRule>
  </conditionalFormatting>
  <conditionalFormatting sqref="C129">
    <cfRule type="cellIs" dxfId="11420" priority="2649" stopIfTrue="1" operator="equal">
      <formula>"Towel"</formula>
    </cfRule>
  </conditionalFormatting>
  <conditionalFormatting sqref="C129">
    <cfRule type="cellIs" dxfId="11419" priority="2647" stopIfTrue="1" operator="equal">
      <formula>"Towel"</formula>
    </cfRule>
    <cfRule type="cellIs" dxfId="11418" priority="2648" stopIfTrue="1" operator="equal">
      <formula>"Napkin Hs"</formula>
    </cfRule>
  </conditionalFormatting>
  <conditionalFormatting sqref="C129">
    <cfRule type="cellIs" dxfId="11417" priority="2641" stopIfTrue="1" operator="equal">
      <formula>"Towel"</formula>
    </cfRule>
    <cfRule type="cellIs" dxfId="11416" priority="2642" stopIfTrue="1" operator="equal">
      <formula>"Napkin Hs"</formula>
    </cfRule>
  </conditionalFormatting>
  <conditionalFormatting sqref="B129:C129">
    <cfRule type="cellIs" dxfId="11415" priority="2640" stopIfTrue="1" operator="equal">
      <formula>"Napkin Hs"</formula>
    </cfRule>
  </conditionalFormatting>
  <conditionalFormatting sqref="B129:C129">
    <cfRule type="cellIs" dxfId="11414" priority="2639" stopIfTrue="1" operator="equal">
      <formula>"Towel"</formula>
    </cfRule>
  </conditionalFormatting>
  <conditionalFormatting sqref="C129">
    <cfRule type="cellIs" dxfId="11413" priority="2638" stopIfTrue="1" operator="equal">
      <formula>"Napkin Hs"</formula>
    </cfRule>
  </conditionalFormatting>
  <conditionalFormatting sqref="C129">
    <cfRule type="cellIs" dxfId="11412" priority="2637" stopIfTrue="1" operator="equal">
      <formula>"Towel"</formula>
    </cfRule>
  </conditionalFormatting>
  <conditionalFormatting sqref="C129">
    <cfRule type="cellIs" dxfId="11411" priority="2635" stopIfTrue="1" operator="equal">
      <formula>"Towel"</formula>
    </cfRule>
    <cfRule type="cellIs" dxfId="11410" priority="2636" stopIfTrue="1" operator="equal">
      <formula>"Napkin Hs"</formula>
    </cfRule>
  </conditionalFormatting>
  <conditionalFormatting sqref="C129">
    <cfRule type="cellIs" dxfId="11409" priority="2629" stopIfTrue="1" operator="equal">
      <formula>"Towel"</formula>
    </cfRule>
    <cfRule type="cellIs" dxfId="11408" priority="2630" stopIfTrue="1" operator="equal">
      <formula>"Napkin Hs"</formula>
    </cfRule>
  </conditionalFormatting>
  <conditionalFormatting sqref="C129">
    <cfRule type="cellIs" dxfId="11407" priority="2623" stopIfTrue="1" operator="equal">
      <formula>"Towel"</formula>
    </cfRule>
    <cfRule type="cellIs" dxfId="11406" priority="2624" stopIfTrue="1" operator="equal">
      <formula>"Napkin Hs"</formula>
    </cfRule>
  </conditionalFormatting>
  <conditionalFormatting sqref="C129">
    <cfRule type="cellIs" dxfId="11405" priority="2617" stopIfTrue="1" operator="equal">
      <formula>"Towel"</formula>
    </cfRule>
    <cfRule type="cellIs" dxfId="11404" priority="2618" stopIfTrue="1" operator="equal">
      <formula>"Napkin Hs"</formula>
    </cfRule>
  </conditionalFormatting>
  <conditionalFormatting sqref="C129">
    <cfRule type="cellIs" dxfId="11403" priority="2611" stopIfTrue="1" operator="equal">
      <formula>"Towel"</formula>
    </cfRule>
    <cfRule type="cellIs" dxfId="11402" priority="2612" stopIfTrue="1" operator="equal">
      <formula>"Napkin Hs"</formula>
    </cfRule>
  </conditionalFormatting>
  <conditionalFormatting sqref="C129">
    <cfRule type="cellIs" dxfId="11401" priority="2605" stopIfTrue="1" operator="equal">
      <formula>"Towel"</formula>
    </cfRule>
    <cfRule type="cellIs" dxfId="11400" priority="2606" stopIfTrue="1" operator="equal">
      <formula>"Napkin Hs"</formula>
    </cfRule>
  </conditionalFormatting>
  <conditionalFormatting sqref="B129:C129">
    <cfRule type="cellIs" dxfId="11399" priority="2604" stopIfTrue="1" operator="equal">
      <formula>"Napkin Hs"</formula>
    </cfRule>
  </conditionalFormatting>
  <conditionalFormatting sqref="B129:C129">
    <cfRule type="cellIs" dxfId="11398" priority="2603" stopIfTrue="1" operator="equal">
      <formula>"Towel"</formula>
    </cfRule>
  </conditionalFormatting>
  <conditionalFormatting sqref="C129">
    <cfRule type="cellIs" dxfId="11397" priority="2602" stopIfTrue="1" operator="equal">
      <formula>"Napkin Hs"</formula>
    </cfRule>
  </conditionalFormatting>
  <conditionalFormatting sqref="C129">
    <cfRule type="cellIs" dxfId="11396" priority="2599" stopIfTrue="1" operator="equal">
      <formula>"Towel"</formula>
    </cfRule>
    <cfRule type="cellIs" dxfId="11395" priority="2600" stopIfTrue="1" operator="equal">
      <formula>"Napkin Hs"</formula>
    </cfRule>
  </conditionalFormatting>
  <conditionalFormatting sqref="C129">
    <cfRule type="cellIs" dxfId="11394" priority="2601" stopIfTrue="1" operator="equal">
      <formula>"Towel"</formula>
    </cfRule>
  </conditionalFormatting>
  <conditionalFormatting sqref="B129:C129">
    <cfRule type="cellIs" dxfId="11393" priority="2598" stopIfTrue="1" operator="equal">
      <formula>"Napkin Hs"</formula>
    </cfRule>
  </conditionalFormatting>
  <conditionalFormatting sqref="B129:C129">
    <cfRule type="cellIs" dxfId="11392" priority="2597" stopIfTrue="1" operator="equal">
      <formula>"Towel"</formula>
    </cfRule>
  </conditionalFormatting>
  <conditionalFormatting sqref="C129">
    <cfRule type="cellIs" dxfId="11391" priority="2596" stopIfTrue="1" operator="equal">
      <formula>"Napkin Hs"</formula>
    </cfRule>
  </conditionalFormatting>
  <conditionalFormatting sqref="C129">
    <cfRule type="cellIs" dxfId="11390" priority="2593" stopIfTrue="1" operator="equal">
      <formula>"Towel"</formula>
    </cfRule>
    <cfRule type="cellIs" dxfId="11389" priority="2594" stopIfTrue="1" operator="equal">
      <formula>"Napkin Hs"</formula>
    </cfRule>
  </conditionalFormatting>
  <conditionalFormatting sqref="C129">
    <cfRule type="cellIs" dxfId="11388" priority="2595" stopIfTrue="1" operator="equal">
      <formula>"Towel"</formula>
    </cfRule>
  </conditionalFormatting>
  <conditionalFormatting sqref="B129:C129">
    <cfRule type="cellIs" dxfId="11387" priority="2645" stopIfTrue="1" operator="equal">
      <formula>"Towel"</formula>
    </cfRule>
    <cfRule type="cellIs" dxfId="11386" priority="2646" stopIfTrue="1" operator="equal">
      <formula>"Napkin Hs"</formula>
    </cfRule>
  </conditionalFormatting>
  <conditionalFormatting sqref="C129">
    <cfRule type="cellIs" dxfId="11385" priority="2643" stopIfTrue="1" operator="equal">
      <formula>"Towel"</formula>
    </cfRule>
    <cfRule type="cellIs" dxfId="11384" priority="2644" stopIfTrue="1" operator="equal">
      <formula>"Napkin Hs"</formula>
    </cfRule>
  </conditionalFormatting>
  <conditionalFormatting sqref="B129:C129">
    <cfRule type="cellIs" dxfId="11383" priority="2633" stopIfTrue="1" operator="equal">
      <formula>"Towel"</formula>
    </cfRule>
    <cfRule type="cellIs" dxfId="11382" priority="2634" stopIfTrue="1" operator="equal">
      <formula>"Napkin Hs"</formula>
    </cfRule>
  </conditionalFormatting>
  <conditionalFormatting sqref="C129">
    <cfRule type="cellIs" dxfId="11381" priority="2631" stopIfTrue="1" operator="equal">
      <formula>"Towel"</formula>
    </cfRule>
    <cfRule type="cellIs" dxfId="11380" priority="2632" stopIfTrue="1" operator="equal">
      <formula>"Napkin Hs"</formula>
    </cfRule>
  </conditionalFormatting>
  <conditionalFormatting sqref="B129:C129">
    <cfRule type="cellIs" dxfId="11379" priority="2627" stopIfTrue="1" operator="equal">
      <formula>"Towel"</formula>
    </cfRule>
    <cfRule type="cellIs" dxfId="11378" priority="2628" stopIfTrue="1" operator="equal">
      <formula>"Napkin Hs"</formula>
    </cfRule>
  </conditionalFormatting>
  <conditionalFormatting sqref="C129">
    <cfRule type="cellIs" dxfId="11377" priority="2625" stopIfTrue="1" operator="equal">
      <formula>"Towel"</formula>
    </cfRule>
    <cfRule type="cellIs" dxfId="11376" priority="2626" stopIfTrue="1" operator="equal">
      <formula>"Napkin Hs"</formula>
    </cfRule>
  </conditionalFormatting>
  <conditionalFormatting sqref="B129:C129">
    <cfRule type="cellIs" dxfId="11375" priority="2621" stopIfTrue="1" operator="equal">
      <formula>"Towel"</formula>
    </cfRule>
    <cfRule type="cellIs" dxfId="11374" priority="2622" stopIfTrue="1" operator="equal">
      <formula>"Napkin Hs"</formula>
    </cfRule>
  </conditionalFormatting>
  <conditionalFormatting sqref="C129">
    <cfRule type="cellIs" dxfId="11373" priority="2619" stopIfTrue="1" operator="equal">
      <formula>"Towel"</formula>
    </cfRule>
    <cfRule type="cellIs" dxfId="11372" priority="2620" stopIfTrue="1" operator="equal">
      <formula>"Napkin Hs"</formula>
    </cfRule>
  </conditionalFormatting>
  <conditionalFormatting sqref="B129:C129">
    <cfRule type="cellIs" dxfId="11371" priority="2615" stopIfTrue="1" operator="equal">
      <formula>"Towel"</formula>
    </cfRule>
    <cfRule type="cellIs" dxfId="11370" priority="2616" stopIfTrue="1" operator="equal">
      <formula>"Napkin Hs"</formula>
    </cfRule>
  </conditionalFormatting>
  <conditionalFormatting sqref="C129">
    <cfRule type="cellIs" dxfId="11369" priority="2613" stopIfTrue="1" operator="equal">
      <formula>"Towel"</formula>
    </cfRule>
    <cfRule type="cellIs" dxfId="11368" priority="2614" stopIfTrue="1" operator="equal">
      <formula>"Napkin Hs"</formula>
    </cfRule>
  </conditionalFormatting>
  <conditionalFormatting sqref="B129:C129">
    <cfRule type="cellIs" dxfId="11367" priority="2609" stopIfTrue="1" operator="equal">
      <formula>"Towel"</formula>
    </cfRule>
    <cfRule type="cellIs" dxfId="11366" priority="2610" stopIfTrue="1" operator="equal">
      <formula>"Napkin Hs"</formula>
    </cfRule>
  </conditionalFormatting>
  <conditionalFormatting sqref="C129">
    <cfRule type="cellIs" dxfId="11365" priority="2607" stopIfTrue="1" operator="equal">
      <formula>"Towel"</formula>
    </cfRule>
    <cfRule type="cellIs" dxfId="11364" priority="2608" stopIfTrue="1" operator="equal">
      <formula>"Napkin Hs"</formula>
    </cfRule>
  </conditionalFormatting>
  <conditionalFormatting sqref="B129:C129">
    <cfRule type="cellIs" dxfId="11363" priority="2592" stopIfTrue="1" operator="equal">
      <formula>"Napkin Hs"</formula>
    </cfRule>
  </conditionalFormatting>
  <conditionalFormatting sqref="B129:C129">
    <cfRule type="cellIs" dxfId="11362" priority="2591" stopIfTrue="1" operator="equal">
      <formula>"Towel"</formula>
    </cfRule>
  </conditionalFormatting>
  <conditionalFormatting sqref="C129">
    <cfRule type="cellIs" dxfId="11361" priority="2590" stopIfTrue="1" operator="equal">
      <formula>"Napkin Hs"</formula>
    </cfRule>
  </conditionalFormatting>
  <conditionalFormatting sqref="C129">
    <cfRule type="cellIs" dxfId="11360" priority="2587" stopIfTrue="1" operator="equal">
      <formula>"Towel"</formula>
    </cfRule>
    <cfRule type="cellIs" dxfId="11359" priority="2588" stopIfTrue="1" operator="equal">
      <formula>"Napkin Hs"</formula>
    </cfRule>
  </conditionalFormatting>
  <conditionalFormatting sqref="C129">
    <cfRule type="cellIs" dxfId="11358" priority="2589" stopIfTrue="1" operator="equal">
      <formula>"Towel"</formula>
    </cfRule>
  </conditionalFormatting>
  <conditionalFormatting sqref="C136">
    <cfRule type="cellIs" dxfId="11357" priority="2581" stopIfTrue="1" operator="equal">
      <formula>"Towel"</formula>
    </cfRule>
    <cfRule type="cellIs" dxfId="11356" priority="2582" stopIfTrue="1" operator="equal">
      <formula>"Napkin Hs"</formula>
    </cfRule>
  </conditionalFormatting>
  <conditionalFormatting sqref="B136:C136">
    <cfRule type="cellIs" dxfId="11355" priority="2586" stopIfTrue="1" operator="equal">
      <formula>"Napkin Hs"</formula>
    </cfRule>
  </conditionalFormatting>
  <conditionalFormatting sqref="B136:C136">
    <cfRule type="cellIs" dxfId="11354" priority="2585" stopIfTrue="1" operator="equal">
      <formula>"Towel"</formula>
    </cfRule>
  </conditionalFormatting>
  <conditionalFormatting sqref="C136">
    <cfRule type="cellIs" dxfId="11353" priority="2584" stopIfTrue="1" operator="equal">
      <formula>"Napkin Hs"</formula>
    </cfRule>
  </conditionalFormatting>
  <conditionalFormatting sqref="C136">
    <cfRule type="cellIs" dxfId="11352" priority="2583" stopIfTrue="1" operator="equal">
      <formula>"Towel"</formula>
    </cfRule>
  </conditionalFormatting>
  <conditionalFormatting sqref="C133:C135">
    <cfRule type="cellIs" dxfId="11351" priority="2241" stopIfTrue="1" operator="equal">
      <formula>"Towel"</formula>
    </cfRule>
    <cfRule type="cellIs" dxfId="11350" priority="2242" stopIfTrue="1" operator="equal">
      <formula>"Napkin Hs"</formula>
    </cfRule>
  </conditionalFormatting>
  <conditionalFormatting sqref="C133:C135">
    <cfRule type="cellIs" dxfId="11349" priority="2239" stopIfTrue="1" operator="equal">
      <formula>"Towel"</formula>
    </cfRule>
    <cfRule type="cellIs" dxfId="11348" priority="2240" stopIfTrue="1" operator="equal">
      <formula>"Napkin Hs"</formula>
    </cfRule>
  </conditionalFormatting>
  <conditionalFormatting sqref="B133:C135">
    <cfRule type="cellIs" dxfId="11347" priority="2190" stopIfTrue="1" operator="equal">
      <formula>"Napkin Hs"</formula>
    </cfRule>
  </conditionalFormatting>
  <conditionalFormatting sqref="B133:C135">
    <cfRule type="cellIs" dxfId="11346" priority="2189" stopIfTrue="1" operator="equal">
      <formula>"Towel"</formula>
    </cfRule>
  </conditionalFormatting>
  <conditionalFormatting sqref="B133:C135">
    <cfRule type="cellIs" dxfId="11345" priority="2243" stopIfTrue="1" operator="equal">
      <formula>"Towel"</formula>
    </cfRule>
    <cfRule type="cellIs" dxfId="11344" priority="2244" stopIfTrue="1" operator="equal">
      <formula>"Napkin Hs"</formula>
    </cfRule>
  </conditionalFormatting>
  <conditionalFormatting sqref="C133:C135">
    <cfRule type="cellIs" dxfId="11343" priority="2188" stopIfTrue="1" operator="equal">
      <formula>"Napkin Hs"</formula>
    </cfRule>
  </conditionalFormatting>
  <conditionalFormatting sqref="C133:C135">
    <cfRule type="cellIs" dxfId="11342" priority="2187" stopIfTrue="1" operator="equal">
      <formula>"Towel"</formula>
    </cfRule>
  </conditionalFormatting>
  <conditionalFormatting sqref="C133:C135">
    <cfRule type="cellIs" dxfId="11341" priority="2185" stopIfTrue="1" operator="equal">
      <formula>"Towel"</formula>
    </cfRule>
    <cfRule type="cellIs" dxfId="11340" priority="2186" stopIfTrue="1" operator="equal">
      <formula>"Napkin Hs"</formula>
    </cfRule>
  </conditionalFormatting>
  <conditionalFormatting sqref="B133:C135">
    <cfRule type="cellIs" dxfId="11339" priority="2238" stopIfTrue="1" operator="equal">
      <formula>"Napkin Hs"</formula>
    </cfRule>
  </conditionalFormatting>
  <conditionalFormatting sqref="B133:C135">
    <cfRule type="cellIs" dxfId="11338" priority="2237" stopIfTrue="1" operator="equal">
      <formula>"Towel"</formula>
    </cfRule>
  </conditionalFormatting>
  <conditionalFormatting sqref="C133:C135">
    <cfRule type="cellIs" dxfId="11337" priority="2236" stopIfTrue="1" operator="equal">
      <formula>"Napkin Hs"</formula>
    </cfRule>
  </conditionalFormatting>
  <conditionalFormatting sqref="C133:C135">
    <cfRule type="cellIs" dxfId="11336" priority="2235" stopIfTrue="1" operator="equal">
      <formula>"Towel"</formula>
    </cfRule>
  </conditionalFormatting>
  <conditionalFormatting sqref="C133:C135">
    <cfRule type="cellIs" dxfId="11335" priority="2233" stopIfTrue="1" operator="equal">
      <formula>"Towel"</formula>
    </cfRule>
    <cfRule type="cellIs" dxfId="11334" priority="2234" stopIfTrue="1" operator="equal">
      <formula>"Napkin Hs"</formula>
    </cfRule>
  </conditionalFormatting>
  <conditionalFormatting sqref="B133:C135">
    <cfRule type="cellIs" dxfId="11333" priority="2231" stopIfTrue="1" operator="equal">
      <formula>"Towel"</formula>
    </cfRule>
    <cfRule type="cellIs" dxfId="11332" priority="2232" stopIfTrue="1" operator="equal">
      <formula>"Napkin Hs"</formula>
    </cfRule>
  </conditionalFormatting>
  <conditionalFormatting sqref="C133:C135">
    <cfRule type="cellIs" dxfId="11331" priority="2227" stopIfTrue="1" operator="equal">
      <formula>"Towel"</formula>
    </cfRule>
    <cfRule type="cellIs" dxfId="11330" priority="2228" stopIfTrue="1" operator="equal">
      <formula>"Napkin Hs"</formula>
    </cfRule>
  </conditionalFormatting>
  <conditionalFormatting sqref="C133:C135">
    <cfRule type="cellIs" dxfId="11329" priority="2229" stopIfTrue="1" operator="equal">
      <formula>"Towel"</formula>
    </cfRule>
    <cfRule type="cellIs" dxfId="11328" priority="2230" stopIfTrue="1" operator="equal">
      <formula>"Napkin Hs"</formula>
    </cfRule>
  </conditionalFormatting>
  <conditionalFormatting sqref="B133:C135">
    <cfRule type="cellIs" dxfId="11327" priority="2226" stopIfTrue="1" operator="equal">
      <formula>"Napkin Hs"</formula>
    </cfRule>
  </conditionalFormatting>
  <conditionalFormatting sqref="B133:C135">
    <cfRule type="cellIs" dxfId="11326" priority="2225" stopIfTrue="1" operator="equal">
      <formula>"Towel"</formula>
    </cfRule>
  </conditionalFormatting>
  <conditionalFormatting sqref="C133:C135">
    <cfRule type="cellIs" dxfId="11325" priority="2224" stopIfTrue="1" operator="equal">
      <formula>"Napkin Hs"</formula>
    </cfRule>
  </conditionalFormatting>
  <conditionalFormatting sqref="C133:C135">
    <cfRule type="cellIs" dxfId="11324" priority="2223" stopIfTrue="1" operator="equal">
      <formula>"Towel"</formula>
    </cfRule>
  </conditionalFormatting>
  <conditionalFormatting sqref="C133:C135">
    <cfRule type="cellIs" dxfId="11323" priority="2221" stopIfTrue="1" operator="equal">
      <formula>"Towel"</formula>
    </cfRule>
    <cfRule type="cellIs" dxfId="11322" priority="2222" stopIfTrue="1" operator="equal">
      <formula>"Napkin Hs"</formula>
    </cfRule>
  </conditionalFormatting>
  <conditionalFormatting sqref="B133:C135">
    <cfRule type="cellIs" dxfId="11321" priority="2219" stopIfTrue="1" operator="equal">
      <formula>"Towel"</formula>
    </cfRule>
    <cfRule type="cellIs" dxfId="11320" priority="2220" stopIfTrue="1" operator="equal">
      <formula>"Napkin Hs"</formula>
    </cfRule>
  </conditionalFormatting>
  <conditionalFormatting sqref="C133:C135">
    <cfRule type="cellIs" dxfId="11319" priority="2217" stopIfTrue="1" operator="equal">
      <formula>"Towel"</formula>
    </cfRule>
    <cfRule type="cellIs" dxfId="11318" priority="2218" stopIfTrue="1" operator="equal">
      <formula>"Napkin Hs"</formula>
    </cfRule>
  </conditionalFormatting>
  <conditionalFormatting sqref="C133:C135">
    <cfRule type="cellIs" dxfId="11317" priority="2215" stopIfTrue="1" operator="equal">
      <formula>"Towel"</formula>
    </cfRule>
    <cfRule type="cellIs" dxfId="11316" priority="2216" stopIfTrue="1" operator="equal">
      <formula>"Napkin Hs"</formula>
    </cfRule>
  </conditionalFormatting>
  <conditionalFormatting sqref="B133:C135">
    <cfRule type="cellIs" dxfId="11315" priority="2213" stopIfTrue="1" operator="equal">
      <formula>"Towel"</formula>
    </cfRule>
    <cfRule type="cellIs" dxfId="11314" priority="2214" stopIfTrue="1" operator="equal">
      <formula>"Napkin Hs"</formula>
    </cfRule>
  </conditionalFormatting>
  <conditionalFormatting sqref="C133:C135">
    <cfRule type="cellIs" dxfId="11313" priority="2211" stopIfTrue="1" operator="equal">
      <formula>"Towel"</formula>
    </cfRule>
    <cfRule type="cellIs" dxfId="11312" priority="2212" stopIfTrue="1" operator="equal">
      <formula>"Napkin Hs"</formula>
    </cfRule>
  </conditionalFormatting>
  <conditionalFormatting sqref="C133:C135">
    <cfRule type="cellIs" dxfId="11311" priority="2209" stopIfTrue="1" operator="equal">
      <formula>"Towel"</formula>
    </cfRule>
    <cfRule type="cellIs" dxfId="11310" priority="2210" stopIfTrue="1" operator="equal">
      <formula>"Napkin Hs"</formula>
    </cfRule>
  </conditionalFormatting>
  <conditionalFormatting sqref="B133:C135">
    <cfRule type="cellIs" dxfId="11309" priority="2207" stopIfTrue="1" operator="equal">
      <formula>"Towel"</formula>
    </cfRule>
    <cfRule type="cellIs" dxfId="11308" priority="2208" stopIfTrue="1" operator="equal">
      <formula>"Napkin Hs"</formula>
    </cfRule>
  </conditionalFormatting>
  <conditionalFormatting sqref="C133:C135">
    <cfRule type="cellIs" dxfId="11307" priority="2205" stopIfTrue="1" operator="equal">
      <formula>"Towel"</formula>
    </cfRule>
    <cfRule type="cellIs" dxfId="11306" priority="2206" stopIfTrue="1" operator="equal">
      <formula>"Napkin Hs"</formula>
    </cfRule>
  </conditionalFormatting>
  <conditionalFormatting sqref="C133:C135">
    <cfRule type="cellIs" dxfId="11305" priority="2203" stopIfTrue="1" operator="equal">
      <formula>"Towel"</formula>
    </cfRule>
    <cfRule type="cellIs" dxfId="11304" priority="2204" stopIfTrue="1" operator="equal">
      <formula>"Napkin Hs"</formula>
    </cfRule>
  </conditionalFormatting>
  <conditionalFormatting sqref="B133:C135">
    <cfRule type="cellIs" dxfId="11303" priority="2201" stopIfTrue="1" operator="equal">
      <formula>"Towel"</formula>
    </cfRule>
    <cfRule type="cellIs" dxfId="11302" priority="2202" stopIfTrue="1" operator="equal">
      <formula>"Napkin Hs"</formula>
    </cfRule>
  </conditionalFormatting>
  <conditionalFormatting sqref="C133:C135">
    <cfRule type="cellIs" dxfId="11301" priority="2199" stopIfTrue="1" operator="equal">
      <formula>"Towel"</formula>
    </cfRule>
    <cfRule type="cellIs" dxfId="11300" priority="2200" stopIfTrue="1" operator="equal">
      <formula>"Napkin Hs"</formula>
    </cfRule>
  </conditionalFormatting>
  <conditionalFormatting sqref="C133:C135">
    <cfRule type="cellIs" dxfId="11299" priority="2197" stopIfTrue="1" operator="equal">
      <formula>"Towel"</formula>
    </cfRule>
    <cfRule type="cellIs" dxfId="11298" priority="2198" stopIfTrue="1" operator="equal">
      <formula>"Napkin Hs"</formula>
    </cfRule>
  </conditionalFormatting>
  <conditionalFormatting sqref="B133:C135">
    <cfRule type="cellIs" dxfId="11297" priority="2195" stopIfTrue="1" operator="equal">
      <formula>"Towel"</formula>
    </cfRule>
    <cfRule type="cellIs" dxfId="11296" priority="2196" stopIfTrue="1" operator="equal">
      <formula>"Napkin Hs"</formula>
    </cfRule>
  </conditionalFormatting>
  <conditionalFormatting sqref="C133:C135">
    <cfRule type="cellIs" dxfId="11295" priority="2193" stopIfTrue="1" operator="equal">
      <formula>"Towel"</formula>
    </cfRule>
    <cfRule type="cellIs" dxfId="11294" priority="2194" stopIfTrue="1" operator="equal">
      <formula>"Napkin Hs"</formula>
    </cfRule>
  </conditionalFormatting>
  <conditionalFormatting sqref="C133:C135">
    <cfRule type="cellIs" dxfId="11293" priority="2191" stopIfTrue="1" operator="equal">
      <formula>"Towel"</formula>
    </cfRule>
    <cfRule type="cellIs" dxfId="11292" priority="2192" stopIfTrue="1" operator="equal">
      <formula>"Napkin Hs"</formula>
    </cfRule>
  </conditionalFormatting>
  <conditionalFormatting sqref="B133:C135">
    <cfRule type="cellIs" dxfId="11291" priority="2181" stopIfTrue="1" operator="equal">
      <formula>"Towel"</formula>
    </cfRule>
    <cfRule type="cellIs" dxfId="11290" priority="2182" stopIfTrue="1" operator="equal">
      <formula>"Napkin Hs"</formula>
    </cfRule>
  </conditionalFormatting>
  <conditionalFormatting sqref="C133:C135">
    <cfRule type="cellIs" dxfId="11289" priority="2183" stopIfTrue="1" operator="equal">
      <formula>"Towel"</formula>
    </cfRule>
    <cfRule type="cellIs" dxfId="11288" priority="2184" stopIfTrue="1" operator="equal">
      <formula>"Napkin Hs"</formula>
    </cfRule>
  </conditionalFormatting>
  <conditionalFormatting sqref="C133:C135">
    <cfRule type="cellIs" dxfId="11287" priority="2179" stopIfTrue="1" operator="equal">
      <formula>"Towel"</formula>
    </cfRule>
    <cfRule type="cellIs" dxfId="11286" priority="2180" stopIfTrue="1" operator="equal">
      <formula>"Napkin Hs"</formula>
    </cfRule>
  </conditionalFormatting>
  <conditionalFormatting sqref="B133:C135">
    <cfRule type="cellIs" dxfId="11285" priority="2178" stopIfTrue="1" operator="equal">
      <formula>"Napkin Hs"</formula>
    </cfRule>
  </conditionalFormatting>
  <conditionalFormatting sqref="B133:C135">
    <cfRule type="cellIs" dxfId="11284" priority="2177" stopIfTrue="1" operator="equal">
      <formula>"Towel"</formula>
    </cfRule>
  </conditionalFormatting>
  <conditionalFormatting sqref="C133:C135">
    <cfRule type="cellIs" dxfId="11283" priority="2176" stopIfTrue="1" operator="equal">
      <formula>"Napkin Hs"</formula>
    </cfRule>
  </conditionalFormatting>
  <conditionalFormatting sqref="C133:C135">
    <cfRule type="cellIs" dxfId="11282" priority="2175" stopIfTrue="1" operator="equal">
      <formula>"Towel"</formula>
    </cfRule>
  </conditionalFormatting>
  <conditionalFormatting sqref="C133:C135">
    <cfRule type="cellIs" dxfId="11281" priority="2173" stopIfTrue="1" operator="equal">
      <formula>"Towel"</formula>
    </cfRule>
    <cfRule type="cellIs" dxfId="11280" priority="2174" stopIfTrue="1" operator="equal">
      <formula>"Napkin Hs"</formula>
    </cfRule>
  </conditionalFormatting>
  <conditionalFormatting sqref="B133:C135">
    <cfRule type="cellIs" dxfId="11279" priority="2171" stopIfTrue="1" operator="equal">
      <formula>"Towel"</formula>
    </cfRule>
    <cfRule type="cellIs" dxfId="11278" priority="2172" stopIfTrue="1" operator="equal">
      <formula>"Napkin Hs"</formula>
    </cfRule>
  </conditionalFormatting>
  <conditionalFormatting sqref="C133:C135">
    <cfRule type="cellIs" dxfId="11277" priority="2167" stopIfTrue="1" operator="equal">
      <formula>"Towel"</formula>
    </cfRule>
    <cfRule type="cellIs" dxfId="11276" priority="2168" stopIfTrue="1" operator="equal">
      <formula>"Napkin Hs"</formula>
    </cfRule>
  </conditionalFormatting>
  <conditionalFormatting sqref="C133:C135">
    <cfRule type="cellIs" dxfId="11275" priority="2169" stopIfTrue="1" operator="equal">
      <formula>"Towel"</formula>
    </cfRule>
    <cfRule type="cellIs" dxfId="11274" priority="2170" stopIfTrue="1" operator="equal">
      <formula>"Napkin Hs"</formula>
    </cfRule>
  </conditionalFormatting>
  <conditionalFormatting sqref="B133:C135">
    <cfRule type="cellIs" dxfId="11273" priority="2166" stopIfTrue="1" operator="equal">
      <formula>"Napkin Hs"</formula>
    </cfRule>
  </conditionalFormatting>
  <conditionalFormatting sqref="B133:C135">
    <cfRule type="cellIs" dxfId="11272" priority="2165" stopIfTrue="1" operator="equal">
      <formula>"Towel"</formula>
    </cfRule>
  </conditionalFormatting>
  <conditionalFormatting sqref="C133:C135">
    <cfRule type="cellIs" dxfId="11271" priority="2164" stopIfTrue="1" operator="equal">
      <formula>"Napkin Hs"</formula>
    </cfRule>
  </conditionalFormatting>
  <conditionalFormatting sqref="C133:C135">
    <cfRule type="cellIs" dxfId="11270" priority="2163" stopIfTrue="1" operator="equal">
      <formula>"Towel"</formula>
    </cfRule>
  </conditionalFormatting>
  <conditionalFormatting sqref="C133:C135">
    <cfRule type="cellIs" dxfId="11269" priority="2161" stopIfTrue="1" operator="equal">
      <formula>"Towel"</formula>
    </cfRule>
    <cfRule type="cellIs" dxfId="11268" priority="2162" stopIfTrue="1" operator="equal">
      <formula>"Napkin Hs"</formula>
    </cfRule>
  </conditionalFormatting>
  <conditionalFormatting sqref="B133:C135">
    <cfRule type="cellIs" dxfId="11267" priority="2159" stopIfTrue="1" operator="equal">
      <formula>"Towel"</formula>
    </cfRule>
    <cfRule type="cellIs" dxfId="11266" priority="2160" stopIfTrue="1" operator="equal">
      <formula>"Napkin Hs"</formula>
    </cfRule>
  </conditionalFormatting>
  <conditionalFormatting sqref="C133:C135">
    <cfRule type="cellIs" dxfId="11265" priority="2157" stopIfTrue="1" operator="equal">
      <formula>"Towel"</formula>
    </cfRule>
    <cfRule type="cellIs" dxfId="11264" priority="2158" stopIfTrue="1" operator="equal">
      <formula>"Napkin Hs"</formula>
    </cfRule>
  </conditionalFormatting>
  <conditionalFormatting sqref="C133:C135">
    <cfRule type="cellIs" dxfId="11263" priority="2155" stopIfTrue="1" operator="equal">
      <formula>"Towel"</formula>
    </cfRule>
    <cfRule type="cellIs" dxfId="11262" priority="2156" stopIfTrue="1" operator="equal">
      <formula>"Napkin Hs"</formula>
    </cfRule>
  </conditionalFormatting>
  <conditionalFormatting sqref="B133:C135">
    <cfRule type="cellIs" dxfId="11261" priority="2153" stopIfTrue="1" operator="equal">
      <formula>"Towel"</formula>
    </cfRule>
    <cfRule type="cellIs" dxfId="11260" priority="2154" stopIfTrue="1" operator="equal">
      <formula>"Napkin Hs"</formula>
    </cfRule>
  </conditionalFormatting>
  <conditionalFormatting sqref="C133:C135">
    <cfRule type="cellIs" dxfId="11259" priority="2151" stopIfTrue="1" operator="equal">
      <formula>"Towel"</formula>
    </cfRule>
    <cfRule type="cellIs" dxfId="11258" priority="2152" stopIfTrue="1" operator="equal">
      <formula>"Napkin Hs"</formula>
    </cfRule>
  </conditionalFormatting>
  <conditionalFormatting sqref="C133:C135">
    <cfRule type="cellIs" dxfId="11257" priority="2149" stopIfTrue="1" operator="equal">
      <formula>"Towel"</formula>
    </cfRule>
    <cfRule type="cellIs" dxfId="11256" priority="2150" stopIfTrue="1" operator="equal">
      <formula>"Napkin Hs"</formula>
    </cfRule>
  </conditionalFormatting>
  <conditionalFormatting sqref="B133:C135">
    <cfRule type="cellIs" dxfId="11255" priority="2147" stopIfTrue="1" operator="equal">
      <formula>"Towel"</formula>
    </cfRule>
    <cfRule type="cellIs" dxfId="11254" priority="2148" stopIfTrue="1" operator="equal">
      <formula>"Napkin Hs"</formula>
    </cfRule>
  </conditionalFormatting>
  <conditionalFormatting sqref="C133:C135">
    <cfRule type="cellIs" dxfId="11253" priority="2145" stopIfTrue="1" operator="equal">
      <formula>"Towel"</formula>
    </cfRule>
    <cfRule type="cellIs" dxfId="11252" priority="2146" stopIfTrue="1" operator="equal">
      <formula>"Napkin Hs"</formula>
    </cfRule>
  </conditionalFormatting>
  <conditionalFormatting sqref="C133:C135">
    <cfRule type="cellIs" dxfId="11251" priority="2143" stopIfTrue="1" operator="equal">
      <formula>"Towel"</formula>
    </cfRule>
    <cfRule type="cellIs" dxfId="11250" priority="2144" stopIfTrue="1" operator="equal">
      <formula>"Napkin Hs"</formula>
    </cfRule>
  </conditionalFormatting>
  <conditionalFormatting sqref="B133:C135">
    <cfRule type="cellIs" dxfId="11249" priority="2141" stopIfTrue="1" operator="equal">
      <formula>"Towel"</formula>
    </cfRule>
    <cfRule type="cellIs" dxfId="11248" priority="2142" stopIfTrue="1" operator="equal">
      <formula>"Napkin Hs"</formula>
    </cfRule>
  </conditionalFormatting>
  <conditionalFormatting sqref="C133:C135">
    <cfRule type="cellIs" dxfId="11247" priority="2139" stopIfTrue="1" operator="equal">
      <formula>"Towel"</formula>
    </cfRule>
    <cfRule type="cellIs" dxfId="11246" priority="2140" stopIfTrue="1" operator="equal">
      <formula>"Napkin Hs"</formula>
    </cfRule>
  </conditionalFormatting>
  <conditionalFormatting sqref="C133:C135">
    <cfRule type="cellIs" dxfId="11245" priority="2137" stopIfTrue="1" operator="equal">
      <formula>"Towel"</formula>
    </cfRule>
    <cfRule type="cellIs" dxfId="11244" priority="2138" stopIfTrue="1" operator="equal">
      <formula>"Napkin Hs"</formula>
    </cfRule>
  </conditionalFormatting>
  <conditionalFormatting sqref="B133:C135">
    <cfRule type="cellIs" dxfId="11243" priority="2135" stopIfTrue="1" operator="equal">
      <formula>"Towel"</formula>
    </cfRule>
    <cfRule type="cellIs" dxfId="11242" priority="2136" stopIfTrue="1" operator="equal">
      <formula>"Napkin Hs"</formula>
    </cfRule>
  </conditionalFormatting>
  <conditionalFormatting sqref="C133:C135">
    <cfRule type="cellIs" dxfId="11241" priority="2133" stopIfTrue="1" operator="equal">
      <formula>"Towel"</formula>
    </cfRule>
    <cfRule type="cellIs" dxfId="11240" priority="2134" stopIfTrue="1" operator="equal">
      <formula>"Napkin Hs"</formula>
    </cfRule>
  </conditionalFormatting>
  <conditionalFormatting sqref="C133:C135">
    <cfRule type="cellIs" dxfId="11239" priority="2131" stopIfTrue="1" operator="equal">
      <formula>"Towel"</formula>
    </cfRule>
    <cfRule type="cellIs" dxfId="11238" priority="2132" stopIfTrue="1" operator="equal">
      <formula>"Napkin Hs"</formula>
    </cfRule>
  </conditionalFormatting>
  <conditionalFormatting sqref="B133:C135">
    <cfRule type="cellIs" dxfId="11237" priority="2130" stopIfTrue="1" operator="equal">
      <formula>"Napkin Hs"</formula>
    </cfRule>
  </conditionalFormatting>
  <conditionalFormatting sqref="B133:C135">
    <cfRule type="cellIs" dxfId="11236" priority="2129" stopIfTrue="1" operator="equal">
      <formula>"Towel"</formula>
    </cfRule>
  </conditionalFormatting>
  <conditionalFormatting sqref="C133:C135">
    <cfRule type="cellIs" dxfId="11235" priority="2128" stopIfTrue="1" operator="equal">
      <formula>"Napkin Hs"</formula>
    </cfRule>
  </conditionalFormatting>
  <conditionalFormatting sqref="C133:C135">
    <cfRule type="cellIs" dxfId="11234" priority="2125" stopIfTrue="1" operator="equal">
      <formula>"Towel"</formula>
    </cfRule>
    <cfRule type="cellIs" dxfId="11233" priority="2126" stopIfTrue="1" operator="equal">
      <formula>"Napkin Hs"</formula>
    </cfRule>
  </conditionalFormatting>
  <conditionalFormatting sqref="C133:C135">
    <cfRule type="cellIs" dxfId="11232" priority="2127" stopIfTrue="1" operator="equal">
      <formula>"Towel"</formula>
    </cfRule>
  </conditionalFormatting>
  <conditionalFormatting sqref="B133:C135">
    <cfRule type="cellIs" dxfId="11231" priority="2124" stopIfTrue="1" operator="equal">
      <formula>"Napkin Hs"</formula>
    </cfRule>
  </conditionalFormatting>
  <conditionalFormatting sqref="B133:C135">
    <cfRule type="cellIs" dxfId="11230" priority="2123" stopIfTrue="1" operator="equal">
      <formula>"Towel"</formula>
    </cfRule>
  </conditionalFormatting>
  <conditionalFormatting sqref="C133:C135">
    <cfRule type="cellIs" dxfId="11229" priority="2122" stopIfTrue="1" operator="equal">
      <formula>"Napkin Hs"</formula>
    </cfRule>
  </conditionalFormatting>
  <conditionalFormatting sqref="C133:C135">
    <cfRule type="cellIs" dxfId="11228" priority="2121" stopIfTrue="1" operator="equal">
      <formula>"Towel"</formula>
    </cfRule>
  </conditionalFormatting>
  <conditionalFormatting sqref="C133:C135">
    <cfRule type="cellIs" dxfId="11227" priority="2119" stopIfTrue="1" operator="equal">
      <formula>"Towel"</formula>
    </cfRule>
    <cfRule type="cellIs" dxfId="11226" priority="2120" stopIfTrue="1" operator="equal">
      <formula>"Napkin Hs"</formula>
    </cfRule>
  </conditionalFormatting>
  <conditionalFormatting sqref="C133:C135">
    <cfRule type="cellIs" dxfId="11225" priority="2113" stopIfTrue="1" operator="equal">
      <formula>"Towel"</formula>
    </cfRule>
    <cfRule type="cellIs" dxfId="11224" priority="2114" stopIfTrue="1" operator="equal">
      <formula>"Napkin Hs"</formula>
    </cfRule>
  </conditionalFormatting>
  <conditionalFormatting sqref="B133:C135">
    <cfRule type="cellIs" dxfId="11223" priority="2112" stopIfTrue="1" operator="equal">
      <formula>"Napkin Hs"</formula>
    </cfRule>
  </conditionalFormatting>
  <conditionalFormatting sqref="B133:C135">
    <cfRule type="cellIs" dxfId="11222" priority="2111" stopIfTrue="1" operator="equal">
      <formula>"Towel"</formula>
    </cfRule>
  </conditionalFormatting>
  <conditionalFormatting sqref="C133:C135">
    <cfRule type="cellIs" dxfId="11221" priority="2110" stopIfTrue="1" operator="equal">
      <formula>"Napkin Hs"</formula>
    </cfRule>
  </conditionalFormatting>
  <conditionalFormatting sqref="C133:C135">
    <cfRule type="cellIs" dxfId="11220" priority="2109" stopIfTrue="1" operator="equal">
      <formula>"Towel"</formula>
    </cfRule>
  </conditionalFormatting>
  <conditionalFormatting sqref="C133:C135">
    <cfRule type="cellIs" dxfId="11219" priority="2107" stopIfTrue="1" operator="equal">
      <formula>"Towel"</formula>
    </cfRule>
    <cfRule type="cellIs" dxfId="11218" priority="2108" stopIfTrue="1" operator="equal">
      <formula>"Napkin Hs"</formula>
    </cfRule>
  </conditionalFormatting>
  <conditionalFormatting sqref="C133:C135">
    <cfRule type="cellIs" dxfId="11217" priority="2101" stopIfTrue="1" operator="equal">
      <formula>"Towel"</formula>
    </cfRule>
    <cfRule type="cellIs" dxfId="11216" priority="2102" stopIfTrue="1" operator="equal">
      <formula>"Napkin Hs"</formula>
    </cfRule>
  </conditionalFormatting>
  <conditionalFormatting sqref="C133:C135">
    <cfRule type="cellIs" dxfId="11215" priority="2095" stopIfTrue="1" operator="equal">
      <formula>"Towel"</formula>
    </cfRule>
    <cfRule type="cellIs" dxfId="11214" priority="2096" stopIfTrue="1" operator="equal">
      <formula>"Napkin Hs"</formula>
    </cfRule>
  </conditionalFormatting>
  <conditionalFormatting sqref="C133:C135">
    <cfRule type="cellIs" dxfId="11213" priority="2089" stopIfTrue="1" operator="equal">
      <formula>"Towel"</formula>
    </cfRule>
    <cfRule type="cellIs" dxfId="11212" priority="2090" stopIfTrue="1" operator="equal">
      <formula>"Napkin Hs"</formula>
    </cfRule>
  </conditionalFormatting>
  <conditionalFormatting sqref="C133:C135">
    <cfRule type="cellIs" dxfId="11211" priority="2083" stopIfTrue="1" operator="equal">
      <formula>"Towel"</formula>
    </cfRule>
    <cfRule type="cellIs" dxfId="11210" priority="2084" stopIfTrue="1" operator="equal">
      <formula>"Napkin Hs"</formula>
    </cfRule>
  </conditionalFormatting>
  <conditionalFormatting sqref="C133:C135">
    <cfRule type="cellIs" dxfId="11209" priority="2077" stopIfTrue="1" operator="equal">
      <formula>"Towel"</formula>
    </cfRule>
    <cfRule type="cellIs" dxfId="11208" priority="2078" stopIfTrue="1" operator="equal">
      <formula>"Napkin Hs"</formula>
    </cfRule>
  </conditionalFormatting>
  <conditionalFormatting sqref="B133:C135">
    <cfRule type="cellIs" dxfId="11207" priority="2076" stopIfTrue="1" operator="equal">
      <formula>"Napkin Hs"</formula>
    </cfRule>
  </conditionalFormatting>
  <conditionalFormatting sqref="B133:C135">
    <cfRule type="cellIs" dxfId="11206" priority="2075" stopIfTrue="1" operator="equal">
      <formula>"Towel"</formula>
    </cfRule>
  </conditionalFormatting>
  <conditionalFormatting sqref="C133:C135">
    <cfRule type="cellIs" dxfId="11205" priority="2074" stopIfTrue="1" operator="equal">
      <formula>"Napkin Hs"</formula>
    </cfRule>
  </conditionalFormatting>
  <conditionalFormatting sqref="C133:C135">
    <cfRule type="cellIs" dxfId="11204" priority="2071" stopIfTrue="1" operator="equal">
      <formula>"Towel"</formula>
    </cfRule>
    <cfRule type="cellIs" dxfId="11203" priority="2072" stopIfTrue="1" operator="equal">
      <formula>"Napkin Hs"</formula>
    </cfRule>
  </conditionalFormatting>
  <conditionalFormatting sqref="C133:C135">
    <cfRule type="cellIs" dxfId="11202" priority="2073" stopIfTrue="1" operator="equal">
      <formula>"Towel"</formula>
    </cfRule>
  </conditionalFormatting>
  <conditionalFormatting sqref="B133:C135">
    <cfRule type="cellIs" dxfId="11201" priority="2070" stopIfTrue="1" operator="equal">
      <formula>"Napkin Hs"</formula>
    </cfRule>
  </conditionalFormatting>
  <conditionalFormatting sqref="B133:C135">
    <cfRule type="cellIs" dxfId="11200" priority="2069" stopIfTrue="1" operator="equal">
      <formula>"Towel"</formula>
    </cfRule>
  </conditionalFormatting>
  <conditionalFormatting sqref="C133:C135">
    <cfRule type="cellIs" dxfId="11199" priority="2068" stopIfTrue="1" operator="equal">
      <formula>"Napkin Hs"</formula>
    </cfRule>
  </conditionalFormatting>
  <conditionalFormatting sqref="C133:C135">
    <cfRule type="cellIs" dxfId="11198" priority="2065" stopIfTrue="1" operator="equal">
      <formula>"Towel"</formula>
    </cfRule>
    <cfRule type="cellIs" dxfId="11197" priority="2066" stopIfTrue="1" operator="equal">
      <formula>"Napkin Hs"</formula>
    </cfRule>
  </conditionalFormatting>
  <conditionalFormatting sqref="C133:C135">
    <cfRule type="cellIs" dxfId="11196" priority="2067" stopIfTrue="1" operator="equal">
      <formula>"Towel"</formula>
    </cfRule>
  </conditionalFormatting>
  <conditionalFormatting sqref="B133:C135">
    <cfRule type="cellIs" dxfId="11195" priority="2117" stopIfTrue="1" operator="equal">
      <formula>"Towel"</formula>
    </cfRule>
    <cfRule type="cellIs" dxfId="11194" priority="2118" stopIfTrue="1" operator="equal">
      <formula>"Napkin Hs"</formula>
    </cfRule>
  </conditionalFormatting>
  <conditionalFormatting sqref="C133:C135">
    <cfRule type="cellIs" dxfId="11193" priority="2115" stopIfTrue="1" operator="equal">
      <formula>"Towel"</formula>
    </cfRule>
    <cfRule type="cellIs" dxfId="11192" priority="2116" stopIfTrue="1" operator="equal">
      <formula>"Napkin Hs"</formula>
    </cfRule>
  </conditionalFormatting>
  <conditionalFormatting sqref="B133:C135">
    <cfRule type="cellIs" dxfId="11191" priority="2105" stopIfTrue="1" operator="equal">
      <formula>"Towel"</formula>
    </cfRule>
    <cfRule type="cellIs" dxfId="11190" priority="2106" stopIfTrue="1" operator="equal">
      <formula>"Napkin Hs"</formula>
    </cfRule>
  </conditionalFormatting>
  <conditionalFormatting sqref="C133:C135">
    <cfRule type="cellIs" dxfId="11189" priority="2103" stopIfTrue="1" operator="equal">
      <formula>"Towel"</formula>
    </cfRule>
    <cfRule type="cellIs" dxfId="11188" priority="2104" stopIfTrue="1" operator="equal">
      <formula>"Napkin Hs"</formula>
    </cfRule>
  </conditionalFormatting>
  <conditionalFormatting sqref="B133:C135">
    <cfRule type="cellIs" dxfId="11187" priority="2099" stopIfTrue="1" operator="equal">
      <formula>"Towel"</formula>
    </cfRule>
    <cfRule type="cellIs" dxfId="11186" priority="2100" stopIfTrue="1" operator="equal">
      <formula>"Napkin Hs"</formula>
    </cfRule>
  </conditionalFormatting>
  <conditionalFormatting sqref="C133:C135">
    <cfRule type="cellIs" dxfId="11185" priority="2097" stopIfTrue="1" operator="equal">
      <formula>"Towel"</formula>
    </cfRule>
    <cfRule type="cellIs" dxfId="11184" priority="2098" stopIfTrue="1" operator="equal">
      <formula>"Napkin Hs"</formula>
    </cfRule>
  </conditionalFormatting>
  <conditionalFormatting sqref="B133:C135">
    <cfRule type="cellIs" dxfId="11183" priority="2093" stopIfTrue="1" operator="equal">
      <formula>"Towel"</formula>
    </cfRule>
    <cfRule type="cellIs" dxfId="11182" priority="2094" stopIfTrue="1" operator="equal">
      <formula>"Napkin Hs"</formula>
    </cfRule>
  </conditionalFormatting>
  <conditionalFormatting sqref="C133:C135">
    <cfRule type="cellIs" dxfId="11181" priority="2091" stopIfTrue="1" operator="equal">
      <formula>"Towel"</formula>
    </cfRule>
    <cfRule type="cellIs" dxfId="11180" priority="2092" stopIfTrue="1" operator="equal">
      <formula>"Napkin Hs"</formula>
    </cfRule>
  </conditionalFormatting>
  <conditionalFormatting sqref="B133:C135">
    <cfRule type="cellIs" dxfId="11179" priority="2087" stopIfTrue="1" operator="equal">
      <formula>"Towel"</formula>
    </cfRule>
    <cfRule type="cellIs" dxfId="11178" priority="2088" stopIfTrue="1" operator="equal">
      <formula>"Napkin Hs"</formula>
    </cfRule>
  </conditionalFormatting>
  <conditionalFormatting sqref="C133:C135">
    <cfRule type="cellIs" dxfId="11177" priority="2085" stopIfTrue="1" operator="equal">
      <formula>"Towel"</formula>
    </cfRule>
    <cfRule type="cellIs" dxfId="11176" priority="2086" stopIfTrue="1" operator="equal">
      <formula>"Napkin Hs"</formula>
    </cfRule>
  </conditionalFormatting>
  <conditionalFormatting sqref="B133:C135">
    <cfRule type="cellIs" dxfId="11175" priority="2081" stopIfTrue="1" operator="equal">
      <formula>"Towel"</formula>
    </cfRule>
    <cfRule type="cellIs" dxfId="11174" priority="2082" stopIfTrue="1" operator="equal">
      <formula>"Napkin Hs"</formula>
    </cfRule>
  </conditionalFormatting>
  <conditionalFormatting sqref="C133:C135">
    <cfRule type="cellIs" dxfId="11173" priority="2079" stopIfTrue="1" operator="equal">
      <formula>"Towel"</formula>
    </cfRule>
    <cfRule type="cellIs" dxfId="11172" priority="2080" stopIfTrue="1" operator="equal">
      <formula>"Napkin Hs"</formula>
    </cfRule>
  </conditionalFormatting>
  <conditionalFormatting sqref="B133:C135">
    <cfRule type="cellIs" dxfId="11171" priority="2064" stopIfTrue="1" operator="equal">
      <formula>"Napkin Hs"</formula>
    </cfRule>
  </conditionalFormatting>
  <conditionalFormatting sqref="B133:C135">
    <cfRule type="cellIs" dxfId="11170" priority="2063" stopIfTrue="1" operator="equal">
      <formula>"Towel"</formula>
    </cfRule>
  </conditionalFormatting>
  <conditionalFormatting sqref="C133:C135">
    <cfRule type="cellIs" dxfId="11169" priority="2062" stopIfTrue="1" operator="equal">
      <formula>"Napkin Hs"</formula>
    </cfRule>
  </conditionalFormatting>
  <conditionalFormatting sqref="C133:C135">
    <cfRule type="cellIs" dxfId="11168" priority="2059" stopIfTrue="1" operator="equal">
      <formula>"Towel"</formula>
    </cfRule>
    <cfRule type="cellIs" dxfId="11167" priority="2060" stopIfTrue="1" operator="equal">
      <formula>"Napkin Hs"</formula>
    </cfRule>
  </conditionalFormatting>
  <conditionalFormatting sqref="C133:C135">
    <cfRule type="cellIs" dxfId="11166" priority="2061" stopIfTrue="1" operator="equal">
      <formula>"Towel"</formula>
    </cfRule>
  </conditionalFormatting>
  <conditionalFormatting sqref="C141">
    <cfRule type="cellIs" dxfId="11165" priority="2053" stopIfTrue="1" operator="equal">
      <formula>"Towel"</formula>
    </cfRule>
    <cfRule type="cellIs" dxfId="11164" priority="2054" stopIfTrue="1" operator="equal">
      <formula>"Napkin Hs"</formula>
    </cfRule>
  </conditionalFormatting>
  <conditionalFormatting sqref="B141:C141">
    <cfRule type="cellIs" dxfId="11163" priority="2058" stopIfTrue="1" operator="equal">
      <formula>"Napkin Hs"</formula>
    </cfRule>
  </conditionalFormatting>
  <conditionalFormatting sqref="B141:C141">
    <cfRule type="cellIs" dxfId="11162" priority="2057" stopIfTrue="1" operator="equal">
      <formula>"Towel"</formula>
    </cfRule>
  </conditionalFormatting>
  <conditionalFormatting sqref="C141">
    <cfRule type="cellIs" dxfId="11161" priority="2056" stopIfTrue="1" operator="equal">
      <formula>"Napkin Hs"</formula>
    </cfRule>
  </conditionalFormatting>
  <conditionalFormatting sqref="C141">
    <cfRule type="cellIs" dxfId="11160" priority="2055" stopIfTrue="1" operator="equal">
      <formula>"Towel"</formula>
    </cfRule>
  </conditionalFormatting>
  <conditionalFormatting sqref="C139">
    <cfRule type="cellIs" dxfId="11159" priority="2049" stopIfTrue="1" operator="equal">
      <formula>"Towel"</formula>
    </cfRule>
    <cfRule type="cellIs" dxfId="11158" priority="2050" stopIfTrue="1" operator="equal">
      <formula>"Napkin Hs"</formula>
    </cfRule>
  </conditionalFormatting>
  <conditionalFormatting sqref="C139">
    <cfRule type="cellIs" dxfId="11157" priority="2047" stopIfTrue="1" operator="equal">
      <formula>"Towel"</formula>
    </cfRule>
    <cfRule type="cellIs" dxfId="11156" priority="2048" stopIfTrue="1" operator="equal">
      <formula>"Napkin Hs"</formula>
    </cfRule>
  </conditionalFormatting>
  <conditionalFormatting sqref="B139:C139">
    <cfRule type="cellIs" dxfId="11155" priority="1998" stopIfTrue="1" operator="equal">
      <formula>"Napkin Hs"</formula>
    </cfRule>
  </conditionalFormatting>
  <conditionalFormatting sqref="B139:C139">
    <cfRule type="cellIs" dxfId="11154" priority="1997" stopIfTrue="1" operator="equal">
      <formula>"Towel"</formula>
    </cfRule>
  </conditionalFormatting>
  <conditionalFormatting sqref="B139:C139">
    <cfRule type="cellIs" dxfId="11153" priority="2051" stopIfTrue="1" operator="equal">
      <formula>"Towel"</formula>
    </cfRule>
    <cfRule type="cellIs" dxfId="11152" priority="2052" stopIfTrue="1" operator="equal">
      <formula>"Napkin Hs"</formula>
    </cfRule>
  </conditionalFormatting>
  <conditionalFormatting sqref="C139">
    <cfRule type="cellIs" dxfId="11151" priority="1996" stopIfTrue="1" operator="equal">
      <formula>"Napkin Hs"</formula>
    </cfRule>
  </conditionalFormatting>
  <conditionalFormatting sqref="C139">
    <cfRule type="cellIs" dxfId="11150" priority="1995" stopIfTrue="1" operator="equal">
      <formula>"Towel"</formula>
    </cfRule>
  </conditionalFormatting>
  <conditionalFormatting sqref="C139">
    <cfRule type="cellIs" dxfId="11149" priority="1993" stopIfTrue="1" operator="equal">
      <formula>"Towel"</formula>
    </cfRule>
    <cfRule type="cellIs" dxfId="11148" priority="1994" stopIfTrue="1" operator="equal">
      <formula>"Napkin Hs"</formula>
    </cfRule>
  </conditionalFormatting>
  <conditionalFormatting sqref="B139:C139">
    <cfRule type="cellIs" dxfId="11147" priority="2046" stopIfTrue="1" operator="equal">
      <formula>"Napkin Hs"</formula>
    </cfRule>
  </conditionalFormatting>
  <conditionalFormatting sqref="B139:C139">
    <cfRule type="cellIs" dxfId="11146" priority="2045" stopIfTrue="1" operator="equal">
      <formula>"Towel"</formula>
    </cfRule>
  </conditionalFormatting>
  <conditionalFormatting sqref="C139">
    <cfRule type="cellIs" dxfId="11145" priority="2044" stopIfTrue="1" operator="equal">
      <formula>"Napkin Hs"</formula>
    </cfRule>
  </conditionalFormatting>
  <conditionalFormatting sqref="C139">
    <cfRule type="cellIs" dxfId="11144" priority="2043" stopIfTrue="1" operator="equal">
      <formula>"Towel"</formula>
    </cfRule>
  </conditionalFormatting>
  <conditionalFormatting sqref="C139">
    <cfRule type="cellIs" dxfId="11143" priority="2041" stopIfTrue="1" operator="equal">
      <formula>"Towel"</formula>
    </cfRule>
    <cfRule type="cellIs" dxfId="11142" priority="2042" stopIfTrue="1" operator="equal">
      <formula>"Napkin Hs"</formula>
    </cfRule>
  </conditionalFormatting>
  <conditionalFormatting sqref="B139:C139">
    <cfRule type="cellIs" dxfId="11141" priority="2039" stopIfTrue="1" operator="equal">
      <formula>"Towel"</formula>
    </cfRule>
    <cfRule type="cellIs" dxfId="11140" priority="2040" stopIfTrue="1" operator="equal">
      <formula>"Napkin Hs"</formula>
    </cfRule>
  </conditionalFormatting>
  <conditionalFormatting sqref="C139">
    <cfRule type="cellIs" dxfId="11139" priority="2035" stopIfTrue="1" operator="equal">
      <formula>"Towel"</formula>
    </cfRule>
    <cfRule type="cellIs" dxfId="11138" priority="2036" stopIfTrue="1" operator="equal">
      <formula>"Napkin Hs"</formula>
    </cfRule>
  </conditionalFormatting>
  <conditionalFormatting sqref="C139">
    <cfRule type="cellIs" dxfId="11137" priority="2037" stopIfTrue="1" operator="equal">
      <formula>"Towel"</formula>
    </cfRule>
    <cfRule type="cellIs" dxfId="11136" priority="2038" stopIfTrue="1" operator="equal">
      <formula>"Napkin Hs"</formula>
    </cfRule>
  </conditionalFormatting>
  <conditionalFormatting sqref="B139:C139">
    <cfRule type="cellIs" dxfId="11135" priority="2034" stopIfTrue="1" operator="equal">
      <formula>"Napkin Hs"</formula>
    </cfRule>
  </conditionalFormatting>
  <conditionalFormatting sqref="B139:C139">
    <cfRule type="cellIs" dxfId="11134" priority="2033" stopIfTrue="1" operator="equal">
      <formula>"Towel"</formula>
    </cfRule>
  </conditionalFormatting>
  <conditionalFormatting sqref="C139">
    <cfRule type="cellIs" dxfId="11133" priority="2032" stopIfTrue="1" operator="equal">
      <formula>"Napkin Hs"</formula>
    </cfRule>
  </conditionalFormatting>
  <conditionalFormatting sqref="C139">
    <cfRule type="cellIs" dxfId="11132" priority="2031" stopIfTrue="1" operator="equal">
      <formula>"Towel"</formula>
    </cfRule>
  </conditionalFormatting>
  <conditionalFormatting sqref="C139">
    <cfRule type="cellIs" dxfId="11131" priority="2029" stopIfTrue="1" operator="equal">
      <formula>"Towel"</formula>
    </cfRule>
    <cfRule type="cellIs" dxfId="11130" priority="2030" stopIfTrue="1" operator="equal">
      <formula>"Napkin Hs"</formula>
    </cfRule>
  </conditionalFormatting>
  <conditionalFormatting sqref="B139:C139">
    <cfRule type="cellIs" dxfId="11129" priority="2027" stopIfTrue="1" operator="equal">
      <formula>"Towel"</formula>
    </cfRule>
    <cfRule type="cellIs" dxfId="11128" priority="2028" stopIfTrue="1" operator="equal">
      <formula>"Napkin Hs"</formula>
    </cfRule>
  </conditionalFormatting>
  <conditionalFormatting sqref="C139">
    <cfRule type="cellIs" dxfId="11127" priority="2025" stopIfTrue="1" operator="equal">
      <formula>"Towel"</formula>
    </cfRule>
    <cfRule type="cellIs" dxfId="11126" priority="2026" stopIfTrue="1" operator="equal">
      <formula>"Napkin Hs"</formula>
    </cfRule>
  </conditionalFormatting>
  <conditionalFormatting sqref="C139">
    <cfRule type="cellIs" dxfId="11125" priority="2023" stopIfTrue="1" operator="equal">
      <formula>"Towel"</formula>
    </cfRule>
    <cfRule type="cellIs" dxfId="11124" priority="2024" stopIfTrue="1" operator="equal">
      <formula>"Napkin Hs"</formula>
    </cfRule>
  </conditionalFormatting>
  <conditionalFormatting sqref="B139:C139">
    <cfRule type="cellIs" dxfId="11123" priority="2021" stopIfTrue="1" operator="equal">
      <formula>"Towel"</formula>
    </cfRule>
    <cfRule type="cellIs" dxfId="11122" priority="2022" stopIfTrue="1" operator="equal">
      <formula>"Napkin Hs"</formula>
    </cfRule>
  </conditionalFormatting>
  <conditionalFormatting sqref="C139">
    <cfRule type="cellIs" dxfId="11121" priority="2019" stopIfTrue="1" operator="equal">
      <formula>"Towel"</formula>
    </cfRule>
    <cfRule type="cellIs" dxfId="11120" priority="2020" stopIfTrue="1" operator="equal">
      <formula>"Napkin Hs"</formula>
    </cfRule>
  </conditionalFormatting>
  <conditionalFormatting sqref="C139">
    <cfRule type="cellIs" dxfId="11119" priority="2017" stopIfTrue="1" operator="equal">
      <formula>"Towel"</formula>
    </cfRule>
    <cfRule type="cellIs" dxfId="11118" priority="2018" stopIfTrue="1" operator="equal">
      <formula>"Napkin Hs"</formula>
    </cfRule>
  </conditionalFormatting>
  <conditionalFormatting sqref="B139:C139">
    <cfRule type="cellIs" dxfId="11117" priority="2015" stopIfTrue="1" operator="equal">
      <formula>"Towel"</formula>
    </cfRule>
    <cfRule type="cellIs" dxfId="11116" priority="2016" stopIfTrue="1" operator="equal">
      <formula>"Napkin Hs"</formula>
    </cfRule>
  </conditionalFormatting>
  <conditionalFormatting sqref="C139">
    <cfRule type="cellIs" dxfId="11115" priority="2013" stopIfTrue="1" operator="equal">
      <formula>"Towel"</formula>
    </cfRule>
    <cfRule type="cellIs" dxfId="11114" priority="2014" stopIfTrue="1" operator="equal">
      <formula>"Napkin Hs"</formula>
    </cfRule>
  </conditionalFormatting>
  <conditionalFormatting sqref="C139">
    <cfRule type="cellIs" dxfId="11113" priority="2011" stopIfTrue="1" operator="equal">
      <formula>"Towel"</formula>
    </cfRule>
    <cfRule type="cellIs" dxfId="11112" priority="2012" stopIfTrue="1" operator="equal">
      <formula>"Napkin Hs"</formula>
    </cfRule>
  </conditionalFormatting>
  <conditionalFormatting sqref="B139:C139">
    <cfRule type="cellIs" dxfId="11111" priority="2009" stopIfTrue="1" operator="equal">
      <formula>"Towel"</formula>
    </cfRule>
    <cfRule type="cellIs" dxfId="11110" priority="2010" stopIfTrue="1" operator="equal">
      <formula>"Napkin Hs"</formula>
    </cfRule>
  </conditionalFormatting>
  <conditionalFormatting sqref="C139">
    <cfRule type="cellIs" dxfId="11109" priority="2007" stopIfTrue="1" operator="equal">
      <formula>"Towel"</formula>
    </cfRule>
    <cfRule type="cellIs" dxfId="11108" priority="2008" stopIfTrue="1" operator="equal">
      <formula>"Napkin Hs"</formula>
    </cfRule>
  </conditionalFormatting>
  <conditionalFormatting sqref="C139">
    <cfRule type="cellIs" dxfId="11107" priority="2005" stopIfTrue="1" operator="equal">
      <formula>"Towel"</formula>
    </cfRule>
    <cfRule type="cellIs" dxfId="11106" priority="2006" stopIfTrue="1" operator="equal">
      <formula>"Napkin Hs"</formula>
    </cfRule>
  </conditionalFormatting>
  <conditionalFormatting sqref="B139:C139">
    <cfRule type="cellIs" dxfId="11105" priority="2003" stopIfTrue="1" operator="equal">
      <formula>"Towel"</formula>
    </cfRule>
    <cfRule type="cellIs" dxfId="11104" priority="2004" stopIfTrue="1" operator="equal">
      <formula>"Napkin Hs"</formula>
    </cfRule>
  </conditionalFormatting>
  <conditionalFormatting sqref="C139">
    <cfRule type="cellIs" dxfId="11103" priority="2001" stopIfTrue="1" operator="equal">
      <formula>"Towel"</formula>
    </cfRule>
    <cfRule type="cellIs" dxfId="11102" priority="2002" stopIfTrue="1" operator="equal">
      <formula>"Napkin Hs"</formula>
    </cfRule>
  </conditionalFormatting>
  <conditionalFormatting sqref="C139">
    <cfRule type="cellIs" dxfId="11101" priority="1999" stopIfTrue="1" operator="equal">
      <formula>"Towel"</formula>
    </cfRule>
    <cfRule type="cellIs" dxfId="11100" priority="2000" stopIfTrue="1" operator="equal">
      <formula>"Napkin Hs"</formula>
    </cfRule>
  </conditionalFormatting>
  <conditionalFormatting sqref="B139:C139">
    <cfRule type="cellIs" dxfId="11099" priority="1989" stopIfTrue="1" operator="equal">
      <formula>"Towel"</formula>
    </cfRule>
    <cfRule type="cellIs" dxfId="11098" priority="1990" stopIfTrue="1" operator="equal">
      <formula>"Napkin Hs"</formula>
    </cfRule>
  </conditionalFormatting>
  <conditionalFormatting sqref="C139">
    <cfRule type="cellIs" dxfId="11097" priority="1991" stopIfTrue="1" operator="equal">
      <formula>"Towel"</formula>
    </cfRule>
    <cfRule type="cellIs" dxfId="11096" priority="1992" stopIfTrue="1" operator="equal">
      <formula>"Napkin Hs"</formula>
    </cfRule>
  </conditionalFormatting>
  <conditionalFormatting sqref="C139">
    <cfRule type="cellIs" dxfId="11095" priority="1987" stopIfTrue="1" operator="equal">
      <formula>"Towel"</formula>
    </cfRule>
    <cfRule type="cellIs" dxfId="11094" priority="1988" stopIfTrue="1" operator="equal">
      <formula>"Napkin Hs"</formula>
    </cfRule>
  </conditionalFormatting>
  <conditionalFormatting sqref="B139:C139">
    <cfRule type="cellIs" dxfId="11093" priority="1986" stopIfTrue="1" operator="equal">
      <formula>"Napkin Hs"</formula>
    </cfRule>
  </conditionalFormatting>
  <conditionalFormatting sqref="B139:C139">
    <cfRule type="cellIs" dxfId="11092" priority="1985" stopIfTrue="1" operator="equal">
      <formula>"Towel"</formula>
    </cfRule>
  </conditionalFormatting>
  <conditionalFormatting sqref="C139">
    <cfRule type="cellIs" dxfId="11091" priority="1984" stopIfTrue="1" operator="equal">
      <formula>"Napkin Hs"</formula>
    </cfRule>
  </conditionalFormatting>
  <conditionalFormatting sqref="C139">
    <cfRule type="cellIs" dxfId="11090" priority="1983" stopIfTrue="1" operator="equal">
      <formula>"Towel"</formula>
    </cfRule>
  </conditionalFormatting>
  <conditionalFormatting sqref="C139">
    <cfRule type="cellIs" dxfId="11089" priority="1981" stopIfTrue="1" operator="equal">
      <formula>"Towel"</formula>
    </cfRule>
    <cfRule type="cellIs" dxfId="11088" priority="1982" stopIfTrue="1" operator="equal">
      <formula>"Napkin Hs"</formula>
    </cfRule>
  </conditionalFormatting>
  <conditionalFormatting sqref="B139:C139">
    <cfRule type="cellIs" dxfId="11087" priority="1979" stopIfTrue="1" operator="equal">
      <formula>"Towel"</formula>
    </cfRule>
    <cfRule type="cellIs" dxfId="11086" priority="1980" stopIfTrue="1" operator="equal">
      <formula>"Napkin Hs"</formula>
    </cfRule>
  </conditionalFormatting>
  <conditionalFormatting sqref="C139">
    <cfRule type="cellIs" dxfId="11085" priority="1975" stopIfTrue="1" operator="equal">
      <formula>"Towel"</formula>
    </cfRule>
    <cfRule type="cellIs" dxfId="11084" priority="1976" stopIfTrue="1" operator="equal">
      <formula>"Napkin Hs"</formula>
    </cfRule>
  </conditionalFormatting>
  <conditionalFormatting sqref="C139">
    <cfRule type="cellIs" dxfId="11083" priority="1977" stopIfTrue="1" operator="equal">
      <formula>"Towel"</formula>
    </cfRule>
    <cfRule type="cellIs" dxfId="11082" priority="1978" stopIfTrue="1" operator="equal">
      <formula>"Napkin Hs"</formula>
    </cfRule>
  </conditionalFormatting>
  <conditionalFormatting sqref="B139:C139">
    <cfRule type="cellIs" dxfId="11081" priority="1974" stopIfTrue="1" operator="equal">
      <formula>"Napkin Hs"</formula>
    </cfRule>
  </conditionalFormatting>
  <conditionalFormatting sqref="B139:C139">
    <cfRule type="cellIs" dxfId="11080" priority="1973" stopIfTrue="1" operator="equal">
      <formula>"Towel"</formula>
    </cfRule>
  </conditionalFormatting>
  <conditionalFormatting sqref="C139">
    <cfRule type="cellIs" dxfId="11079" priority="1972" stopIfTrue="1" operator="equal">
      <formula>"Napkin Hs"</formula>
    </cfRule>
  </conditionalFormatting>
  <conditionalFormatting sqref="C139">
    <cfRule type="cellIs" dxfId="11078" priority="1971" stopIfTrue="1" operator="equal">
      <formula>"Towel"</formula>
    </cfRule>
  </conditionalFormatting>
  <conditionalFormatting sqref="C139">
    <cfRule type="cellIs" dxfId="11077" priority="1969" stopIfTrue="1" operator="equal">
      <formula>"Towel"</formula>
    </cfRule>
    <cfRule type="cellIs" dxfId="11076" priority="1970" stopIfTrue="1" operator="equal">
      <formula>"Napkin Hs"</formula>
    </cfRule>
  </conditionalFormatting>
  <conditionalFormatting sqref="B139:C139">
    <cfRule type="cellIs" dxfId="11075" priority="1967" stopIfTrue="1" operator="equal">
      <formula>"Towel"</formula>
    </cfRule>
    <cfRule type="cellIs" dxfId="11074" priority="1968" stopIfTrue="1" operator="equal">
      <formula>"Napkin Hs"</formula>
    </cfRule>
  </conditionalFormatting>
  <conditionalFormatting sqref="C139">
    <cfRule type="cellIs" dxfId="11073" priority="1965" stopIfTrue="1" operator="equal">
      <formula>"Towel"</formula>
    </cfRule>
    <cfRule type="cellIs" dxfId="11072" priority="1966" stopIfTrue="1" operator="equal">
      <formula>"Napkin Hs"</formula>
    </cfRule>
  </conditionalFormatting>
  <conditionalFormatting sqref="C139">
    <cfRule type="cellIs" dxfId="11071" priority="1963" stopIfTrue="1" operator="equal">
      <formula>"Towel"</formula>
    </cfRule>
    <cfRule type="cellIs" dxfId="11070" priority="1964" stopIfTrue="1" operator="equal">
      <formula>"Napkin Hs"</formula>
    </cfRule>
  </conditionalFormatting>
  <conditionalFormatting sqref="B139:C139">
    <cfRule type="cellIs" dxfId="11069" priority="1961" stopIfTrue="1" operator="equal">
      <formula>"Towel"</formula>
    </cfRule>
    <cfRule type="cellIs" dxfId="11068" priority="1962" stopIfTrue="1" operator="equal">
      <formula>"Napkin Hs"</formula>
    </cfRule>
  </conditionalFormatting>
  <conditionalFormatting sqref="C139">
    <cfRule type="cellIs" dxfId="11067" priority="1959" stopIfTrue="1" operator="equal">
      <formula>"Towel"</formula>
    </cfRule>
    <cfRule type="cellIs" dxfId="11066" priority="1960" stopIfTrue="1" operator="equal">
      <formula>"Napkin Hs"</formula>
    </cfRule>
  </conditionalFormatting>
  <conditionalFormatting sqref="C139">
    <cfRule type="cellIs" dxfId="11065" priority="1957" stopIfTrue="1" operator="equal">
      <formula>"Towel"</formula>
    </cfRule>
    <cfRule type="cellIs" dxfId="11064" priority="1958" stopIfTrue="1" operator="equal">
      <formula>"Napkin Hs"</formula>
    </cfRule>
  </conditionalFormatting>
  <conditionalFormatting sqref="B139:C139">
    <cfRule type="cellIs" dxfId="11063" priority="1955" stopIfTrue="1" operator="equal">
      <formula>"Towel"</formula>
    </cfRule>
    <cfRule type="cellIs" dxfId="11062" priority="1956" stopIfTrue="1" operator="equal">
      <formula>"Napkin Hs"</formula>
    </cfRule>
  </conditionalFormatting>
  <conditionalFormatting sqref="C139">
    <cfRule type="cellIs" dxfId="11061" priority="1953" stopIfTrue="1" operator="equal">
      <formula>"Towel"</formula>
    </cfRule>
    <cfRule type="cellIs" dxfId="11060" priority="1954" stopIfTrue="1" operator="equal">
      <formula>"Napkin Hs"</formula>
    </cfRule>
  </conditionalFormatting>
  <conditionalFormatting sqref="C139">
    <cfRule type="cellIs" dxfId="11059" priority="1951" stopIfTrue="1" operator="equal">
      <formula>"Towel"</formula>
    </cfRule>
    <cfRule type="cellIs" dxfId="11058" priority="1952" stopIfTrue="1" operator="equal">
      <formula>"Napkin Hs"</formula>
    </cfRule>
  </conditionalFormatting>
  <conditionalFormatting sqref="B139:C139">
    <cfRule type="cellIs" dxfId="11057" priority="1949" stopIfTrue="1" operator="equal">
      <formula>"Towel"</formula>
    </cfRule>
    <cfRule type="cellIs" dxfId="11056" priority="1950" stopIfTrue="1" operator="equal">
      <formula>"Napkin Hs"</formula>
    </cfRule>
  </conditionalFormatting>
  <conditionalFormatting sqref="C139">
    <cfRule type="cellIs" dxfId="11055" priority="1947" stopIfTrue="1" operator="equal">
      <formula>"Towel"</formula>
    </cfRule>
    <cfRule type="cellIs" dxfId="11054" priority="1948" stopIfTrue="1" operator="equal">
      <formula>"Napkin Hs"</formula>
    </cfRule>
  </conditionalFormatting>
  <conditionalFormatting sqref="C139">
    <cfRule type="cellIs" dxfId="11053" priority="1945" stopIfTrue="1" operator="equal">
      <formula>"Towel"</formula>
    </cfRule>
    <cfRule type="cellIs" dxfId="11052" priority="1946" stopIfTrue="1" operator="equal">
      <formula>"Napkin Hs"</formula>
    </cfRule>
  </conditionalFormatting>
  <conditionalFormatting sqref="B139:C139">
    <cfRule type="cellIs" dxfId="11051" priority="1943" stopIfTrue="1" operator="equal">
      <formula>"Towel"</formula>
    </cfRule>
    <cfRule type="cellIs" dxfId="11050" priority="1944" stopIfTrue="1" operator="equal">
      <formula>"Napkin Hs"</formula>
    </cfRule>
  </conditionalFormatting>
  <conditionalFormatting sqref="C139">
    <cfRule type="cellIs" dxfId="11049" priority="1941" stopIfTrue="1" operator="equal">
      <formula>"Towel"</formula>
    </cfRule>
    <cfRule type="cellIs" dxfId="11048" priority="1942" stopIfTrue="1" operator="equal">
      <formula>"Napkin Hs"</formula>
    </cfRule>
  </conditionalFormatting>
  <conditionalFormatting sqref="C139">
    <cfRule type="cellIs" dxfId="11047" priority="1939" stopIfTrue="1" operator="equal">
      <formula>"Towel"</formula>
    </cfRule>
    <cfRule type="cellIs" dxfId="11046" priority="1940" stopIfTrue="1" operator="equal">
      <formula>"Napkin Hs"</formula>
    </cfRule>
  </conditionalFormatting>
  <conditionalFormatting sqref="B139:C139">
    <cfRule type="cellIs" dxfId="11045" priority="1938" stopIfTrue="1" operator="equal">
      <formula>"Napkin Hs"</formula>
    </cfRule>
  </conditionalFormatting>
  <conditionalFormatting sqref="B139:C139">
    <cfRule type="cellIs" dxfId="11044" priority="1937" stopIfTrue="1" operator="equal">
      <formula>"Towel"</formula>
    </cfRule>
  </conditionalFormatting>
  <conditionalFormatting sqref="C139">
    <cfRule type="cellIs" dxfId="11043" priority="1936" stopIfTrue="1" operator="equal">
      <formula>"Napkin Hs"</formula>
    </cfRule>
  </conditionalFormatting>
  <conditionalFormatting sqref="C139">
    <cfRule type="cellIs" dxfId="11042" priority="1933" stopIfTrue="1" operator="equal">
      <formula>"Towel"</formula>
    </cfRule>
    <cfRule type="cellIs" dxfId="11041" priority="1934" stopIfTrue="1" operator="equal">
      <formula>"Napkin Hs"</formula>
    </cfRule>
  </conditionalFormatting>
  <conditionalFormatting sqref="C139">
    <cfRule type="cellIs" dxfId="11040" priority="1935" stopIfTrue="1" operator="equal">
      <formula>"Towel"</formula>
    </cfRule>
  </conditionalFormatting>
  <conditionalFormatting sqref="B139:C139">
    <cfRule type="cellIs" dxfId="11039" priority="1932" stopIfTrue="1" operator="equal">
      <formula>"Napkin Hs"</formula>
    </cfRule>
  </conditionalFormatting>
  <conditionalFormatting sqref="B139:C139">
    <cfRule type="cellIs" dxfId="11038" priority="1931" stopIfTrue="1" operator="equal">
      <formula>"Towel"</formula>
    </cfRule>
  </conditionalFormatting>
  <conditionalFormatting sqref="C139">
    <cfRule type="cellIs" dxfId="11037" priority="1930" stopIfTrue="1" operator="equal">
      <formula>"Napkin Hs"</formula>
    </cfRule>
  </conditionalFormatting>
  <conditionalFormatting sqref="C139">
    <cfRule type="cellIs" dxfId="11036" priority="1929" stopIfTrue="1" operator="equal">
      <formula>"Towel"</formula>
    </cfRule>
  </conditionalFormatting>
  <conditionalFormatting sqref="C139">
    <cfRule type="cellIs" dxfId="11035" priority="1927" stopIfTrue="1" operator="equal">
      <formula>"Towel"</formula>
    </cfRule>
    <cfRule type="cellIs" dxfId="11034" priority="1928" stopIfTrue="1" operator="equal">
      <formula>"Napkin Hs"</formula>
    </cfRule>
  </conditionalFormatting>
  <conditionalFormatting sqref="C139">
    <cfRule type="cellIs" dxfId="11033" priority="1921" stopIfTrue="1" operator="equal">
      <formula>"Towel"</formula>
    </cfRule>
    <cfRule type="cellIs" dxfId="11032" priority="1922" stopIfTrue="1" operator="equal">
      <formula>"Napkin Hs"</formula>
    </cfRule>
  </conditionalFormatting>
  <conditionalFormatting sqref="B139:C139">
    <cfRule type="cellIs" dxfId="11031" priority="1920" stopIfTrue="1" operator="equal">
      <formula>"Napkin Hs"</formula>
    </cfRule>
  </conditionalFormatting>
  <conditionalFormatting sqref="B139:C139">
    <cfRule type="cellIs" dxfId="11030" priority="1919" stopIfTrue="1" operator="equal">
      <formula>"Towel"</formula>
    </cfRule>
  </conditionalFormatting>
  <conditionalFormatting sqref="C139">
    <cfRule type="cellIs" dxfId="11029" priority="1918" stopIfTrue="1" operator="equal">
      <formula>"Napkin Hs"</formula>
    </cfRule>
  </conditionalFormatting>
  <conditionalFormatting sqref="C139">
    <cfRule type="cellIs" dxfId="11028" priority="1917" stopIfTrue="1" operator="equal">
      <formula>"Towel"</formula>
    </cfRule>
  </conditionalFormatting>
  <conditionalFormatting sqref="C139">
    <cfRule type="cellIs" dxfId="11027" priority="1915" stopIfTrue="1" operator="equal">
      <formula>"Towel"</formula>
    </cfRule>
    <cfRule type="cellIs" dxfId="11026" priority="1916" stopIfTrue="1" operator="equal">
      <formula>"Napkin Hs"</formula>
    </cfRule>
  </conditionalFormatting>
  <conditionalFormatting sqref="C139">
    <cfRule type="cellIs" dxfId="11025" priority="1909" stopIfTrue="1" operator="equal">
      <formula>"Towel"</formula>
    </cfRule>
    <cfRule type="cellIs" dxfId="11024" priority="1910" stopIfTrue="1" operator="equal">
      <formula>"Napkin Hs"</formula>
    </cfRule>
  </conditionalFormatting>
  <conditionalFormatting sqref="C139">
    <cfRule type="cellIs" dxfId="11023" priority="1903" stopIfTrue="1" operator="equal">
      <formula>"Towel"</formula>
    </cfRule>
    <cfRule type="cellIs" dxfId="11022" priority="1904" stopIfTrue="1" operator="equal">
      <formula>"Napkin Hs"</formula>
    </cfRule>
  </conditionalFormatting>
  <conditionalFormatting sqref="C139">
    <cfRule type="cellIs" dxfId="11021" priority="1897" stopIfTrue="1" operator="equal">
      <formula>"Towel"</formula>
    </cfRule>
    <cfRule type="cellIs" dxfId="11020" priority="1898" stopIfTrue="1" operator="equal">
      <formula>"Napkin Hs"</formula>
    </cfRule>
  </conditionalFormatting>
  <conditionalFormatting sqref="C139">
    <cfRule type="cellIs" dxfId="11019" priority="1891" stopIfTrue="1" operator="equal">
      <formula>"Towel"</formula>
    </cfRule>
    <cfRule type="cellIs" dxfId="11018" priority="1892" stopIfTrue="1" operator="equal">
      <formula>"Napkin Hs"</formula>
    </cfRule>
  </conditionalFormatting>
  <conditionalFormatting sqref="C139">
    <cfRule type="cellIs" dxfId="11017" priority="1885" stopIfTrue="1" operator="equal">
      <formula>"Towel"</formula>
    </cfRule>
    <cfRule type="cellIs" dxfId="11016" priority="1886" stopIfTrue="1" operator="equal">
      <formula>"Napkin Hs"</formula>
    </cfRule>
  </conditionalFormatting>
  <conditionalFormatting sqref="B139:C139">
    <cfRule type="cellIs" dxfId="11015" priority="1884" stopIfTrue="1" operator="equal">
      <formula>"Napkin Hs"</formula>
    </cfRule>
  </conditionalFormatting>
  <conditionalFormatting sqref="B139:C139">
    <cfRule type="cellIs" dxfId="11014" priority="1883" stopIfTrue="1" operator="equal">
      <formula>"Towel"</formula>
    </cfRule>
  </conditionalFormatting>
  <conditionalFormatting sqref="C139">
    <cfRule type="cellIs" dxfId="11013" priority="1882" stopIfTrue="1" operator="equal">
      <formula>"Napkin Hs"</formula>
    </cfRule>
  </conditionalFormatting>
  <conditionalFormatting sqref="C139">
    <cfRule type="cellIs" dxfId="11012" priority="1879" stopIfTrue="1" operator="equal">
      <formula>"Towel"</formula>
    </cfRule>
    <cfRule type="cellIs" dxfId="11011" priority="1880" stopIfTrue="1" operator="equal">
      <formula>"Napkin Hs"</formula>
    </cfRule>
  </conditionalFormatting>
  <conditionalFormatting sqref="C139">
    <cfRule type="cellIs" dxfId="11010" priority="1881" stopIfTrue="1" operator="equal">
      <formula>"Towel"</formula>
    </cfRule>
  </conditionalFormatting>
  <conditionalFormatting sqref="B139:C139">
    <cfRule type="cellIs" dxfId="11009" priority="1878" stopIfTrue="1" operator="equal">
      <formula>"Napkin Hs"</formula>
    </cfRule>
  </conditionalFormatting>
  <conditionalFormatting sqref="B139:C139">
    <cfRule type="cellIs" dxfId="11008" priority="1877" stopIfTrue="1" operator="equal">
      <formula>"Towel"</formula>
    </cfRule>
  </conditionalFormatting>
  <conditionalFormatting sqref="C139">
    <cfRule type="cellIs" dxfId="11007" priority="1876" stopIfTrue="1" operator="equal">
      <formula>"Napkin Hs"</formula>
    </cfRule>
  </conditionalFormatting>
  <conditionalFormatting sqref="C139">
    <cfRule type="cellIs" dxfId="11006" priority="1873" stopIfTrue="1" operator="equal">
      <formula>"Towel"</formula>
    </cfRule>
    <cfRule type="cellIs" dxfId="11005" priority="1874" stopIfTrue="1" operator="equal">
      <formula>"Napkin Hs"</formula>
    </cfRule>
  </conditionalFormatting>
  <conditionalFormatting sqref="C139">
    <cfRule type="cellIs" dxfId="11004" priority="1875" stopIfTrue="1" operator="equal">
      <formula>"Towel"</formula>
    </cfRule>
  </conditionalFormatting>
  <conditionalFormatting sqref="B139:C139">
    <cfRule type="cellIs" dxfId="11003" priority="1925" stopIfTrue="1" operator="equal">
      <formula>"Towel"</formula>
    </cfRule>
    <cfRule type="cellIs" dxfId="11002" priority="1926" stopIfTrue="1" operator="equal">
      <formula>"Napkin Hs"</formula>
    </cfRule>
  </conditionalFormatting>
  <conditionalFormatting sqref="C139">
    <cfRule type="cellIs" dxfId="11001" priority="1923" stopIfTrue="1" operator="equal">
      <formula>"Towel"</formula>
    </cfRule>
    <cfRule type="cellIs" dxfId="11000" priority="1924" stopIfTrue="1" operator="equal">
      <formula>"Napkin Hs"</formula>
    </cfRule>
  </conditionalFormatting>
  <conditionalFormatting sqref="B139:C139">
    <cfRule type="cellIs" dxfId="10999" priority="1913" stopIfTrue="1" operator="equal">
      <formula>"Towel"</formula>
    </cfRule>
    <cfRule type="cellIs" dxfId="10998" priority="1914" stopIfTrue="1" operator="equal">
      <formula>"Napkin Hs"</formula>
    </cfRule>
  </conditionalFormatting>
  <conditionalFormatting sqref="C139">
    <cfRule type="cellIs" dxfId="10997" priority="1911" stopIfTrue="1" operator="equal">
      <formula>"Towel"</formula>
    </cfRule>
    <cfRule type="cellIs" dxfId="10996" priority="1912" stopIfTrue="1" operator="equal">
      <formula>"Napkin Hs"</formula>
    </cfRule>
  </conditionalFormatting>
  <conditionalFormatting sqref="B139:C139">
    <cfRule type="cellIs" dxfId="10995" priority="1907" stopIfTrue="1" operator="equal">
      <formula>"Towel"</formula>
    </cfRule>
    <cfRule type="cellIs" dxfId="10994" priority="1908" stopIfTrue="1" operator="equal">
      <formula>"Napkin Hs"</formula>
    </cfRule>
  </conditionalFormatting>
  <conditionalFormatting sqref="C139">
    <cfRule type="cellIs" dxfId="10993" priority="1905" stopIfTrue="1" operator="equal">
      <formula>"Towel"</formula>
    </cfRule>
    <cfRule type="cellIs" dxfId="10992" priority="1906" stopIfTrue="1" operator="equal">
      <formula>"Napkin Hs"</formula>
    </cfRule>
  </conditionalFormatting>
  <conditionalFormatting sqref="B139:C139">
    <cfRule type="cellIs" dxfId="10991" priority="1901" stopIfTrue="1" operator="equal">
      <formula>"Towel"</formula>
    </cfRule>
    <cfRule type="cellIs" dxfId="10990" priority="1902" stopIfTrue="1" operator="equal">
      <formula>"Napkin Hs"</formula>
    </cfRule>
  </conditionalFormatting>
  <conditionalFormatting sqref="C139">
    <cfRule type="cellIs" dxfId="10989" priority="1899" stopIfTrue="1" operator="equal">
      <formula>"Towel"</formula>
    </cfRule>
    <cfRule type="cellIs" dxfId="10988" priority="1900" stopIfTrue="1" operator="equal">
      <formula>"Napkin Hs"</formula>
    </cfRule>
  </conditionalFormatting>
  <conditionalFormatting sqref="B139:C139">
    <cfRule type="cellIs" dxfId="10987" priority="1895" stopIfTrue="1" operator="equal">
      <formula>"Towel"</formula>
    </cfRule>
    <cfRule type="cellIs" dxfId="10986" priority="1896" stopIfTrue="1" operator="equal">
      <formula>"Napkin Hs"</formula>
    </cfRule>
  </conditionalFormatting>
  <conditionalFormatting sqref="C139">
    <cfRule type="cellIs" dxfId="10985" priority="1893" stopIfTrue="1" operator="equal">
      <formula>"Towel"</formula>
    </cfRule>
    <cfRule type="cellIs" dxfId="10984" priority="1894" stopIfTrue="1" operator="equal">
      <formula>"Napkin Hs"</formula>
    </cfRule>
  </conditionalFormatting>
  <conditionalFormatting sqref="B139:C139">
    <cfRule type="cellIs" dxfId="10983" priority="1889" stopIfTrue="1" operator="equal">
      <formula>"Towel"</formula>
    </cfRule>
    <cfRule type="cellIs" dxfId="10982" priority="1890" stopIfTrue="1" operator="equal">
      <formula>"Napkin Hs"</formula>
    </cfRule>
  </conditionalFormatting>
  <conditionalFormatting sqref="C139">
    <cfRule type="cellIs" dxfId="10981" priority="1887" stopIfTrue="1" operator="equal">
      <formula>"Towel"</formula>
    </cfRule>
    <cfRule type="cellIs" dxfId="10980" priority="1888" stopIfTrue="1" operator="equal">
      <formula>"Napkin Hs"</formula>
    </cfRule>
  </conditionalFormatting>
  <conditionalFormatting sqref="B139:C139">
    <cfRule type="cellIs" dxfId="10979" priority="1872" stopIfTrue="1" operator="equal">
      <formula>"Napkin Hs"</formula>
    </cfRule>
  </conditionalFormatting>
  <conditionalFormatting sqref="B139:C139">
    <cfRule type="cellIs" dxfId="10978" priority="1871" stopIfTrue="1" operator="equal">
      <formula>"Towel"</formula>
    </cfRule>
  </conditionalFormatting>
  <conditionalFormatting sqref="C139">
    <cfRule type="cellIs" dxfId="10977" priority="1870" stopIfTrue="1" operator="equal">
      <formula>"Napkin Hs"</formula>
    </cfRule>
  </conditionalFormatting>
  <conditionalFormatting sqref="C139">
    <cfRule type="cellIs" dxfId="10976" priority="1867" stopIfTrue="1" operator="equal">
      <formula>"Towel"</formula>
    </cfRule>
    <cfRule type="cellIs" dxfId="10975" priority="1868" stopIfTrue="1" operator="equal">
      <formula>"Napkin Hs"</formula>
    </cfRule>
  </conditionalFormatting>
  <conditionalFormatting sqref="C139">
    <cfRule type="cellIs" dxfId="10974" priority="1869" stopIfTrue="1" operator="equal">
      <formula>"Towel"</formula>
    </cfRule>
  </conditionalFormatting>
  <conditionalFormatting sqref="C138">
    <cfRule type="cellIs" dxfId="10973" priority="1863" stopIfTrue="1" operator="equal">
      <formula>"Towel"</formula>
    </cfRule>
    <cfRule type="cellIs" dxfId="10972" priority="1864" stopIfTrue="1" operator="equal">
      <formula>"Napkin Hs"</formula>
    </cfRule>
  </conditionalFormatting>
  <conditionalFormatting sqref="C138">
    <cfRule type="cellIs" dxfId="10971" priority="1861" stopIfTrue="1" operator="equal">
      <formula>"Towel"</formula>
    </cfRule>
    <cfRule type="cellIs" dxfId="10970" priority="1862" stopIfTrue="1" operator="equal">
      <formula>"Napkin Hs"</formula>
    </cfRule>
  </conditionalFormatting>
  <conditionalFormatting sqref="B138:C138">
    <cfRule type="cellIs" dxfId="10969" priority="1812" stopIfTrue="1" operator="equal">
      <formula>"Napkin Hs"</formula>
    </cfRule>
  </conditionalFormatting>
  <conditionalFormatting sqref="B138:C138">
    <cfRule type="cellIs" dxfId="10968" priority="1811" stopIfTrue="1" operator="equal">
      <formula>"Towel"</formula>
    </cfRule>
  </conditionalFormatting>
  <conditionalFormatting sqref="B138:C138">
    <cfRule type="cellIs" dxfId="10967" priority="1865" stopIfTrue="1" operator="equal">
      <formula>"Towel"</formula>
    </cfRule>
    <cfRule type="cellIs" dxfId="10966" priority="1866" stopIfTrue="1" operator="equal">
      <formula>"Napkin Hs"</formula>
    </cfRule>
  </conditionalFormatting>
  <conditionalFormatting sqref="C138">
    <cfRule type="cellIs" dxfId="10965" priority="1810" stopIfTrue="1" operator="equal">
      <formula>"Napkin Hs"</formula>
    </cfRule>
  </conditionalFormatting>
  <conditionalFormatting sqref="C138">
    <cfRule type="cellIs" dxfId="10964" priority="1809" stopIfTrue="1" operator="equal">
      <formula>"Towel"</formula>
    </cfRule>
  </conditionalFormatting>
  <conditionalFormatting sqref="C138">
    <cfRule type="cellIs" dxfId="10963" priority="1807" stopIfTrue="1" operator="equal">
      <formula>"Towel"</formula>
    </cfRule>
    <cfRule type="cellIs" dxfId="10962" priority="1808" stopIfTrue="1" operator="equal">
      <formula>"Napkin Hs"</formula>
    </cfRule>
  </conditionalFormatting>
  <conditionalFormatting sqref="B138:C138">
    <cfRule type="cellIs" dxfId="10961" priority="1860" stopIfTrue="1" operator="equal">
      <formula>"Napkin Hs"</formula>
    </cfRule>
  </conditionalFormatting>
  <conditionalFormatting sqref="B138:C138">
    <cfRule type="cellIs" dxfId="10960" priority="1859" stopIfTrue="1" operator="equal">
      <formula>"Towel"</formula>
    </cfRule>
  </conditionalFormatting>
  <conditionalFormatting sqref="C138">
    <cfRule type="cellIs" dxfId="10959" priority="1858" stopIfTrue="1" operator="equal">
      <formula>"Napkin Hs"</formula>
    </cfRule>
  </conditionalFormatting>
  <conditionalFormatting sqref="C138">
    <cfRule type="cellIs" dxfId="10958" priority="1857" stopIfTrue="1" operator="equal">
      <formula>"Towel"</formula>
    </cfRule>
  </conditionalFormatting>
  <conditionalFormatting sqref="C138">
    <cfRule type="cellIs" dxfId="10957" priority="1855" stopIfTrue="1" operator="equal">
      <formula>"Towel"</formula>
    </cfRule>
    <cfRule type="cellIs" dxfId="10956" priority="1856" stopIfTrue="1" operator="equal">
      <formula>"Napkin Hs"</formula>
    </cfRule>
  </conditionalFormatting>
  <conditionalFormatting sqref="B138:C138">
    <cfRule type="cellIs" dxfId="10955" priority="1853" stopIfTrue="1" operator="equal">
      <formula>"Towel"</formula>
    </cfRule>
    <cfRule type="cellIs" dxfId="10954" priority="1854" stopIfTrue="1" operator="equal">
      <formula>"Napkin Hs"</formula>
    </cfRule>
  </conditionalFormatting>
  <conditionalFormatting sqref="C138">
    <cfRule type="cellIs" dxfId="10953" priority="1849" stopIfTrue="1" operator="equal">
      <formula>"Towel"</formula>
    </cfRule>
    <cfRule type="cellIs" dxfId="10952" priority="1850" stopIfTrue="1" operator="equal">
      <formula>"Napkin Hs"</formula>
    </cfRule>
  </conditionalFormatting>
  <conditionalFormatting sqref="C138">
    <cfRule type="cellIs" dxfId="10951" priority="1851" stopIfTrue="1" operator="equal">
      <formula>"Towel"</formula>
    </cfRule>
    <cfRule type="cellIs" dxfId="10950" priority="1852" stopIfTrue="1" operator="equal">
      <formula>"Napkin Hs"</formula>
    </cfRule>
  </conditionalFormatting>
  <conditionalFormatting sqref="B138:C138">
    <cfRule type="cellIs" dxfId="10949" priority="1848" stopIfTrue="1" operator="equal">
      <formula>"Napkin Hs"</formula>
    </cfRule>
  </conditionalFormatting>
  <conditionalFormatting sqref="B138:C138">
    <cfRule type="cellIs" dxfId="10948" priority="1847" stopIfTrue="1" operator="equal">
      <formula>"Towel"</formula>
    </cfRule>
  </conditionalFormatting>
  <conditionalFormatting sqref="C138">
    <cfRule type="cellIs" dxfId="10947" priority="1846" stopIfTrue="1" operator="equal">
      <formula>"Napkin Hs"</formula>
    </cfRule>
  </conditionalFormatting>
  <conditionalFormatting sqref="C138">
    <cfRule type="cellIs" dxfId="10946" priority="1845" stopIfTrue="1" operator="equal">
      <formula>"Towel"</formula>
    </cfRule>
  </conditionalFormatting>
  <conditionalFormatting sqref="C138">
    <cfRule type="cellIs" dxfId="10945" priority="1843" stopIfTrue="1" operator="equal">
      <formula>"Towel"</formula>
    </cfRule>
    <cfRule type="cellIs" dxfId="10944" priority="1844" stopIfTrue="1" operator="equal">
      <formula>"Napkin Hs"</formula>
    </cfRule>
  </conditionalFormatting>
  <conditionalFormatting sqref="B138:C138">
    <cfRule type="cellIs" dxfId="10943" priority="1841" stopIfTrue="1" operator="equal">
      <formula>"Towel"</formula>
    </cfRule>
    <cfRule type="cellIs" dxfId="10942" priority="1842" stopIfTrue="1" operator="equal">
      <formula>"Napkin Hs"</formula>
    </cfRule>
  </conditionalFormatting>
  <conditionalFormatting sqref="C138">
    <cfRule type="cellIs" dxfId="10941" priority="1839" stopIfTrue="1" operator="equal">
      <formula>"Towel"</formula>
    </cfRule>
    <cfRule type="cellIs" dxfId="10940" priority="1840" stopIfTrue="1" operator="equal">
      <formula>"Napkin Hs"</formula>
    </cfRule>
  </conditionalFormatting>
  <conditionalFormatting sqref="C138">
    <cfRule type="cellIs" dxfId="10939" priority="1837" stopIfTrue="1" operator="equal">
      <formula>"Towel"</formula>
    </cfRule>
    <cfRule type="cellIs" dxfId="10938" priority="1838" stopIfTrue="1" operator="equal">
      <formula>"Napkin Hs"</formula>
    </cfRule>
  </conditionalFormatting>
  <conditionalFormatting sqref="B138:C138">
    <cfRule type="cellIs" dxfId="10937" priority="1835" stopIfTrue="1" operator="equal">
      <formula>"Towel"</formula>
    </cfRule>
    <cfRule type="cellIs" dxfId="10936" priority="1836" stopIfTrue="1" operator="equal">
      <formula>"Napkin Hs"</formula>
    </cfRule>
  </conditionalFormatting>
  <conditionalFormatting sqref="C138">
    <cfRule type="cellIs" dxfId="10935" priority="1833" stopIfTrue="1" operator="equal">
      <formula>"Towel"</formula>
    </cfRule>
    <cfRule type="cellIs" dxfId="10934" priority="1834" stopIfTrue="1" operator="equal">
      <formula>"Napkin Hs"</formula>
    </cfRule>
  </conditionalFormatting>
  <conditionalFormatting sqref="C138">
    <cfRule type="cellIs" dxfId="10933" priority="1831" stopIfTrue="1" operator="equal">
      <formula>"Towel"</formula>
    </cfRule>
    <cfRule type="cellIs" dxfId="10932" priority="1832" stopIfTrue="1" operator="equal">
      <formula>"Napkin Hs"</formula>
    </cfRule>
  </conditionalFormatting>
  <conditionalFormatting sqref="B138:C138">
    <cfRule type="cellIs" dxfId="10931" priority="1829" stopIfTrue="1" operator="equal">
      <formula>"Towel"</formula>
    </cfRule>
    <cfRule type="cellIs" dxfId="10930" priority="1830" stopIfTrue="1" operator="equal">
      <formula>"Napkin Hs"</formula>
    </cfRule>
  </conditionalFormatting>
  <conditionalFormatting sqref="C138">
    <cfRule type="cellIs" dxfId="10929" priority="1827" stopIfTrue="1" operator="equal">
      <formula>"Towel"</formula>
    </cfRule>
    <cfRule type="cellIs" dxfId="10928" priority="1828" stopIfTrue="1" operator="equal">
      <formula>"Napkin Hs"</formula>
    </cfRule>
  </conditionalFormatting>
  <conditionalFormatting sqref="C138">
    <cfRule type="cellIs" dxfId="10927" priority="1825" stopIfTrue="1" operator="equal">
      <formula>"Towel"</formula>
    </cfRule>
    <cfRule type="cellIs" dxfId="10926" priority="1826" stopIfTrue="1" operator="equal">
      <formula>"Napkin Hs"</formula>
    </cfRule>
  </conditionalFormatting>
  <conditionalFormatting sqref="B138:C138">
    <cfRule type="cellIs" dxfId="10925" priority="1823" stopIfTrue="1" operator="equal">
      <formula>"Towel"</formula>
    </cfRule>
    <cfRule type="cellIs" dxfId="10924" priority="1824" stopIfTrue="1" operator="equal">
      <formula>"Napkin Hs"</formula>
    </cfRule>
  </conditionalFormatting>
  <conditionalFormatting sqref="C138">
    <cfRule type="cellIs" dxfId="10923" priority="1821" stopIfTrue="1" operator="equal">
      <formula>"Towel"</formula>
    </cfRule>
    <cfRule type="cellIs" dxfId="10922" priority="1822" stopIfTrue="1" operator="equal">
      <formula>"Napkin Hs"</formula>
    </cfRule>
  </conditionalFormatting>
  <conditionalFormatting sqref="C138">
    <cfRule type="cellIs" dxfId="10921" priority="1819" stopIfTrue="1" operator="equal">
      <formula>"Towel"</formula>
    </cfRule>
    <cfRule type="cellIs" dxfId="10920" priority="1820" stopIfTrue="1" operator="equal">
      <formula>"Napkin Hs"</formula>
    </cfRule>
  </conditionalFormatting>
  <conditionalFormatting sqref="B138:C138">
    <cfRule type="cellIs" dxfId="10919" priority="1817" stopIfTrue="1" operator="equal">
      <formula>"Towel"</formula>
    </cfRule>
    <cfRule type="cellIs" dxfId="10918" priority="1818" stopIfTrue="1" operator="equal">
      <formula>"Napkin Hs"</formula>
    </cfRule>
  </conditionalFormatting>
  <conditionalFormatting sqref="C138">
    <cfRule type="cellIs" dxfId="10917" priority="1815" stopIfTrue="1" operator="equal">
      <formula>"Towel"</formula>
    </cfRule>
    <cfRule type="cellIs" dxfId="10916" priority="1816" stopIfTrue="1" operator="equal">
      <formula>"Napkin Hs"</formula>
    </cfRule>
  </conditionalFormatting>
  <conditionalFormatting sqref="C138">
    <cfRule type="cellIs" dxfId="10915" priority="1813" stopIfTrue="1" operator="equal">
      <formula>"Towel"</formula>
    </cfRule>
    <cfRule type="cellIs" dxfId="10914" priority="1814" stopIfTrue="1" operator="equal">
      <formula>"Napkin Hs"</formula>
    </cfRule>
  </conditionalFormatting>
  <conditionalFormatting sqref="B138:C138">
    <cfRule type="cellIs" dxfId="10913" priority="1803" stopIfTrue="1" operator="equal">
      <formula>"Towel"</formula>
    </cfRule>
    <cfRule type="cellIs" dxfId="10912" priority="1804" stopIfTrue="1" operator="equal">
      <formula>"Napkin Hs"</formula>
    </cfRule>
  </conditionalFormatting>
  <conditionalFormatting sqref="C138">
    <cfRule type="cellIs" dxfId="10911" priority="1805" stopIfTrue="1" operator="equal">
      <formula>"Towel"</formula>
    </cfRule>
    <cfRule type="cellIs" dxfId="10910" priority="1806" stopIfTrue="1" operator="equal">
      <formula>"Napkin Hs"</formula>
    </cfRule>
  </conditionalFormatting>
  <conditionalFormatting sqref="C138">
    <cfRule type="cellIs" dxfId="10909" priority="1801" stopIfTrue="1" operator="equal">
      <formula>"Towel"</formula>
    </cfRule>
    <cfRule type="cellIs" dxfId="10908" priority="1802" stopIfTrue="1" operator="equal">
      <formula>"Napkin Hs"</formula>
    </cfRule>
  </conditionalFormatting>
  <conditionalFormatting sqref="B138:C138">
    <cfRule type="cellIs" dxfId="10907" priority="1800" stopIfTrue="1" operator="equal">
      <formula>"Napkin Hs"</formula>
    </cfRule>
  </conditionalFormatting>
  <conditionalFormatting sqref="B138:C138">
    <cfRule type="cellIs" dxfId="10906" priority="1799" stopIfTrue="1" operator="equal">
      <formula>"Towel"</formula>
    </cfRule>
  </conditionalFormatting>
  <conditionalFormatting sqref="C138">
    <cfRule type="cellIs" dxfId="10905" priority="1798" stopIfTrue="1" operator="equal">
      <formula>"Napkin Hs"</formula>
    </cfRule>
  </conditionalFormatting>
  <conditionalFormatting sqref="C138">
    <cfRule type="cellIs" dxfId="10904" priority="1797" stopIfTrue="1" operator="equal">
      <formula>"Towel"</formula>
    </cfRule>
  </conditionalFormatting>
  <conditionalFormatting sqref="C138">
    <cfRule type="cellIs" dxfId="10903" priority="1795" stopIfTrue="1" operator="equal">
      <formula>"Towel"</formula>
    </cfRule>
    <cfRule type="cellIs" dxfId="10902" priority="1796" stopIfTrue="1" operator="equal">
      <formula>"Napkin Hs"</formula>
    </cfRule>
  </conditionalFormatting>
  <conditionalFormatting sqref="B138:C138">
    <cfRule type="cellIs" dxfId="10901" priority="1793" stopIfTrue="1" operator="equal">
      <formula>"Towel"</formula>
    </cfRule>
    <cfRule type="cellIs" dxfId="10900" priority="1794" stopIfTrue="1" operator="equal">
      <formula>"Napkin Hs"</formula>
    </cfRule>
  </conditionalFormatting>
  <conditionalFormatting sqref="C138">
    <cfRule type="cellIs" dxfId="10899" priority="1789" stopIfTrue="1" operator="equal">
      <formula>"Towel"</formula>
    </cfRule>
    <cfRule type="cellIs" dxfId="10898" priority="1790" stopIfTrue="1" operator="equal">
      <formula>"Napkin Hs"</formula>
    </cfRule>
  </conditionalFormatting>
  <conditionalFormatting sqref="C138">
    <cfRule type="cellIs" dxfId="10897" priority="1791" stopIfTrue="1" operator="equal">
      <formula>"Towel"</formula>
    </cfRule>
    <cfRule type="cellIs" dxfId="10896" priority="1792" stopIfTrue="1" operator="equal">
      <formula>"Napkin Hs"</formula>
    </cfRule>
  </conditionalFormatting>
  <conditionalFormatting sqref="B138:C138">
    <cfRule type="cellIs" dxfId="10895" priority="1788" stopIfTrue="1" operator="equal">
      <formula>"Napkin Hs"</formula>
    </cfRule>
  </conditionalFormatting>
  <conditionalFormatting sqref="B138:C138">
    <cfRule type="cellIs" dxfId="10894" priority="1787" stopIfTrue="1" operator="equal">
      <formula>"Towel"</formula>
    </cfRule>
  </conditionalFormatting>
  <conditionalFormatting sqref="C138">
    <cfRule type="cellIs" dxfId="10893" priority="1786" stopIfTrue="1" operator="equal">
      <formula>"Napkin Hs"</formula>
    </cfRule>
  </conditionalFormatting>
  <conditionalFormatting sqref="C138">
    <cfRule type="cellIs" dxfId="10892" priority="1785" stopIfTrue="1" operator="equal">
      <formula>"Towel"</formula>
    </cfRule>
  </conditionalFormatting>
  <conditionalFormatting sqref="C138">
    <cfRule type="cellIs" dxfId="10891" priority="1783" stopIfTrue="1" operator="equal">
      <formula>"Towel"</formula>
    </cfRule>
    <cfRule type="cellIs" dxfId="10890" priority="1784" stopIfTrue="1" operator="equal">
      <formula>"Napkin Hs"</formula>
    </cfRule>
  </conditionalFormatting>
  <conditionalFormatting sqref="B138:C138">
    <cfRule type="cellIs" dxfId="10889" priority="1781" stopIfTrue="1" operator="equal">
      <formula>"Towel"</formula>
    </cfRule>
    <cfRule type="cellIs" dxfId="10888" priority="1782" stopIfTrue="1" operator="equal">
      <formula>"Napkin Hs"</formula>
    </cfRule>
  </conditionalFormatting>
  <conditionalFormatting sqref="C138">
    <cfRule type="cellIs" dxfId="10887" priority="1779" stopIfTrue="1" operator="equal">
      <formula>"Towel"</formula>
    </cfRule>
    <cfRule type="cellIs" dxfId="10886" priority="1780" stopIfTrue="1" operator="equal">
      <formula>"Napkin Hs"</formula>
    </cfRule>
  </conditionalFormatting>
  <conditionalFormatting sqref="C138">
    <cfRule type="cellIs" dxfId="10885" priority="1777" stopIfTrue="1" operator="equal">
      <formula>"Towel"</formula>
    </cfRule>
    <cfRule type="cellIs" dxfId="10884" priority="1778" stopIfTrue="1" operator="equal">
      <formula>"Napkin Hs"</formula>
    </cfRule>
  </conditionalFormatting>
  <conditionalFormatting sqref="B138:C138">
    <cfRule type="cellIs" dxfId="10883" priority="1775" stopIfTrue="1" operator="equal">
      <formula>"Towel"</formula>
    </cfRule>
    <cfRule type="cellIs" dxfId="10882" priority="1776" stopIfTrue="1" operator="equal">
      <formula>"Napkin Hs"</formula>
    </cfRule>
  </conditionalFormatting>
  <conditionalFormatting sqref="C138">
    <cfRule type="cellIs" dxfId="10881" priority="1773" stopIfTrue="1" operator="equal">
      <formula>"Towel"</formula>
    </cfRule>
    <cfRule type="cellIs" dxfId="10880" priority="1774" stopIfTrue="1" operator="equal">
      <formula>"Napkin Hs"</formula>
    </cfRule>
  </conditionalFormatting>
  <conditionalFormatting sqref="C138">
    <cfRule type="cellIs" dxfId="10879" priority="1771" stopIfTrue="1" operator="equal">
      <formula>"Towel"</formula>
    </cfRule>
    <cfRule type="cellIs" dxfId="10878" priority="1772" stopIfTrue="1" operator="equal">
      <formula>"Napkin Hs"</formula>
    </cfRule>
  </conditionalFormatting>
  <conditionalFormatting sqref="B138:C138">
    <cfRule type="cellIs" dxfId="10877" priority="1769" stopIfTrue="1" operator="equal">
      <formula>"Towel"</formula>
    </cfRule>
    <cfRule type="cellIs" dxfId="10876" priority="1770" stopIfTrue="1" operator="equal">
      <formula>"Napkin Hs"</formula>
    </cfRule>
  </conditionalFormatting>
  <conditionalFormatting sqref="C138">
    <cfRule type="cellIs" dxfId="10875" priority="1767" stopIfTrue="1" operator="equal">
      <formula>"Towel"</formula>
    </cfRule>
    <cfRule type="cellIs" dxfId="10874" priority="1768" stopIfTrue="1" operator="equal">
      <formula>"Napkin Hs"</formula>
    </cfRule>
  </conditionalFormatting>
  <conditionalFormatting sqref="C138">
    <cfRule type="cellIs" dxfId="10873" priority="1765" stopIfTrue="1" operator="equal">
      <formula>"Towel"</formula>
    </cfRule>
    <cfRule type="cellIs" dxfId="10872" priority="1766" stopIfTrue="1" operator="equal">
      <formula>"Napkin Hs"</formula>
    </cfRule>
  </conditionalFormatting>
  <conditionalFormatting sqref="B138:C138">
    <cfRule type="cellIs" dxfId="10871" priority="1763" stopIfTrue="1" operator="equal">
      <formula>"Towel"</formula>
    </cfRule>
    <cfRule type="cellIs" dxfId="10870" priority="1764" stopIfTrue="1" operator="equal">
      <formula>"Napkin Hs"</formula>
    </cfRule>
  </conditionalFormatting>
  <conditionalFormatting sqref="C138">
    <cfRule type="cellIs" dxfId="10869" priority="1761" stopIfTrue="1" operator="equal">
      <formula>"Towel"</formula>
    </cfRule>
    <cfRule type="cellIs" dxfId="10868" priority="1762" stopIfTrue="1" operator="equal">
      <formula>"Napkin Hs"</formula>
    </cfRule>
  </conditionalFormatting>
  <conditionalFormatting sqref="C138">
    <cfRule type="cellIs" dxfId="10867" priority="1759" stopIfTrue="1" operator="equal">
      <formula>"Towel"</formula>
    </cfRule>
    <cfRule type="cellIs" dxfId="10866" priority="1760" stopIfTrue="1" operator="equal">
      <formula>"Napkin Hs"</formula>
    </cfRule>
  </conditionalFormatting>
  <conditionalFormatting sqref="B138:C138">
    <cfRule type="cellIs" dxfId="10865" priority="1757" stopIfTrue="1" operator="equal">
      <formula>"Towel"</formula>
    </cfRule>
    <cfRule type="cellIs" dxfId="10864" priority="1758" stopIfTrue="1" operator="equal">
      <formula>"Napkin Hs"</formula>
    </cfRule>
  </conditionalFormatting>
  <conditionalFormatting sqref="C138">
    <cfRule type="cellIs" dxfId="10863" priority="1755" stopIfTrue="1" operator="equal">
      <formula>"Towel"</formula>
    </cfRule>
    <cfRule type="cellIs" dxfId="10862" priority="1756" stopIfTrue="1" operator="equal">
      <formula>"Napkin Hs"</formula>
    </cfRule>
  </conditionalFormatting>
  <conditionalFormatting sqref="C138">
    <cfRule type="cellIs" dxfId="10861" priority="1753" stopIfTrue="1" operator="equal">
      <formula>"Towel"</formula>
    </cfRule>
    <cfRule type="cellIs" dxfId="10860" priority="1754" stopIfTrue="1" operator="equal">
      <formula>"Napkin Hs"</formula>
    </cfRule>
  </conditionalFormatting>
  <conditionalFormatting sqref="B138:C138">
    <cfRule type="cellIs" dxfId="10859" priority="1752" stopIfTrue="1" operator="equal">
      <formula>"Napkin Hs"</formula>
    </cfRule>
  </conditionalFormatting>
  <conditionalFormatting sqref="B138:C138">
    <cfRule type="cellIs" dxfId="10858" priority="1751" stopIfTrue="1" operator="equal">
      <formula>"Towel"</formula>
    </cfRule>
  </conditionalFormatting>
  <conditionalFormatting sqref="C138">
    <cfRule type="cellIs" dxfId="10857" priority="1750" stopIfTrue="1" operator="equal">
      <formula>"Napkin Hs"</formula>
    </cfRule>
  </conditionalFormatting>
  <conditionalFormatting sqref="C138">
    <cfRule type="cellIs" dxfId="10856" priority="1747" stopIfTrue="1" operator="equal">
      <formula>"Towel"</formula>
    </cfRule>
    <cfRule type="cellIs" dxfId="10855" priority="1748" stopIfTrue="1" operator="equal">
      <formula>"Napkin Hs"</formula>
    </cfRule>
  </conditionalFormatting>
  <conditionalFormatting sqref="C138">
    <cfRule type="cellIs" dxfId="10854" priority="1749" stopIfTrue="1" operator="equal">
      <formula>"Towel"</formula>
    </cfRule>
  </conditionalFormatting>
  <conditionalFormatting sqref="B138:C138">
    <cfRule type="cellIs" dxfId="10853" priority="1746" stopIfTrue="1" operator="equal">
      <formula>"Napkin Hs"</formula>
    </cfRule>
  </conditionalFormatting>
  <conditionalFormatting sqref="B138:C138">
    <cfRule type="cellIs" dxfId="10852" priority="1745" stopIfTrue="1" operator="equal">
      <formula>"Towel"</formula>
    </cfRule>
  </conditionalFormatting>
  <conditionalFormatting sqref="C138">
    <cfRule type="cellIs" dxfId="10851" priority="1744" stopIfTrue="1" operator="equal">
      <formula>"Napkin Hs"</formula>
    </cfRule>
  </conditionalFormatting>
  <conditionalFormatting sqref="C138">
    <cfRule type="cellIs" dxfId="10850" priority="1743" stopIfTrue="1" operator="equal">
      <formula>"Towel"</formula>
    </cfRule>
  </conditionalFormatting>
  <conditionalFormatting sqref="C138">
    <cfRule type="cellIs" dxfId="10849" priority="1741" stopIfTrue="1" operator="equal">
      <formula>"Towel"</formula>
    </cfRule>
    <cfRule type="cellIs" dxfId="10848" priority="1742" stopIfTrue="1" operator="equal">
      <formula>"Napkin Hs"</formula>
    </cfRule>
  </conditionalFormatting>
  <conditionalFormatting sqref="C138">
    <cfRule type="cellIs" dxfId="10847" priority="1735" stopIfTrue="1" operator="equal">
      <formula>"Towel"</formula>
    </cfRule>
    <cfRule type="cellIs" dxfId="10846" priority="1736" stopIfTrue="1" operator="equal">
      <formula>"Napkin Hs"</formula>
    </cfRule>
  </conditionalFormatting>
  <conditionalFormatting sqref="B138:C138">
    <cfRule type="cellIs" dxfId="10845" priority="1734" stopIfTrue="1" operator="equal">
      <formula>"Napkin Hs"</formula>
    </cfRule>
  </conditionalFormatting>
  <conditionalFormatting sqref="B138:C138">
    <cfRule type="cellIs" dxfId="10844" priority="1733" stopIfTrue="1" operator="equal">
      <formula>"Towel"</formula>
    </cfRule>
  </conditionalFormatting>
  <conditionalFormatting sqref="C138">
    <cfRule type="cellIs" dxfId="10843" priority="1732" stopIfTrue="1" operator="equal">
      <formula>"Napkin Hs"</formula>
    </cfRule>
  </conditionalFormatting>
  <conditionalFormatting sqref="C138">
    <cfRule type="cellIs" dxfId="10842" priority="1731" stopIfTrue="1" operator="equal">
      <formula>"Towel"</formula>
    </cfRule>
  </conditionalFormatting>
  <conditionalFormatting sqref="C138">
    <cfRule type="cellIs" dxfId="10841" priority="1729" stopIfTrue="1" operator="equal">
      <formula>"Towel"</formula>
    </cfRule>
    <cfRule type="cellIs" dxfId="10840" priority="1730" stopIfTrue="1" operator="equal">
      <formula>"Napkin Hs"</formula>
    </cfRule>
  </conditionalFormatting>
  <conditionalFormatting sqref="C138">
    <cfRule type="cellIs" dxfId="10839" priority="1723" stopIfTrue="1" operator="equal">
      <formula>"Towel"</formula>
    </cfRule>
    <cfRule type="cellIs" dxfId="10838" priority="1724" stopIfTrue="1" operator="equal">
      <formula>"Napkin Hs"</formula>
    </cfRule>
  </conditionalFormatting>
  <conditionalFormatting sqref="C138">
    <cfRule type="cellIs" dxfId="10837" priority="1717" stopIfTrue="1" operator="equal">
      <formula>"Towel"</formula>
    </cfRule>
    <cfRule type="cellIs" dxfId="10836" priority="1718" stopIfTrue="1" operator="equal">
      <formula>"Napkin Hs"</formula>
    </cfRule>
  </conditionalFormatting>
  <conditionalFormatting sqref="C138">
    <cfRule type="cellIs" dxfId="10835" priority="1711" stopIfTrue="1" operator="equal">
      <formula>"Towel"</formula>
    </cfRule>
    <cfRule type="cellIs" dxfId="10834" priority="1712" stopIfTrue="1" operator="equal">
      <formula>"Napkin Hs"</formula>
    </cfRule>
  </conditionalFormatting>
  <conditionalFormatting sqref="C138">
    <cfRule type="cellIs" dxfId="10833" priority="1705" stopIfTrue="1" operator="equal">
      <formula>"Towel"</formula>
    </cfRule>
    <cfRule type="cellIs" dxfId="10832" priority="1706" stopIfTrue="1" operator="equal">
      <formula>"Napkin Hs"</formula>
    </cfRule>
  </conditionalFormatting>
  <conditionalFormatting sqref="C138">
    <cfRule type="cellIs" dxfId="10831" priority="1699" stopIfTrue="1" operator="equal">
      <formula>"Towel"</formula>
    </cfRule>
    <cfRule type="cellIs" dxfId="10830" priority="1700" stopIfTrue="1" operator="equal">
      <formula>"Napkin Hs"</formula>
    </cfRule>
  </conditionalFormatting>
  <conditionalFormatting sqref="B138:C138">
    <cfRule type="cellIs" dxfId="10829" priority="1698" stopIfTrue="1" operator="equal">
      <formula>"Napkin Hs"</formula>
    </cfRule>
  </conditionalFormatting>
  <conditionalFormatting sqref="B138:C138">
    <cfRule type="cellIs" dxfId="10828" priority="1697" stopIfTrue="1" operator="equal">
      <formula>"Towel"</formula>
    </cfRule>
  </conditionalFormatting>
  <conditionalFormatting sqref="C138">
    <cfRule type="cellIs" dxfId="10827" priority="1696" stopIfTrue="1" operator="equal">
      <formula>"Napkin Hs"</formula>
    </cfRule>
  </conditionalFormatting>
  <conditionalFormatting sqref="C138">
    <cfRule type="cellIs" dxfId="10826" priority="1693" stopIfTrue="1" operator="equal">
      <formula>"Towel"</formula>
    </cfRule>
    <cfRule type="cellIs" dxfId="10825" priority="1694" stopIfTrue="1" operator="equal">
      <formula>"Napkin Hs"</formula>
    </cfRule>
  </conditionalFormatting>
  <conditionalFormatting sqref="C138">
    <cfRule type="cellIs" dxfId="10824" priority="1695" stopIfTrue="1" operator="equal">
      <formula>"Towel"</formula>
    </cfRule>
  </conditionalFormatting>
  <conditionalFormatting sqref="B138:C138">
    <cfRule type="cellIs" dxfId="10823" priority="1692" stopIfTrue="1" operator="equal">
      <formula>"Napkin Hs"</formula>
    </cfRule>
  </conditionalFormatting>
  <conditionalFormatting sqref="B138:C138">
    <cfRule type="cellIs" dxfId="10822" priority="1691" stopIfTrue="1" operator="equal">
      <formula>"Towel"</formula>
    </cfRule>
  </conditionalFormatting>
  <conditionalFormatting sqref="C138">
    <cfRule type="cellIs" dxfId="10821" priority="1690" stopIfTrue="1" operator="equal">
      <formula>"Napkin Hs"</formula>
    </cfRule>
  </conditionalFormatting>
  <conditionalFormatting sqref="C138">
    <cfRule type="cellIs" dxfId="10820" priority="1687" stopIfTrue="1" operator="equal">
      <formula>"Towel"</formula>
    </cfRule>
    <cfRule type="cellIs" dxfId="10819" priority="1688" stopIfTrue="1" operator="equal">
      <formula>"Napkin Hs"</formula>
    </cfRule>
  </conditionalFormatting>
  <conditionalFormatting sqref="C138">
    <cfRule type="cellIs" dxfId="10818" priority="1689" stopIfTrue="1" operator="equal">
      <formula>"Towel"</formula>
    </cfRule>
  </conditionalFormatting>
  <conditionalFormatting sqref="B138:C138">
    <cfRule type="cellIs" dxfId="10817" priority="1739" stopIfTrue="1" operator="equal">
      <formula>"Towel"</formula>
    </cfRule>
    <cfRule type="cellIs" dxfId="10816" priority="1740" stopIfTrue="1" operator="equal">
      <formula>"Napkin Hs"</formula>
    </cfRule>
  </conditionalFormatting>
  <conditionalFormatting sqref="C138">
    <cfRule type="cellIs" dxfId="10815" priority="1737" stopIfTrue="1" operator="equal">
      <formula>"Towel"</formula>
    </cfRule>
    <cfRule type="cellIs" dxfId="10814" priority="1738" stopIfTrue="1" operator="equal">
      <formula>"Napkin Hs"</formula>
    </cfRule>
  </conditionalFormatting>
  <conditionalFormatting sqref="B138:C138">
    <cfRule type="cellIs" dxfId="10813" priority="1727" stopIfTrue="1" operator="equal">
      <formula>"Towel"</formula>
    </cfRule>
    <cfRule type="cellIs" dxfId="10812" priority="1728" stopIfTrue="1" operator="equal">
      <formula>"Napkin Hs"</formula>
    </cfRule>
  </conditionalFormatting>
  <conditionalFormatting sqref="C138">
    <cfRule type="cellIs" dxfId="10811" priority="1725" stopIfTrue="1" operator="equal">
      <formula>"Towel"</formula>
    </cfRule>
    <cfRule type="cellIs" dxfId="10810" priority="1726" stopIfTrue="1" operator="equal">
      <formula>"Napkin Hs"</formula>
    </cfRule>
  </conditionalFormatting>
  <conditionalFormatting sqref="B138:C138">
    <cfRule type="cellIs" dxfId="10809" priority="1721" stopIfTrue="1" operator="equal">
      <formula>"Towel"</formula>
    </cfRule>
    <cfRule type="cellIs" dxfId="10808" priority="1722" stopIfTrue="1" operator="equal">
      <formula>"Napkin Hs"</formula>
    </cfRule>
  </conditionalFormatting>
  <conditionalFormatting sqref="C138">
    <cfRule type="cellIs" dxfId="10807" priority="1719" stopIfTrue="1" operator="equal">
      <formula>"Towel"</formula>
    </cfRule>
    <cfRule type="cellIs" dxfId="10806" priority="1720" stopIfTrue="1" operator="equal">
      <formula>"Napkin Hs"</formula>
    </cfRule>
  </conditionalFormatting>
  <conditionalFormatting sqref="B138:C138">
    <cfRule type="cellIs" dxfId="10805" priority="1715" stopIfTrue="1" operator="equal">
      <formula>"Towel"</formula>
    </cfRule>
    <cfRule type="cellIs" dxfId="10804" priority="1716" stopIfTrue="1" operator="equal">
      <formula>"Napkin Hs"</formula>
    </cfRule>
  </conditionalFormatting>
  <conditionalFormatting sqref="C138">
    <cfRule type="cellIs" dxfId="10803" priority="1713" stopIfTrue="1" operator="equal">
      <formula>"Towel"</formula>
    </cfRule>
    <cfRule type="cellIs" dxfId="10802" priority="1714" stopIfTrue="1" operator="equal">
      <formula>"Napkin Hs"</formula>
    </cfRule>
  </conditionalFormatting>
  <conditionalFormatting sqref="B138:C138">
    <cfRule type="cellIs" dxfId="10801" priority="1709" stopIfTrue="1" operator="equal">
      <formula>"Towel"</formula>
    </cfRule>
    <cfRule type="cellIs" dxfId="10800" priority="1710" stopIfTrue="1" operator="equal">
      <formula>"Napkin Hs"</formula>
    </cfRule>
  </conditionalFormatting>
  <conditionalFormatting sqref="C138">
    <cfRule type="cellIs" dxfId="10799" priority="1707" stopIfTrue="1" operator="equal">
      <formula>"Towel"</formula>
    </cfRule>
    <cfRule type="cellIs" dxfId="10798" priority="1708" stopIfTrue="1" operator="equal">
      <formula>"Napkin Hs"</formula>
    </cfRule>
  </conditionalFormatting>
  <conditionalFormatting sqref="B138:C138">
    <cfRule type="cellIs" dxfId="10797" priority="1703" stopIfTrue="1" operator="equal">
      <formula>"Towel"</formula>
    </cfRule>
    <cfRule type="cellIs" dxfId="10796" priority="1704" stopIfTrue="1" operator="equal">
      <formula>"Napkin Hs"</formula>
    </cfRule>
  </conditionalFormatting>
  <conditionalFormatting sqref="C138">
    <cfRule type="cellIs" dxfId="10795" priority="1701" stopIfTrue="1" operator="equal">
      <formula>"Towel"</formula>
    </cfRule>
    <cfRule type="cellIs" dxfId="10794" priority="1702" stopIfTrue="1" operator="equal">
      <formula>"Napkin Hs"</formula>
    </cfRule>
  </conditionalFormatting>
  <conditionalFormatting sqref="B138:C138">
    <cfRule type="cellIs" dxfId="10793" priority="1686" stopIfTrue="1" operator="equal">
      <formula>"Napkin Hs"</formula>
    </cfRule>
  </conditionalFormatting>
  <conditionalFormatting sqref="B138:C138">
    <cfRule type="cellIs" dxfId="10792" priority="1685" stopIfTrue="1" operator="equal">
      <formula>"Towel"</formula>
    </cfRule>
  </conditionalFormatting>
  <conditionalFormatting sqref="C138">
    <cfRule type="cellIs" dxfId="10791" priority="1684" stopIfTrue="1" operator="equal">
      <formula>"Napkin Hs"</formula>
    </cfRule>
  </conditionalFormatting>
  <conditionalFormatting sqref="C138">
    <cfRule type="cellIs" dxfId="10790" priority="1681" stopIfTrue="1" operator="equal">
      <formula>"Towel"</formula>
    </cfRule>
    <cfRule type="cellIs" dxfId="10789" priority="1682" stopIfTrue="1" operator="equal">
      <formula>"Napkin Hs"</formula>
    </cfRule>
  </conditionalFormatting>
  <conditionalFormatting sqref="C138">
    <cfRule type="cellIs" dxfId="10788" priority="1683" stopIfTrue="1" operator="equal">
      <formula>"Towel"</formula>
    </cfRule>
  </conditionalFormatting>
  <conditionalFormatting sqref="C140">
    <cfRule type="cellIs" dxfId="10787" priority="1677" stopIfTrue="1" operator="equal">
      <formula>"Towel"</formula>
    </cfRule>
    <cfRule type="cellIs" dxfId="10786" priority="1678" stopIfTrue="1" operator="equal">
      <formula>"Napkin Hs"</formula>
    </cfRule>
  </conditionalFormatting>
  <conditionalFormatting sqref="C140">
    <cfRule type="cellIs" dxfId="10785" priority="1675" stopIfTrue="1" operator="equal">
      <formula>"Towel"</formula>
    </cfRule>
    <cfRule type="cellIs" dxfId="10784" priority="1676" stopIfTrue="1" operator="equal">
      <formula>"Napkin Hs"</formula>
    </cfRule>
  </conditionalFormatting>
  <conditionalFormatting sqref="B140:C140">
    <cfRule type="cellIs" dxfId="10783" priority="1626" stopIfTrue="1" operator="equal">
      <formula>"Napkin Hs"</formula>
    </cfRule>
  </conditionalFormatting>
  <conditionalFormatting sqref="B140:C140">
    <cfRule type="cellIs" dxfId="10782" priority="1625" stopIfTrue="1" operator="equal">
      <formula>"Towel"</formula>
    </cfRule>
  </conditionalFormatting>
  <conditionalFormatting sqref="B140:C140">
    <cfRule type="cellIs" dxfId="10781" priority="1679" stopIfTrue="1" operator="equal">
      <formula>"Towel"</formula>
    </cfRule>
    <cfRule type="cellIs" dxfId="10780" priority="1680" stopIfTrue="1" operator="equal">
      <formula>"Napkin Hs"</formula>
    </cfRule>
  </conditionalFormatting>
  <conditionalFormatting sqref="C140">
    <cfRule type="cellIs" dxfId="10779" priority="1624" stopIfTrue="1" operator="equal">
      <formula>"Napkin Hs"</formula>
    </cfRule>
  </conditionalFormatting>
  <conditionalFormatting sqref="C140">
    <cfRule type="cellIs" dxfId="10778" priority="1623" stopIfTrue="1" operator="equal">
      <formula>"Towel"</formula>
    </cfRule>
  </conditionalFormatting>
  <conditionalFormatting sqref="C140">
    <cfRule type="cellIs" dxfId="10777" priority="1621" stopIfTrue="1" operator="equal">
      <formula>"Towel"</formula>
    </cfRule>
    <cfRule type="cellIs" dxfId="10776" priority="1622" stopIfTrue="1" operator="equal">
      <formula>"Napkin Hs"</formula>
    </cfRule>
  </conditionalFormatting>
  <conditionalFormatting sqref="B140:C140">
    <cfRule type="cellIs" dxfId="10775" priority="1674" stopIfTrue="1" operator="equal">
      <formula>"Napkin Hs"</formula>
    </cfRule>
  </conditionalFormatting>
  <conditionalFormatting sqref="B140:C140">
    <cfRule type="cellIs" dxfId="10774" priority="1673" stopIfTrue="1" operator="equal">
      <formula>"Towel"</formula>
    </cfRule>
  </conditionalFormatting>
  <conditionalFormatting sqref="C140">
    <cfRule type="cellIs" dxfId="10773" priority="1672" stopIfTrue="1" operator="equal">
      <formula>"Napkin Hs"</formula>
    </cfRule>
  </conditionalFormatting>
  <conditionalFormatting sqref="C140">
    <cfRule type="cellIs" dxfId="10772" priority="1671" stopIfTrue="1" operator="equal">
      <formula>"Towel"</formula>
    </cfRule>
  </conditionalFormatting>
  <conditionalFormatting sqref="C140">
    <cfRule type="cellIs" dxfId="10771" priority="1669" stopIfTrue="1" operator="equal">
      <formula>"Towel"</formula>
    </cfRule>
    <cfRule type="cellIs" dxfId="10770" priority="1670" stopIfTrue="1" operator="equal">
      <formula>"Napkin Hs"</formula>
    </cfRule>
  </conditionalFormatting>
  <conditionalFormatting sqref="B140:C140">
    <cfRule type="cellIs" dxfId="10769" priority="1667" stopIfTrue="1" operator="equal">
      <formula>"Towel"</formula>
    </cfRule>
    <cfRule type="cellIs" dxfId="10768" priority="1668" stopIfTrue="1" operator="equal">
      <formula>"Napkin Hs"</formula>
    </cfRule>
  </conditionalFormatting>
  <conditionalFormatting sqref="C140">
    <cfRule type="cellIs" dxfId="10767" priority="1663" stopIfTrue="1" operator="equal">
      <formula>"Towel"</formula>
    </cfRule>
    <cfRule type="cellIs" dxfId="10766" priority="1664" stopIfTrue="1" operator="equal">
      <formula>"Napkin Hs"</formula>
    </cfRule>
  </conditionalFormatting>
  <conditionalFormatting sqref="C140">
    <cfRule type="cellIs" dxfId="10765" priority="1665" stopIfTrue="1" operator="equal">
      <formula>"Towel"</formula>
    </cfRule>
    <cfRule type="cellIs" dxfId="10764" priority="1666" stopIfTrue="1" operator="equal">
      <formula>"Napkin Hs"</formula>
    </cfRule>
  </conditionalFormatting>
  <conditionalFormatting sqref="B140:C140">
    <cfRule type="cellIs" dxfId="10763" priority="1662" stopIfTrue="1" operator="equal">
      <formula>"Napkin Hs"</formula>
    </cfRule>
  </conditionalFormatting>
  <conditionalFormatting sqref="B140:C140">
    <cfRule type="cellIs" dxfId="10762" priority="1661" stopIfTrue="1" operator="equal">
      <formula>"Towel"</formula>
    </cfRule>
  </conditionalFormatting>
  <conditionalFormatting sqref="C140">
    <cfRule type="cellIs" dxfId="10761" priority="1660" stopIfTrue="1" operator="equal">
      <formula>"Napkin Hs"</formula>
    </cfRule>
  </conditionalFormatting>
  <conditionalFormatting sqref="C140">
    <cfRule type="cellIs" dxfId="10760" priority="1659" stopIfTrue="1" operator="equal">
      <formula>"Towel"</formula>
    </cfRule>
  </conditionalFormatting>
  <conditionalFormatting sqref="C140">
    <cfRule type="cellIs" dxfId="10759" priority="1657" stopIfTrue="1" operator="equal">
      <formula>"Towel"</formula>
    </cfRule>
    <cfRule type="cellIs" dxfId="10758" priority="1658" stopIfTrue="1" operator="equal">
      <formula>"Napkin Hs"</formula>
    </cfRule>
  </conditionalFormatting>
  <conditionalFormatting sqref="B140:C140">
    <cfRule type="cellIs" dxfId="10757" priority="1655" stopIfTrue="1" operator="equal">
      <formula>"Towel"</formula>
    </cfRule>
    <cfRule type="cellIs" dxfId="10756" priority="1656" stopIfTrue="1" operator="equal">
      <formula>"Napkin Hs"</formula>
    </cfRule>
  </conditionalFormatting>
  <conditionalFormatting sqref="C140">
    <cfRule type="cellIs" dxfId="10755" priority="1653" stopIfTrue="1" operator="equal">
      <formula>"Towel"</formula>
    </cfRule>
    <cfRule type="cellIs" dxfId="10754" priority="1654" stopIfTrue="1" operator="equal">
      <formula>"Napkin Hs"</formula>
    </cfRule>
  </conditionalFormatting>
  <conditionalFormatting sqref="C140">
    <cfRule type="cellIs" dxfId="10753" priority="1651" stopIfTrue="1" operator="equal">
      <formula>"Towel"</formula>
    </cfRule>
    <cfRule type="cellIs" dxfId="10752" priority="1652" stopIfTrue="1" operator="equal">
      <formula>"Napkin Hs"</formula>
    </cfRule>
  </conditionalFormatting>
  <conditionalFormatting sqref="B140:C140">
    <cfRule type="cellIs" dxfId="10751" priority="1649" stopIfTrue="1" operator="equal">
      <formula>"Towel"</formula>
    </cfRule>
    <cfRule type="cellIs" dxfId="10750" priority="1650" stopIfTrue="1" operator="equal">
      <formula>"Napkin Hs"</formula>
    </cfRule>
  </conditionalFormatting>
  <conditionalFormatting sqref="C140">
    <cfRule type="cellIs" dxfId="10749" priority="1647" stopIfTrue="1" operator="equal">
      <formula>"Towel"</formula>
    </cfRule>
    <cfRule type="cellIs" dxfId="10748" priority="1648" stopIfTrue="1" operator="equal">
      <formula>"Napkin Hs"</formula>
    </cfRule>
  </conditionalFormatting>
  <conditionalFormatting sqref="C140">
    <cfRule type="cellIs" dxfId="10747" priority="1645" stopIfTrue="1" operator="equal">
      <formula>"Towel"</formula>
    </cfRule>
    <cfRule type="cellIs" dxfId="10746" priority="1646" stopIfTrue="1" operator="equal">
      <formula>"Napkin Hs"</formula>
    </cfRule>
  </conditionalFormatting>
  <conditionalFormatting sqref="B140:C140">
    <cfRule type="cellIs" dxfId="10745" priority="1643" stopIfTrue="1" operator="equal">
      <formula>"Towel"</formula>
    </cfRule>
    <cfRule type="cellIs" dxfId="10744" priority="1644" stopIfTrue="1" operator="equal">
      <formula>"Napkin Hs"</formula>
    </cfRule>
  </conditionalFormatting>
  <conditionalFormatting sqref="C140">
    <cfRule type="cellIs" dxfId="10743" priority="1641" stopIfTrue="1" operator="equal">
      <formula>"Towel"</formula>
    </cfRule>
    <cfRule type="cellIs" dxfId="10742" priority="1642" stopIfTrue="1" operator="equal">
      <formula>"Napkin Hs"</formula>
    </cfRule>
  </conditionalFormatting>
  <conditionalFormatting sqref="C140">
    <cfRule type="cellIs" dxfId="10741" priority="1639" stopIfTrue="1" operator="equal">
      <formula>"Towel"</formula>
    </cfRule>
    <cfRule type="cellIs" dxfId="10740" priority="1640" stopIfTrue="1" operator="equal">
      <formula>"Napkin Hs"</formula>
    </cfRule>
  </conditionalFormatting>
  <conditionalFormatting sqref="B140:C140">
    <cfRule type="cellIs" dxfId="10739" priority="1637" stopIfTrue="1" operator="equal">
      <formula>"Towel"</formula>
    </cfRule>
    <cfRule type="cellIs" dxfId="10738" priority="1638" stopIfTrue="1" operator="equal">
      <formula>"Napkin Hs"</formula>
    </cfRule>
  </conditionalFormatting>
  <conditionalFormatting sqref="C140">
    <cfRule type="cellIs" dxfId="10737" priority="1635" stopIfTrue="1" operator="equal">
      <formula>"Towel"</formula>
    </cfRule>
    <cfRule type="cellIs" dxfId="10736" priority="1636" stopIfTrue="1" operator="equal">
      <formula>"Napkin Hs"</formula>
    </cfRule>
  </conditionalFormatting>
  <conditionalFormatting sqref="C140">
    <cfRule type="cellIs" dxfId="10735" priority="1633" stopIfTrue="1" operator="equal">
      <formula>"Towel"</formula>
    </cfRule>
    <cfRule type="cellIs" dxfId="10734" priority="1634" stopIfTrue="1" operator="equal">
      <formula>"Napkin Hs"</formula>
    </cfRule>
  </conditionalFormatting>
  <conditionalFormatting sqref="B140:C140">
    <cfRule type="cellIs" dxfId="10733" priority="1631" stopIfTrue="1" operator="equal">
      <formula>"Towel"</formula>
    </cfRule>
    <cfRule type="cellIs" dxfId="10732" priority="1632" stopIfTrue="1" operator="equal">
      <formula>"Napkin Hs"</formula>
    </cfRule>
  </conditionalFormatting>
  <conditionalFormatting sqref="C140">
    <cfRule type="cellIs" dxfId="10731" priority="1629" stopIfTrue="1" operator="equal">
      <formula>"Towel"</formula>
    </cfRule>
    <cfRule type="cellIs" dxfId="10730" priority="1630" stopIfTrue="1" operator="equal">
      <formula>"Napkin Hs"</formula>
    </cfRule>
  </conditionalFormatting>
  <conditionalFormatting sqref="C140">
    <cfRule type="cellIs" dxfId="10729" priority="1627" stopIfTrue="1" operator="equal">
      <formula>"Towel"</formula>
    </cfRule>
    <cfRule type="cellIs" dxfId="10728" priority="1628" stopIfTrue="1" operator="equal">
      <formula>"Napkin Hs"</formula>
    </cfRule>
  </conditionalFormatting>
  <conditionalFormatting sqref="B140:C140">
    <cfRule type="cellIs" dxfId="10727" priority="1617" stopIfTrue="1" operator="equal">
      <formula>"Towel"</formula>
    </cfRule>
    <cfRule type="cellIs" dxfId="10726" priority="1618" stopIfTrue="1" operator="equal">
      <formula>"Napkin Hs"</formula>
    </cfRule>
  </conditionalFormatting>
  <conditionalFormatting sqref="C140">
    <cfRule type="cellIs" dxfId="10725" priority="1619" stopIfTrue="1" operator="equal">
      <formula>"Towel"</formula>
    </cfRule>
    <cfRule type="cellIs" dxfId="10724" priority="1620" stopIfTrue="1" operator="equal">
      <formula>"Napkin Hs"</formula>
    </cfRule>
  </conditionalFormatting>
  <conditionalFormatting sqref="C140">
    <cfRule type="cellIs" dxfId="10723" priority="1615" stopIfTrue="1" operator="equal">
      <formula>"Towel"</formula>
    </cfRule>
    <cfRule type="cellIs" dxfId="10722" priority="1616" stopIfTrue="1" operator="equal">
      <formula>"Napkin Hs"</formula>
    </cfRule>
  </conditionalFormatting>
  <conditionalFormatting sqref="B140:C140">
    <cfRule type="cellIs" dxfId="10721" priority="1614" stopIfTrue="1" operator="equal">
      <formula>"Napkin Hs"</formula>
    </cfRule>
  </conditionalFormatting>
  <conditionalFormatting sqref="B140:C140">
    <cfRule type="cellIs" dxfId="10720" priority="1613" stopIfTrue="1" operator="equal">
      <formula>"Towel"</formula>
    </cfRule>
  </conditionalFormatting>
  <conditionalFormatting sqref="C140">
    <cfRule type="cellIs" dxfId="10719" priority="1612" stopIfTrue="1" operator="equal">
      <formula>"Napkin Hs"</formula>
    </cfRule>
  </conditionalFormatting>
  <conditionalFormatting sqref="C140">
    <cfRule type="cellIs" dxfId="10718" priority="1611" stopIfTrue="1" operator="equal">
      <formula>"Towel"</formula>
    </cfRule>
  </conditionalFormatting>
  <conditionalFormatting sqref="C140">
    <cfRule type="cellIs" dxfId="10717" priority="1609" stopIfTrue="1" operator="equal">
      <formula>"Towel"</formula>
    </cfRule>
    <cfRule type="cellIs" dxfId="10716" priority="1610" stopIfTrue="1" operator="equal">
      <formula>"Napkin Hs"</formula>
    </cfRule>
  </conditionalFormatting>
  <conditionalFormatting sqref="B140:C140">
    <cfRule type="cellIs" dxfId="10715" priority="1607" stopIfTrue="1" operator="equal">
      <formula>"Towel"</formula>
    </cfRule>
    <cfRule type="cellIs" dxfId="10714" priority="1608" stopIfTrue="1" operator="equal">
      <formula>"Napkin Hs"</formula>
    </cfRule>
  </conditionalFormatting>
  <conditionalFormatting sqref="C140">
    <cfRule type="cellIs" dxfId="10713" priority="1603" stopIfTrue="1" operator="equal">
      <formula>"Towel"</formula>
    </cfRule>
    <cfRule type="cellIs" dxfId="10712" priority="1604" stopIfTrue="1" operator="equal">
      <formula>"Napkin Hs"</formula>
    </cfRule>
  </conditionalFormatting>
  <conditionalFormatting sqref="C140">
    <cfRule type="cellIs" dxfId="10711" priority="1605" stopIfTrue="1" operator="equal">
      <formula>"Towel"</formula>
    </cfRule>
    <cfRule type="cellIs" dxfId="10710" priority="1606" stopIfTrue="1" operator="equal">
      <formula>"Napkin Hs"</formula>
    </cfRule>
  </conditionalFormatting>
  <conditionalFormatting sqref="B140:C140">
    <cfRule type="cellIs" dxfId="10709" priority="1602" stopIfTrue="1" operator="equal">
      <formula>"Napkin Hs"</formula>
    </cfRule>
  </conditionalFormatting>
  <conditionalFormatting sqref="B140:C140">
    <cfRule type="cellIs" dxfId="10708" priority="1601" stopIfTrue="1" operator="equal">
      <formula>"Towel"</formula>
    </cfRule>
  </conditionalFormatting>
  <conditionalFormatting sqref="C140">
    <cfRule type="cellIs" dxfId="10707" priority="1600" stopIfTrue="1" operator="equal">
      <formula>"Napkin Hs"</formula>
    </cfRule>
  </conditionalFormatting>
  <conditionalFormatting sqref="C140">
    <cfRule type="cellIs" dxfId="10706" priority="1599" stopIfTrue="1" operator="equal">
      <formula>"Towel"</formula>
    </cfRule>
  </conditionalFormatting>
  <conditionalFormatting sqref="C140">
    <cfRule type="cellIs" dxfId="10705" priority="1597" stopIfTrue="1" operator="equal">
      <formula>"Towel"</formula>
    </cfRule>
    <cfRule type="cellIs" dxfId="10704" priority="1598" stopIfTrue="1" operator="equal">
      <formula>"Napkin Hs"</formula>
    </cfRule>
  </conditionalFormatting>
  <conditionalFormatting sqref="B140:C140">
    <cfRule type="cellIs" dxfId="10703" priority="1595" stopIfTrue="1" operator="equal">
      <formula>"Towel"</formula>
    </cfRule>
    <cfRule type="cellIs" dxfId="10702" priority="1596" stopIfTrue="1" operator="equal">
      <formula>"Napkin Hs"</formula>
    </cfRule>
  </conditionalFormatting>
  <conditionalFormatting sqref="C140">
    <cfRule type="cellIs" dxfId="10701" priority="1593" stopIfTrue="1" operator="equal">
      <formula>"Towel"</formula>
    </cfRule>
    <cfRule type="cellIs" dxfId="10700" priority="1594" stopIfTrue="1" operator="equal">
      <formula>"Napkin Hs"</formula>
    </cfRule>
  </conditionalFormatting>
  <conditionalFormatting sqref="C140">
    <cfRule type="cellIs" dxfId="10699" priority="1591" stopIfTrue="1" operator="equal">
      <formula>"Towel"</formula>
    </cfRule>
    <cfRule type="cellIs" dxfId="10698" priority="1592" stopIfTrue="1" operator="equal">
      <formula>"Napkin Hs"</formula>
    </cfRule>
  </conditionalFormatting>
  <conditionalFormatting sqref="B140:C140">
    <cfRule type="cellIs" dxfId="10697" priority="1589" stopIfTrue="1" operator="equal">
      <formula>"Towel"</formula>
    </cfRule>
    <cfRule type="cellIs" dxfId="10696" priority="1590" stopIfTrue="1" operator="equal">
      <formula>"Napkin Hs"</formula>
    </cfRule>
  </conditionalFormatting>
  <conditionalFormatting sqref="C140">
    <cfRule type="cellIs" dxfId="10695" priority="1587" stopIfTrue="1" operator="equal">
      <formula>"Towel"</formula>
    </cfRule>
    <cfRule type="cellIs" dxfId="10694" priority="1588" stopIfTrue="1" operator="equal">
      <formula>"Napkin Hs"</formula>
    </cfRule>
  </conditionalFormatting>
  <conditionalFormatting sqref="C140">
    <cfRule type="cellIs" dxfId="10693" priority="1585" stopIfTrue="1" operator="equal">
      <formula>"Towel"</formula>
    </cfRule>
    <cfRule type="cellIs" dxfId="10692" priority="1586" stopIfTrue="1" operator="equal">
      <formula>"Napkin Hs"</formula>
    </cfRule>
  </conditionalFormatting>
  <conditionalFormatting sqref="B140:C140">
    <cfRule type="cellIs" dxfId="10691" priority="1583" stopIfTrue="1" operator="equal">
      <formula>"Towel"</formula>
    </cfRule>
    <cfRule type="cellIs" dxfId="10690" priority="1584" stopIfTrue="1" operator="equal">
      <formula>"Napkin Hs"</formula>
    </cfRule>
  </conditionalFormatting>
  <conditionalFormatting sqref="C140">
    <cfRule type="cellIs" dxfId="10689" priority="1581" stopIfTrue="1" operator="equal">
      <formula>"Towel"</formula>
    </cfRule>
    <cfRule type="cellIs" dxfId="10688" priority="1582" stopIfTrue="1" operator="equal">
      <formula>"Napkin Hs"</formula>
    </cfRule>
  </conditionalFormatting>
  <conditionalFormatting sqref="C140">
    <cfRule type="cellIs" dxfId="10687" priority="1579" stopIfTrue="1" operator="equal">
      <formula>"Towel"</formula>
    </cfRule>
    <cfRule type="cellIs" dxfId="10686" priority="1580" stopIfTrue="1" operator="equal">
      <formula>"Napkin Hs"</formula>
    </cfRule>
  </conditionalFormatting>
  <conditionalFormatting sqref="B140:C140">
    <cfRule type="cellIs" dxfId="10685" priority="1577" stopIfTrue="1" operator="equal">
      <formula>"Towel"</formula>
    </cfRule>
    <cfRule type="cellIs" dxfId="10684" priority="1578" stopIfTrue="1" operator="equal">
      <formula>"Napkin Hs"</formula>
    </cfRule>
  </conditionalFormatting>
  <conditionalFormatting sqref="C140">
    <cfRule type="cellIs" dxfId="10683" priority="1575" stopIfTrue="1" operator="equal">
      <formula>"Towel"</formula>
    </cfRule>
    <cfRule type="cellIs" dxfId="10682" priority="1576" stopIfTrue="1" operator="equal">
      <formula>"Napkin Hs"</formula>
    </cfRule>
  </conditionalFormatting>
  <conditionalFormatting sqref="C140">
    <cfRule type="cellIs" dxfId="10681" priority="1573" stopIfTrue="1" operator="equal">
      <formula>"Towel"</formula>
    </cfRule>
    <cfRule type="cellIs" dxfId="10680" priority="1574" stopIfTrue="1" operator="equal">
      <formula>"Napkin Hs"</formula>
    </cfRule>
  </conditionalFormatting>
  <conditionalFormatting sqref="B140:C140">
    <cfRule type="cellIs" dxfId="10679" priority="1571" stopIfTrue="1" operator="equal">
      <formula>"Towel"</formula>
    </cfRule>
    <cfRule type="cellIs" dxfId="10678" priority="1572" stopIfTrue="1" operator="equal">
      <formula>"Napkin Hs"</formula>
    </cfRule>
  </conditionalFormatting>
  <conditionalFormatting sqref="C140">
    <cfRule type="cellIs" dxfId="10677" priority="1569" stopIfTrue="1" operator="equal">
      <formula>"Towel"</formula>
    </cfRule>
    <cfRule type="cellIs" dxfId="10676" priority="1570" stopIfTrue="1" operator="equal">
      <formula>"Napkin Hs"</formula>
    </cfRule>
  </conditionalFormatting>
  <conditionalFormatting sqref="C140">
    <cfRule type="cellIs" dxfId="10675" priority="1567" stopIfTrue="1" operator="equal">
      <formula>"Towel"</formula>
    </cfRule>
    <cfRule type="cellIs" dxfId="10674" priority="1568" stopIfTrue="1" operator="equal">
      <formula>"Napkin Hs"</formula>
    </cfRule>
  </conditionalFormatting>
  <conditionalFormatting sqref="B140:C140">
    <cfRule type="cellIs" dxfId="10673" priority="1566" stopIfTrue="1" operator="equal">
      <formula>"Napkin Hs"</formula>
    </cfRule>
  </conditionalFormatting>
  <conditionalFormatting sqref="B140:C140">
    <cfRule type="cellIs" dxfId="10672" priority="1565" stopIfTrue="1" operator="equal">
      <formula>"Towel"</formula>
    </cfRule>
  </conditionalFormatting>
  <conditionalFormatting sqref="C140">
    <cfRule type="cellIs" dxfId="10671" priority="1564" stopIfTrue="1" operator="equal">
      <formula>"Napkin Hs"</formula>
    </cfRule>
  </conditionalFormatting>
  <conditionalFormatting sqref="C140">
    <cfRule type="cellIs" dxfId="10670" priority="1561" stopIfTrue="1" operator="equal">
      <formula>"Towel"</formula>
    </cfRule>
    <cfRule type="cellIs" dxfId="10669" priority="1562" stopIfTrue="1" operator="equal">
      <formula>"Napkin Hs"</formula>
    </cfRule>
  </conditionalFormatting>
  <conditionalFormatting sqref="C140">
    <cfRule type="cellIs" dxfId="10668" priority="1563" stopIfTrue="1" operator="equal">
      <formula>"Towel"</formula>
    </cfRule>
  </conditionalFormatting>
  <conditionalFormatting sqref="B140:C140">
    <cfRule type="cellIs" dxfId="10667" priority="1560" stopIfTrue="1" operator="equal">
      <formula>"Napkin Hs"</formula>
    </cfRule>
  </conditionalFormatting>
  <conditionalFormatting sqref="B140:C140">
    <cfRule type="cellIs" dxfId="10666" priority="1559" stopIfTrue="1" operator="equal">
      <formula>"Towel"</formula>
    </cfRule>
  </conditionalFormatting>
  <conditionalFormatting sqref="C140">
    <cfRule type="cellIs" dxfId="10665" priority="1558" stopIfTrue="1" operator="equal">
      <formula>"Napkin Hs"</formula>
    </cfRule>
  </conditionalFormatting>
  <conditionalFormatting sqref="C140">
    <cfRule type="cellIs" dxfId="10664" priority="1557" stopIfTrue="1" operator="equal">
      <formula>"Towel"</formula>
    </cfRule>
  </conditionalFormatting>
  <conditionalFormatting sqref="C140">
    <cfRule type="cellIs" dxfId="10663" priority="1555" stopIfTrue="1" operator="equal">
      <formula>"Towel"</formula>
    </cfRule>
    <cfRule type="cellIs" dxfId="10662" priority="1556" stopIfTrue="1" operator="equal">
      <formula>"Napkin Hs"</formula>
    </cfRule>
  </conditionalFormatting>
  <conditionalFormatting sqref="C140">
    <cfRule type="cellIs" dxfId="10661" priority="1549" stopIfTrue="1" operator="equal">
      <formula>"Towel"</formula>
    </cfRule>
    <cfRule type="cellIs" dxfId="10660" priority="1550" stopIfTrue="1" operator="equal">
      <formula>"Napkin Hs"</formula>
    </cfRule>
  </conditionalFormatting>
  <conditionalFormatting sqref="B140:C140">
    <cfRule type="cellIs" dxfId="10659" priority="1548" stopIfTrue="1" operator="equal">
      <formula>"Napkin Hs"</formula>
    </cfRule>
  </conditionalFormatting>
  <conditionalFormatting sqref="B140:C140">
    <cfRule type="cellIs" dxfId="10658" priority="1547" stopIfTrue="1" operator="equal">
      <formula>"Towel"</formula>
    </cfRule>
  </conditionalFormatting>
  <conditionalFormatting sqref="C140">
    <cfRule type="cellIs" dxfId="10657" priority="1546" stopIfTrue="1" operator="equal">
      <formula>"Napkin Hs"</formula>
    </cfRule>
  </conditionalFormatting>
  <conditionalFormatting sqref="C140">
    <cfRule type="cellIs" dxfId="10656" priority="1545" stopIfTrue="1" operator="equal">
      <formula>"Towel"</formula>
    </cfRule>
  </conditionalFormatting>
  <conditionalFormatting sqref="C140">
    <cfRule type="cellIs" dxfId="10655" priority="1543" stopIfTrue="1" operator="equal">
      <formula>"Towel"</formula>
    </cfRule>
    <cfRule type="cellIs" dxfId="10654" priority="1544" stopIfTrue="1" operator="equal">
      <formula>"Napkin Hs"</formula>
    </cfRule>
  </conditionalFormatting>
  <conditionalFormatting sqref="C140">
    <cfRule type="cellIs" dxfId="10653" priority="1537" stopIfTrue="1" operator="equal">
      <formula>"Towel"</formula>
    </cfRule>
    <cfRule type="cellIs" dxfId="10652" priority="1538" stopIfTrue="1" operator="equal">
      <formula>"Napkin Hs"</formula>
    </cfRule>
  </conditionalFormatting>
  <conditionalFormatting sqref="C140">
    <cfRule type="cellIs" dxfId="10651" priority="1531" stopIfTrue="1" operator="equal">
      <formula>"Towel"</formula>
    </cfRule>
    <cfRule type="cellIs" dxfId="10650" priority="1532" stopIfTrue="1" operator="equal">
      <formula>"Napkin Hs"</formula>
    </cfRule>
  </conditionalFormatting>
  <conditionalFormatting sqref="C140">
    <cfRule type="cellIs" dxfId="10649" priority="1525" stopIfTrue="1" operator="equal">
      <formula>"Towel"</formula>
    </cfRule>
    <cfRule type="cellIs" dxfId="10648" priority="1526" stopIfTrue="1" operator="equal">
      <formula>"Napkin Hs"</formula>
    </cfRule>
  </conditionalFormatting>
  <conditionalFormatting sqref="C140">
    <cfRule type="cellIs" dxfId="10647" priority="1519" stopIfTrue="1" operator="equal">
      <formula>"Towel"</formula>
    </cfRule>
    <cfRule type="cellIs" dxfId="10646" priority="1520" stopIfTrue="1" operator="equal">
      <formula>"Napkin Hs"</formula>
    </cfRule>
  </conditionalFormatting>
  <conditionalFormatting sqref="C140">
    <cfRule type="cellIs" dxfId="10645" priority="1513" stopIfTrue="1" operator="equal">
      <formula>"Towel"</formula>
    </cfRule>
    <cfRule type="cellIs" dxfId="10644" priority="1514" stopIfTrue="1" operator="equal">
      <formula>"Napkin Hs"</formula>
    </cfRule>
  </conditionalFormatting>
  <conditionalFormatting sqref="B140:C140">
    <cfRule type="cellIs" dxfId="10643" priority="1512" stopIfTrue="1" operator="equal">
      <formula>"Napkin Hs"</formula>
    </cfRule>
  </conditionalFormatting>
  <conditionalFormatting sqref="B140:C140">
    <cfRule type="cellIs" dxfId="10642" priority="1511" stopIfTrue="1" operator="equal">
      <formula>"Towel"</formula>
    </cfRule>
  </conditionalFormatting>
  <conditionalFormatting sqref="C140">
    <cfRule type="cellIs" dxfId="10641" priority="1510" stopIfTrue="1" operator="equal">
      <formula>"Napkin Hs"</formula>
    </cfRule>
  </conditionalFormatting>
  <conditionalFormatting sqref="C140">
    <cfRule type="cellIs" dxfId="10640" priority="1507" stopIfTrue="1" operator="equal">
      <formula>"Towel"</formula>
    </cfRule>
    <cfRule type="cellIs" dxfId="10639" priority="1508" stopIfTrue="1" operator="equal">
      <formula>"Napkin Hs"</formula>
    </cfRule>
  </conditionalFormatting>
  <conditionalFormatting sqref="C140">
    <cfRule type="cellIs" dxfId="10638" priority="1509" stopIfTrue="1" operator="equal">
      <formula>"Towel"</formula>
    </cfRule>
  </conditionalFormatting>
  <conditionalFormatting sqref="B140:C140">
    <cfRule type="cellIs" dxfId="10637" priority="1506" stopIfTrue="1" operator="equal">
      <formula>"Napkin Hs"</formula>
    </cfRule>
  </conditionalFormatting>
  <conditionalFormatting sqref="B140:C140">
    <cfRule type="cellIs" dxfId="10636" priority="1505" stopIfTrue="1" operator="equal">
      <formula>"Towel"</formula>
    </cfRule>
  </conditionalFormatting>
  <conditionalFormatting sqref="C140">
    <cfRule type="cellIs" dxfId="10635" priority="1504" stopIfTrue="1" operator="equal">
      <formula>"Napkin Hs"</formula>
    </cfRule>
  </conditionalFormatting>
  <conditionalFormatting sqref="C140">
    <cfRule type="cellIs" dxfId="10634" priority="1501" stopIfTrue="1" operator="equal">
      <formula>"Towel"</formula>
    </cfRule>
    <cfRule type="cellIs" dxfId="10633" priority="1502" stopIfTrue="1" operator="equal">
      <formula>"Napkin Hs"</formula>
    </cfRule>
  </conditionalFormatting>
  <conditionalFormatting sqref="C140">
    <cfRule type="cellIs" dxfId="10632" priority="1503" stopIfTrue="1" operator="equal">
      <formula>"Towel"</formula>
    </cfRule>
  </conditionalFormatting>
  <conditionalFormatting sqref="B140:C140">
    <cfRule type="cellIs" dxfId="10631" priority="1553" stopIfTrue="1" operator="equal">
      <formula>"Towel"</formula>
    </cfRule>
    <cfRule type="cellIs" dxfId="10630" priority="1554" stopIfTrue="1" operator="equal">
      <formula>"Napkin Hs"</formula>
    </cfRule>
  </conditionalFormatting>
  <conditionalFormatting sqref="C140">
    <cfRule type="cellIs" dxfId="10629" priority="1551" stopIfTrue="1" operator="equal">
      <formula>"Towel"</formula>
    </cfRule>
    <cfRule type="cellIs" dxfId="10628" priority="1552" stopIfTrue="1" operator="equal">
      <formula>"Napkin Hs"</formula>
    </cfRule>
  </conditionalFormatting>
  <conditionalFormatting sqref="B140:C140">
    <cfRule type="cellIs" dxfId="10627" priority="1541" stopIfTrue="1" operator="equal">
      <formula>"Towel"</formula>
    </cfRule>
    <cfRule type="cellIs" dxfId="10626" priority="1542" stopIfTrue="1" operator="equal">
      <formula>"Napkin Hs"</formula>
    </cfRule>
  </conditionalFormatting>
  <conditionalFormatting sqref="C140">
    <cfRule type="cellIs" dxfId="10625" priority="1539" stopIfTrue="1" operator="equal">
      <formula>"Towel"</formula>
    </cfRule>
    <cfRule type="cellIs" dxfId="10624" priority="1540" stopIfTrue="1" operator="equal">
      <formula>"Napkin Hs"</formula>
    </cfRule>
  </conditionalFormatting>
  <conditionalFormatting sqref="B140:C140">
    <cfRule type="cellIs" dxfId="10623" priority="1535" stopIfTrue="1" operator="equal">
      <formula>"Towel"</formula>
    </cfRule>
    <cfRule type="cellIs" dxfId="10622" priority="1536" stopIfTrue="1" operator="equal">
      <formula>"Napkin Hs"</formula>
    </cfRule>
  </conditionalFormatting>
  <conditionalFormatting sqref="C140">
    <cfRule type="cellIs" dxfId="10621" priority="1533" stopIfTrue="1" operator="equal">
      <formula>"Towel"</formula>
    </cfRule>
    <cfRule type="cellIs" dxfId="10620" priority="1534" stopIfTrue="1" operator="equal">
      <formula>"Napkin Hs"</formula>
    </cfRule>
  </conditionalFormatting>
  <conditionalFormatting sqref="B140:C140">
    <cfRule type="cellIs" dxfId="10619" priority="1529" stopIfTrue="1" operator="equal">
      <formula>"Towel"</formula>
    </cfRule>
    <cfRule type="cellIs" dxfId="10618" priority="1530" stopIfTrue="1" operator="equal">
      <formula>"Napkin Hs"</formula>
    </cfRule>
  </conditionalFormatting>
  <conditionalFormatting sqref="C140">
    <cfRule type="cellIs" dxfId="10617" priority="1527" stopIfTrue="1" operator="equal">
      <formula>"Towel"</formula>
    </cfRule>
    <cfRule type="cellIs" dxfId="10616" priority="1528" stopIfTrue="1" operator="equal">
      <formula>"Napkin Hs"</formula>
    </cfRule>
  </conditionalFormatting>
  <conditionalFormatting sqref="B140:C140">
    <cfRule type="cellIs" dxfId="10615" priority="1523" stopIfTrue="1" operator="equal">
      <formula>"Towel"</formula>
    </cfRule>
    <cfRule type="cellIs" dxfId="10614" priority="1524" stopIfTrue="1" operator="equal">
      <formula>"Napkin Hs"</formula>
    </cfRule>
  </conditionalFormatting>
  <conditionalFormatting sqref="C140">
    <cfRule type="cellIs" dxfId="10613" priority="1521" stopIfTrue="1" operator="equal">
      <formula>"Towel"</formula>
    </cfRule>
    <cfRule type="cellIs" dxfId="10612" priority="1522" stopIfTrue="1" operator="equal">
      <formula>"Napkin Hs"</formula>
    </cfRule>
  </conditionalFormatting>
  <conditionalFormatting sqref="B140:C140">
    <cfRule type="cellIs" dxfId="10611" priority="1517" stopIfTrue="1" operator="equal">
      <formula>"Towel"</formula>
    </cfRule>
    <cfRule type="cellIs" dxfId="10610" priority="1518" stopIfTrue="1" operator="equal">
      <formula>"Napkin Hs"</formula>
    </cfRule>
  </conditionalFormatting>
  <conditionalFormatting sqref="C140">
    <cfRule type="cellIs" dxfId="10609" priority="1515" stopIfTrue="1" operator="equal">
      <formula>"Towel"</formula>
    </cfRule>
    <cfRule type="cellIs" dxfId="10608" priority="1516" stopIfTrue="1" operator="equal">
      <formula>"Napkin Hs"</formula>
    </cfRule>
  </conditionalFormatting>
  <conditionalFormatting sqref="B140:C140">
    <cfRule type="cellIs" dxfId="10607" priority="1500" stopIfTrue="1" operator="equal">
      <formula>"Napkin Hs"</formula>
    </cfRule>
  </conditionalFormatting>
  <conditionalFormatting sqref="B140:C140">
    <cfRule type="cellIs" dxfId="10606" priority="1499" stopIfTrue="1" operator="equal">
      <formula>"Towel"</formula>
    </cfRule>
  </conditionalFormatting>
  <conditionalFormatting sqref="C140">
    <cfRule type="cellIs" dxfId="10605" priority="1498" stopIfTrue="1" operator="equal">
      <formula>"Napkin Hs"</formula>
    </cfRule>
  </conditionalFormatting>
  <conditionalFormatting sqref="C140">
    <cfRule type="cellIs" dxfId="10604" priority="1495" stopIfTrue="1" operator="equal">
      <formula>"Towel"</formula>
    </cfRule>
    <cfRule type="cellIs" dxfId="10603" priority="1496" stopIfTrue="1" operator="equal">
      <formula>"Napkin Hs"</formula>
    </cfRule>
  </conditionalFormatting>
  <conditionalFormatting sqref="C140">
    <cfRule type="cellIs" dxfId="10602" priority="1497" stopIfTrue="1" operator="equal">
      <formula>"Towel"</formula>
    </cfRule>
  </conditionalFormatting>
  <conditionalFormatting sqref="C146">
    <cfRule type="cellIs" dxfId="10601" priority="1489" stopIfTrue="1" operator="equal">
      <formula>"Towel"</formula>
    </cfRule>
    <cfRule type="cellIs" dxfId="10600" priority="1490" stopIfTrue="1" operator="equal">
      <formula>"Napkin Hs"</formula>
    </cfRule>
  </conditionalFormatting>
  <conditionalFormatting sqref="B146:C146">
    <cfRule type="cellIs" dxfId="10599" priority="1494" stopIfTrue="1" operator="equal">
      <formula>"Napkin Hs"</formula>
    </cfRule>
  </conditionalFormatting>
  <conditionalFormatting sqref="B146:C146">
    <cfRule type="cellIs" dxfId="10598" priority="1493" stopIfTrue="1" operator="equal">
      <formula>"Towel"</formula>
    </cfRule>
  </conditionalFormatting>
  <conditionalFormatting sqref="C146">
    <cfRule type="cellIs" dxfId="10597" priority="1492" stopIfTrue="1" operator="equal">
      <formula>"Napkin Hs"</formula>
    </cfRule>
  </conditionalFormatting>
  <conditionalFormatting sqref="C146">
    <cfRule type="cellIs" dxfId="10596" priority="1491" stopIfTrue="1" operator="equal">
      <formula>"Towel"</formula>
    </cfRule>
  </conditionalFormatting>
  <conditionalFormatting sqref="C144">
    <cfRule type="cellIs" dxfId="10595" priority="1485" stopIfTrue="1" operator="equal">
      <formula>"Towel"</formula>
    </cfRule>
    <cfRule type="cellIs" dxfId="10594" priority="1486" stopIfTrue="1" operator="equal">
      <formula>"Napkin Hs"</formula>
    </cfRule>
  </conditionalFormatting>
  <conditionalFormatting sqref="C144">
    <cfRule type="cellIs" dxfId="10593" priority="1483" stopIfTrue="1" operator="equal">
      <formula>"Towel"</formula>
    </cfRule>
    <cfRule type="cellIs" dxfId="10592" priority="1484" stopIfTrue="1" operator="equal">
      <formula>"Napkin Hs"</formula>
    </cfRule>
  </conditionalFormatting>
  <conditionalFormatting sqref="B144:C144">
    <cfRule type="cellIs" dxfId="10591" priority="1434" stopIfTrue="1" operator="equal">
      <formula>"Napkin Hs"</formula>
    </cfRule>
  </conditionalFormatting>
  <conditionalFormatting sqref="B144:C144">
    <cfRule type="cellIs" dxfId="10590" priority="1433" stopIfTrue="1" operator="equal">
      <formula>"Towel"</formula>
    </cfRule>
  </conditionalFormatting>
  <conditionalFormatting sqref="B144:C144">
    <cfRule type="cellIs" dxfId="10589" priority="1487" stopIfTrue="1" operator="equal">
      <formula>"Towel"</formula>
    </cfRule>
    <cfRule type="cellIs" dxfId="10588" priority="1488" stopIfTrue="1" operator="equal">
      <formula>"Napkin Hs"</formula>
    </cfRule>
  </conditionalFormatting>
  <conditionalFormatting sqref="C144">
    <cfRule type="cellIs" dxfId="10587" priority="1432" stopIfTrue="1" operator="equal">
      <formula>"Napkin Hs"</formula>
    </cfRule>
  </conditionalFormatting>
  <conditionalFormatting sqref="C144">
    <cfRule type="cellIs" dxfId="10586" priority="1431" stopIfTrue="1" operator="equal">
      <formula>"Towel"</formula>
    </cfRule>
  </conditionalFormatting>
  <conditionalFormatting sqref="C144">
    <cfRule type="cellIs" dxfId="10585" priority="1429" stopIfTrue="1" operator="equal">
      <formula>"Towel"</formula>
    </cfRule>
    <cfRule type="cellIs" dxfId="10584" priority="1430" stopIfTrue="1" operator="equal">
      <formula>"Napkin Hs"</formula>
    </cfRule>
  </conditionalFormatting>
  <conditionalFormatting sqref="B144:C144">
    <cfRule type="cellIs" dxfId="10583" priority="1482" stopIfTrue="1" operator="equal">
      <formula>"Napkin Hs"</formula>
    </cfRule>
  </conditionalFormatting>
  <conditionalFormatting sqref="B144:C144">
    <cfRule type="cellIs" dxfId="10582" priority="1481" stopIfTrue="1" operator="equal">
      <formula>"Towel"</formula>
    </cfRule>
  </conditionalFormatting>
  <conditionalFormatting sqref="C144">
    <cfRule type="cellIs" dxfId="10581" priority="1480" stopIfTrue="1" operator="equal">
      <formula>"Napkin Hs"</formula>
    </cfRule>
  </conditionalFormatting>
  <conditionalFormatting sqref="C144">
    <cfRule type="cellIs" dxfId="10580" priority="1479" stopIfTrue="1" operator="equal">
      <formula>"Towel"</formula>
    </cfRule>
  </conditionalFormatting>
  <conditionalFormatting sqref="C144">
    <cfRule type="cellIs" dxfId="10579" priority="1477" stopIfTrue="1" operator="equal">
      <formula>"Towel"</formula>
    </cfRule>
    <cfRule type="cellIs" dxfId="10578" priority="1478" stopIfTrue="1" operator="equal">
      <formula>"Napkin Hs"</formula>
    </cfRule>
  </conditionalFormatting>
  <conditionalFormatting sqref="B144:C144">
    <cfRule type="cellIs" dxfId="10577" priority="1475" stopIfTrue="1" operator="equal">
      <formula>"Towel"</formula>
    </cfRule>
    <cfRule type="cellIs" dxfId="10576" priority="1476" stopIfTrue="1" operator="equal">
      <formula>"Napkin Hs"</formula>
    </cfRule>
  </conditionalFormatting>
  <conditionalFormatting sqref="C144">
    <cfRule type="cellIs" dxfId="10575" priority="1471" stopIfTrue="1" operator="equal">
      <formula>"Towel"</formula>
    </cfRule>
    <cfRule type="cellIs" dxfId="10574" priority="1472" stopIfTrue="1" operator="equal">
      <formula>"Napkin Hs"</formula>
    </cfRule>
  </conditionalFormatting>
  <conditionalFormatting sqref="C144">
    <cfRule type="cellIs" dxfId="10573" priority="1473" stopIfTrue="1" operator="equal">
      <formula>"Towel"</formula>
    </cfRule>
    <cfRule type="cellIs" dxfId="10572" priority="1474" stopIfTrue="1" operator="equal">
      <formula>"Napkin Hs"</formula>
    </cfRule>
  </conditionalFormatting>
  <conditionalFormatting sqref="B144:C144">
    <cfRule type="cellIs" dxfId="10571" priority="1470" stopIfTrue="1" operator="equal">
      <formula>"Napkin Hs"</formula>
    </cfRule>
  </conditionalFormatting>
  <conditionalFormatting sqref="B144:C144">
    <cfRule type="cellIs" dxfId="10570" priority="1469" stopIfTrue="1" operator="equal">
      <formula>"Towel"</formula>
    </cfRule>
  </conditionalFormatting>
  <conditionalFormatting sqref="C144">
    <cfRule type="cellIs" dxfId="10569" priority="1468" stopIfTrue="1" operator="equal">
      <formula>"Napkin Hs"</formula>
    </cfRule>
  </conditionalFormatting>
  <conditionalFormatting sqref="C144">
    <cfRule type="cellIs" dxfId="10568" priority="1467" stopIfTrue="1" operator="equal">
      <formula>"Towel"</formula>
    </cfRule>
  </conditionalFormatting>
  <conditionalFormatting sqref="C144">
    <cfRule type="cellIs" dxfId="10567" priority="1465" stopIfTrue="1" operator="equal">
      <formula>"Towel"</formula>
    </cfRule>
    <cfRule type="cellIs" dxfId="10566" priority="1466" stopIfTrue="1" operator="equal">
      <formula>"Napkin Hs"</formula>
    </cfRule>
  </conditionalFormatting>
  <conditionalFormatting sqref="B144:C144">
    <cfRule type="cellIs" dxfId="10565" priority="1463" stopIfTrue="1" operator="equal">
      <formula>"Towel"</formula>
    </cfRule>
    <cfRule type="cellIs" dxfId="10564" priority="1464" stopIfTrue="1" operator="equal">
      <formula>"Napkin Hs"</formula>
    </cfRule>
  </conditionalFormatting>
  <conditionalFormatting sqref="C144">
    <cfRule type="cellIs" dxfId="10563" priority="1461" stopIfTrue="1" operator="equal">
      <formula>"Towel"</formula>
    </cfRule>
    <cfRule type="cellIs" dxfId="10562" priority="1462" stopIfTrue="1" operator="equal">
      <formula>"Napkin Hs"</formula>
    </cfRule>
  </conditionalFormatting>
  <conditionalFormatting sqref="C144">
    <cfRule type="cellIs" dxfId="10561" priority="1459" stopIfTrue="1" operator="equal">
      <formula>"Towel"</formula>
    </cfRule>
    <cfRule type="cellIs" dxfId="10560" priority="1460" stopIfTrue="1" operator="equal">
      <formula>"Napkin Hs"</formula>
    </cfRule>
  </conditionalFormatting>
  <conditionalFormatting sqref="B144:C144">
    <cfRule type="cellIs" dxfId="10559" priority="1457" stopIfTrue="1" operator="equal">
      <formula>"Towel"</formula>
    </cfRule>
    <cfRule type="cellIs" dxfId="10558" priority="1458" stopIfTrue="1" operator="equal">
      <formula>"Napkin Hs"</formula>
    </cfRule>
  </conditionalFormatting>
  <conditionalFormatting sqref="C144">
    <cfRule type="cellIs" dxfId="10557" priority="1455" stopIfTrue="1" operator="equal">
      <formula>"Towel"</formula>
    </cfRule>
    <cfRule type="cellIs" dxfId="10556" priority="1456" stopIfTrue="1" operator="equal">
      <formula>"Napkin Hs"</formula>
    </cfRule>
  </conditionalFormatting>
  <conditionalFormatting sqref="C144">
    <cfRule type="cellIs" dxfId="10555" priority="1453" stopIfTrue="1" operator="equal">
      <formula>"Towel"</formula>
    </cfRule>
    <cfRule type="cellIs" dxfId="10554" priority="1454" stopIfTrue="1" operator="equal">
      <formula>"Napkin Hs"</formula>
    </cfRule>
  </conditionalFormatting>
  <conditionalFormatting sqref="B144:C144">
    <cfRule type="cellIs" dxfId="10553" priority="1451" stopIfTrue="1" operator="equal">
      <formula>"Towel"</formula>
    </cfRule>
    <cfRule type="cellIs" dxfId="10552" priority="1452" stopIfTrue="1" operator="equal">
      <formula>"Napkin Hs"</formula>
    </cfRule>
  </conditionalFormatting>
  <conditionalFormatting sqref="C144">
    <cfRule type="cellIs" dxfId="10551" priority="1449" stopIfTrue="1" operator="equal">
      <formula>"Towel"</formula>
    </cfRule>
    <cfRule type="cellIs" dxfId="10550" priority="1450" stopIfTrue="1" operator="equal">
      <formula>"Napkin Hs"</formula>
    </cfRule>
  </conditionalFormatting>
  <conditionalFormatting sqref="C144">
    <cfRule type="cellIs" dxfId="10549" priority="1447" stopIfTrue="1" operator="equal">
      <formula>"Towel"</formula>
    </cfRule>
    <cfRule type="cellIs" dxfId="10548" priority="1448" stopIfTrue="1" operator="equal">
      <formula>"Napkin Hs"</formula>
    </cfRule>
  </conditionalFormatting>
  <conditionalFormatting sqref="B144:C144">
    <cfRule type="cellIs" dxfId="10547" priority="1445" stopIfTrue="1" operator="equal">
      <formula>"Towel"</formula>
    </cfRule>
    <cfRule type="cellIs" dxfId="10546" priority="1446" stopIfTrue="1" operator="equal">
      <formula>"Napkin Hs"</formula>
    </cfRule>
  </conditionalFormatting>
  <conditionalFormatting sqref="C144">
    <cfRule type="cellIs" dxfId="10545" priority="1443" stopIfTrue="1" operator="equal">
      <formula>"Towel"</formula>
    </cfRule>
    <cfRule type="cellIs" dxfId="10544" priority="1444" stopIfTrue="1" operator="equal">
      <formula>"Napkin Hs"</formula>
    </cfRule>
  </conditionalFormatting>
  <conditionalFormatting sqref="C144">
    <cfRule type="cellIs" dxfId="10543" priority="1441" stopIfTrue="1" operator="equal">
      <formula>"Towel"</formula>
    </cfRule>
    <cfRule type="cellIs" dxfId="10542" priority="1442" stopIfTrue="1" operator="equal">
      <formula>"Napkin Hs"</formula>
    </cfRule>
  </conditionalFormatting>
  <conditionalFormatting sqref="B144:C144">
    <cfRule type="cellIs" dxfId="10541" priority="1439" stopIfTrue="1" operator="equal">
      <formula>"Towel"</formula>
    </cfRule>
    <cfRule type="cellIs" dxfId="10540" priority="1440" stopIfTrue="1" operator="equal">
      <formula>"Napkin Hs"</formula>
    </cfRule>
  </conditionalFormatting>
  <conditionalFormatting sqref="C144">
    <cfRule type="cellIs" dxfId="10539" priority="1437" stopIfTrue="1" operator="equal">
      <formula>"Towel"</formula>
    </cfRule>
    <cfRule type="cellIs" dxfId="10538" priority="1438" stopIfTrue="1" operator="equal">
      <formula>"Napkin Hs"</formula>
    </cfRule>
  </conditionalFormatting>
  <conditionalFormatting sqref="C144">
    <cfRule type="cellIs" dxfId="10537" priority="1435" stopIfTrue="1" operator="equal">
      <formula>"Towel"</formula>
    </cfRule>
    <cfRule type="cellIs" dxfId="10536" priority="1436" stopIfTrue="1" operator="equal">
      <formula>"Napkin Hs"</formula>
    </cfRule>
  </conditionalFormatting>
  <conditionalFormatting sqref="B144:C144">
    <cfRule type="cellIs" dxfId="10535" priority="1425" stopIfTrue="1" operator="equal">
      <formula>"Towel"</formula>
    </cfRule>
    <cfRule type="cellIs" dxfId="10534" priority="1426" stopIfTrue="1" operator="equal">
      <formula>"Napkin Hs"</formula>
    </cfRule>
  </conditionalFormatting>
  <conditionalFormatting sqref="C144">
    <cfRule type="cellIs" dxfId="10533" priority="1427" stopIfTrue="1" operator="equal">
      <formula>"Towel"</formula>
    </cfRule>
    <cfRule type="cellIs" dxfId="10532" priority="1428" stopIfTrue="1" operator="equal">
      <formula>"Napkin Hs"</formula>
    </cfRule>
  </conditionalFormatting>
  <conditionalFormatting sqref="C144">
    <cfRule type="cellIs" dxfId="10531" priority="1423" stopIfTrue="1" operator="equal">
      <formula>"Towel"</formula>
    </cfRule>
    <cfRule type="cellIs" dxfId="10530" priority="1424" stopIfTrue="1" operator="equal">
      <formula>"Napkin Hs"</formula>
    </cfRule>
  </conditionalFormatting>
  <conditionalFormatting sqref="B144:C144">
    <cfRule type="cellIs" dxfId="10529" priority="1422" stopIfTrue="1" operator="equal">
      <formula>"Napkin Hs"</formula>
    </cfRule>
  </conditionalFormatting>
  <conditionalFormatting sqref="B144:C144">
    <cfRule type="cellIs" dxfId="10528" priority="1421" stopIfTrue="1" operator="equal">
      <formula>"Towel"</formula>
    </cfRule>
  </conditionalFormatting>
  <conditionalFormatting sqref="C144">
    <cfRule type="cellIs" dxfId="10527" priority="1420" stopIfTrue="1" operator="equal">
      <formula>"Napkin Hs"</formula>
    </cfRule>
  </conditionalFormatting>
  <conditionalFormatting sqref="C144">
    <cfRule type="cellIs" dxfId="10526" priority="1419" stopIfTrue="1" operator="equal">
      <formula>"Towel"</formula>
    </cfRule>
  </conditionalFormatting>
  <conditionalFormatting sqref="C144">
    <cfRule type="cellIs" dxfId="10525" priority="1417" stopIfTrue="1" operator="equal">
      <formula>"Towel"</formula>
    </cfRule>
    <cfRule type="cellIs" dxfId="10524" priority="1418" stopIfTrue="1" operator="equal">
      <formula>"Napkin Hs"</formula>
    </cfRule>
  </conditionalFormatting>
  <conditionalFormatting sqref="B144:C144">
    <cfRule type="cellIs" dxfId="10523" priority="1415" stopIfTrue="1" operator="equal">
      <formula>"Towel"</formula>
    </cfRule>
    <cfRule type="cellIs" dxfId="10522" priority="1416" stopIfTrue="1" operator="equal">
      <formula>"Napkin Hs"</formula>
    </cfRule>
  </conditionalFormatting>
  <conditionalFormatting sqref="C144">
    <cfRule type="cellIs" dxfId="10521" priority="1411" stopIfTrue="1" operator="equal">
      <formula>"Towel"</formula>
    </cfRule>
    <cfRule type="cellIs" dxfId="10520" priority="1412" stopIfTrue="1" operator="equal">
      <formula>"Napkin Hs"</formula>
    </cfRule>
  </conditionalFormatting>
  <conditionalFormatting sqref="C144">
    <cfRule type="cellIs" dxfId="10519" priority="1413" stopIfTrue="1" operator="equal">
      <formula>"Towel"</formula>
    </cfRule>
    <cfRule type="cellIs" dxfId="10518" priority="1414" stopIfTrue="1" operator="equal">
      <formula>"Napkin Hs"</formula>
    </cfRule>
  </conditionalFormatting>
  <conditionalFormatting sqref="B144:C144">
    <cfRule type="cellIs" dxfId="10517" priority="1410" stopIfTrue="1" operator="equal">
      <formula>"Napkin Hs"</formula>
    </cfRule>
  </conditionalFormatting>
  <conditionalFormatting sqref="B144:C144">
    <cfRule type="cellIs" dxfId="10516" priority="1409" stopIfTrue="1" operator="equal">
      <formula>"Towel"</formula>
    </cfRule>
  </conditionalFormatting>
  <conditionalFormatting sqref="C144">
    <cfRule type="cellIs" dxfId="10515" priority="1408" stopIfTrue="1" operator="equal">
      <formula>"Napkin Hs"</formula>
    </cfRule>
  </conditionalFormatting>
  <conditionalFormatting sqref="C144">
    <cfRule type="cellIs" dxfId="10514" priority="1407" stopIfTrue="1" operator="equal">
      <formula>"Towel"</formula>
    </cfRule>
  </conditionalFormatting>
  <conditionalFormatting sqref="C144">
    <cfRule type="cellIs" dxfId="10513" priority="1405" stopIfTrue="1" operator="equal">
      <formula>"Towel"</formula>
    </cfRule>
    <cfRule type="cellIs" dxfId="10512" priority="1406" stopIfTrue="1" operator="equal">
      <formula>"Napkin Hs"</formula>
    </cfRule>
  </conditionalFormatting>
  <conditionalFormatting sqref="B144:C144">
    <cfRule type="cellIs" dxfId="10511" priority="1403" stopIfTrue="1" operator="equal">
      <formula>"Towel"</formula>
    </cfRule>
    <cfRule type="cellIs" dxfId="10510" priority="1404" stopIfTrue="1" operator="equal">
      <formula>"Napkin Hs"</formula>
    </cfRule>
  </conditionalFormatting>
  <conditionalFormatting sqref="C144">
    <cfRule type="cellIs" dxfId="10509" priority="1401" stopIfTrue="1" operator="equal">
      <formula>"Towel"</formula>
    </cfRule>
    <cfRule type="cellIs" dxfId="10508" priority="1402" stopIfTrue="1" operator="equal">
      <formula>"Napkin Hs"</formula>
    </cfRule>
  </conditionalFormatting>
  <conditionalFormatting sqref="C144">
    <cfRule type="cellIs" dxfId="10507" priority="1399" stopIfTrue="1" operator="equal">
      <formula>"Towel"</formula>
    </cfRule>
    <cfRule type="cellIs" dxfId="10506" priority="1400" stopIfTrue="1" operator="equal">
      <formula>"Napkin Hs"</formula>
    </cfRule>
  </conditionalFormatting>
  <conditionalFormatting sqref="B144:C144">
    <cfRule type="cellIs" dxfId="10505" priority="1397" stopIfTrue="1" operator="equal">
      <formula>"Towel"</formula>
    </cfRule>
    <cfRule type="cellIs" dxfId="10504" priority="1398" stopIfTrue="1" operator="equal">
      <formula>"Napkin Hs"</formula>
    </cfRule>
  </conditionalFormatting>
  <conditionalFormatting sqref="C144">
    <cfRule type="cellIs" dxfId="10503" priority="1395" stopIfTrue="1" operator="equal">
      <formula>"Towel"</formula>
    </cfRule>
    <cfRule type="cellIs" dxfId="10502" priority="1396" stopIfTrue="1" operator="equal">
      <formula>"Napkin Hs"</formula>
    </cfRule>
  </conditionalFormatting>
  <conditionalFormatting sqref="C144">
    <cfRule type="cellIs" dxfId="10501" priority="1393" stopIfTrue="1" operator="equal">
      <formula>"Towel"</formula>
    </cfRule>
    <cfRule type="cellIs" dxfId="10500" priority="1394" stopIfTrue="1" operator="equal">
      <formula>"Napkin Hs"</formula>
    </cfRule>
  </conditionalFormatting>
  <conditionalFormatting sqref="B144:C144">
    <cfRule type="cellIs" dxfId="10499" priority="1391" stopIfTrue="1" operator="equal">
      <formula>"Towel"</formula>
    </cfRule>
    <cfRule type="cellIs" dxfId="10498" priority="1392" stopIfTrue="1" operator="equal">
      <formula>"Napkin Hs"</formula>
    </cfRule>
  </conditionalFormatting>
  <conditionalFormatting sqref="C144">
    <cfRule type="cellIs" dxfId="10497" priority="1389" stopIfTrue="1" operator="equal">
      <formula>"Towel"</formula>
    </cfRule>
    <cfRule type="cellIs" dxfId="10496" priority="1390" stopIfTrue="1" operator="equal">
      <formula>"Napkin Hs"</formula>
    </cfRule>
  </conditionalFormatting>
  <conditionalFormatting sqref="C144">
    <cfRule type="cellIs" dxfId="10495" priority="1387" stopIfTrue="1" operator="equal">
      <formula>"Towel"</formula>
    </cfRule>
    <cfRule type="cellIs" dxfId="10494" priority="1388" stopIfTrue="1" operator="equal">
      <formula>"Napkin Hs"</formula>
    </cfRule>
  </conditionalFormatting>
  <conditionalFormatting sqref="B144:C144">
    <cfRule type="cellIs" dxfId="10493" priority="1385" stopIfTrue="1" operator="equal">
      <formula>"Towel"</formula>
    </cfRule>
    <cfRule type="cellIs" dxfId="10492" priority="1386" stopIfTrue="1" operator="equal">
      <formula>"Napkin Hs"</formula>
    </cfRule>
  </conditionalFormatting>
  <conditionalFormatting sqref="C144">
    <cfRule type="cellIs" dxfId="10491" priority="1383" stopIfTrue="1" operator="equal">
      <formula>"Towel"</formula>
    </cfRule>
    <cfRule type="cellIs" dxfId="10490" priority="1384" stopIfTrue="1" operator="equal">
      <formula>"Napkin Hs"</formula>
    </cfRule>
  </conditionalFormatting>
  <conditionalFormatting sqref="C144">
    <cfRule type="cellIs" dxfId="10489" priority="1381" stopIfTrue="1" operator="equal">
      <formula>"Towel"</formula>
    </cfRule>
    <cfRule type="cellIs" dxfId="10488" priority="1382" stopIfTrue="1" operator="equal">
      <formula>"Napkin Hs"</formula>
    </cfRule>
  </conditionalFormatting>
  <conditionalFormatting sqref="B144:C144">
    <cfRule type="cellIs" dxfId="10487" priority="1379" stopIfTrue="1" operator="equal">
      <formula>"Towel"</formula>
    </cfRule>
    <cfRule type="cellIs" dxfId="10486" priority="1380" stopIfTrue="1" operator="equal">
      <formula>"Napkin Hs"</formula>
    </cfRule>
  </conditionalFormatting>
  <conditionalFormatting sqref="C144">
    <cfRule type="cellIs" dxfId="10485" priority="1377" stopIfTrue="1" operator="equal">
      <formula>"Towel"</formula>
    </cfRule>
    <cfRule type="cellIs" dxfId="10484" priority="1378" stopIfTrue="1" operator="equal">
      <formula>"Napkin Hs"</formula>
    </cfRule>
  </conditionalFormatting>
  <conditionalFormatting sqref="C144">
    <cfRule type="cellIs" dxfId="10483" priority="1375" stopIfTrue="1" operator="equal">
      <formula>"Towel"</formula>
    </cfRule>
    <cfRule type="cellIs" dxfId="10482" priority="1376" stopIfTrue="1" operator="equal">
      <formula>"Napkin Hs"</formula>
    </cfRule>
  </conditionalFormatting>
  <conditionalFormatting sqref="B144:C144">
    <cfRule type="cellIs" dxfId="10481" priority="1374" stopIfTrue="1" operator="equal">
      <formula>"Napkin Hs"</formula>
    </cfRule>
  </conditionalFormatting>
  <conditionalFormatting sqref="B144:C144">
    <cfRule type="cellIs" dxfId="10480" priority="1373" stopIfTrue="1" operator="equal">
      <formula>"Towel"</formula>
    </cfRule>
  </conditionalFormatting>
  <conditionalFormatting sqref="C144">
    <cfRule type="cellIs" dxfId="10479" priority="1372" stopIfTrue="1" operator="equal">
      <formula>"Napkin Hs"</formula>
    </cfRule>
  </conditionalFormatting>
  <conditionalFormatting sqref="C144">
    <cfRule type="cellIs" dxfId="10478" priority="1369" stopIfTrue="1" operator="equal">
      <formula>"Towel"</formula>
    </cfRule>
    <cfRule type="cellIs" dxfId="10477" priority="1370" stopIfTrue="1" operator="equal">
      <formula>"Napkin Hs"</formula>
    </cfRule>
  </conditionalFormatting>
  <conditionalFormatting sqref="C144">
    <cfRule type="cellIs" dxfId="10476" priority="1371" stopIfTrue="1" operator="equal">
      <formula>"Towel"</formula>
    </cfRule>
  </conditionalFormatting>
  <conditionalFormatting sqref="B144:C144">
    <cfRule type="cellIs" dxfId="10475" priority="1368" stopIfTrue="1" operator="equal">
      <formula>"Napkin Hs"</formula>
    </cfRule>
  </conditionalFormatting>
  <conditionalFormatting sqref="B144:C144">
    <cfRule type="cellIs" dxfId="10474" priority="1367" stopIfTrue="1" operator="equal">
      <formula>"Towel"</formula>
    </cfRule>
  </conditionalFormatting>
  <conditionalFormatting sqref="C144">
    <cfRule type="cellIs" dxfId="10473" priority="1366" stopIfTrue="1" operator="equal">
      <formula>"Napkin Hs"</formula>
    </cfRule>
  </conditionalFormatting>
  <conditionalFormatting sqref="C144">
    <cfRule type="cellIs" dxfId="10472" priority="1365" stopIfTrue="1" operator="equal">
      <formula>"Towel"</formula>
    </cfRule>
  </conditionalFormatting>
  <conditionalFormatting sqref="C144">
    <cfRule type="cellIs" dxfId="10471" priority="1363" stopIfTrue="1" operator="equal">
      <formula>"Towel"</formula>
    </cfRule>
    <cfRule type="cellIs" dxfId="10470" priority="1364" stopIfTrue="1" operator="equal">
      <formula>"Napkin Hs"</formula>
    </cfRule>
  </conditionalFormatting>
  <conditionalFormatting sqref="C144">
    <cfRule type="cellIs" dxfId="10469" priority="1357" stopIfTrue="1" operator="equal">
      <formula>"Towel"</formula>
    </cfRule>
    <cfRule type="cellIs" dxfId="10468" priority="1358" stopIfTrue="1" operator="equal">
      <formula>"Napkin Hs"</formula>
    </cfRule>
  </conditionalFormatting>
  <conditionalFormatting sqref="B144:C144">
    <cfRule type="cellIs" dxfId="10467" priority="1356" stopIfTrue="1" operator="equal">
      <formula>"Napkin Hs"</formula>
    </cfRule>
  </conditionalFormatting>
  <conditionalFormatting sqref="B144:C144">
    <cfRule type="cellIs" dxfId="10466" priority="1355" stopIfTrue="1" operator="equal">
      <formula>"Towel"</formula>
    </cfRule>
  </conditionalFormatting>
  <conditionalFormatting sqref="C144">
    <cfRule type="cellIs" dxfId="10465" priority="1354" stopIfTrue="1" operator="equal">
      <formula>"Napkin Hs"</formula>
    </cfRule>
  </conditionalFormatting>
  <conditionalFormatting sqref="C144">
    <cfRule type="cellIs" dxfId="10464" priority="1353" stopIfTrue="1" operator="equal">
      <formula>"Towel"</formula>
    </cfRule>
  </conditionalFormatting>
  <conditionalFormatting sqref="C144">
    <cfRule type="cellIs" dxfId="10463" priority="1351" stopIfTrue="1" operator="equal">
      <formula>"Towel"</formula>
    </cfRule>
    <cfRule type="cellIs" dxfId="10462" priority="1352" stopIfTrue="1" operator="equal">
      <formula>"Napkin Hs"</formula>
    </cfRule>
  </conditionalFormatting>
  <conditionalFormatting sqref="C144">
    <cfRule type="cellIs" dxfId="10461" priority="1345" stopIfTrue="1" operator="equal">
      <formula>"Towel"</formula>
    </cfRule>
    <cfRule type="cellIs" dxfId="10460" priority="1346" stopIfTrue="1" operator="equal">
      <formula>"Napkin Hs"</formula>
    </cfRule>
  </conditionalFormatting>
  <conditionalFormatting sqref="C144">
    <cfRule type="cellIs" dxfId="10459" priority="1339" stopIfTrue="1" operator="equal">
      <formula>"Towel"</formula>
    </cfRule>
    <cfRule type="cellIs" dxfId="10458" priority="1340" stopIfTrue="1" operator="equal">
      <formula>"Napkin Hs"</formula>
    </cfRule>
  </conditionalFormatting>
  <conditionalFormatting sqref="C144">
    <cfRule type="cellIs" dxfId="10457" priority="1333" stopIfTrue="1" operator="equal">
      <formula>"Towel"</formula>
    </cfRule>
    <cfRule type="cellIs" dxfId="10456" priority="1334" stopIfTrue="1" operator="equal">
      <formula>"Napkin Hs"</formula>
    </cfRule>
  </conditionalFormatting>
  <conditionalFormatting sqref="C144">
    <cfRule type="cellIs" dxfId="10455" priority="1327" stopIfTrue="1" operator="equal">
      <formula>"Towel"</formula>
    </cfRule>
    <cfRule type="cellIs" dxfId="10454" priority="1328" stopIfTrue="1" operator="equal">
      <formula>"Napkin Hs"</formula>
    </cfRule>
  </conditionalFormatting>
  <conditionalFormatting sqref="C144">
    <cfRule type="cellIs" dxfId="10453" priority="1321" stopIfTrue="1" operator="equal">
      <formula>"Towel"</formula>
    </cfRule>
    <cfRule type="cellIs" dxfId="10452" priority="1322" stopIfTrue="1" operator="equal">
      <formula>"Napkin Hs"</formula>
    </cfRule>
  </conditionalFormatting>
  <conditionalFormatting sqref="B144:C144">
    <cfRule type="cellIs" dxfId="10451" priority="1320" stopIfTrue="1" operator="equal">
      <formula>"Napkin Hs"</formula>
    </cfRule>
  </conditionalFormatting>
  <conditionalFormatting sqref="B144:C144">
    <cfRule type="cellIs" dxfId="10450" priority="1319" stopIfTrue="1" operator="equal">
      <formula>"Towel"</formula>
    </cfRule>
  </conditionalFormatting>
  <conditionalFormatting sqref="C144">
    <cfRule type="cellIs" dxfId="10449" priority="1318" stopIfTrue="1" operator="equal">
      <formula>"Napkin Hs"</formula>
    </cfRule>
  </conditionalFormatting>
  <conditionalFormatting sqref="C144">
    <cfRule type="cellIs" dxfId="10448" priority="1315" stopIfTrue="1" operator="equal">
      <formula>"Towel"</formula>
    </cfRule>
    <cfRule type="cellIs" dxfId="10447" priority="1316" stopIfTrue="1" operator="equal">
      <formula>"Napkin Hs"</formula>
    </cfRule>
  </conditionalFormatting>
  <conditionalFormatting sqref="C144">
    <cfRule type="cellIs" dxfId="10446" priority="1317" stopIfTrue="1" operator="equal">
      <formula>"Towel"</formula>
    </cfRule>
  </conditionalFormatting>
  <conditionalFormatting sqref="B144:C144">
    <cfRule type="cellIs" dxfId="10445" priority="1314" stopIfTrue="1" operator="equal">
      <formula>"Napkin Hs"</formula>
    </cfRule>
  </conditionalFormatting>
  <conditionalFormatting sqref="B144:C144">
    <cfRule type="cellIs" dxfId="10444" priority="1313" stopIfTrue="1" operator="equal">
      <formula>"Towel"</formula>
    </cfRule>
  </conditionalFormatting>
  <conditionalFormatting sqref="C144">
    <cfRule type="cellIs" dxfId="10443" priority="1312" stopIfTrue="1" operator="equal">
      <formula>"Napkin Hs"</formula>
    </cfRule>
  </conditionalFormatting>
  <conditionalFormatting sqref="C144">
    <cfRule type="cellIs" dxfId="10442" priority="1309" stopIfTrue="1" operator="equal">
      <formula>"Towel"</formula>
    </cfRule>
    <cfRule type="cellIs" dxfId="10441" priority="1310" stopIfTrue="1" operator="equal">
      <formula>"Napkin Hs"</formula>
    </cfRule>
  </conditionalFormatting>
  <conditionalFormatting sqref="C144">
    <cfRule type="cellIs" dxfId="10440" priority="1311" stopIfTrue="1" operator="equal">
      <formula>"Towel"</formula>
    </cfRule>
  </conditionalFormatting>
  <conditionalFormatting sqref="B144:C144">
    <cfRule type="cellIs" dxfId="10439" priority="1361" stopIfTrue="1" operator="equal">
      <formula>"Towel"</formula>
    </cfRule>
    <cfRule type="cellIs" dxfId="10438" priority="1362" stopIfTrue="1" operator="equal">
      <formula>"Napkin Hs"</formula>
    </cfRule>
  </conditionalFormatting>
  <conditionalFormatting sqref="C144">
    <cfRule type="cellIs" dxfId="10437" priority="1359" stopIfTrue="1" operator="equal">
      <formula>"Towel"</formula>
    </cfRule>
    <cfRule type="cellIs" dxfId="10436" priority="1360" stopIfTrue="1" operator="equal">
      <formula>"Napkin Hs"</formula>
    </cfRule>
  </conditionalFormatting>
  <conditionalFormatting sqref="B144:C144">
    <cfRule type="cellIs" dxfId="10435" priority="1349" stopIfTrue="1" operator="equal">
      <formula>"Towel"</formula>
    </cfRule>
    <cfRule type="cellIs" dxfId="10434" priority="1350" stopIfTrue="1" operator="equal">
      <formula>"Napkin Hs"</formula>
    </cfRule>
  </conditionalFormatting>
  <conditionalFormatting sqref="C144">
    <cfRule type="cellIs" dxfId="10433" priority="1347" stopIfTrue="1" operator="equal">
      <formula>"Towel"</formula>
    </cfRule>
    <cfRule type="cellIs" dxfId="10432" priority="1348" stopIfTrue="1" operator="equal">
      <formula>"Napkin Hs"</formula>
    </cfRule>
  </conditionalFormatting>
  <conditionalFormatting sqref="B144:C144">
    <cfRule type="cellIs" dxfId="10431" priority="1343" stopIfTrue="1" operator="equal">
      <formula>"Towel"</formula>
    </cfRule>
    <cfRule type="cellIs" dxfId="10430" priority="1344" stopIfTrue="1" operator="equal">
      <formula>"Napkin Hs"</formula>
    </cfRule>
  </conditionalFormatting>
  <conditionalFormatting sqref="C144">
    <cfRule type="cellIs" dxfId="10429" priority="1341" stopIfTrue="1" operator="equal">
      <formula>"Towel"</formula>
    </cfRule>
    <cfRule type="cellIs" dxfId="10428" priority="1342" stopIfTrue="1" operator="equal">
      <formula>"Napkin Hs"</formula>
    </cfRule>
  </conditionalFormatting>
  <conditionalFormatting sqref="B144:C144">
    <cfRule type="cellIs" dxfId="10427" priority="1337" stopIfTrue="1" operator="equal">
      <formula>"Towel"</formula>
    </cfRule>
    <cfRule type="cellIs" dxfId="10426" priority="1338" stopIfTrue="1" operator="equal">
      <formula>"Napkin Hs"</formula>
    </cfRule>
  </conditionalFormatting>
  <conditionalFormatting sqref="C144">
    <cfRule type="cellIs" dxfId="10425" priority="1335" stopIfTrue="1" operator="equal">
      <formula>"Towel"</formula>
    </cfRule>
    <cfRule type="cellIs" dxfId="10424" priority="1336" stopIfTrue="1" operator="equal">
      <formula>"Napkin Hs"</formula>
    </cfRule>
  </conditionalFormatting>
  <conditionalFormatting sqref="B144:C144">
    <cfRule type="cellIs" dxfId="10423" priority="1331" stopIfTrue="1" operator="equal">
      <formula>"Towel"</formula>
    </cfRule>
    <cfRule type="cellIs" dxfId="10422" priority="1332" stopIfTrue="1" operator="equal">
      <formula>"Napkin Hs"</formula>
    </cfRule>
  </conditionalFormatting>
  <conditionalFormatting sqref="C144">
    <cfRule type="cellIs" dxfId="10421" priority="1329" stopIfTrue="1" operator="equal">
      <formula>"Towel"</formula>
    </cfRule>
    <cfRule type="cellIs" dxfId="10420" priority="1330" stopIfTrue="1" operator="equal">
      <formula>"Napkin Hs"</formula>
    </cfRule>
  </conditionalFormatting>
  <conditionalFormatting sqref="B144:C144">
    <cfRule type="cellIs" dxfId="10419" priority="1325" stopIfTrue="1" operator="equal">
      <formula>"Towel"</formula>
    </cfRule>
    <cfRule type="cellIs" dxfId="10418" priority="1326" stopIfTrue="1" operator="equal">
      <formula>"Napkin Hs"</formula>
    </cfRule>
  </conditionalFormatting>
  <conditionalFormatting sqref="C144">
    <cfRule type="cellIs" dxfId="10417" priority="1323" stopIfTrue="1" operator="equal">
      <formula>"Towel"</formula>
    </cfRule>
    <cfRule type="cellIs" dxfId="10416" priority="1324" stopIfTrue="1" operator="equal">
      <formula>"Napkin Hs"</formula>
    </cfRule>
  </conditionalFormatting>
  <conditionalFormatting sqref="B144:C144">
    <cfRule type="cellIs" dxfId="10415" priority="1308" stopIfTrue="1" operator="equal">
      <formula>"Napkin Hs"</formula>
    </cfRule>
  </conditionalFormatting>
  <conditionalFormatting sqref="B144:C144">
    <cfRule type="cellIs" dxfId="10414" priority="1307" stopIfTrue="1" operator="equal">
      <formula>"Towel"</formula>
    </cfRule>
  </conditionalFormatting>
  <conditionalFormatting sqref="C144">
    <cfRule type="cellIs" dxfId="10413" priority="1306" stopIfTrue="1" operator="equal">
      <formula>"Napkin Hs"</formula>
    </cfRule>
  </conditionalFormatting>
  <conditionalFormatting sqref="C144">
    <cfRule type="cellIs" dxfId="10412" priority="1303" stopIfTrue="1" operator="equal">
      <formula>"Towel"</formula>
    </cfRule>
    <cfRule type="cellIs" dxfId="10411" priority="1304" stopIfTrue="1" operator="equal">
      <formula>"Napkin Hs"</formula>
    </cfRule>
  </conditionalFormatting>
  <conditionalFormatting sqref="C144">
    <cfRule type="cellIs" dxfId="10410" priority="1305" stopIfTrue="1" operator="equal">
      <formula>"Towel"</formula>
    </cfRule>
  </conditionalFormatting>
  <conditionalFormatting sqref="C145">
    <cfRule type="cellIs" dxfId="10409" priority="1113" stopIfTrue="1" operator="equal">
      <formula>"Towel"</formula>
    </cfRule>
    <cfRule type="cellIs" dxfId="10408" priority="1114" stopIfTrue="1" operator="equal">
      <formula>"Napkin Hs"</formula>
    </cfRule>
  </conditionalFormatting>
  <conditionalFormatting sqref="C145">
    <cfRule type="cellIs" dxfId="10407" priority="1111" stopIfTrue="1" operator="equal">
      <formula>"Towel"</formula>
    </cfRule>
    <cfRule type="cellIs" dxfId="10406" priority="1112" stopIfTrue="1" operator="equal">
      <formula>"Napkin Hs"</formula>
    </cfRule>
  </conditionalFormatting>
  <conditionalFormatting sqref="B145:C145">
    <cfRule type="cellIs" dxfId="10405" priority="1062" stopIfTrue="1" operator="equal">
      <formula>"Napkin Hs"</formula>
    </cfRule>
  </conditionalFormatting>
  <conditionalFormatting sqref="B145:C145">
    <cfRule type="cellIs" dxfId="10404" priority="1061" stopIfTrue="1" operator="equal">
      <formula>"Towel"</formula>
    </cfRule>
  </conditionalFormatting>
  <conditionalFormatting sqref="B145:C145">
    <cfRule type="cellIs" dxfId="10403" priority="1115" stopIfTrue="1" operator="equal">
      <formula>"Towel"</formula>
    </cfRule>
    <cfRule type="cellIs" dxfId="10402" priority="1116" stopIfTrue="1" operator="equal">
      <formula>"Napkin Hs"</formula>
    </cfRule>
  </conditionalFormatting>
  <conditionalFormatting sqref="C145">
    <cfRule type="cellIs" dxfId="10401" priority="1060" stopIfTrue="1" operator="equal">
      <formula>"Napkin Hs"</formula>
    </cfRule>
  </conditionalFormatting>
  <conditionalFormatting sqref="C145">
    <cfRule type="cellIs" dxfId="10400" priority="1059" stopIfTrue="1" operator="equal">
      <formula>"Towel"</formula>
    </cfRule>
  </conditionalFormatting>
  <conditionalFormatting sqref="C145">
    <cfRule type="cellIs" dxfId="10399" priority="1057" stopIfTrue="1" operator="equal">
      <formula>"Towel"</formula>
    </cfRule>
    <cfRule type="cellIs" dxfId="10398" priority="1058" stopIfTrue="1" operator="equal">
      <formula>"Napkin Hs"</formula>
    </cfRule>
  </conditionalFormatting>
  <conditionalFormatting sqref="B145:C145">
    <cfRule type="cellIs" dxfId="10397" priority="1110" stopIfTrue="1" operator="equal">
      <formula>"Napkin Hs"</formula>
    </cfRule>
  </conditionalFormatting>
  <conditionalFormatting sqref="B145:C145">
    <cfRule type="cellIs" dxfId="10396" priority="1109" stopIfTrue="1" operator="equal">
      <formula>"Towel"</formula>
    </cfRule>
  </conditionalFormatting>
  <conditionalFormatting sqref="C145">
    <cfRule type="cellIs" dxfId="10395" priority="1108" stopIfTrue="1" operator="equal">
      <formula>"Napkin Hs"</formula>
    </cfRule>
  </conditionalFormatting>
  <conditionalFormatting sqref="C145">
    <cfRule type="cellIs" dxfId="10394" priority="1107" stopIfTrue="1" operator="equal">
      <formula>"Towel"</formula>
    </cfRule>
  </conditionalFormatting>
  <conditionalFormatting sqref="C145">
    <cfRule type="cellIs" dxfId="10393" priority="1105" stopIfTrue="1" operator="equal">
      <formula>"Towel"</formula>
    </cfRule>
    <cfRule type="cellIs" dxfId="10392" priority="1106" stopIfTrue="1" operator="equal">
      <formula>"Napkin Hs"</formula>
    </cfRule>
  </conditionalFormatting>
  <conditionalFormatting sqref="B145:C145">
    <cfRule type="cellIs" dxfId="10391" priority="1103" stopIfTrue="1" operator="equal">
      <formula>"Towel"</formula>
    </cfRule>
    <cfRule type="cellIs" dxfId="10390" priority="1104" stopIfTrue="1" operator="equal">
      <formula>"Napkin Hs"</formula>
    </cfRule>
  </conditionalFormatting>
  <conditionalFormatting sqref="C145">
    <cfRule type="cellIs" dxfId="10389" priority="1099" stopIfTrue="1" operator="equal">
      <formula>"Towel"</formula>
    </cfRule>
    <cfRule type="cellIs" dxfId="10388" priority="1100" stopIfTrue="1" operator="equal">
      <formula>"Napkin Hs"</formula>
    </cfRule>
  </conditionalFormatting>
  <conditionalFormatting sqref="C145">
    <cfRule type="cellIs" dxfId="10387" priority="1101" stopIfTrue="1" operator="equal">
      <formula>"Towel"</formula>
    </cfRule>
    <cfRule type="cellIs" dxfId="10386" priority="1102" stopIfTrue="1" operator="equal">
      <formula>"Napkin Hs"</formula>
    </cfRule>
  </conditionalFormatting>
  <conditionalFormatting sqref="B145:C145">
    <cfRule type="cellIs" dxfId="10385" priority="1098" stopIfTrue="1" operator="equal">
      <formula>"Napkin Hs"</formula>
    </cfRule>
  </conditionalFormatting>
  <conditionalFormatting sqref="B145:C145">
    <cfRule type="cellIs" dxfId="10384" priority="1097" stopIfTrue="1" operator="equal">
      <formula>"Towel"</formula>
    </cfRule>
  </conditionalFormatting>
  <conditionalFormatting sqref="C145">
    <cfRule type="cellIs" dxfId="10383" priority="1096" stopIfTrue="1" operator="equal">
      <formula>"Napkin Hs"</formula>
    </cfRule>
  </conditionalFormatting>
  <conditionalFormatting sqref="C145">
    <cfRule type="cellIs" dxfId="10382" priority="1095" stopIfTrue="1" operator="equal">
      <formula>"Towel"</formula>
    </cfRule>
  </conditionalFormatting>
  <conditionalFormatting sqref="C145">
    <cfRule type="cellIs" dxfId="10381" priority="1093" stopIfTrue="1" operator="equal">
      <formula>"Towel"</formula>
    </cfRule>
    <cfRule type="cellIs" dxfId="10380" priority="1094" stopIfTrue="1" operator="equal">
      <formula>"Napkin Hs"</formula>
    </cfRule>
  </conditionalFormatting>
  <conditionalFormatting sqref="B145:C145">
    <cfRule type="cellIs" dxfId="10379" priority="1091" stopIfTrue="1" operator="equal">
      <formula>"Towel"</formula>
    </cfRule>
    <cfRule type="cellIs" dxfId="10378" priority="1092" stopIfTrue="1" operator="equal">
      <formula>"Napkin Hs"</formula>
    </cfRule>
  </conditionalFormatting>
  <conditionalFormatting sqref="C145">
    <cfRule type="cellIs" dxfId="10377" priority="1089" stopIfTrue="1" operator="equal">
      <formula>"Towel"</formula>
    </cfRule>
    <cfRule type="cellIs" dxfId="10376" priority="1090" stopIfTrue="1" operator="equal">
      <formula>"Napkin Hs"</formula>
    </cfRule>
  </conditionalFormatting>
  <conditionalFormatting sqref="C145">
    <cfRule type="cellIs" dxfId="10375" priority="1087" stopIfTrue="1" operator="equal">
      <formula>"Towel"</formula>
    </cfRule>
    <cfRule type="cellIs" dxfId="10374" priority="1088" stopIfTrue="1" operator="equal">
      <formula>"Napkin Hs"</formula>
    </cfRule>
  </conditionalFormatting>
  <conditionalFormatting sqref="B145:C145">
    <cfRule type="cellIs" dxfId="10373" priority="1085" stopIfTrue="1" operator="equal">
      <formula>"Towel"</formula>
    </cfRule>
    <cfRule type="cellIs" dxfId="10372" priority="1086" stopIfTrue="1" operator="equal">
      <formula>"Napkin Hs"</formula>
    </cfRule>
  </conditionalFormatting>
  <conditionalFormatting sqref="C145">
    <cfRule type="cellIs" dxfId="10371" priority="1083" stopIfTrue="1" operator="equal">
      <formula>"Towel"</formula>
    </cfRule>
    <cfRule type="cellIs" dxfId="10370" priority="1084" stopIfTrue="1" operator="equal">
      <formula>"Napkin Hs"</formula>
    </cfRule>
  </conditionalFormatting>
  <conditionalFormatting sqref="C145">
    <cfRule type="cellIs" dxfId="10369" priority="1081" stopIfTrue="1" operator="equal">
      <formula>"Towel"</formula>
    </cfRule>
    <cfRule type="cellIs" dxfId="10368" priority="1082" stopIfTrue="1" operator="equal">
      <formula>"Napkin Hs"</formula>
    </cfRule>
  </conditionalFormatting>
  <conditionalFormatting sqref="B145:C145">
    <cfRule type="cellIs" dxfId="10367" priority="1079" stopIfTrue="1" operator="equal">
      <formula>"Towel"</formula>
    </cfRule>
    <cfRule type="cellIs" dxfId="10366" priority="1080" stopIfTrue="1" operator="equal">
      <formula>"Napkin Hs"</formula>
    </cfRule>
  </conditionalFormatting>
  <conditionalFormatting sqref="C145">
    <cfRule type="cellIs" dxfId="10365" priority="1077" stopIfTrue="1" operator="equal">
      <formula>"Towel"</formula>
    </cfRule>
    <cfRule type="cellIs" dxfId="10364" priority="1078" stopIfTrue="1" operator="equal">
      <formula>"Napkin Hs"</formula>
    </cfRule>
  </conditionalFormatting>
  <conditionalFormatting sqref="C145">
    <cfRule type="cellIs" dxfId="10363" priority="1075" stopIfTrue="1" operator="equal">
      <formula>"Towel"</formula>
    </cfRule>
    <cfRule type="cellIs" dxfId="10362" priority="1076" stopIfTrue="1" operator="equal">
      <formula>"Napkin Hs"</formula>
    </cfRule>
  </conditionalFormatting>
  <conditionalFormatting sqref="B145:C145">
    <cfRule type="cellIs" dxfId="10361" priority="1073" stopIfTrue="1" operator="equal">
      <formula>"Towel"</formula>
    </cfRule>
    <cfRule type="cellIs" dxfId="10360" priority="1074" stopIfTrue="1" operator="equal">
      <formula>"Napkin Hs"</formula>
    </cfRule>
  </conditionalFormatting>
  <conditionalFormatting sqref="C145">
    <cfRule type="cellIs" dxfId="10359" priority="1071" stopIfTrue="1" operator="equal">
      <formula>"Towel"</formula>
    </cfRule>
    <cfRule type="cellIs" dxfId="10358" priority="1072" stopIfTrue="1" operator="equal">
      <formula>"Napkin Hs"</formula>
    </cfRule>
  </conditionalFormatting>
  <conditionalFormatting sqref="C145">
    <cfRule type="cellIs" dxfId="10357" priority="1069" stopIfTrue="1" operator="equal">
      <formula>"Towel"</formula>
    </cfRule>
    <cfRule type="cellIs" dxfId="10356" priority="1070" stopIfTrue="1" operator="equal">
      <formula>"Napkin Hs"</formula>
    </cfRule>
  </conditionalFormatting>
  <conditionalFormatting sqref="B145:C145">
    <cfRule type="cellIs" dxfId="10355" priority="1067" stopIfTrue="1" operator="equal">
      <formula>"Towel"</formula>
    </cfRule>
    <cfRule type="cellIs" dxfId="10354" priority="1068" stopIfTrue="1" operator="equal">
      <formula>"Napkin Hs"</formula>
    </cfRule>
  </conditionalFormatting>
  <conditionalFormatting sqref="C145">
    <cfRule type="cellIs" dxfId="10353" priority="1065" stopIfTrue="1" operator="equal">
      <formula>"Towel"</formula>
    </cfRule>
    <cfRule type="cellIs" dxfId="10352" priority="1066" stopIfTrue="1" operator="equal">
      <formula>"Napkin Hs"</formula>
    </cfRule>
  </conditionalFormatting>
  <conditionalFormatting sqref="C145">
    <cfRule type="cellIs" dxfId="10351" priority="1063" stopIfTrue="1" operator="equal">
      <formula>"Towel"</formula>
    </cfRule>
    <cfRule type="cellIs" dxfId="10350" priority="1064" stopIfTrue="1" operator="equal">
      <formula>"Napkin Hs"</formula>
    </cfRule>
  </conditionalFormatting>
  <conditionalFormatting sqref="B145:C145">
    <cfRule type="cellIs" dxfId="10349" priority="1053" stopIfTrue="1" operator="equal">
      <formula>"Towel"</formula>
    </cfRule>
    <cfRule type="cellIs" dxfId="10348" priority="1054" stopIfTrue="1" operator="equal">
      <formula>"Napkin Hs"</formula>
    </cfRule>
  </conditionalFormatting>
  <conditionalFormatting sqref="C145">
    <cfRule type="cellIs" dxfId="10347" priority="1055" stopIfTrue="1" operator="equal">
      <formula>"Towel"</formula>
    </cfRule>
    <cfRule type="cellIs" dxfId="10346" priority="1056" stopIfTrue="1" operator="equal">
      <formula>"Napkin Hs"</formula>
    </cfRule>
  </conditionalFormatting>
  <conditionalFormatting sqref="C145">
    <cfRule type="cellIs" dxfId="10345" priority="1051" stopIfTrue="1" operator="equal">
      <formula>"Towel"</formula>
    </cfRule>
    <cfRule type="cellIs" dxfId="10344" priority="1052" stopIfTrue="1" operator="equal">
      <formula>"Napkin Hs"</formula>
    </cfRule>
  </conditionalFormatting>
  <conditionalFormatting sqref="B145:C145">
    <cfRule type="cellIs" dxfId="10343" priority="1050" stopIfTrue="1" operator="equal">
      <formula>"Napkin Hs"</formula>
    </cfRule>
  </conditionalFormatting>
  <conditionalFormatting sqref="B145:C145">
    <cfRule type="cellIs" dxfId="10342" priority="1049" stopIfTrue="1" operator="equal">
      <formula>"Towel"</formula>
    </cfRule>
  </conditionalFormatting>
  <conditionalFormatting sqref="C145">
    <cfRule type="cellIs" dxfId="10341" priority="1048" stopIfTrue="1" operator="equal">
      <formula>"Napkin Hs"</formula>
    </cfRule>
  </conditionalFormatting>
  <conditionalFormatting sqref="C145">
    <cfRule type="cellIs" dxfId="10340" priority="1047" stopIfTrue="1" operator="equal">
      <formula>"Towel"</formula>
    </cfRule>
  </conditionalFormatting>
  <conditionalFormatting sqref="C145">
    <cfRule type="cellIs" dxfId="10339" priority="1045" stopIfTrue="1" operator="equal">
      <formula>"Towel"</formula>
    </cfRule>
    <cfRule type="cellIs" dxfId="10338" priority="1046" stopIfTrue="1" operator="equal">
      <formula>"Napkin Hs"</formula>
    </cfRule>
  </conditionalFormatting>
  <conditionalFormatting sqref="B145:C145">
    <cfRule type="cellIs" dxfId="10337" priority="1043" stopIfTrue="1" operator="equal">
      <formula>"Towel"</formula>
    </cfRule>
    <cfRule type="cellIs" dxfId="10336" priority="1044" stopIfTrue="1" operator="equal">
      <formula>"Napkin Hs"</formula>
    </cfRule>
  </conditionalFormatting>
  <conditionalFormatting sqref="C145">
    <cfRule type="cellIs" dxfId="10335" priority="1039" stopIfTrue="1" operator="equal">
      <formula>"Towel"</formula>
    </cfRule>
    <cfRule type="cellIs" dxfId="10334" priority="1040" stopIfTrue="1" operator="equal">
      <formula>"Napkin Hs"</formula>
    </cfRule>
  </conditionalFormatting>
  <conditionalFormatting sqref="C145">
    <cfRule type="cellIs" dxfId="10333" priority="1041" stopIfTrue="1" operator="equal">
      <formula>"Towel"</formula>
    </cfRule>
    <cfRule type="cellIs" dxfId="10332" priority="1042" stopIfTrue="1" operator="equal">
      <formula>"Napkin Hs"</formula>
    </cfRule>
  </conditionalFormatting>
  <conditionalFormatting sqref="B145:C145">
    <cfRule type="cellIs" dxfId="10331" priority="1038" stopIfTrue="1" operator="equal">
      <formula>"Napkin Hs"</formula>
    </cfRule>
  </conditionalFormatting>
  <conditionalFormatting sqref="B145:C145">
    <cfRule type="cellIs" dxfId="10330" priority="1037" stopIfTrue="1" operator="equal">
      <formula>"Towel"</formula>
    </cfRule>
  </conditionalFormatting>
  <conditionalFormatting sqref="C145">
    <cfRule type="cellIs" dxfId="10329" priority="1036" stopIfTrue="1" operator="equal">
      <formula>"Napkin Hs"</formula>
    </cfRule>
  </conditionalFormatting>
  <conditionalFormatting sqref="C145">
    <cfRule type="cellIs" dxfId="10328" priority="1035" stopIfTrue="1" operator="equal">
      <formula>"Towel"</formula>
    </cfRule>
  </conditionalFormatting>
  <conditionalFormatting sqref="C145">
    <cfRule type="cellIs" dxfId="10327" priority="1033" stopIfTrue="1" operator="equal">
      <formula>"Towel"</formula>
    </cfRule>
    <cfRule type="cellIs" dxfId="10326" priority="1034" stopIfTrue="1" operator="equal">
      <formula>"Napkin Hs"</formula>
    </cfRule>
  </conditionalFormatting>
  <conditionalFormatting sqref="B145:C145">
    <cfRule type="cellIs" dxfId="10325" priority="1031" stopIfTrue="1" operator="equal">
      <formula>"Towel"</formula>
    </cfRule>
    <cfRule type="cellIs" dxfId="10324" priority="1032" stopIfTrue="1" operator="equal">
      <formula>"Napkin Hs"</formula>
    </cfRule>
  </conditionalFormatting>
  <conditionalFormatting sqref="C145">
    <cfRule type="cellIs" dxfId="10323" priority="1029" stopIfTrue="1" operator="equal">
      <formula>"Towel"</formula>
    </cfRule>
    <cfRule type="cellIs" dxfId="10322" priority="1030" stopIfTrue="1" operator="equal">
      <formula>"Napkin Hs"</formula>
    </cfRule>
  </conditionalFormatting>
  <conditionalFormatting sqref="C145">
    <cfRule type="cellIs" dxfId="10321" priority="1027" stopIfTrue="1" operator="equal">
      <formula>"Towel"</formula>
    </cfRule>
    <cfRule type="cellIs" dxfId="10320" priority="1028" stopIfTrue="1" operator="equal">
      <formula>"Napkin Hs"</formula>
    </cfRule>
  </conditionalFormatting>
  <conditionalFormatting sqref="B145:C145">
    <cfRule type="cellIs" dxfId="10319" priority="1025" stopIfTrue="1" operator="equal">
      <formula>"Towel"</formula>
    </cfRule>
    <cfRule type="cellIs" dxfId="10318" priority="1026" stopIfTrue="1" operator="equal">
      <formula>"Napkin Hs"</formula>
    </cfRule>
  </conditionalFormatting>
  <conditionalFormatting sqref="C145">
    <cfRule type="cellIs" dxfId="10317" priority="1023" stopIfTrue="1" operator="equal">
      <formula>"Towel"</formula>
    </cfRule>
    <cfRule type="cellIs" dxfId="10316" priority="1024" stopIfTrue="1" operator="equal">
      <formula>"Napkin Hs"</formula>
    </cfRule>
  </conditionalFormatting>
  <conditionalFormatting sqref="C145">
    <cfRule type="cellIs" dxfId="10315" priority="1021" stopIfTrue="1" operator="equal">
      <formula>"Towel"</formula>
    </cfRule>
    <cfRule type="cellIs" dxfId="10314" priority="1022" stopIfTrue="1" operator="equal">
      <formula>"Napkin Hs"</formula>
    </cfRule>
  </conditionalFormatting>
  <conditionalFormatting sqref="B145:C145">
    <cfRule type="cellIs" dxfId="10313" priority="1019" stopIfTrue="1" operator="equal">
      <formula>"Towel"</formula>
    </cfRule>
    <cfRule type="cellIs" dxfId="10312" priority="1020" stopIfTrue="1" operator="equal">
      <formula>"Napkin Hs"</formula>
    </cfRule>
  </conditionalFormatting>
  <conditionalFormatting sqref="C145">
    <cfRule type="cellIs" dxfId="10311" priority="1017" stopIfTrue="1" operator="equal">
      <formula>"Towel"</formula>
    </cfRule>
    <cfRule type="cellIs" dxfId="10310" priority="1018" stopIfTrue="1" operator="equal">
      <formula>"Napkin Hs"</formula>
    </cfRule>
  </conditionalFormatting>
  <conditionalFormatting sqref="C145">
    <cfRule type="cellIs" dxfId="10309" priority="1015" stopIfTrue="1" operator="equal">
      <formula>"Towel"</formula>
    </cfRule>
    <cfRule type="cellIs" dxfId="10308" priority="1016" stopIfTrue="1" operator="equal">
      <formula>"Napkin Hs"</formula>
    </cfRule>
  </conditionalFormatting>
  <conditionalFormatting sqref="B145:C145">
    <cfRule type="cellIs" dxfId="10307" priority="1013" stopIfTrue="1" operator="equal">
      <formula>"Towel"</formula>
    </cfRule>
    <cfRule type="cellIs" dxfId="10306" priority="1014" stopIfTrue="1" operator="equal">
      <formula>"Napkin Hs"</formula>
    </cfRule>
  </conditionalFormatting>
  <conditionalFormatting sqref="C145">
    <cfRule type="cellIs" dxfId="10305" priority="1011" stopIfTrue="1" operator="equal">
      <formula>"Towel"</formula>
    </cfRule>
    <cfRule type="cellIs" dxfId="10304" priority="1012" stopIfTrue="1" operator="equal">
      <formula>"Napkin Hs"</formula>
    </cfRule>
  </conditionalFormatting>
  <conditionalFormatting sqref="C145">
    <cfRule type="cellIs" dxfId="10303" priority="1009" stopIfTrue="1" operator="equal">
      <formula>"Towel"</formula>
    </cfRule>
    <cfRule type="cellIs" dxfId="10302" priority="1010" stopIfTrue="1" operator="equal">
      <formula>"Napkin Hs"</formula>
    </cfRule>
  </conditionalFormatting>
  <conditionalFormatting sqref="B145:C145">
    <cfRule type="cellIs" dxfId="10301" priority="1007" stopIfTrue="1" operator="equal">
      <formula>"Towel"</formula>
    </cfRule>
    <cfRule type="cellIs" dxfId="10300" priority="1008" stopIfTrue="1" operator="equal">
      <formula>"Napkin Hs"</formula>
    </cfRule>
  </conditionalFormatting>
  <conditionalFormatting sqref="C145">
    <cfRule type="cellIs" dxfId="10299" priority="1005" stopIfTrue="1" operator="equal">
      <formula>"Towel"</formula>
    </cfRule>
    <cfRule type="cellIs" dxfId="10298" priority="1006" stopIfTrue="1" operator="equal">
      <formula>"Napkin Hs"</formula>
    </cfRule>
  </conditionalFormatting>
  <conditionalFormatting sqref="C145">
    <cfRule type="cellIs" dxfId="10297" priority="1003" stopIfTrue="1" operator="equal">
      <formula>"Towel"</formula>
    </cfRule>
    <cfRule type="cellIs" dxfId="10296" priority="1004" stopIfTrue="1" operator="equal">
      <formula>"Napkin Hs"</formula>
    </cfRule>
  </conditionalFormatting>
  <conditionalFormatting sqref="B145:C145">
    <cfRule type="cellIs" dxfId="10295" priority="1002" stopIfTrue="1" operator="equal">
      <formula>"Napkin Hs"</formula>
    </cfRule>
  </conditionalFormatting>
  <conditionalFormatting sqref="B145:C145">
    <cfRule type="cellIs" dxfId="10294" priority="1001" stopIfTrue="1" operator="equal">
      <formula>"Towel"</formula>
    </cfRule>
  </conditionalFormatting>
  <conditionalFormatting sqref="C145">
    <cfRule type="cellIs" dxfId="10293" priority="1000" stopIfTrue="1" operator="equal">
      <formula>"Napkin Hs"</formula>
    </cfRule>
  </conditionalFormatting>
  <conditionalFormatting sqref="C145">
    <cfRule type="cellIs" dxfId="10292" priority="997" stopIfTrue="1" operator="equal">
      <formula>"Towel"</formula>
    </cfRule>
    <cfRule type="cellIs" dxfId="10291" priority="998" stopIfTrue="1" operator="equal">
      <formula>"Napkin Hs"</formula>
    </cfRule>
  </conditionalFormatting>
  <conditionalFormatting sqref="C145">
    <cfRule type="cellIs" dxfId="10290" priority="999" stopIfTrue="1" operator="equal">
      <formula>"Towel"</formula>
    </cfRule>
  </conditionalFormatting>
  <conditionalFormatting sqref="B145:C145">
    <cfRule type="cellIs" dxfId="10289" priority="996" stopIfTrue="1" operator="equal">
      <formula>"Napkin Hs"</formula>
    </cfRule>
  </conditionalFormatting>
  <conditionalFormatting sqref="B145:C145">
    <cfRule type="cellIs" dxfId="10288" priority="995" stopIfTrue="1" operator="equal">
      <formula>"Towel"</formula>
    </cfRule>
  </conditionalFormatting>
  <conditionalFormatting sqref="C145">
    <cfRule type="cellIs" dxfId="10287" priority="994" stopIfTrue="1" operator="equal">
      <formula>"Napkin Hs"</formula>
    </cfRule>
  </conditionalFormatting>
  <conditionalFormatting sqref="C145">
    <cfRule type="cellIs" dxfId="10286" priority="993" stopIfTrue="1" operator="equal">
      <formula>"Towel"</formula>
    </cfRule>
  </conditionalFormatting>
  <conditionalFormatting sqref="C145">
    <cfRule type="cellIs" dxfId="10285" priority="991" stopIfTrue="1" operator="equal">
      <formula>"Towel"</formula>
    </cfRule>
    <cfRule type="cellIs" dxfId="10284" priority="992" stopIfTrue="1" operator="equal">
      <formula>"Napkin Hs"</formula>
    </cfRule>
  </conditionalFormatting>
  <conditionalFormatting sqref="C145">
    <cfRule type="cellIs" dxfId="10283" priority="985" stopIfTrue="1" operator="equal">
      <formula>"Towel"</formula>
    </cfRule>
    <cfRule type="cellIs" dxfId="10282" priority="986" stopIfTrue="1" operator="equal">
      <formula>"Napkin Hs"</formula>
    </cfRule>
  </conditionalFormatting>
  <conditionalFormatting sqref="B145:C145">
    <cfRule type="cellIs" dxfId="10281" priority="984" stopIfTrue="1" operator="equal">
      <formula>"Napkin Hs"</formula>
    </cfRule>
  </conditionalFormatting>
  <conditionalFormatting sqref="B145:C145">
    <cfRule type="cellIs" dxfId="10280" priority="983" stopIfTrue="1" operator="equal">
      <formula>"Towel"</formula>
    </cfRule>
  </conditionalFormatting>
  <conditionalFormatting sqref="C145">
    <cfRule type="cellIs" dxfId="10279" priority="982" stopIfTrue="1" operator="equal">
      <formula>"Napkin Hs"</formula>
    </cfRule>
  </conditionalFormatting>
  <conditionalFormatting sqref="C145">
    <cfRule type="cellIs" dxfId="10278" priority="981" stopIfTrue="1" operator="equal">
      <formula>"Towel"</formula>
    </cfRule>
  </conditionalFormatting>
  <conditionalFormatting sqref="C145">
    <cfRule type="cellIs" dxfId="10277" priority="979" stopIfTrue="1" operator="equal">
      <formula>"Towel"</formula>
    </cfRule>
    <cfRule type="cellIs" dxfId="10276" priority="980" stopIfTrue="1" operator="equal">
      <formula>"Napkin Hs"</formula>
    </cfRule>
  </conditionalFormatting>
  <conditionalFormatting sqref="C145">
    <cfRule type="cellIs" dxfId="10275" priority="973" stopIfTrue="1" operator="equal">
      <formula>"Towel"</formula>
    </cfRule>
    <cfRule type="cellIs" dxfId="10274" priority="974" stopIfTrue="1" operator="equal">
      <formula>"Napkin Hs"</formula>
    </cfRule>
  </conditionalFormatting>
  <conditionalFormatting sqref="C145">
    <cfRule type="cellIs" dxfId="10273" priority="967" stopIfTrue="1" operator="equal">
      <formula>"Towel"</formula>
    </cfRule>
    <cfRule type="cellIs" dxfId="10272" priority="968" stopIfTrue="1" operator="equal">
      <formula>"Napkin Hs"</formula>
    </cfRule>
  </conditionalFormatting>
  <conditionalFormatting sqref="C145">
    <cfRule type="cellIs" dxfId="10271" priority="961" stopIfTrue="1" operator="equal">
      <formula>"Towel"</formula>
    </cfRule>
    <cfRule type="cellIs" dxfId="10270" priority="962" stopIfTrue="1" operator="equal">
      <formula>"Napkin Hs"</formula>
    </cfRule>
  </conditionalFormatting>
  <conditionalFormatting sqref="C145">
    <cfRule type="cellIs" dxfId="10269" priority="955" stopIfTrue="1" operator="equal">
      <formula>"Towel"</formula>
    </cfRule>
    <cfRule type="cellIs" dxfId="10268" priority="956" stopIfTrue="1" operator="equal">
      <formula>"Napkin Hs"</formula>
    </cfRule>
  </conditionalFormatting>
  <conditionalFormatting sqref="C145">
    <cfRule type="cellIs" dxfId="10267" priority="949" stopIfTrue="1" operator="equal">
      <formula>"Towel"</formula>
    </cfRule>
    <cfRule type="cellIs" dxfId="10266" priority="950" stopIfTrue="1" operator="equal">
      <formula>"Napkin Hs"</formula>
    </cfRule>
  </conditionalFormatting>
  <conditionalFormatting sqref="B145:C145">
    <cfRule type="cellIs" dxfId="10265" priority="948" stopIfTrue="1" operator="equal">
      <formula>"Napkin Hs"</formula>
    </cfRule>
  </conditionalFormatting>
  <conditionalFormatting sqref="B145:C145">
    <cfRule type="cellIs" dxfId="10264" priority="947" stopIfTrue="1" operator="equal">
      <formula>"Towel"</formula>
    </cfRule>
  </conditionalFormatting>
  <conditionalFormatting sqref="C145">
    <cfRule type="cellIs" dxfId="10263" priority="946" stopIfTrue="1" operator="equal">
      <formula>"Napkin Hs"</formula>
    </cfRule>
  </conditionalFormatting>
  <conditionalFormatting sqref="C145">
    <cfRule type="cellIs" dxfId="10262" priority="943" stopIfTrue="1" operator="equal">
      <formula>"Towel"</formula>
    </cfRule>
    <cfRule type="cellIs" dxfId="10261" priority="944" stopIfTrue="1" operator="equal">
      <formula>"Napkin Hs"</formula>
    </cfRule>
  </conditionalFormatting>
  <conditionalFormatting sqref="C145">
    <cfRule type="cellIs" dxfId="10260" priority="945" stopIfTrue="1" operator="equal">
      <formula>"Towel"</formula>
    </cfRule>
  </conditionalFormatting>
  <conditionalFormatting sqref="B145:C145">
    <cfRule type="cellIs" dxfId="10259" priority="942" stopIfTrue="1" operator="equal">
      <formula>"Napkin Hs"</formula>
    </cfRule>
  </conditionalFormatting>
  <conditionalFormatting sqref="B145:C145">
    <cfRule type="cellIs" dxfId="10258" priority="941" stopIfTrue="1" operator="equal">
      <formula>"Towel"</formula>
    </cfRule>
  </conditionalFormatting>
  <conditionalFormatting sqref="C145">
    <cfRule type="cellIs" dxfId="10257" priority="940" stopIfTrue="1" operator="equal">
      <formula>"Napkin Hs"</formula>
    </cfRule>
  </conditionalFormatting>
  <conditionalFormatting sqref="C145">
    <cfRule type="cellIs" dxfId="10256" priority="937" stopIfTrue="1" operator="equal">
      <formula>"Towel"</formula>
    </cfRule>
    <cfRule type="cellIs" dxfId="10255" priority="938" stopIfTrue="1" operator="equal">
      <formula>"Napkin Hs"</formula>
    </cfRule>
  </conditionalFormatting>
  <conditionalFormatting sqref="C145">
    <cfRule type="cellIs" dxfId="10254" priority="939" stopIfTrue="1" operator="equal">
      <formula>"Towel"</formula>
    </cfRule>
  </conditionalFormatting>
  <conditionalFormatting sqref="B145:C145">
    <cfRule type="cellIs" dxfId="10253" priority="989" stopIfTrue="1" operator="equal">
      <formula>"Towel"</formula>
    </cfRule>
    <cfRule type="cellIs" dxfId="10252" priority="990" stopIfTrue="1" operator="equal">
      <formula>"Napkin Hs"</formula>
    </cfRule>
  </conditionalFormatting>
  <conditionalFormatting sqref="C145">
    <cfRule type="cellIs" dxfId="10251" priority="987" stopIfTrue="1" operator="equal">
      <formula>"Towel"</formula>
    </cfRule>
    <cfRule type="cellIs" dxfId="10250" priority="988" stopIfTrue="1" operator="equal">
      <formula>"Napkin Hs"</formula>
    </cfRule>
  </conditionalFormatting>
  <conditionalFormatting sqref="B145:C145">
    <cfRule type="cellIs" dxfId="10249" priority="977" stopIfTrue="1" operator="equal">
      <formula>"Towel"</formula>
    </cfRule>
    <cfRule type="cellIs" dxfId="10248" priority="978" stopIfTrue="1" operator="equal">
      <formula>"Napkin Hs"</formula>
    </cfRule>
  </conditionalFormatting>
  <conditionalFormatting sqref="C145">
    <cfRule type="cellIs" dxfId="10247" priority="975" stopIfTrue="1" operator="equal">
      <formula>"Towel"</formula>
    </cfRule>
    <cfRule type="cellIs" dxfId="10246" priority="976" stopIfTrue="1" operator="equal">
      <formula>"Napkin Hs"</formula>
    </cfRule>
  </conditionalFormatting>
  <conditionalFormatting sqref="B145:C145">
    <cfRule type="cellIs" dxfId="10245" priority="971" stopIfTrue="1" operator="equal">
      <formula>"Towel"</formula>
    </cfRule>
    <cfRule type="cellIs" dxfId="10244" priority="972" stopIfTrue="1" operator="equal">
      <formula>"Napkin Hs"</formula>
    </cfRule>
  </conditionalFormatting>
  <conditionalFormatting sqref="C145">
    <cfRule type="cellIs" dxfId="10243" priority="969" stopIfTrue="1" operator="equal">
      <formula>"Towel"</formula>
    </cfRule>
    <cfRule type="cellIs" dxfId="10242" priority="970" stopIfTrue="1" operator="equal">
      <formula>"Napkin Hs"</formula>
    </cfRule>
  </conditionalFormatting>
  <conditionalFormatting sqref="B145:C145">
    <cfRule type="cellIs" dxfId="10241" priority="965" stopIfTrue="1" operator="equal">
      <formula>"Towel"</formula>
    </cfRule>
    <cfRule type="cellIs" dxfId="10240" priority="966" stopIfTrue="1" operator="equal">
      <formula>"Napkin Hs"</formula>
    </cfRule>
  </conditionalFormatting>
  <conditionalFormatting sqref="C145">
    <cfRule type="cellIs" dxfId="10239" priority="963" stopIfTrue="1" operator="equal">
      <formula>"Towel"</formula>
    </cfRule>
    <cfRule type="cellIs" dxfId="10238" priority="964" stopIfTrue="1" operator="equal">
      <formula>"Napkin Hs"</formula>
    </cfRule>
  </conditionalFormatting>
  <conditionalFormatting sqref="B145:C145">
    <cfRule type="cellIs" dxfId="10237" priority="959" stopIfTrue="1" operator="equal">
      <formula>"Towel"</formula>
    </cfRule>
    <cfRule type="cellIs" dxfId="10236" priority="960" stopIfTrue="1" operator="equal">
      <formula>"Napkin Hs"</formula>
    </cfRule>
  </conditionalFormatting>
  <conditionalFormatting sqref="C145">
    <cfRule type="cellIs" dxfId="10235" priority="957" stopIfTrue="1" operator="equal">
      <formula>"Towel"</formula>
    </cfRule>
    <cfRule type="cellIs" dxfId="10234" priority="958" stopIfTrue="1" operator="equal">
      <formula>"Napkin Hs"</formula>
    </cfRule>
  </conditionalFormatting>
  <conditionalFormatting sqref="B145:C145">
    <cfRule type="cellIs" dxfId="10233" priority="953" stopIfTrue="1" operator="equal">
      <formula>"Towel"</formula>
    </cfRule>
    <cfRule type="cellIs" dxfId="10232" priority="954" stopIfTrue="1" operator="equal">
      <formula>"Napkin Hs"</formula>
    </cfRule>
  </conditionalFormatting>
  <conditionalFormatting sqref="C145">
    <cfRule type="cellIs" dxfId="10231" priority="951" stopIfTrue="1" operator="equal">
      <formula>"Towel"</formula>
    </cfRule>
    <cfRule type="cellIs" dxfId="10230" priority="952" stopIfTrue="1" operator="equal">
      <formula>"Napkin Hs"</formula>
    </cfRule>
  </conditionalFormatting>
  <conditionalFormatting sqref="B145:C145">
    <cfRule type="cellIs" dxfId="10229" priority="936" stopIfTrue="1" operator="equal">
      <formula>"Napkin Hs"</formula>
    </cfRule>
  </conditionalFormatting>
  <conditionalFormatting sqref="B145:C145">
    <cfRule type="cellIs" dxfId="10228" priority="935" stopIfTrue="1" operator="equal">
      <formula>"Towel"</formula>
    </cfRule>
  </conditionalFormatting>
  <conditionalFormatting sqref="C145">
    <cfRule type="cellIs" dxfId="10227" priority="934" stopIfTrue="1" operator="equal">
      <formula>"Napkin Hs"</formula>
    </cfRule>
  </conditionalFormatting>
  <conditionalFormatting sqref="C145">
    <cfRule type="cellIs" dxfId="10226" priority="931" stopIfTrue="1" operator="equal">
      <formula>"Towel"</formula>
    </cfRule>
    <cfRule type="cellIs" dxfId="10225" priority="932" stopIfTrue="1" operator="equal">
      <formula>"Napkin Hs"</formula>
    </cfRule>
  </conditionalFormatting>
  <conditionalFormatting sqref="C145">
    <cfRule type="cellIs" dxfId="10224" priority="933" stopIfTrue="1" operator="equal">
      <formula>"Towel"</formula>
    </cfRule>
  </conditionalFormatting>
  <conditionalFormatting sqref="C143">
    <cfRule type="cellIs" dxfId="10223" priority="927" stopIfTrue="1" operator="equal">
      <formula>"Towel"</formula>
    </cfRule>
    <cfRule type="cellIs" dxfId="10222" priority="928" stopIfTrue="1" operator="equal">
      <formula>"Napkin Hs"</formula>
    </cfRule>
  </conditionalFormatting>
  <conditionalFormatting sqref="C143">
    <cfRule type="cellIs" dxfId="10221" priority="925" stopIfTrue="1" operator="equal">
      <formula>"Towel"</formula>
    </cfRule>
    <cfRule type="cellIs" dxfId="10220" priority="926" stopIfTrue="1" operator="equal">
      <formula>"Napkin Hs"</formula>
    </cfRule>
  </conditionalFormatting>
  <conditionalFormatting sqref="B143:C143">
    <cfRule type="cellIs" dxfId="10219" priority="876" stopIfTrue="1" operator="equal">
      <formula>"Napkin Hs"</formula>
    </cfRule>
  </conditionalFormatting>
  <conditionalFormatting sqref="B143:C143">
    <cfRule type="cellIs" dxfId="10218" priority="875" stopIfTrue="1" operator="equal">
      <formula>"Towel"</formula>
    </cfRule>
  </conditionalFormatting>
  <conditionalFormatting sqref="B143:C143">
    <cfRule type="cellIs" dxfId="10217" priority="929" stopIfTrue="1" operator="equal">
      <formula>"Towel"</formula>
    </cfRule>
    <cfRule type="cellIs" dxfId="10216" priority="930" stopIfTrue="1" operator="equal">
      <formula>"Napkin Hs"</formula>
    </cfRule>
  </conditionalFormatting>
  <conditionalFormatting sqref="C143">
    <cfRule type="cellIs" dxfId="10215" priority="874" stopIfTrue="1" operator="equal">
      <formula>"Napkin Hs"</formula>
    </cfRule>
  </conditionalFormatting>
  <conditionalFormatting sqref="C143">
    <cfRule type="cellIs" dxfId="10214" priority="873" stopIfTrue="1" operator="equal">
      <formula>"Towel"</formula>
    </cfRule>
  </conditionalFormatting>
  <conditionalFormatting sqref="C143">
    <cfRule type="cellIs" dxfId="10213" priority="871" stopIfTrue="1" operator="equal">
      <formula>"Towel"</formula>
    </cfRule>
    <cfRule type="cellIs" dxfId="10212" priority="872" stopIfTrue="1" operator="equal">
      <formula>"Napkin Hs"</formula>
    </cfRule>
  </conditionalFormatting>
  <conditionalFormatting sqref="B143:C143">
    <cfRule type="cellIs" dxfId="10211" priority="924" stopIfTrue="1" operator="equal">
      <formula>"Napkin Hs"</formula>
    </cfRule>
  </conditionalFormatting>
  <conditionalFormatting sqref="B143:C143">
    <cfRule type="cellIs" dxfId="10210" priority="923" stopIfTrue="1" operator="equal">
      <formula>"Towel"</formula>
    </cfRule>
  </conditionalFormatting>
  <conditionalFormatting sqref="C143">
    <cfRule type="cellIs" dxfId="10209" priority="922" stopIfTrue="1" operator="equal">
      <formula>"Napkin Hs"</formula>
    </cfRule>
  </conditionalFormatting>
  <conditionalFormatting sqref="C143">
    <cfRule type="cellIs" dxfId="10208" priority="921" stopIfTrue="1" operator="equal">
      <formula>"Towel"</formula>
    </cfRule>
  </conditionalFormatting>
  <conditionalFormatting sqref="C143">
    <cfRule type="cellIs" dxfId="10207" priority="919" stopIfTrue="1" operator="equal">
      <formula>"Towel"</formula>
    </cfRule>
    <cfRule type="cellIs" dxfId="10206" priority="920" stopIfTrue="1" operator="equal">
      <formula>"Napkin Hs"</formula>
    </cfRule>
  </conditionalFormatting>
  <conditionalFormatting sqref="B143:C143">
    <cfRule type="cellIs" dxfId="10205" priority="917" stopIfTrue="1" operator="equal">
      <formula>"Towel"</formula>
    </cfRule>
    <cfRule type="cellIs" dxfId="10204" priority="918" stopIfTrue="1" operator="equal">
      <formula>"Napkin Hs"</formula>
    </cfRule>
  </conditionalFormatting>
  <conditionalFormatting sqref="C143">
    <cfRule type="cellIs" dxfId="10203" priority="913" stopIfTrue="1" operator="equal">
      <formula>"Towel"</formula>
    </cfRule>
    <cfRule type="cellIs" dxfId="10202" priority="914" stopIfTrue="1" operator="equal">
      <formula>"Napkin Hs"</formula>
    </cfRule>
  </conditionalFormatting>
  <conditionalFormatting sqref="C143">
    <cfRule type="cellIs" dxfId="10201" priority="915" stopIfTrue="1" operator="equal">
      <formula>"Towel"</formula>
    </cfRule>
    <cfRule type="cellIs" dxfId="10200" priority="916" stopIfTrue="1" operator="equal">
      <formula>"Napkin Hs"</formula>
    </cfRule>
  </conditionalFormatting>
  <conditionalFormatting sqref="B143:C143">
    <cfRule type="cellIs" dxfId="10199" priority="912" stopIfTrue="1" operator="equal">
      <formula>"Napkin Hs"</formula>
    </cfRule>
  </conditionalFormatting>
  <conditionalFormatting sqref="B143:C143">
    <cfRule type="cellIs" dxfId="10198" priority="911" stopIfTrue="1" operator="equal">
      <formula>"Towel"</formula>
    </cfRule>
  </conditionalFormatting>
  <conditionalFormatting sqref="C143">
    <cfRule type="cellIs" dxfId="10197" priority="910" stopIfTrue="1" operator="equal">
      <formula>"Napkin Hs"</formula>
    </cfRule>
  </conditionalFormatting>
  <conditionalFormatting sqref="C143">
    <cfRule type="cellIs" dxfId="10196" priority="909" stopIfTrue="1" operator="equal">
      <formula>"Towel"</formula>
    </cfRule>
  </conditionalFormatting>
  <conditionalFormatting sqref="C143">
    <cfRule type="cellIs" dxfId="10195" priority="907" stopIfTrue="1" operator="equal">
      <formula>"Towel"</formula>
    </cfRule>
    <cfRule type="cellIs" dxfId="10194" priority="908" stopIfTrue="1" operator="equal">
      <formula>"Napkin Hs"</formula>
    </cfRule>
  </conditionalFormatting>
  <conditionalFormatting sqref="B143:C143">
    <cfRule type="cellIs" dxfId="10193" priority="905" stopIfTrue="1" operator="equal">
      <formula>"Towel"</formula>
    </cfRule>
    <cfRule type="cellIs" dxfId="10192" priority="906" stopIfTrue="1" operator="equal">
      <formula>"Napkin Hs"</formula>
    </cfRule>
  </conditionalFormatting>
  <conditionalFormatting sqref="C143">
    <cfRule type="cellIs" dxfId="10191" priority="903" stopIfTrue="1" operator="equal">
      <formula>"Towel"</formula>
    </cfRule>
    <cfRule type="cellIs" dxfId="10190" priority="904" stopIfTrue="1" operator="equal">
      <formula>"Napkin Hs"</formula>
    </cfRule>
  </conditionalFormatting>
  <conditionalFormatting sqref="C143">
    <cfRule type="cellIs" dxfId="10189" priority="901" stopIfTrue="1" operator="equal">
      <formula>"Towel"</formula>
    </cfRule>
    <cfRule type="cellIs" dxfId="10188" priority="902" stopIfTrue="1" operator="equal">
      <formula>"Napkin Hs"</formula>
    </cfRule>
  </conditionalFormatting>
  <conditionalFormatting sqref="B143:C143">
    <cfRule type="cellIs" dxfId="10187" priority="899" stopIfTrue="1" operator="equal">
      <formula>"Towel"</formula>
    </cfRule>
    <cfRule type="cellIs" dxfId="10186" priority="900" stopIfTrue="1" operator="equal">
      <formula>"Napkin Hs"</formula>
    </cfRule>
  </conditionalFormatting>
  <conditionalFormatting sqref="C143">
    <cfRule type="cellIs" dxfId="10185" priority="897" stopIfTrue="1" operator="equal">
      <formula>"Towel"</formula>
    </cfRule>
    <cfRule type="cellIs" dxfId="10184" priority="898" stopIfTrue="1" operator="equal">
      <formula>"Napkin Hs"</formula>
    </cfRule>
  </conditionalFormatting>
  <conditionalFormatting sqref="C143">
    <cfRule type="cellIs" dxfId="10183" priority="895" stopIfTrue="1" operator="equal">
      <formula>"Towel"</formula>
    </cfRule>
    <cfRule type="cellIs" dxfId="10182" priority="896" stopIfTrue="1" operator="equal">
      <formula>"Napkin Hs"</formula>
    </cfRule>
  </conditionalFormatting>
  <conditionalFormatting sqref="B143:C143">
    <cfRule type="cellIs" dxfId="10181" priority="893" stopIfTrue="1" operator="equal">
      <formula>"Towel"</formula>
    </cfRule>
    <cfRule type="cellIs" dxfId="10180" priority="894" stopIfTrue="1" operator="equal">
      <formula>"Napkin Hs"</formula>
    </cfRule>
  </conditionalFormatting>
  <conditionalFormatting sqref="C143">
    <cfRule type="cellIs" dxfId="10179" priority="891" stopIfTrue="1" operator="equal">
      <formula>"Towel"</formula>
    </cfRule>
    <cfRule type="cellIs" dxfId="10178" priority="892" stopIfTrue="1" operator="equal">
      <formula>"Napkin Hs"</formula>
    </cfRule>
  </conditionalFormatting>
  <conditionalFormatting sqref="C143">
    <cfRule type="cellIs" dxfId="10177" priority="889" stopIfTrue="1" operator="equal">
      <formula>"Towel"</formula>
    </cfRule>
    <cfRule type="cellIs" dxfId="10176" priority="890" stopIfTrue="1" operator="equal">
      <formula>"Napkin Hs"</formula>
    </cfRule>
  </conditionalFormatting>
  <conditionalFormatting sqref="B143:C143">
    <cfRule type="cellIs" dxfId="10175" priority="887" stopIfTrue="1" operator="equal">
      <formula>"Towel"</formula>
    </cfRule>
    <cfRule type="cellIs" dxfId="10174" priority="888" stopIfTrue="1" operator="equal">
      <formula>"Napkin Hs"</formula>
    </cfRule>
  </conditionalFormatting>
  <conditionalFormatting sqref="C143">
    <cfRule type="cellIs" dxfId="10173" priority="885" stopIfTrue="1" operator="equal">
      <formula>"Towel"</formula>
    </cfRule>
    <cfRule type="cellIs" dxfId="10172" priority="886" stopIfTrue="1" operator="equal">
      <formula>"Napkin Hs"</formula>
    </cfRule>
  </conditionalFormatting>
  <conditionalFormatting sqref="C143">
    <cfRule type="cellIs" dxfId="10171" priority="883" stopIfTrue="1" operator="equal">
      <formula>"Towel"</formula>
    </cfRule>
    <cfRule type="cellIs" dxfId="10170" priority="884" stopIfTrue="1" operator="equal">
      <formula>"Napkin Hs"</formula>
    </cfRule>
  </conditionalFormatting>
  <conditionalFormatting sqref="B143:C143">
    <cfRule type="cellIs" dxfId="10169" priority="881" stopIfTrue="1" operator="equal">
      <formula>"Towel"</formula>
    </cfRule>
    <cfRule type="cellIs" dxfId="10168" priority="882" stopIfTrue="1" operator="equal">
      <formula>"Napkin Hs"</formula>
    </cfRule>
  </conditionalFormatting>
  <conditionalFormatting sqref="C143">
    <cfRule type="cellIs" dxfId="10167" priority="879" stopIfTrue="1" operator="equal">
      <formula>"Towel"</formula>
    </cfRule>
    <cfRule type="cellIs" dxfId="10166" priority="880" stopIfTrue="1" operator="equal">
      <formula>"Napkin Hs"</formula>
    </cfRule>
  </conditionalFormatting>
  <conditionalFormatting sqref="C143">
    <cfRule type="cellIs" dxfId="10165" priority="877" stopIfTrue="1" operator="equal">
      <formula>"Towel"</formula>
    </cfRule>
    <cfRule type="cellIs" dxfId="10164" priority="878" stopIfTrue="1" operator="equal">
      <formula>"Napkin Hs"</formula>
    </cfRule>
  </conditionalFormatting>
  <conditionalFormatting sqref="B143:C143">
    <cfRule type="cellIs" dxfId="10163" priority="867" stopIfTrue="1" operator="equal">
      <formula>"Towel"</formula>
    </cfRule>
    <cfRule type="cellIs" dxfId="10162" priority="868" stopIfTrue="1" operator="equal">
      <formula>"Napkin Hs"</formula>
    </cfRule>
  </conditionalFormatting>
  <conditionalFormatting sqref="C143">
    <cfRule type="cellIs" dxfId="10161" priority="869" stopIfTrue="1" operator="equal">
      <formula>"Towel"</formula>
    </cfRule>
    <cfRule type="cellIs" dxfId="10160" priority="870" stopIfTrue="1" operator="equal">
      <formula>"Napkin Hs"</formula>
    </cfRule>
  </conditionalFormatting>
  <conditionalFormatting sqref="C143">
    <cfRule type="cellIs" dxfId="10159" priority="865" stopIfTrue="1" operator="equal">
      <formula>"Towel"</formula>
    </cfRule>
    <cfRule type="cellIs" dxfId="10158" priority="866" stopIfTrue="1" operator="equal">
      <formula>"Napkin Hs"</formula>
    </cfRule>
  </conditionalFormatting>
  <conditionalFormatting sqref="B143:C143">
    <cfRule type="cellIs" dxfId="10157" priority="864" stopIfTrue="1" operator="equal">
      <formula>"Napkin Hs"</formula>
    </cfRule>
  </conditionalFormatting>
  <conditionalFormatting sqref="B143:C143">
    <cfRule type="cellIs" dxfId="10156" priority="863" stopIfTrue="1" operator="equal">
      <formula>"Towel"</formula>
    </cfRule>
  </conditionalFormatting>
  <conditionalFormatting sqref="C143">
    <cfRule type="cellIs" dxfId="10155" priority="862" stopIfTrue="1" operator="equal">
      <formula>"Napkin Hs"</formula>
    </cfRule>
  </conditionalFormatting>
  <conditionalFormatting sqref="C143">
    <cfRule type="cellIs" dxfId="10154" priority="861" stopIfTrue="1" operator="equal">
      <formula>"Towel"</formula>
    </cfRule>
  </conditionalFormatting>
  <conditionalFormatting sqref="C143">
    <cfRule type="cellIs" dxfId="10153" priority="859" stopIfTrue="1" operator="equal">
      <formula>"Towel"</formula>
    </cfRule>
    <cfRule type="cellIs" dxfId="10152" priority="860" stopIfTrue="1" operator="equal">
      <formula>"Napkin Hs"</formula>
    </cfRule>
  </conditionalFormatting>
  <conditionalFormatting sqref="B143:C143">
    <cfRule type="cellIs" dxfId="10151" priority="857" stopIfTrue="1" operator="equal">
      <formula>"Towel"</formula>
    </cfRule>
    <cfRule type="cellIs" dxfId="10150" priority="858" stopIfTrue="1" operator="equal">
      <formula>"Napkin Hs"</formula>
    </cfRule>
  </conditionalFormatting>
  <conditionalFormatting sqref="C143">
    <cfRule type="cellIs" dxfId="10149" priority="853" stopIfTrue="1" operator="equal">
      <formula>"Towel"</formula>
    </cfRule>
    <cfRule type="cellIs" dxfId="10148" priority="854" stopIfTrue="1" operator="equal">
      <formula>"Napkin Hs"</formula>
    </cfRule>
  </conditionalFormatting>
  <conditionalFormatting sqref="C143">
    <cfRule type="cellIs" dxfId="10147" priority="855" stopIfTrue="1" operator="equal">
      <formula>"Towel"</formula>
    </cfRule>
    <cfRule type="cellIs" dxfId="10146" priority="856" stopIfTrue="1" operator="equal">
      <formula>"Napkin Hs"</formula>
    </cfRule>
  </conditionalFormatting>
  <conditionalFormatting sqref="B143:C143">
    <cfRule type="cellIs" dxfId="10145" priority="852" stopIfTrue="1" operator="equal">
      <formula>"Napkin Hs"</formula>
    </cfRule>
  </conditionalFormatting>
  <conditionalFormatting sqref="B143:C143">
    <cfRule type="cellIs" dxfId="10144" priority="851" stopIfTrue="1" operator="equal">
      <formula>"Towel"</formula>
    </cfRule>
  </conditionalFormatting>
  <conditionalFormatting sqref="C143">
    <cfRule type="cellIs" dxfId="10143" priority="850" stopIfTrue="1" operator="equal">
      <formula>"Napkin Hs"</formula>
    </cfRule>
  </conditionalFormatting>
  <conditionalFormatting sqref="C143">
    <cfRule type="cellIs" dxfId="10142" priority="849" stopIfTrue="1" operator="equal">
      <formula>"Towel"</formula>
    </cfRule>
  </conditionalFormatting>
  <conditionalFormatting sqref="C143">
    <cfRule type="cellIs" dxfId="10141" priority="847" stopIfTrue="1" operator="equal">
      <formula>"Towel"</formula>
    </cfRule>
    <cfRule type="cellIs" dxfId="10140" priority="848" stopIfTrue="1" operator="equal">
      <formula>"Napkin Hs"</formula>
    </cfRule>
  </conditionalFormatting>
  <conditionalFormatting sqref="B143:C143">
    <cfRule type="cellIs" dxfId="10139" priority="845" stopIfTrue="1" operator="equal">
      <formula>"Towel"</formula>
    </cfRule>
    <cfRule type="cellIs" dxfId="10138" priority="846" stopIfTrue="1" operator="equal">
      <formula>"Napkin Hs"</formula>
    </cfRule>
  </conditionalFormatting>
  <conditionalFormatting sqref="C143">
    <cfRule type="cellIs" dxfId="10137" priority="843" stopIfTrue="1" operator="equal">
      <formula>"Towel"</formula>
    </cfRule>
    <cfRule type="cellIs" dxfId="10136" priority="844" stopIfTrue="1" operator="equal">
      <formula>"Napkin Hs"</formula>
    </cfRule>
  </conditionalFormatting>
  <conditionalFormatting sqref="C143">
    <cfRule type="cellIs" dxfId="10135" priority="841" stopIfTrue="1" operator="equal">
      <formula>"Towel"</formula>
    </cfRule>
    <cfRule type="cellIs" dxfId="10134" priority="842" stopIfTrue="1" operator="equal">
      <formula>"Napkin Hs"</formula>
    </cfRule>
  </conditionalFormatting>
  <conditionalFormatting sqref="B143:C143">
    <cfRule type="cellIs" dxfId="10133" priority="839" stopIfTrue="1" operator="equal">
      <formula>"Towel"</formula>
    </cfRule>
    <cfRule type="cellIs" dxfId="10132" priority="840" stopIfTrue="1" operator="equal">
      <formula>"Napkin Hs"</formula>
    </cfRule>
  </conditionalFormatting>
  <conditionalFormatting sqref="C143">
    <cfRule type="cellIs" dxfId="10131" priority="837" stopIfTrue="1" operator="equal">
      <formula>"Towel"</formula>
    </cfRule>
    <cfRule type="cellIs" dxfId="10130" priority="838" stopIfTrue="1" operator="equal">
      <formula>"Napkin Hs"</formula>
    </cfRule>
  </conditionalFormatting>
  <conditionalFormatting sqref="C143">
    <cfRule type="cellIs" dxfId="10129" priority="835" stopIfTrue="1" operator="equal">
      <formula>"Towel"</formula>
    </cfRule>
    <cfRule type="cellIs" dxfId="10128" priority="836" stopIfTrue="1" operator="equal">
      <formula>"Napkin Hs"</formula>
    </cfRule>
  </conditionalFormatting>
  <conditionalFormatting sqref="B143:C143">
    <cfRule type="cellIs" dxfId="10127" priority="833" stopIfTrue="1" operator="equal">
      <formula>"Towel"</formula>
    </cfRule>
    <cfRule type="cellIs" dxfId="10126" priority="834" stopIfTrue="1" operator="equal">
      <formula>"Napkin Hs"</formula>
    </cfRule>
  </conditionalFormatting>
  <conditionalFormatting sqref="C143">
    <cfRule type="cellIs" dxfId="10125" priority="831" stopIfTrue="1" operator="equal">
      <formula>"Towel"</formula>
    </cfRule>
    <cfRule type="cellIs" dxfId="10124" priority="832" stopIfTrue="1" operator="equal">
      <formula>"Napkin Hs"</formula>
    </cfRule>
  </conditionalFormatting>
  <conditionalFormatting sqref="C143">
    <cfRule type="cellIs" dxfId="10123" priority="829" stopIfTrue="1" operator="equal">
      <formula>"Towel"</formula>
    </cfRule>
    <cfRule type="cellIs" dxfId="10122" priority="830" stopIfTrue="1" operator="equal">
      <formula>"Napkin Hs"</formula>
    </cfRule>
  </conditionalFormatting>
  <conditionalFormatting sqref="B143:C143">
    <cfRule type="cellIs" dxfId="10121" priority="827" stopIfTrue="1" operator="equal">
      <formula>"Towel"</formula>
    </cfRule>
    <cfRule type="cellIs" dxfId="10120" priority="828" stopIfTrue="1" operator="equal">
      <formula>"Napkin Hs"</formula>
    </cfRule>
  </conditionalFormatting>
  <conditionalFormatting sqref="C143">
    <cfRule type="cellIs" dxfId="10119" priority="825" stopIfTrue="1" operator="equal">
      <formula>"Towel"</formula>
    </cfRule>
    <cfRule type="cellIs" dxfId="10118" priority="826" stopIfTrue="1" operator="equal">
      <formula>"Napkin Hs"</formula>
    </cfRule>
  </conditionalFormatting>
  <conditionalFormatting sqref="C143">
    <cfRule type="cellIs" dxfId="10117" priority="823" stopIfTrue="1" operator="equal">
      <formula>"Towel"</formula>
    </cfRule>
    <cfRule type="cellIs" dxfId="10116" priority="824" stopIfTrue="1" operator="equal">
      <formula>"Napkin Hs"</formula>
    </cfRule>
  </conditionalFormatting>
  <conditionalFormatting sqref="B143:C143">
    <cfRule type="cellIs" dxfId="10115" priority="821" stopIfTrue="1" operator="equal">
      <formula>"Towel"</formula>
    </cfRule>
    <cfRule type="cellIs" dxfId="10114" priority="822" stopIfTrue="1" operator="equal">
      <formula>"Napkin Hs"</formula>
    </cfRule>
  </conditionalFormatting>
  <conditionalFormatting sqref="C143">
    <cfRule type="cellIs" dxfId="10113" priority="819" stopIfTrue="1" operator="equal">
      <formula>"Towel"</formula>
    </cfRule>
    <cfRule type="cellIs" dxfId="10112" priority="820" stopIfTrue="1" operator="equal">
      <formula>"Napkin Hs"</formula>
    </cfRule>
  </conditionalFormatting>
  <conditionalFormatting sqref="C143">
    <cfRule type="cellIs" dxfId="10111" priority="817" stopIfTrue="1" operator="equal">
      <formula>"Towel"</formula>
    </cfRule>
    <cfRule type="cellIs" dxfId="10110" priority="818" stopIfTrue="1" operator="equal">
      <formula>"Napkin Hs"</formula>
    </cfRule>
  </conditionalFormatting>
  <conditionalFormatting sqref="B143:C143">
    <cfRule type="cellIs" dxfId="10109" priority="816" stopIfTrue="1" operator="equal">
      <formula>"Napkin Hs"</formula>
    </cfRule>
  </conditionalFormatting>
  <conditionalFormatting sqref="B143:C143">
    <cfRule type="cellIs" dxfId="10108" priority="815" stopIfTrue="1" operator="equal">
      <formula>"Towel"</formula>
    </cfRule>
  </conditionalFormatting>
  <conditionalFormatting sqref="C143">
    <cfRule type="cellIs" dxfId="10107" priority="814" stopIfTrue="1" operator="equal">
      <formula>"Napkin Hs"</formula>
    </cfRule>
  </conditionalFormatting>
  <conditionalFormatting sqref="C143">
    <cfRule type="cellIs" dxfId="10106" priority="811" stopIfTrue="1" operator="equal">
      <formula>"Towel"</formula>
    </cfRule>
    <cfRule type="cellIs" dxfId="10105" priority="812" stopIfTrue="1" operator="equal">
      <formula>"Napkin Hs"</formula>
    </cfRule>
  </conditionalFormatting>
  <conditionalFormatting sqref="C143">
    <cfRule type="cellIs" dxfId="10104" priority="813" stopIfTrue="1" operator="equal">
      <formula>"Towel"</formula>
    </cfRule>
  </conditionalFormatting>
  <conditionalFormatting sqref="B143:C143">
    <cfRule type="cellIs" dxfId="10103" priority="810" stopIfTrue="1" operator="equal">
      <formula>"Napkin Hs"</formula>
    </cfRule>
  </conditionalFormatting>
  <conditionalFormatting sqref="B143:C143">
    <cfRule type="cellIs" dxfId="10102" priority="809" stopIfTrue="1" operator="equal">
      <formula>"Towel"</formula>
    </cfRule>
  </conditionalFormatting>
  <conditionalFormatting sqref="C143">
    <cfRule type="cellIs" dxfId="10101" priority="808" stopIfTrue="1" operator="equal">
      <formula>"Napkin Hs"</formula>
    </cfRule>
  </conditionalFormatting>
  <conditionalFormatting sqref="C143">
    <cfRule type="cellIs" dxfId="10100" priority="807" stopIfTrue="1" operator="equal">
      <formula>"Towel"</formula>
    </cfRule>
  </conditionalFormatting>
  <conditionalFormatting sqref="C143">
    <cfRule type="cellIs" dxfId="10099" priority="805" stopIfTrue="1" operator="equal">
      <formula>"Towel"</formula>
    </cfRule>
    <cfRule type="cellIs" dxfId="10098" priority="806" stopIfTrue="1" operator="equal">
      <formula>"Napkin Hs"</formula>
    </cfRule>
  </conditionalFormatting>
  <conditionalFormatting sqref="C143">
    <cfRule type="cellIs" dxfId="10097" priority="799" stopIfTrue="1" operator="equal">
      <formula>"Towel"</formula>
    </cfRule>
    <cfRule type="cellIs" dxfId="10096" priority="800" stopIfTrue="1" operator="equal">
      <formula>"Napkin Hs"</formula>
    </cfRule>
  </conditionalFormatting>
  <conditionalFormatting sqref="B143:C143">
    <cfRule type="cellIs" dxfId="10095" priority="798" stopIfTrue="1" operator="equal">
      <formula>"Napkin Hs"</formula>
    </cfRule>
  </conditionalFormatting>
  <conditionalFormatting sqref="B143:C143">
    <cfRule type="cellIs" dxfId="10094" priority="797" stopIfTrue="1" operator="equal">
      <formula>"Towel"</formula>
    </cfRule>
  </conditionalFormatting>
  <conditionalFormatting sqref="C143">
    <cfRule type="cellIs" dxfId="10093" priority="796" stopIfTrue="1" operator="equal">
      <formula>"Napkin Hs"</formula>
    </cfRule>
  </conditionalFormatting>
  <conditionalFormatting sqref="C143">
    <cfRule type="cellIs" dxfId="10092" priority="795" stopIfTrue="1" operator="equal">
      <formula>"Towel"</formula>
    </cfRule>
  </conditionalFormatting>
  <conditionalFormatting sqref="C143">
    <cfRule type="cellIs" dxfId="10091" priority="793" stopIfTrue="1" operator="equal">
      <formula>"Towel"</formula>
    </cfRule>
    <cfRule type="cellIs" dxfId="10090" priority="794" stopIfTrue="1" operator="equal">
      <formula>"Napkin Hs"</formula>
    </cfRule>
  </conditionalFormatting>
  <conditionalFormatting sqref="C143">
    <cfRule type="cellIs" dxfId="10089" priority="787" stopIfTrue="1" operator="equal">
      <formula>"Towel"</formula>
    </cfRule>
    <cfRule type="cellIs" dxfId="10088" priority="788" stopIfTrue="1" operator="equal">
      <formula>"Napkin Hs"</formula>
    </cfRule>
  </conditionalFormatting>
  <conditionalFormatting sqref="C143">
    <cfRule type="cellIs" dxfId="10087" priority="781" stopIfTrue="1" operator="equal">
      <formula>"Towel"</formula>
    </cfRule>
    <cfRule type="cellIs" dxfId="10086" priority="782" stopIfTrue="1" operator="equal">
      <formula>"Napkin Hs"</formula>
    </cfRule>
  </conditionalFormatting>
  <conditionalFormatting sqref="C143">
    <cfRule type="cellIs" dxfId="10085" priority="775" stopIfTrue="1" operator="equal">
      <formula>"Towel"</formula>
    </cfRule>
    <cfRule type="cellIs" dxfId="10084" priority="776" stopIfTrue="1" operator="equal">
      <formula>"Napkin Hs"</formula>
    </cfRule>
  </conditionalFormatting>
  <conditionalFormatting sqref="C143">
    <cfRule type="cellIs" dxfId="10083" priority="769" stopIfTrue="1" operator="equal">
      <formula>"Towel"</formula>
    </cfRule>
    <cfRule type="cellIs" dxfId="10082" priority="770" stopIfTrue="1" operator="equal">
      <formula>"Napkin Hs"</formula>
    </cfRule>
  </conditionalFormatting>
  <conditionalFormatting sqref="C143">
    <cfRule type="cellIs" dxfId="10081" priority="763" stopIfTrue="1" operator="equal">
      <formula>"Towel"</formula>
    </cfRule>
    <cfRule type="cellIs" dxfId="10080" priority="764" stopIfTrue="1" operator="equal">
      <formula>"Napkin Hs"</formula>
    </cfRule>
  </conditionalFormatting>
  <conditionalFormatting sqref="B143:C143">
    <cfRule type="cellIs" dxfId="10079" priority="762" stopIfTrue="1" operator="equal">
      <formula>"Napkin Hs"</formula>
    </cfRule>
  </conditionalFormatting>
  <conditionalFormatting sqref="B143:C143">
    <cfRule type="cellIs" dxfId="10078" priority="761" stopIfTrue="1" operator="equal">
      <formula>"Towel"</formula>
    </cfRule>
  </conditionalFormatting>
  <conditionalFormatting sqref="C143">
    <cfRule type="cellIs" dxfId="10077" priority="760" stopIfTrue="1" operator="equal">
      <formula>"Napkin Hs"</formula>
    </cfRule>
  </conditionalFormatting>
  <conditionalFormatting sqref="C143">
    <cfRule type="cellIs" dxfId="10076" priority="757" stopIfTrue="1" operator="equal">
      <formula>"Towel"</formula>
    </cfRule>
    <cfRule type="cellIs" dxfId="10075" priority="758" stopIfTrue="1" operator="equal">
      <formula>"Napkin Hs"</formula>
    </cfRule>
  </conditionalFormatting>
  <conditionalFormatting sqref="C143">
    <cfRule type="cellIs" dxfId="10074" priority="759" stopIfTrue="1" operator="equal">
      <formula>"Towel"</formula>
    </cfRule>
  </conditionalFormatting>
  <conditionalFormatting sqref="B143:C143">
    <cfRule type="cellIs" dxfId="10073" priority="756" stopIfTrue="1" operator="equal">
      <formula>"Napkin Hs"</formula>
    </cfRule>
  </conditionalFormatting>
  <conditionalFormatting sqref="B143:C143">
    <cfRule type="cellIs" dxfId="10072" priority="755" stopIfTrue="1" operator="equal">
      <formula>"Towel"</formula>
    </cfRule>
  </conditionalFormatting>
  <conditionalFormatting sqref="C143">
    <cfRule type="cellIs" dxfId="10071" priority="754" stopIfTrue="1" operator="equal">
      <formula>"Napkin Hs"</formula>
    </cfRule>
  </conditionalFormatting>
  <conditionalFormatting sqref="C143">
    <cfRule type="cellIs" dxfId="10070" priority="751" stopIfTrue="1" operator="equal">
      <formula>"Towel"</formula>
    </cfRule>
    <cfRule type="cellIs" dxfId="10069" priority="752" stopIfTrue="1" operator="equal">
      <formula>"Napkin Hs"</formula>
    </cfRule>
  </conditionalFormatting>
  <conditionalFormatting sqref="C143">
    <cfRule type="cellIs" dxfId="10068" priority="753" stopIfTrue="1" operator="equal">
      <formula>"Towel"</formula>
    </cfRule>
  </conditionalFormatting>
  <conditionalFormatting sqref="B143:C143">
    <cfRule type="cellIs" dxfId="10067" priority="803" stopIfTrue="1" operator="equal">
      <formula>"Towel"</formula>
    </cfRule>
    <cfRule type="cellIs" dxfId="10066" priority="804" stopIfTrue="1" operator="equal">
      <formula>"Napkin Hs"</formula>
    </cfRule>
  </conditionalFormatting>
  <conditionalFormatting sqref="C143">
    <cfRule type="cellIs" dxfId="10065" priority="801" stopIfTrue="1" operator="equal">
      <formula>"Towel"</formula>
    </cfRule>
    <cfRule type="cellIs" dxfId="10064" priority="802" stopIfTrue="1" operator="equal">
      <formula>"Napkin Hs"</formula>
    </cfRule>
  </conditionalFormatting>
  <conditionalFormatting sqref="B143:C143">
    <cfRule type="cellIs" dxfId="10063" priority="791" stopIfTrue="1" operator="equal">
      <formula>"Towel"</formula>
    </cfRule>
    <cfRule type="cellIs" dxfId="10062" priority="792" stopIfTrue="1" operator="equal">
      <formula>"Napkin Hs"</formula>
    </cfRule>
  </conditionalFormatting>
  <conditionalFormatting sqref="C143">
    <cfRule type="cellIs" dxfId="10061" priority="789" stopIfTrue="1" operator="equal">
      <formula>"Towel"</formula>
    </cfRule>
    <cfRule type="cellIs" dxfId="10060" priority="790" stopIfTrue="1" operator="equal">
      <formula>"Napkin Hs"</formula>
    </cfRule>
  </conditionalFormatting>
  <conditionalFormatting sqref="B143:C143">
    <cfRule type="cellIs" dxfId="10059" priority="785" stopIfTrue="1" operator="equal">
      <formula>"Towel"</formula>
    </cfRule>
    <cfRule type="cellIs" dxfId="10058" priority="786" stopIfTrue="1" operator="equal">
      <formula>"Napkin Hs"</formula>
    </cfRule>
  </conditionalFormatting>
  <conditionalFormatting sqref="C143">
    <cfRule type="cellIs" dxfId="10057" priority="783" stopIfTrue="1" operator="equal">
      <formula>"Towel"</formula>
    </cfRule>
    <cfRule type="cellIs" dxfId="10056" priority="784" stopIfTrue="1" operator="equal">
      <formula>"Napkin Hs"</formula>
    </cfRule>
  </conditionalFormatting>
  <conditionalFormatting sqref="B143:C143">
    <cfRule type="cellIs" dxfId="10055" priority="779" stopIfTrue="1" operator="equal">
      <formula>"Towel"</formula>
    </cfRule>
    <cfRule type="cellIs" dxfId="10054" priority="780" stopIfTrue="1" operator="equal">
      <formula>"Napkin Hs"</formula>
    </cfRule>
  </conditionalFormatting>
  <conditionalFormatting sqref="C143">
    <cfRule type="cellIs" dxfId="10053" priority="777" stopIfTrue="1" operator="equal">
      <formula>"Towel"</formula>
    </cfRule>
    <cfRule type="cellIs" dxfId="10052" priority="778" stopIfTrue="1" operator="equal">
      <formula>"Napkin Hs"</formula>
    </cfRule>
  </conditionalFormatting>
  <conditionalFormatting sqref="B143:C143">
    <cfRule type="cellIs" dxfId="10051" priority="773" stopIfTrue="1" operator="equal">
      <formula>"Towel"</formula>
    </cfRule>
    <cfRule type="cellIs" dxfId="10050" priority="774" stopIfTrue="1" operator="equal">
      <formula>"Napkin Hs"</formula>
    </cfRule>
  </conditionalFormatting>
  <conditionalFormatting sqref="C143">
    <cfRule type="cellIs" dxfId="10049" priority="771" stopIfTrue="1" operator="equal">
      <formula>"Towel"</formula>
    </cfRule>
    <cfRule type="cellIs" dxfId="10048" priority="772" stopIfTrue="1" operator="equal">
      <formula>"Napkin Hs"</formula>
    </cfRule>
  </conditionalFormatting>
  <conditionalFormatting sqref="B143:C143">
    <cfRule type="cellIs" dxfId="10047" priority="767" stopIfTrue="1" operator="equal">
      <formula>"Towel"</formula>
    </cfRule>
    <cfRule type="cellIs" dxfId="10046" priority="768" stopIfTrue="1" operator="equal">
      <formula>"Napkin Hs"</formula>
    </cfRule>
  </conditionalFormatting>
  <conditionalFormatting sqref="C143">
    <cfRule type="cellIs" dxfId="10045" priority="765" stopIfTrue="1" operator="equal">
      <formula>"Towel"</formula>
    </cfRule>
    <cfRule type="cellIs" dxfId="10044" priority="766" stopIfTrue="1" operator="equal">
      <formula>"Napkin Hs"</formula>
    </cfRule>
  </conditionalFormatting>
  <conditionalFormatting sqref="B143:C143">
    <cfRule type="cellIs" dxfId="10043" priority="750" stopIfTrue="1" operator="equal">
      <formula>"Napkin Hs"</formula>
    </cfRule>
  </conditionalFormatting>
  <conditionalFormatting sqref="B143:C143">
    <cfRule type="cellIs" dxfId="10042" priority="749" stopIfTrue="1" operator="equal">
      <formula>"Towel"</formula>
    </cfRule>
  </conditionalFormatting>
  <conditionalFormatting sqref="C143">
    <cfRule type="cellIs" dxfId="10041" priority="748" stopIfTrue="1" operator="equal">
      <formula>"Napkin Hs"</formula>
    </cfRule>
  </conditionalFormatting>
  <conditionalFormatting sqref="C143">
    <cfRule type="cellIs" dxfId="10040" priority="745" stopIfTrue="1" operator="equal">
      <formula>"Towel"</formula>
    </cfRule>
    <cfRule type="cellIs" dxfId="10039" priority="746" stopIfTrue="1" operator="equal">
      <formula>"Napkin Hs"</formula>
    </cfRule>
  </conditionalFormatting>
  <conditionalFormatting sqref="C143">
    <cfRule type="cellIs" dxfId="10038" priority="747" stopIfTrue="1" operator="equal">
      <formula>"Towel"</formula>
    </cfRule>
  </conditionalFormatting>
  <conditionalFormatting sqref="C149">
    <cfRule type="cellIs" dxfId="10037" priority="555" stopIfTrue="1" operator="equal">
      <formula>"Towel"</formula>
    </cfRule>
    <cfRule type="cellIs" dxfId="10036" priority="556" stopIfTrue="1" operator="equal">
      <formula>"Napkin Hs"</formula>
    </cfRule>
  </conditionalFormatting>
  <conditionalFormatting sqref="C149">
    <cfRule type="cellIs" dxfId="10035" priority="553" stopIfTrue="1" operator="equal">
      <formula>"Towel"</formula>
    </cfRule>
    <cfRule type="cellIs" dxfId="10034" priority="554" stopIfTrue="1" operator="equal">
      <formula>"Napkin Hs"</formula>
    </cfRule>
  </conditionalFormatting>
  <conditionalFormatting sqref="B149:C149">
    <cfRule type="cellIs" dxfId="10033" priority="504" stopIfTrue="1" operator="equal">
      <formula>"Napkin Hs"</formula>
    </cfRule>
  </conditionalFormatting>
  <conditionalFormatting sqref="B149:C149">
    <cfRule type="cellIs" dxfId="10032" priority="503" stopIfTrue="1" operator="equal">
      <formula>"Towel"</formula>
    </cfRule>
  </conditionalFormatting>
  <conditionalFormatting sqref="B149:C149">
    <cfRule type="cellIs" dxfId="10031" priority="557" stopIfTrue="1" operator="equal">
      <formula>"Towel"</formula>
    </cfRule>
    <cfRule type="cellIs" dxfId="10030" priority="558" stopIfTrue="1" operator="equal">
      <formula>"Napkin Hs"</formula>
    </cfRule>
  </conditionalFormatting>
  <conditionalFormatting sqref="C149">
    <cfRule type="cellIs" dxfId="10029" priority="502" stopIfTrue="1" operator="equal">
      <formula>"Napkin Hs"</formula>
    </cfRule>
  </conditionalFormatting>
  <conditionalFormatting sqref="C149">
    <cfRule type="cellIs" dxfId="10028" priority="501" stopIfTrue="1" operator="equal">
      <formula>"Towel"</formula>
    </cfRule>
  </conditionalFormatting>
  <conditionalFormatting sqref="C149">
    <cfRule type="cellIs" dxfId="10027" priority="499" stopIfTrue="1" operator="equal">
      <formula>"Towel"</formula>
    </cfRule>
    <cfRule type="cellIs" dxfId="10026" priority="500" stopIfTrue="1" operator="equal">
      <formula>"Napkin Hs"</formula>
    </cfRule>
  </conditionalFormatting>
  <conditionalFormatting sqref="B149:C149">
    <cfRule type="cellIs" dxfId="10025" priority="552" stopIfTrue="1" operator="equal">
      <formula>"Napkin Hs"</formula>
    </cfRule>
  </conditionalFormatting>
  <conditionalFormatting sqref="B149:C149">
    <cfRule type="cellIs" dxfId="10024" priority="551" stopIfTrue="1" operator="equal">
      <formula>"Towel"</formula>
    </cfRule>
  </conditionalFormatting>
  <conditionalFormatting sqref="C149">
    <cfRule type="cellIs" dxfId="10023" priority="550" stopIfTrue="1" operator="equal">
      <formula>"Napkin Hs"</formula>
    </cfRule>
  </conditionalFormatting>
  <conditionalFormatting sqref="C149">
    <cfRule type="cellIs" dxfId="10022" priority="549" stopIfTrue="1" operator="equal">
      <formula>"Towel"</formula>
    </cfRule>
  </conditionalFormatting>
  <conditionalFormatting sqref="C149">
    <cfRule type="cellIs" dxfId="10021" priority="547" stopIfTrue="1" operator="equal">
      <formula>"Towel"</formula>
    </cfRule>
    <cfRule type="cellIs" dxfId="10020" priority="548" stopIfTrue="1" operator="equal">
      <formula>"Napkin Hs"</formula>
    </cfRule>
  </conditionalFormatting>
  <conditionalFormatting sqref="B149:C149">
    <cfRule type="cellIs" dxfId="10019" priority="545" stopIfTrue="1" operator="equal">
      <formula>"Towel"</formula>
    </cfRule>
    <cfRule type="cellIs" dxfId="10018" priority="546" stopIfTrue="1" operator="equal">
      <formula>"Napkin Hs"</formula>
    </cfRule>
  </conditionalFormatting>
  <conditionalFormatting sqref="C149">
    <cfRule type="cellIs" dxfId="10017" priority="541" stopIfTrue="1" operator="equal">
      <formula>"Towel"</formula>
    </cfRule>
    <cfRule type="cellIs" dxfId="10016" priority="542" stopIfTrue="1" operator="equal">
      <formula>"Napkin Hs"</formula>
    </cfRule>
  </conditionalFormatting>
  <conditionalFormatting sqref="C149">
    <cfRule type="cellIs" dxfId="10015" priority="543" stopIfTrue="1" operator="equal">
      <formula>"Towel"</formula>
    </cfRule>
    <cfRule type="cellIs" dxfId="10014" priority="544" stopIfTrue="1" operator="equal">
      <formula>"Napkin Hs"</formula>
    </cfRule>
  </conditionalFormatting>
  <conditionalFormatting sqref="B149:C149">
    <cfRule type="cellIs" dxfId="10013" priority="540" stopIfTrue="1" operator="equal">
      <formula>"Napkin Hs"</formula>
    </cfRule>
  </conditionalFormatting>
  <conditionalFormatting sqref="B149:C149">
    <cfRule type="cellIs" dxfId="10012" priority="539" stopIfTrue="1" operator="equal">
      <formula>"Towel"</formula>
    </cfRule>
  </conditionalFormatting>
  <conditionalFormatting sqref="C149">
    <cfRule type="cellIs" dxfId="10011" priority="538" stopIfTrue="1" operator="equal">
      <formula>"Napkin Hs"</formula>
    </cfRule>
  </conditionalFormatting>
  <conditionalFormatting sqref="C149">
    <cfRule type="cellIs" dxfId="10010" priority="537" stopIfTrue="1" operator="equal">
      <formula>"Towel"</formula>
    </cfRule>
  </conditionalFormatting>
  <conditionalFormatting sqref="C149">
    <cfRule type="cellIs" dxfId="10009" priority="535" stopIfTrue="1" operator="equal">
      <formula>"Towel"</formula>
    </cfRule>
    <cfRule type="cellIs" dxfId="10008" priority="536" stopIfTrue="1" operator="equal">
      <formula>"Napkin Hs"</formula>
    </cfRule>
  </conditionalFormatting>
  <conditionalFormatting sqref="B149:C149">
    <cfRule type="cellIs" dxfId="10007" priority="533" stopIfTrue="1" operator="equal">
      <formula>"Towel"</formula>
    </cfRule>
    <cfRule type="cellIs" dxfId="10006" priority="534" stopIfTrue="1" operator="equal">
      <formula>"Napkin Hs"</formula>
    </cfRule>
  </conditionalFormatting>
  <conditionalFormatting sqref="C149">
    <cfRule type="cellIs" dxfId="10005" priority="531" stopIfTrue="1" operator="equal">
      <formula>"Towel"</formula>
    </cfRule>
    <cfRule type="cellIs" dxfId="10004" priority="532" stopIfTrue="1" operator="equal">
      <formula>"Napkin Hs"</formula>
    </cfRule>
  </conditionalFormatting>
  <conditionalFormatting sqref="C149">
    <cfRule type="cellIs" dxfId="10003" priority="529" stopIfTrue="1" operator="equal">
      <formula>"Towel"</formula>
    </cfRule>
    <cfRule type="cellIs" dxfId="10002" priority="530" stopIfTrue="1" operator="equal">
      <formula>"Napkin Hs"</formula>
    </cfRule>
  </conditionalFormatting>
  <conditionalFormatting sqref="B149:C149">
    <cfRule type="cellIs" dxfId="10001" priority="527" stopIfTrue="1" operator="equal">
      <formula>"Towel"</formula>
    </cfRule>
    <cfRule type="cellIs" dxfId="10000" priority="528" stopIfTrue="1" operator="equal">
      <formula>"Napkin Hs"</formula>
    </cfRule>
  </conditionalFormatting>
  <conditionalFormatting sqref="C149">
    <cfRule type="cellIs" dxfId="9999" priority="525" stopIfTrue="1" operator="equal">
      <formula>"Towel"</formula>
    </cfRule>
    <cfRule type="cellIs" dxfId="9998" priority="526" stopIfTrue="1" operator="equal">
      <formula>"Napkin Hs"</formula>
    </cfRule>
  </conditionalFormatting>
  <conditionalFormatting sqref="C149">
    <cfRule type="cellIs" dxfId="9997" priority="523" stopIfTrue="1" operator="equal">
      <formula>"Towel"</formula>
    </cfRule>
    <cfRule type="cellIs" dxfId="9996" priority="524" stopIfTrue="1" operator="equal">
      <formula>"Napkin Hs"</formula>
    </cfRule>
  </conditionalFormatting>
  <conditionalFormatting sqref="B149:C149">
    <cfRule type="cellIs" dxfId="9995" priority="521" stopIfTrue="1" operator="equal">
      <formula>"Towel"</formula>
    </cfRule>
    <cfRule type="cellIs" dxfId="9994" priority="522" stopIfTrue="1" operator="equal">
      <formula>"Napkin Hs"</formula>
    </cfRule>
  </conditionalFormatting>
  <conditionalFormatting sqref="C149">
    <cfRule type="cellIs" dxfId="9993" priority="519" stopIfTrue="1" operator="equal">
      <formula>"Towel"</formula>
    </cfRule>
    <cfRule type="cellIs" dxfId="9992" priority="520" stopIfTrue="1" operator="equal">
      <formula>"Napkin Hs"</formula>
    </cfRule>
  </conditionalFormatting>
  <conditionalFormatting sqref="C149">
    <cfRule type="cellIs" dxfId="9991" priority="517" stopIfTrue="1" operator="equal">
      <formula>"Towel"</formula>
    </cfRule>
    <cfRule type="cellIs" dxfId="9990" priority="518" stopIfTrue="1" operator="equal">
      <formula>"Napkin Hs"</formula>
    </cfRule>
  </conditionalFormatting>
  <conditionalFormatting sqref="B149:C149">
    <cfRule type="cellIs" dxfId="9989" priority="515" stopIfTrue="1" operator="equal">
      <formula>"Towel"</formula>
    </cfRule>
    <cfRule type="cellIs" dxfId="9988" priority="516" stopIfTrue="1" operator="equal">
      <formula>"Napkin Hs"</formula>
    </cfRule>
  </conditionalFormatting>
  <conditionalFormatting sqref="C149">
    <cfRule type="cellIs" dxfId="9987" priority="513" stopIfTrue="1" operator="equal">
      <formula>"Towel"</formula>
    </cfRule>
    <cfRule type="cellIs" dxfId="9986" priority="514" stopIfTrue="1" operator="equal">
      <formula>"Napkin Hs"</formula>
    </cfRule>
  </conditionalFormatting>
  <conditionalFormatting sqref="C149">
    <cfRule type="cellIs" dxfId="9985" priority="511" stopIfTrue="1" operator="equal">
      <formula>"Towel"</formula>
    </cfRule>
    <cfRule type="cellIs" dxfId="9984" priority="512" stopIfTrue="1" operator="equal">
      <formula>"Napkin Hs"</formula>
    </cfRule>
  </conditionalFormatting>
  <conditionalFormatting sqref="B149:C149">
    <cfRule type="cellIs" dxfId="9983" priority="509" stopIfTrue="1" operator="equal">
      <formula>"Towel"</formula>
    </cfRule>
    <cfRule type="cellIs" dxfId="9982" priority="510" stopIfTrue="1" operator="equal">
      <formula>"Napkin Hs"</formula>
    </cfRule>
  </conditionalFormatting>
  <conditionalFormatting sqref="C149">
    <cfRule type="cellIs" dxfId="9981" priority="507" stopIfTrue="1" operator="equal">
      <formula>"Towel"</formula>
    </cfRule>
    <cfRule type="cellIs" dxfId="9980" priority="508" stopIfTrue="1" operator="equal">
      <formula>"Napkin Hs"</formula>
    </cfRule>
  </conditionalFormatting>
  <conditionalFormatting sqref="C149">
    <cfRule type="cellIs" dxfId="9979" priority="505" stopIfTrue="1" operator="equal">
      <formula>"Towel"</formula>
    </cfRule>
    <cfRule type="cellIs" dxfId="9978" priority="506" stopIfTrue="1" operator="equal">
      <formula>"Napkin Hs"</formula>
    </cfRule>
  </conditionalFormatting>
  <conditionalFormatting sqref="B149:C149">
    <cfRule type="cellIs" dxfId="9977" priority="495" stopIfTrue="1" operator="equal">
      <formula>"Towel"</formula>
    </cfRule>
    <cfRule type="cellIs" dxfId="9976" priority="496" stopIfTrue="1" operator="equal">
      <formula>"Napkin Hs"</formula>
    </cfRule>
  </conditionalFormatting>
  <conditionalFormatting sqref="C149">
    <cfRule type="cellIs" dxfId="9975" priority="497" stopIfTrue="1" operator="equal">
      <formula>"Towel"</formula>
    </cfRule>
    <cfRule type="cellIs" dxfId="9974" priority="498" stopIfTrue="1" operator="equal">
      <formula>"Napkin Hs"</formula>
    </cfRule>
  </conditionalFormatting>
  <conditionalFormatting sqref="C149">
    <cfRule type="cellIs" dxfId="9973" priority="493" stopIfTrue="1" operator="equal">
      <formula>"Towel"</formula>
    </cfRule>
    <cfRule type="cellIs" dxfId="9972" priority="494" stopIfTrue="1" operator="equal">
      <formula>"Napkin Hs"</formula>
    </cfRule>
  </conditionalFormatting>
  <conditionalFormatting sqref="B149:C149">
    <cfRule type="cellIs" dxfId="9971" priority="492" stopIfTrue="1" operator="equal">
      <formula>"Napkin Hs"</formula>
    </cfRule>
  </conditionalFormatting>
  <conditionalFormatting sqref="B149:C149">
    <cfRule type="cellIs" dxfId="9970" priority="491" stopIfTrue="1" operator="equal">
      <formula>"Towel"</formula>
    </cfRule>
  </conditionalFormatting>
  <conditionalFormatting sqref="C149">
    <cfRule type="cellIs" dxfId="9969" priority="490" stopIfTrue="1" operator="equal">
      <formula>"Napkin Hs"</formula>
    </cfRule>
  </conditionalFormatting>
  <conditionalFormatting sqref="C149">
    <cfRule type="cellIs" dxfId="9968" priority="489" stopIfTrue="1" operator="equal">
      <formula>"Towel"</formula>
    </cfRule>
  </conditionalFormatting>
  <conditionalFormatting sqref="C149">
    <cfRule type="cellIs" dxfId="9967" priority="487" stopIfTrue="1" operator="equal">
      <formula>"Towel"</formula>
    </cfRule>
    <cfRule type="cellIs" dxfId="9966" priority="488" stopIfTrue="1" operator="equal">
      <formula>"Napkin Hs"</formula>
    </cfRule>
  </conditionalFormatting>
  <conditionalFormatting sqref="B149:C149">
    <cfRule type="cellIs" dxfId="9965" priority="485" stopIfTrue="1" operator="equal">
      <formula>"Towel"</formula>
    </cfRule>
    <cfRule type="cellIs" dxfId="9964" priority="486" stopIfTrue="1" operator="equal">
      <formula>"Napkin Hs"</formula>
    </cfRule>
  </conditionalFormatting>
  <conditionalFormatting sqref="C149">
    <cfRule type="cellIs" dxfId="9963" priority="481" stopIfTrue="1" operator="equal">
      <formula>"Towel"</formula>
    </cfRule>
    <cfRule type="cellIs" dxfId="9962" priority="482" stopIfTrue="1" operator="equal">
      <formula>"Napkin Hs"</formula>
    </cfRule>
  </conditionalFormatting>
  <conditionalFormatting sqref="C149">
    <cfRule type="cellIs" dxfId="9961" priority="483" stopIfTrue="1" operator="equal">
      <formula>"Towel"</formula>
    </cfRule>
    <cfRule type="cellIs" dxfId="9960" priority="484" stopIfTrue="1" operator="equal">
      <formula>"Napkin Hs"</formula>
    </cfRule>
  </conditionalFormatting>
  <conditionalFormatting sqref="B149:C149">
    <cfRule type="cellIs" dxfId="9959" priority="480" stopIfTrue="1" operator="equal">
      <formula>"Napkin Hs"</formula>
    </cfRule>
  </conditionalFormatting>
  <conditionalFormatting sqref="B149:C149">
    <cfRule type="cellIs" dxfId="9958" priority="479" stopIfTrue="1" operator="equal">
      <formula>"Towel"</formula>
    </cfRule>
  </conditionalFormatting>
  <conditionalFormatting sqref="C149">
    <cfRule type="cellIs" dxfId="9957" priority="478" stopIfTrue="1" operator="equal">
      <formula>"Napkin Hs"</formula>
    </cfRule>
  </conditionalFormatting>
  <conditionalFormatting sqref="C149">
    <cfRule type="cellIs" dxfId="9956" priority="477" stopIfTrue="1" operator="equal">
      <formula>"Towel"</formula>
    </cfRule>
  </conditionalFormatting>
  <conditionalFormatting sqref="C149">
    <cfRule type="cellIs" dxfId="9955" priority="475" stopIfTrue="1" operator="equal">
      <formula>"Towel"</formula>
    </cfRule>
    <cfRule type="cellIs" dxfId="9954" priority="476" stopIfTrue="1" operator="equal">
      <formula>"Napkin Hs"</formula>
    </cfRule>
  </conditionalFormatting>
  <conditionalFormatting sqref="B149:C149">
    <cfRule type="cellIs" dxfId="9953" priority="473" stopIfTrue="1" operator="equal">
      <formula>"Towel"</formula>
    </cfRule>
    <cfRule type="cellIs" dxfId="9952" priority="474" stopIfTrue="1" operator="equal">
      <formula>"Napkin Hs"</formula>
    </cfRule>
  </conditionalFormatting>
  <conditionalFormatting sqref="C149">
    <cfRule type="cellIs" dxfId="9951" priority="471" stopIfTrue="1" operator="equal">
      <formula>"Towel"</formula>
    </cfRule>
    <cfRule type="cellIs" dxfId="9950" priority="472" stopIfTrue="1" operator="equal">
      <formula>"Napkin Hs"</formula>
    </cfRule>
  </conditionalFormatting>
  <conditionalFormatting sqref="C149">
    <cfRule type="cellIs" dxfId="9949" priority="469" stopIfTrue="1" operator="equal">
      <formula>"Towel"</formula>
    </cfRule>
    <cfRule type="cellIs" dxfId="9948" priority="470" stopIfTrue="1" operator="equal">
      <formula>"Napkin Hs"</formula>
    </cfRule>
  </conditionalFormatting>
  <conditionalFormatting sqref="B149:C149">
    <cfRule type="cellIs" dxfId="9947" priority="467" stopIfTrue="1" operator="equal">
      <formula>"Towel"</formula>
    </cfRule>
    <cfRule type="cellIs" dxfId="9946" priority="468" stopIfTrue="1" operator="equal">
      <formula>"Napkin Hs"</formula>
    </cfRule>
  </conditionalFormatting>
  <conditionalFormatting sqref="C149">
    <cfRule type="cellIs" dxfId="9945" priority="465" stopIfTrue="1" operator="equal">
      <formula>"Towel"</formula>
    </cfRule>
    <cfRule type="cellIs" dxfId="9944" priority="466" stopIfTrue="1" operator="equal">
      <formula>"Napkin Hs"</formula>
    </cfRule>
  </conditionalFormatting>
  <conditionalFormatting sqref="C149">
    <cfRule type="cellIs" dxfId="9943" priority="463" stopIfTrue="1" operator="equal">
      <formula>"Towel"</formula>
    </cfRule>
    <cfRule type="cellIs" dxfId="9942" priority="464" stopIfTrue="1" operator="equal">
      <formula>"Napkin Hs"</formula>
    </cfRule>
  </conditionalFormatting>
  <conditionalFormatting sqref="B149:C149">
    <cfRule type="cellIs" dxfId="9941" priority="461" stopIfTrue="1" operator="equal">
      <formula>"Towel"</formula>
    </cfRule>
    <cfRule type="cellIs" dxfId="9940" priority="462" stopIfTrue="1" operator="equal">
      <formula>"Napkin Hs"</formula>
    </cfRule>
  </conditionalFormatting>
  <conditionalFormatting sqref="C149">
    <cfRule type="cellIs" dxfId="9939" priority="459" stopIfTrue="1" operator="equal">
      <formula>"Towel"</formula>
    </cfRule>
    <cfRule type="cellIs" dxfId="9938" priority="460" stopIfTrue="1" operator="equal">
      <formula>"Napkin Hs"</formula>
    </cfRule>
  </conditionalFormatting>
  <conditionalFormatting sqref="C149">
    <cfRule type="cellIs" dxfId="9937" priority="457" stopIfTrue="1" operator="equal">
      <formula>"Towel"</formula>
    </cfRule>
    <cfRule type="cellIs" dxfId="9936" priority="458" stopIfTrue="1" operator="equal">
      <formula>"Napkin Hs"</formula>
    </cfRule>
  </conditionalFormatting>
  <conditionalFormatting sqref="B149:C149">
    <cfRule type="cellIs" dxfId="9935" priority="455" stopIfTrue="1" operator="equal">
      <formula>"Towel"</formula>
    </cfRule>
    <cfRule type="cellIs" dxfId="9934" priority="456" stopIfTrue="1" operator="equal">
      <formula>"Napkin Hs"</formula>
    </cfRule>
  </conditionalFormatting>
  <conditionalFormatting sqref="C149">
    <cfRule type="cellIs" dxfId="9933" priority="453" stopIfTrue="1" operator="equal">
      <formula>"Towel"</formula>
    </cfRule>
    <cfRule type="cellIs" dxfId="9932" priority="454" stopIfTrue="1" operator="equal">
      <formula>"Napkin Hs"</formula>
    </cfRule>
  </conditionalFormatting>
  <conditionalFormatting sqref="C149">
    <cfRule type="cellIs" dxfId="9931" priority="451" stopIfTrue="1" operator="equal">
      <formula>"Towel"</formula>
    </cfRule>
    <cfRule type="cellIs" dxfId="9930" priority="452" stopIfTrue="1" operator="equal">
      <formula>"Napkin Hs"</formula>
    </cfRule>
  </conditionalFormatting>
  <conditionalFormatting sqref="B149:C149">
    <cfRule type="cellIs" dxfId="9929" priority="449" stopIfTrue="1" operator="equal">
      <formula>"Towel"</formula>
    </cfRule>
    <cfRule type="cellIs" dxfId="9928" priority="450" stopIfTrue="1" operator="equal">
      <formula>"Napkin Hs"</formula>
    </cfRule>
  </conditionalFormatting>
  <conditionalFormatting sqref="C149">
    <cfRule type="cellIs" dxfId="9927" priority="447" stopIfTrue="1" operator="equal">
      <formula>"Towel"</formula>
    </cfRule>
    <cfRule type="cellIs" dxfId="9926" priority="448" stopIfTrue="1" operator="equal">
      <formula>"Napkin Hs"</formula>
    </cfRule>
  </conditionalFormatting>
  <conditionalFormatting sqref="C149">
    <cfRule type="cellIs" dxfId="9925" priority="445" stopIfTrue="1" operator="equal">
      <formula>"Towel"</formula>
    </cfRule>
    <cfRule type="cellIs" dxfId="9924" priority="446" stopIfTrue="1" operator="equal">
      <formula>"Napkin Hs"</formula>
    </cfRule>
  </conditionalFormatting>
  <conditionalFormatting sqref="B149:C149">
    <cfRule type="cellIs" dxfId="9923" priority="444" stopIfTrue="1" operator="equal">
      <formula>"Napkin Hs"</formula>
    </cfRule>
  </conditionalFormatting>
  <conditionalFormatting sqref="B149:C149">
    <cfRule type="cellIs" dxfId="9922" priority="443" stopIfTrue="1" operator="equal">
      <formula>"Towel"</formula>
    </cfRule>
  </conditionalFormatting>
  <conditionalFormatting sqref="C149">
    <cfRule type="cellIs" dxfId="9921" priority="442" stopIfTrue="1" operator="equal">
      <formula>"Napkin Hs"</formula>
    </cfRule>
  </conditionalFormatting>
  <conditionalFormatting sqref="C149">
    <cfRule type="cellIs" dxfId="9920" priority="439" stopIfTrue="1" operator="equal">
      <formula>"Towel"</formula>
    </cfRule>
    <cfRule type="cellIs" dxfId="9919" priority="440" stopIfTrue="1" operator="equal">
      <formula>"Napkin Hs"</formula>
    </cfRule>
  </conditionalFormatting>
  <conditionalFormatting sqref="C149">
    <cfRule type="cellIs" dxfId="9918" priority="441" stopIfTrue="1" operator="equal">
      <formula>"Towel"</formula>
    </cfRule>
  </conditionalFormatting>
  <conditionalFormatting sqref="B149:C149">
    <cfRule type="cellIs" dxfId="9917" priority="438" stopIfTrue="1" operator="equal">
      <formula>"Napkin Hs"</formula>
    </cfRule>
  </conditionalFormatting>
  <conditionalFormatting sqref="B149:C149">
    <cfRule type="cellIs" dxfId="9916" priority="437" stopIfTrue="1" operator="equal">
      <formula>"Towel"</formula>
    </cfRule>
  </conditionalFormatting>
  <conditionalFormatting sqref="C149">
    <cfRule type="cellIs" dxfId="9915" priority="436" stopIfTrue="1" operator="equal">
      <formula>"Napkin Hs"</formula>
    </cfRule>
  </conditionalFormatting>
  <conditionalFormatting sqref="C149">
    <cfRule type="cellIs" dxfId="9914" priority="435" stopIfTrue="1" operator="equal">
      <formula>"Towel"</formula>
    </cfRule>
  </conditionalFormatting>
  <conditionalFormatting sqref="C149">
    <cfRule type="cellIs" dxfId="9913" priority="433" stopIfTrue="1" operator="equal">
      <formula>"Towel"</formula>
    </cfRule>
    <cfRule type="cellIs" dxfId="9912" priority="434" stopIfTrue="1" operator="equal">
      <formula>"Napkin Hs"</formula>
    </cfRule>
  </conditionalFormatting>
  <conditionalFormatting sqref="C149">
    <cfRule type="cellIs" dxfId="9911" priority="427" stopIfTrue="1" operator="equal">
      <formula>"Towel"</formula>
    </cfRule>
    <cfRule type="cellIs" dxfId="9910" priority="428" stopIfTrue="1" operator="equal">
      <formula>"Napkin Hs"</formula>
    </cfRule>
  </conditionalFormatting>
  <conditionalFormatting sqref="B149:C149">
    <cfRule type="cellIs" dxfId="9909" priority="426" stopIfTrue="1" operator="equal">
      <formula>"Napkin Hs"</formula>
    </cfRule>
  </conditionalFormatting>
  <conditionalFormatting sqref="B149:C149">
    <cfRule type="cellIs" dxfId="9908" priority="425" stopIfTrue="1" operator="equal">
      <formula>"Towel"</formula>
    </cfRule>
  </conditionalFormatting>
  <conditionalFormatting sqref="C149">
    <cfRule type="cellIs" dxfId="9907" priority="424" stopIfTrue="1" operator="equal">
      <formula>"Napkin Hs"</formula>
    </cfRule>
  </conditionalFormatting>
  <conditionalFormatting sqref="C149">
    <cfRule type="cellIs" dxfId="9906" priority="423" stopIfTrue="1" operator="equal">
      <formula>"Towel"</formula>
    </cfRule>
  </conditionalFormatting>
  <conditionalFormatting sqref="C149">
    <cfRule type="cellIs" dxfId="9905" priority="421" stopIfTrue="1" operator="equal">
      <formula>"Towel"</formula>
    </cfRule>
    <cfRule type="cellIs" dxfId="9904" priority="422" stopIfTrue="1" operator="equal">
      <formula>"Napkin Hs"</formula>
    </cfRule>
  </conditionalFormatting>
  <conditionalFormatting sqref="C149">
    <cfRule type="cellIs" dxfId="9903" priority="415" stopIfTrue="1" operator="equal">
      <formula>"Towel"</formula>
    </cfRule>
    <cfRule type="cellIs" dxfId="9902" priority="416" stopIfTrue="1" operator="equal">
      <formula>"Napkin Hs"</formula>
    </cfRule>
  </conditionalFormatting>
  <conditionalFormatting sqref="C149">
    <cfRule type="cellIs" dxfId="9901" priority="409" stopIfTrue="1" operator="equal">
      <formula>"Towel"</formula>
    </cfRule>
    <cfRule type="cellIs" dxfId="9900" priority="410" stopIfTrue="1" operator="equal">
      <formula>"Napkin Hs"</formula>
    </cfRule>
  </conditionalFormatting>
  <conditionalFormatting sqref="C149">
    <cfRule type="cellIs" dxfId="9899" priority="403" stopIfTrue="1" operator="equal">
      <formula>"Towel"</formula>
    </cfRule>
    <cfRule type="cellIs" dxfId="9898" priority="404" stopIfTrue="1" operator="equal">
      <formula>"Napkin Hs"</formula>
    </cfRule>
  </conditionalFormatting>
  <conditionalFormatting sqref="C149">
    <cfRule type="cellIs" dxfId="9897" priority="397" stopIfTrue="1" operator="equal">
      <formula>"Towel"</formula>
    </cfRule>
    <cfRule type="cellIs" dxfId="9896" priority="398" stopIfTrue="1" operator="equal">
      <formula>"Napkin Hs"</formula>
    </cfRule>
  </conditionalFormatting>
  <conditionalFormatting sqref="C149">
    <cfRule type="cellIs" dxfId="9895" priority="391" stopIfTrue="1" operator="equal">
      <formula>"Towel"</formula>
    </cfRule>
    <cfRule type="cellIs" dxfId="9894" priority="392" stopIfTrue="1" operator="equal">
      <formula>"Napkin Hs"</formula>
    </cfRule>
  </conditionalFormatting>
  <conditionalFormatting sqref="B149:C149">
    <cfRule type="cellIs" dxfId="9893" priority="390" stopIfTrue="1" operator="equal">
      <formula>"Napkin Hs"</formula>
    </cfRule>
  </conditionalFormatting>
  <conditionalFormatting sqref="B149:C149">
    <cfRule type="cellIs" dxfId="9892" priority="389" stopIfTrue="1" operator="equal">
      <formula>"Towel"</formula>
    </cfRule>
  </conditionalFormatting>
  <conditionalFormatting sqref="C149">
    <cfRule type="cellIs" dxfId="9891" priority="388" stopIfTrue="1" operator="equal">
      <formula>"Napkin Hs"</formula>
    </cfRule>
  </conditionalFormatting>
  <conditionalFormatting sqref="C149">
    <cfRule type="cellIs" dxfId="9890" priority="385" stopIfTrue="1" operator="equal">
      <formula>"Towel"</formula>
    </cfRule>
    <cfRule type="cellIs" dxfId="9889" priority="386" stopIfTrue="1" operator="equal">
      <formula>"Napkin Hs"</formula>
    </cfRule>
  </conditionalFormatting>
  <conditionalFormatting sqref="C149">
    <cfRule type="cellIs" dxfId="9888" priority="387" stopIfTrue="1" operator="equal">
      <formula>"Towel"</formula>
    </cfRule>
  </conditionalFormatting>
  <conditionalFormatting sqref="B149:C149">
    <cfRule type="cellIs" dxfId="9887" priority="384" stopIfTrue="1" operator="equal">
      <formula>"Napkin Hs"</formula>
    </cfRule>
  </conditionalFormatting>
  <conditionalFormatting sqref="B149:C149">
    <cfRule type="cellIs" dxfId="9886" priority="383" stopIfTrue="1" operator="equal">
      <formula>"Towel"</formula>
    </cfRule>
  </conditionalFormatting>
  <conditionalFormatting sqref="C149">
    <cfRule type="cellIs" dxfId="9885" priority="382" stopIfTrue="1" operator="equal">
      <formula>"Napkin Hs"</formula>
    </cfRule>
  </conditionalFormatting>
  <conditionalFormatting sqref="C149">
    <cfRule type="cellIs" dxfId="9884" priority="379" stopIfTrue="1" operator="equal">
      <formula>"Towel"</formula>
    </cfRule>
    <cfRule type="cellIs" dxfId="9883" priority="380" stopIfTrue="1" operator="equal">
      <formula>"Napkin Hs"</formula>
    </cfRule>
  </conditionalFormatting>
  <conditionalFormatting sqref="C149">
    <cfRule type="cellIs" dxfId="9882" priority="381" stopIfTrue="1" operator="equal">
      <formula>"Towel"</formula>
    </cfRule>
  </conditionalFormatting>
  <conditionalFormatting sqref="B149:C149">
    <cfRule type="cellIs" dxfId="9881" priority="431" stopIfTrue="1" operator="equal">
      <formula>"Towel"</formula>
    </cfRule>
    <cfRule type="cellIs" dxfId="9880" priority="432" stopIfTrue="1" operator="equal">
      <formula>"Napkin Hs"</formula>
    </cfRule>
  </conditionalFormatting>
  <conditionalFormatting sqref="C149">
    <cfRule type="cellIs" dxfId="9879" priority="429" stopIfTrue="1" operator="equal">
      <formula>"Towel"</formula>
    </cfRule>
    <cfRule type="cellIs" dxfId="9878" priority="430" stopIfTrue="1" operator="equal">
      <formula>"Napkin Hs"</formula>
    </cfRule>
  </conditionalFormatting>
  <conditionalFormatting sqref="B149:C149">
    <cfRule type="cellIs" dxfId="9877" priority="419" stopIfTrue="1" operator="equal">
      <formula>"Towel"</formula>
    </cfRule>
    <cfRule type="cellIs" dxfId="9876" priority="420" stopIfTrue="1" operator="equal">
      <formula>"Napkin Hs"</formula>
    </cfRule>
  </conditionalFormatting>
  <conditionalFormatting sqref="C149">
    <cfRule type="cellIs" dxfId="9875" priority="417" stopIfTrue="1" operator="equal">
      <formula>"Towel"</formula>
    </cfRule>
    <cfRule type="cellIs" dxfId="9874" priority="418" stopIfTrue="1" operator="equal">
      <formula>"Napkin Hs"</formula>
    </cfRule>
  </conditionalFormatting>
  <conditionalFormatting sqref="B149:C149">
    <cfRule type="cellIs" dxfId="9873" priority="413" stopIfTrue="1" operator="equal">
      <formula>"Towel"</formula>
    </cfRule>
    <cfRule type="cellIs" dxfId="9872" priority="414" stopIfTrue="1" operator="equal">
      <formula>"Napkin Hs"</formula>
    </cfRule>
  </conditionalFormatting>
  <conditionalFormatting sqref="C149">
    <cfRule type="cellIs" dxfId="9871" priority="411" stopIfTrue="1" operator="equal">
      <formula>"Towel"</formula>
    </cfRule>
    <cfRule type="cellIs" dxfId="9870" priority="412" stopIfTrue="1" operator="equal">
      <formula>"Napkin Hs"</formula>
    </cfRule>
  </conditionalFormatting>
  <conditionalFormatting sqref="B149:C149">
    <cfRule type="cellIs" dxfId="9869" priority="407" stopIfTrue="1" operator="equal">
      <formula>"Towel"</formula>
    </cfRule>
    <cfRule type="cellIs" dxfId="9868" priority="408" stopIfTrue="1" operator="equal">
      <formula>"Napkin Hs"</formula>
    </cfRule>
  </conditionalFormatting>
  <conditionalFormatting sqref="C149">
    <cfRule type="cellIs" dxfId="9867" priority="405" stopIfTrue="1" operator="equal">
      <formula>"Towel"</formula>
    </cfRule>
    <cfRule type="cellIs" dxfId="9866" priority="406" stopIfTrue="1" operator="equal">
      <formula>"Napkin Hs"</formula>
    </cfRule>
  </conditionalFormatting>
  <conditionalFormatting sqref="B149:C149">
    <cfRule type="cellIs" dxfId="9865" priority="401" stopIfTrue="1" operator="equal">
      <formula>"Towel"</formula>
    </cfRule>
    <cfRule type="cellIs" dxfId="9864" priority="402" stopIfTrue="1" operator="equal">
      <formula>"Napkin Hs"</formula>
    </cfRule>
  </conditionalFormatting>
  <conditionalFormatting sqref="C149">
    <cfRule type="cellIs" dxfId="9863" priority="399" stopIfTrue="1" operator="equal">
      <formula>"Towel"</formula>
    </cfRule>
    <cfRule type="cellIs" dxfId="9862" priority="400" stopIfTrue="1" operator="equal">
      <formula>"Napkin Hs"</formula>
    </cfRule>
  </conditionalFormatting>
  <conditionalFormatting sqref="B149:C149">
    <cfRule type="cellIs" dxfId="9861" priority="395" stopIfTrue="1" operator="equal">
      <formula>"Towel"</formula>
    </cfRule>
    <cfRule type="cellIs" dxfId="9860" priority="396" stopIfTrue="1" operator="equal">
      <formula>"Napkin Hs"</formula>
    </cfRule>
  </conditionalFormatting>
  <conditionalFormatting sqref="C149">
    <cfRule type="cellIs" dxfId="9859" priority="393" stopIfTrue="1" operator="equal">
      <formula>"Towel"</formula>
    </cfRule>
    <cfRule type="cellIs" dxfId="9858" priority="394" stopIfTrue="1" operator="equal">
      <formula>"Napkin Hs"</formula>
    </cfRule>
  </conditionalFormatting>
  <conditionalFormatting sqref="B149:C149">
    <cfRule type="cellIs" dxfId="9857" priority="378" stopIfTrue="1" operator="equal">
      <formula>"Napkin Hs"</formula>
    </cfRule>
  </conditionalFormatting>
  <conditionalFormatting sqref="B149:C149">
    <cfRule type="cellIs" dxfId="9856" priority="377" stopIfTrue="1" operator="equal">
      <formula>"Towel"</formula>
    </cfRule>
  </conditionalFormatting>
  <conditionalFormatting sqref="C149">
    <cfRule type="cellIs" dxfId="9855" priority="376" stopIfTrue="1" operator="equal">
      <formula>"Napkin Hs"</formula>
    </cfRule>
  </conditionalFormatting>
  <conditionalFormatting sqref="C149">
    <cfRule type="cellIs" dxfId="9854" priority="373" stopIfTrue="1" operator="equal">
      <formula>"Towel"</formula>
    </cfRule>
    <cfRule type="cellIs" dxfId="9853" priority="374" stopIfTrue="1" operator="equal">
      <formula>"Napkin Hs"</formula>
    </cfRule>
  </conditionalFormatting>
  <conditionalFormatting sqref="C149">
    <cfRule type="cellIs" dxfId="9852" priority="375" stopIfTrue="1" operator="equal">
      <formula>"Towel"</formula>
    </cfRule>
  </conditionalFormatting>
  <conditionalFormatting sqref="C147">
    <cfRule type="cellIs" dxfId="9851" priority="369" stopIfTrue="1" operator="equal">
      <formula>"Towel"</formula>
    </cfRule>
    <cfRule type="cellIs" dxfId="9850" priority="370" stopIfTrue="1" operator="equal">
      <formula>"Napkin Hs"</formula>
    </cfRule>
  </conditionalFormatting>
  <conditionalFormatting sqref="C147">
    <cfRule type="cellIs" dxfId="9849" priority="367" stopIfTrue="1" operator="equal">
      <formula>"Towel"</formula>
    </cfRule>
    <cfRule type="cellIs" dxfId="9848" priority="368" stopIfTrue="1" operator="equal">
      <formula>"Napkin Hs"</formula>
    </cfRule>
  </conditionalFormatting>
  <conditionalFormatting sqref="B147:C147">
    <cfRule type="cellIs" dxfId="9847" priority="318" stopIfTrue="1" operator="equal">
      <formula>"Napkin Hs"</formula>
    </cfRule>
  </conditionalFormatting>
  <conditionalFormatting sqref="B147:C147">
    <cfRule type="cellIs" dxfId="9846" priority="317" stopIfTrue="1" operator="equal">
      <formula>"Towel"</formula>
    </cfRule>
  </conditionalFormatting>
  <conditionalFormatting sqref="B147:C147">
    <cfRule type="cellIs" dxfId="9845" priority="371" stopIfTrue="1" operator="equal">
      <formula>"Towel"</formula>
    </cfRule>
    <cfRule type="cellIs" dxfId="9844" priority="372" stopIfTrue="1" operator="equal">
      <formula>"Napkin Hs"</formula>
    </cfRule>
  </conditionalFormatting>
  <conditionalFormatting sqref="C147">
    <cfRule type="cellIs" dxfId="9843" priority="316" stopIfTrue="1" operator="equal">
      <formula>"Napkin Hs"</formula>
    </cfRule>
  </conditionalFormatting>
  <conditionalFormatting sqref="C147">
    <cfRule type="cellIs" dxfId="9842" priority="315" stopIfTrue="1" operator="equal">
      <formula>"Towel"</formula>
    </cfRule>
  </conditionalFormatting>
  <conditionalFormatting sqref="C147">
    <cfRule type="cellIs" dxfId="9841" priority="313" stopIfTrue="1" operator="equal">
      <formula>"Towel"</formula>
    </cfRule>
    <cfRule type="cellIs" dxfId="9840" priority="314" stopIfTrue="1" operator="equal">
      <formula>"Napkin Hs"</formula>
    </cfRule>
  </conditionalFormatting>
  <conditionalFormatting sqref="B147:C147">
    <cfRule type="cellIs" dxfId="9839" priority="366" stopIfTrue="1" operator="equal">
      <formula>"Napkin Hs"</formula>
    </cfRule>
  </conditionalFormatting>
  <conditionalFormatting sqref="B147:C147">
    <cfRule type="cellIs" dxfId="9838" priority="365" stopIfTrue="1" operator="equal">
      <formula>"Towel"</formula>
    </cfRule>
  </conditionalFormatting>
  <conditionalFormatting sqref="C147">
    <cfRule type="cellIs" dxfId="9837" priority="364" stopIfTrue="1" operator="equal">
      <formula>"Napkin Hs"</formula>
    </cfRule>
  </conditionalFormatting>
  <conditionalFormatting sqref="C147">
    <cfRule type="cellIs" dxfId="9836" priority="363" stopIfTrue="1" operator="equal">
      <formula>"Towel"</formula>
    </cfRule>
  </conditionalFormatting>
  <conditionalFormatting sqref="C147">
    <cfRule type="cellIs" dxfId="9835" priority="361" stopIfTrue="1" operator="equal">
      <formula>"Towel"</formula>
    </cfRule>
    <cfRule type="cellIs" dxfId="9834" priority="362" stopIfTrue="1" operator="equal">
      <formula>"Napkin Hs"</formula>
    </cfRule>
  </conditionalFormatting>
  <conditionalFormatting sqref="B147:C147">
    <cfRule type="cellIs" dxfId="9833" priority="359" stopIfTrue="1" operator="equal">
      <formula>"Towel"</formula>
    </cfRule>
    <cfRule type="cellIs" dxfId="9832" priority="360" stopIfTrue="1" operator="equal">
      <formula>"Napkin Hs"</formula>
    </cfRule>
  </conditionalFormatting>
  <conditionalFormatting sqref="C147">
    <cfRule type="cellIs" dxfId="9831" priority="355" stopIfTrue="1" operator="equal">
      <formula>"Towel"</formula>
    </cfRule>
    <cfRule type="cellIs" dxfId="9830" priority="356" stopIfTrue="1" operator="equal">
      <formula>"Napkin Hs"</formula>
    </cfRule>
  </conditionalFormatting>
  <conditionalFormatting sqref="C147">
    <cfRule type="cellIs" dxfId="9829" priority="357" stopIfTrue="1" operator="equal">
      <formula>"Towel"</formula>
    </cfRule>
    <cfRule type="cellIs" dxfId="9828" priority="358" stopIfTrue="1" operator="equal">
      <formula>"Napkin Hs"</formula>
    </cfRule>
  </conditionalFormatting>
  <conditionalFormatting sqref="B147:C147">
    <cfRule type="cellIs" dxfId="9827" priority="354" stopIfTrue="1" operator="equal">
      <formula>"Napkin Hs"</formula>
    </cfRule>
  </conditionalFormatting>
  <conditionalFormatting sqref="B147:C147">
    <cfRule type="cellIs" dxfId="9826" priority="353" stopIfTrue="1" operator="equal">
      <formula>"Towel"</formula>
    </cfRule>
  </conditionalFormatting>
  <conditionalFormatting sqref="C147">
    <cfRule type="cellIs" dxfId="9825" priority="352" stopIfTrue="1" operator="equal">
      <formula>"Napkin Hs"</formula>
    </cfRule>
  </conditionalFormatting>
  <conditionalFormatting sqref="C147">
    <cfRule type="cellIs" dxfId="9824" priority="351" stopIfTrue="1" operator="equal">
      <formula>"Towel"</formula>
    </cfRule>
  </conditionalFormatting>
  <conditionalFormatting sqref="C147">
    <cfRule type="cellIs" dxfId="9823" priority="349" stopIfTrue="1" operator="equal">
      <formula>"Towel"</formula>
    </cfRule>
    <cfRule type="cellIs" dxfId="9822" priority="350" stopIfTrue="1" operator="equal">
      <formula>"Napkin Hs"</formula>
    </cfRule>
  </conditionalFormatting>
  <conditionalFormatting sqref="B147:C147">
    <cfRule type="cellIs" dxfId="9821" priority="347" stopIfTrue="1" operator="equal">
      <formula>"Towel"</formula>
    </cfRule>
    <cfRule type="cellIs" dxfId="9820" priority="348" stopIfTrue="1" operator="equal">
      <formula>"Napkin Hs"</formula>
    </cfRule>
  </conditionalFormatting>
  <conditionalFormatting sqref="C147">
    <cfRule type="cellIs" dxfId="9819" priority="345" stopIfTrue="1" operator="equal">
      <formula>"Towel"</formula>
    </cfRule>
    <cfRule type="cellIs" dxfId="9818" priority="346" stopIfTrue="1" operator="equal">
      <formula>"Napkin Hs"</formula>
    </cfRule>
  </conditionalFormatting>
  <conditionalFormatting sqref="C147">
    <cfRule type="cellIs" dxfId="9817" priority="343" stopIfTrue="1" operator="equal">
      <formula>"Towel"</formula>
    </cfRule>
    <cfRule type="cellIs" dxfId="9816" priority="344" stopIfTrue="1" operator="equal">
      <formula>"Napkin Hs"</formula>
    </cfRule>
  </conditionalFormatting>
  <conditionalFormatting sqref="B147:C147">
    <cfRule type="cellIs" dxfId="9815" priority="341" stopIfTrue="1" operator="equal">
      <formula>"Towel"</formula>
    </cfRule>
    <cfRule type="cellIs" dxfId="9814" priority="342" stopIfTrue="1" operator="equal">
      <formula>"Napkin Hs"</formula>
    </cfRule>
  </conditionalFormatting>
  <conditionalFormatting sqref="C147">
    <cfRule type="cellIs" dxfId="9813" priority="339" stopIfTrue="1" operator="equal">
      <formula>"Towel"</formula>
    </cfRule>
    <cfRule type="cellIs" dxfId="9812" priority="340" stopIfTrue="1" operator="equal">
      <formula>"Napkin Hs"</formula>
    </cfRule>
  </conditionalFormatting>
  <conditionalFormatting sqref="C147">
    <cfRule type="cellIs" dxfId="9811" priority="337" stopIfTrue="1" operator="equal">
      <formula>"Towel"</formula>
    </cfRule>
    <cfRule type="cellIs" dxfId="9810" priority="338" stopIfTrue="1" operator="equal">
      <formula>"Napkin Hs"</formula>
    </cfRule>
  </conditionalFormatting>
  <conditionalFormatting sqref="B147:C147">
    <cfRule type="cellIs" dxfId="9809" priority="335" stopIfTrue="1" operator="equal">
      <formula>"Towel"</formula>
    </cfRule>
    <cfRule type="cellIs" dxfId="9808" priority="336" stopIfTrue="1" operator="equal">
      <formula>"Napkin Hs"</formula>
    </cfRule>
  </conditionalFormatting>
  <conditionalFormatting sqref="C147">
    <cfRule type="cellIs" dxfId="9807" priority="333" stopIfTrue="1" operator="equal">
      <formula>"Towel"</formula>
    </cfRule>
    <cfRule type="cellIs" dxfId="9806" priority="334" stopIfTrue="1" operator="equal">
      <formula>"Napkin Hs"</formula>
    </cfRule>
  </conditionalFormatting>
  <conditionalFormatting sqref="C147">
    <cfRule type="cellIs" dxfId="9805" priority="331" stopIfTrue="1" operator="equal">
      <formula>"Towel"</formula>
    </cfRule>
    <cfRule type="cellIs" dxfId="9804" priority="332" stopIfTrue="1" operator="equal">
      <formula>"Napkin Hs"</formula>
    </cfRule>
  </conditionalFormatting>
  <conditionalFormatting sqref="B147:C147">
    <cfRule type="cellIs" dxfId="9803" priority="329" stopIfTrue="1" operator="equal">
      <formula>"Towel"</formula>
    </cfRule>
    <cfRule type="cellIs" dxfId="9802" priority="330" stopIfTrue="1" operator="equal">
      <formula>"Napkin Hs"</formula>
    </cfRule>
  </conditionalFormatting>
  <conditionalFormatting sqref="C147">
    <cfRule type="cellIs" dxfId="9801" priority="327" stopIfTrue="1" operator="equal">
      <formula>"Towel"</formula>
    </cfRule>
    <cfRule type="cellIs" dxfId="9800" priority="328" stopIfTrue="1" operator="equal">
      <formula>"Napkin Hs"</formula>
    </cfRule>
  </conditionalFormatting>
  <conditionalFormatting sqref="C147">
    <cfRule type="cellIs" dxfId="9799" priority="325" stopIfTrue="1" operator="equal">
      <formula>"Towel"</formula>
    </cfRule>
    <cfRule type="cellIs" dxfId="9798" priority="326" stopIfTrue="1" operator="equal">
      <formula>"Napkin Hs"</formula>
    </cfRule>
  </conditionalFormatting>
  <conditionalFormatting sqref="B147:C147">
    <cfRule type="cellIs" dxfId="9797" priority="323" stopIfTrue="1" operator="equal">
      <formula>"Towel"</formula>
    </cfRule>
    <cfRule type="cellIs" dxfId="9796" priority="324" stopIfTrue="1" operator="equal">
      <formula>"Napkin Hs"</formula>
    </cfRule>
  </conditionalFormatting>
  <conditionalFormatting sqref="C147">
    <cfRule type="cellIs" dxfId="9795" priority="321" stopIfTrue="1" operator="equal">
      <formula>"Towel"</formula>
    </cfRule>
    <cfRule type="cellIs" dxfId="9794" priority="322" stopIfTrue="1" operator="equal">
      <formula>"Napkin Hs"</formula>
    </cfRule>
  </conditionalFormatting>
  <conditionalFormatting sqref="C147">
    <cfRule type="cellIs" dxfId="9793" priority="319" stopIfTrue="1" operator="equal">
      <formula>"Towel"</formula>
    </cfRule>
    <cfRule type="cellIs" dxfId="9792" priority="320" stopIfTrue="1" operator="equal">
      <formula>"Napkin Hs"</formula>
    </cfRule>
  </conditionalFormatting>
  <conditionalFormatting sqref="B147:C147">
    <cfRule type="cellIs" dxfId="9791" priority="309" stopIfTrue="1" operator="equal">
      <formula>"Towel"</formula>
    </cfRule>
    <cfRule type="cellIs" dxfId="9790" priority="310" stopIfTrue="1" operator="equal">
      <formula>"Napkin Hs"</formula>
    </cfRule>
  </conditionalFormatting>
  <conditionalFormatting sqref="C147">
    <cfRule type="cellIs" dxfId="9789" priority="311" stopIfTrue="1" operator="equal">
      <formula>"Towel"</formula>
    </cfRule>
    <cfRule type="cellIs" dxfId="9788" priority="312" stopIfTrue="1" operator="equal">
      <formula>"Napkin Hs"</formula>
    </cfRule>
  </conditionalFormatting>
  <conditionalFormatting sqref="C147">
    <cfRule type="cellIs" dxfId="9787" priority="307" stopIfTrue="1" operator="equal">
      <formula>"Towel"</formula>
    </cfRule>
    <cfRule type="cellIs" dxfId="9786" priority="308" stopIfTrue="1" operator="equal">
      <formula>"Napkin Hs"</formula>
    </cfRule>
  </conditionalFormatting>
  <conditionalFormatting sqref="B147:C147">
    <cfRule type="cellIs" dxfId="9785" priority="306" stopIfTrue="1" operator="equal">
      <formula>"Napkin Hs"</formula>
    </cfRule>
  </conditionalFormatting>
  <conditionalFormatting sqref="B147:C147">
    <cfRule type="cellIs" dxfId="9784" priority="305" stopIfTrue="1" operator="equal">
      <formula>"Towel"</formula>
    </cfRule>
  </conditionalFormatting>
  <conditionalFormatting sqref="C147">
    <cfRule type="cellIs" dxfId="9783" priority="304" stopIfTrue="1" operator="equal">
      <formula>"Napkin Hs"</formula>
    </cfRule>
  </conditionalFormatting>
  <conditionalFormatting sqref="C147">
    <cfRule type="cellIs" dxfId="9782" priority="303" stopIfTrue="1" operator="equal">
      <formula>"Towel"</formula>
    </cfRule>
  </conditionalFormatting>
  <conditionalFormatting sqref="C147">
    <cfRule type="cellIs" dxfId="9781" priority="301" stopIfTrue="1" operator="equal">
      <formula>"Towel"</formula>
    </cfRule>
    <cfRule type="cellIs" dxfId="9780" priority="302" stopIfTrue="1" operator="equal">
      <formula>"Napkin Hs"</formula>
    </cfRule>
  </conditionalFormatting>
  <conditionalFormatting sqref="B147:C147">
    <cfRule type="cellIs" dxfId="9779" priority="299" stopIfTrue="1" operator="equal">
      <formula>"Towel"</formula>
    </cfRule>
    <cfRule type="cellIs" dxfId="9778" priority="300" stopIfTrue="1" operator="equal">
      <formula>"Napkin Hs"</formula>
    </cfRule>
  </conditionalFormatting>
  <conditionalFormatting sqref="C147">
    <cfRule type="cellIs" dxfId="9777" priority="295" stopIfTrue="1" operator="equal">
      <formula>"Towel"</formula>
    </cfRule>
    <cfRule type="cellIs" dxfId="9776" priority="296" stopIfTrue="1" operator="equal">
      <formula>"Napkin Hs"</formula>
    </cfRule>
  </conditionalFormatting>
  <conditionalFormatting sqref="C147">
    <cfRule type="cellIs" dxfId="9775" priority="297" stopIfTrue="1" operator="equal">
      <formula>"Towel"</formula>
    </cfRule>
    <cfRule type="cellIs" dxfId="9774" priority="298" stopIfTrue="1" operator="equal">
      <formula>"Napkin Hs"</formula>
    </cfRule>
  </conditionalFormatting>
  <conditionalFormatting sqref="B147:C147">
    <cfRule type="cellIs" dxfId="9773" priority="294" stopIfTrue="1" operator="equal">
      <formula>"Napkin Hs"</formula>
    </cfRule>
  </conditionalFormatting>
  <conditionalFormatting sqref="B147:C147">
    <cfRule type="cellIs" dxfId="9772" priority="293" stopIfTrue="1" operator="equal">
      <formula>"Towel"</formula>
    </cfRule>
  </conditionalFormatting>
  <conditionalFormatting sqref="C147">
    <cfRule type="cellIs" dxfId="9771" priority="292" stopIfTrue="1" operator="equal">
      <formula>"Napkin Hs"</formula>
    </cfRule>
  </conditionalFormatting>
  <conditionalFormatting sqref="C147">
    <cfRule type="cellIs" dxfId="9770" priority="291" stopIfTrue="1" operator="equal">
      <formula>"Towel"</formula>
    </cfRule>
  </conditionalFormatting>
  <conditionalFormatting sqref="C147">
    <cfRule type="cellIs" dxfId="9769" priority="289" stopIfTrue="1" operator="equal">
      <formula>"Towel"</formula>
    </cfRule>
    <cfRule type="cellIs" dxfId="9768" priority="290" stopIfTrue="1" operator="equal">
      <formula>"Napkin Hs"</formula>
    </cfRule>
  </conditionalFormatting>
  <conditionalFormatting sqref="B147:C147">
    <cfRule type="cellIs" dxfId="9767" priority="287" stopIfTrue="1" operator="equal">
      <formula>"Towel"</formula>
    </cfRule>
    <cfRule type="cellIs" dxfId="9766" priority="288" stopIfTrue="1" operator="equal">
      <formula>"Napkin Hs"</formula>
    </cfRule>
  </conditionalFormatting>
  <conditionalFormatting sqref="C147">
    <cfRule type="cellIs" dxfId="9765" priority="285" stopIfTrue="1" operator="equal">
      <formula>"Towel"</formula>
    </cfRule>
    <cfRule type="cellIs" dxfId="9764" priority="286" stopIfTrue="1" operator="equal">
      <formula>"Napkin Hs"</formula>
    </cfRule>
  </conditionalFormatting>
  <conditionalFormatting sqref="C147">
    <cfRule type="cellIs" dxfId="9763" priority="283" stopIfTrue="1" operator="equal">
      <formula>"Towel"</formula>
    </cfRule>
    <cfRule type="cellIs" dxfId="9762" priority="284" stopIfTrue="1" operator="equal">
      <formula>"Napkin Hs"</formula>
    </cfRule>
  </conditionalFormatting>
  <conditionalFormatting sqref="B147:C147">
    <cfRule type="cellIs" dxfId="9761" priority="281" stopIfTrue="1" operator="equal">
      <formula>"Towel"</formula>
    </cfRule>
    <cfRule type="cellIs" dxfId="9760" priority="282" stopIfTrue="1" operator="equal">
      <formula>"Napkin Hs"</formula>
    </cfRule>
  </conditionalFormatting>
  <conditionalFormatting sqref="C147">
    <cfRule type="cellIs" dxfId="9759" priority="279" stopIfTrue="1" operator="equal">
      <formula>"Towel"</formula>
    </cfRule>
    <cfRule type="cellIs" dxfId="9758" priority="280" stopIfTrue="1" operator="equal">
      <formula>"Napkin Hs"</formula>
    </cfRule>
  </conditionalFormatting>
  <conditionalFormatting sqref="C147">
    <cfRule type="cellIs" dxfId="9757" priority="277" stopIfTrue="1" operator="equal">
      <formula>"Towel"</formula>
    </cfRule>
    <cfRule type="cellIs" dxfId="9756" priority="278" stopIfTrue="1" operator="equal">
      <formula>"Napkin Hs"</formula>
    </cfRule>
  </conditionalFormatting>
  <conditionalFormatting sqref="B147:C147">
    <cfRule type="cellIs" dxfId="9755" priority="275" stopIfTrue="1" operator="equal">
      <formula>"Towel"</formula>
    </cfRule>
    <cfRule type="cellIs" dxfId="9754" priority="276" stopIfTrue="1" operator="equal">
      <formula>"Napkin Hs"</formula>
    </cfRule>
  </conditionalFormatting>
  <conditionalFormatting sqref="C147">
    <cfRule type="cellIs" dxfId="9753" priority="273" stopIfTrue="1" operator="equal">
      <formula>"Towel"</formula>
    </cfRule>
    <cfRule type="cellIs" dxfId="9752" priority="274" stopIfTrue="1" operator="equal">
      <formula>"Napkin Hs"</formula>
    </cfRule>
  </conditionalFormatting>
  <conditionalFormatting sqref="C147">
    <cfRule type="cellIs" dxfId="9751" priority="271" stopIfTrue="1" operator="equal">
      <formula>"Towel"</formula>
    </cfRule>
    <cfRule type="cellIs" dxfId="9750" priority="272" stopIfTrue="1" operator="equal">
      <formula>"Napkin Hs"</formula>
    </cfRule>
  </conditionalFormatting>
  <conditionalFormatting sqref="B147:C147">
    <cfRule type="cellIs" dxfId="9749" priority="269" stopIfTrue="1" operator="equal">
      <formula>"Towel"</formula>
    </cfRule>
    <cfRule type="cellIs" dxfId="9748" priority="270" stopIfTrue="1" operator="equal">
      <formula>"Napkin Hs"</formula>
    </cfRule>
  </conditionalFormatting>
  <conditionalFormatting sqref="C147">
    <cfRule type="cellIs" dxfId="9747" priority="267" stopIfTrue="1" operator="equal">
      <formula>"Towel"</formula>
    </cfRule>
    <cfRule type="cellIs" dxfId="9746" priority="268" stopIfTrue="1" operator="equal">
      <formula>"Napkin Hs"</formula>
    </cfRule>
  </conditionalFormatting>
  <conditionalFormatting sqref="C147">
    <cfRule type="cellIs" dxfId="9745" priority="265" stopIfTrue="1" operator="equal">
      <formula>"Towel"</formula>
    </cfRule>
    <cfRule type="cellIs" dxfId="9744" priority="266" stopIfTrue="1" operator="equal">
      <formula>"Napkin Hs"</formula>
    </cfRule>
  </conditionalFormatting>
  <conditionalFormatting sqref="B147:C147">
    <cfRule type="cellIs" dxfId="9743" priority="263" stopIfTrue="1" operator="equal">
      <formula>"Towel"</formula>
    </cfRule>
    <cfRule type="cellIs" dxfId="9742" priority="264" stopIfTrue="1" operator="equal">
      <formula>"Napkin Hs"</formula>
    </cfRule>
  </conditionalFormatting>
  <conditionalFormatting sqref="C147">
    <cfRule type="cellIs" dxfId="9741" priority="261" stopIfTrue="1" operator="equal">
      <formula>"Towel"</formula>
    </cfRule>
    <cfRule type="cellIs" dxfId="9740" priority="262" stopIfTrue="1" operator="equal">
      <formula>"Napkin Hs"</formula>
    </cfRule>
  </conditionalFormatting>
  <conditionalFormatting sqref="C147">
    <cfRule type="cellIs" dxfId="9739" priority="259" stopIfTrue="1" operator="equal">
      <formula>"Towel"</formula>
    </cfRule>
    <cfRule type="cellIs" dxfId="9738" priority="260" stopIfTrue="1" operator="equal">
      <formula>"Napkin Hs"</formula>
    </cfRule>
  </conditionalFormatting>
  <conditionalFormatting sqref="B147:C147">
    <cfRule type="cellIs" dxfId="9737" priority="258" stopIfTrue="1" operator="equal">
      <formula>"Napkin Hs"</formula>
    </cfRule>
  </conditionalFormatting>
  <conditionalFormatting sqref="B147:C147">
    <cfRule type="cellIs" dxfId="9736" priority="257" stopIfTrue="1" operator="equal">
      <formula>"Towel"</formula>
    </cfRule>
  </conditionalFormatting>
  <conditionalFormatting sqref="C147">
    <cfRule type="cellIs" dxfId="9735" priority="256" stopIfTrue="1" operator="equal">
      <formula>"Napkin Hs"</formula>
    </cfRule>
  </conditionalFormatting>
  <conditionalFormatting sqref="C147">
    <cfRule type="cellIs" dxfId="9734" priority="253" stopIfTrue="1" operator="equal">
      <formula>"Towel"</formula>
    </cfRule>
    <cfRule type="cellIs" dxfId="9733" priority="254" stopIfTrue="1" operator="equal">
      <formula>"Napkin Hs"</formula>
    </cfRule>
  </conditionalFormatting>
  <conditionalFormatting sqref="C147">
    <cfRule type="cellIs" dxfId="9732" priority="255" stopIfTrue="1" operator="equal">
      <formula>"Towel"</formula>
    </cfRule>
  </conditionalFormatting>
  <conditionalFormatting sqref="B147:C147">
    <cfRule type="cellIs" dxfId="9731" priority="252" stopIfTrue="1" operator="equal">
      <formula>"Napkin Hs"</formula>
    </cfRule>
  </conditionalFormatting>
  <conditionalFormatting sqref="B147:C147">
    <cfRule type="cellIs" dxfId="9730" priority="251" stopIfTrue="1" operator="equal">
      <formula>"Towel"</formula>
    </cfRule>
  </conditionalFormatting>
  <conditionalFormatting sqref="C147">
    <cfRule type="cellIs" dxfId="9729" priority="250" stopIfTrue="1" operator="equal">
      <formula>"Napkin Hs"</formula>
    </cfRule>
  </conditionalFormatting>
  <conditionalFormatting sqref="C147">
    <cfRule type="cellIs" dxfId="9728" priority="249" stopIfTrue="1" operator="equal">
      <formula>"Towel"</formula>
    </cfRule>
  </conditionalFormatting>
  <conditionalFormatting sqref="C147">
    <cfRule type="cellIs" dxfId="9727" priority="247" stopIfTrue="1" operator="equal">
      <formula>"Towel"</formula>
    </cfRule>
    <cfRule type="cellIs" dxfId="9726" priority="248" stopIfTrue="1" operator="equal">
      <formula>"Napkin Hs"</formula>
    </cfRule>
  </conditionalFormatting>
  <conditionalFormatting sqref="C147">
    <cfRule type="cellIs" dxfId="9725" priority="241" stopIfTrue="1" operator="equal">
      <formula>"Towel"</formula>
    </cfRule>
    <cfRule type="cellIs" dxfId="9724" priority="242" stopIfTrue="1" operator="equal">
      <formula>"Napkin Hs"</formula>
    </cfRule>
  </conditionalFormatting>
  <conditionalFormatting sqref="B147:C147">
    <cfRule type="cellIs" dxfId="9723" priority="240" stopIfTrue="1" operator="equal">
      <formula>"Napkin Hs"</formula>
    </cfRule>
  </conditionalFormatting>
  <conditionalFormatting sqref="B147:C147">
    <cfRule type="cellIs" dxfId="9722" priority="239" stopIfTrue="1" operator="equal">
      <formula>"Towel"</formula>
    </cfRule>
  </conditionalFormatting>
  <conditionalFormatting sqref="C147">
    <cfRule type="cellIs" dxfId="9721" priority="238" stopIfTrue="1" operator="equal">
      <formula>"Napkin Hs"</formula>
    </cfRule>
  </conditionalFormatting>
  <conditionalFormatting sqref="C147">
    <cfRule type="cellIs" dxfId="9720" priority="237" stopIfTrue="1" operator="equal">
      <formula>"Towel"</formula>
    </cfRule>
  </conditionalFormatting>
  <conditionalFormatting sqref="C147">
    <cfRule type="cellIs" dxfId="9719" priority="235" stopIfTrue="1" operator="equal">
      <formula>"Towel"</formula>
    </cfRule>
    <cfRule type="cellIs" dxfId="9718" priority="236" stopIfTrue="1" operator="equal">
      <formula>"Napkin Hs"</formula>
    </cfRule>
  </conditionalFormatting>
  <conditionalFormatting sqref="C147">
    <cfRule type="cellIs" dxfId="9717" priority="229" stopIfTrue="1" operator="equal">
      <formula>"Towel"</formula>
    </cfRule>
    <cfRule type="cellIs" dxfId="9716" priority="230" stopIfTrue="1" operator="equal">
      <formula>"Napkin Hs"</formula>
    </cfRule>
  </conditionalFormatting>
  <conditionalFormatting sqref="C147">
    <cfRule type="cellIs" dxfId="9715" priority="223" stopIfTrue="1" operator="equal">
      <formula>"Towel"</formula>
    </cfRule>
    <cfRule type="cellIs" dxfId="9714" priority="224" stopIfTrue="1" operator="equal">
      <formula>"Napkin Hs"</formula>
    </cfRule>
  </conditionalFormatting>
  <conditionalFormatting sqref="C147">
    <cfRule type="cellIs" dxfId="9713" priority="217" stopIfTrue="1" operator="equal">
      <formula>"Towel"</formula>
    </cfRule>
    <cfRule type="cellIs" dxfId="9712" priority="218" stopIfTrue="1" operator="equal">
      <formula>"Napkin Hs"</formula>
    </cfRule>
  </conditionalFormatting>
  <conditionalFormatting sqref="C147">
    <cfRule type="cellIs" dxfId="9711" priority="211" stopIfTrue="1" operator="equal">
      <formula>"Towel"</formula>
    </cfRule>
    <cfRule type="cellIs" dxfId="9710" priority="212" stopIfTrue="1" operator="equal">
      <formula>"Napkin Hs"</formula>
    </cfRule>
  </conditionalFormatting>
  <conditionalFormatting sqref="C147">
    <cfRule type="cellIs" dxfId="9709" priority="205" stopIfTrue="1" operator="equal">
      <formula>"Towel"</formula>
    </cfRule>
    <cfRule type="cellIs" dxfId="9708" priority="206" stopIfTrue="1" operator="equal">
      <formula>"Napkin Hs"</formula>
    </cfRule>
  </conditionalFormatting>
  <conditionalFormatting sqref="B147:C147">
    <cfRule type="cellIs" dxfId="9707" priority="204" stopIfTrue="1" operator="equal">
      <formula>"Napkin Hs"</formula>
    </cfRule>
  </conditionalFormatting>
  <conditionalFormatting sqref="B147:C147">
    <cfRule type="cellIs" dxfId="9706" priority="203" stopIfTrue="1" operator="equal">
      <formula>"Towel"</formula>
    </cfRule>
  </conditionalFormatting>
  <conditionalFormatting sqref="C147">
    <cfRule type="cellIs" dxfId="9705" priority="202" stopIfTrue="1" operator="equal">
      <formula>"Napkin Hs"</formula>
    </cfRule>
  </conditionalFormatting>
  <conditionalFormatting sqref="C147">
    <cfRule type="cellIs" dxfId="9704" priority="199" stopIfTrue="1" operator="equal">
      <formula>"Towel"</formula>
    </cfRule>
    <cfRule type="cellIs" dxfId="9703" priority="200" stopIfTrue="1" operator="equal">
      <formula>"Napkin Hs"</formula>
    </cfRule>
  </conditionalFormatting>
  <conditionalFormatting sqref="C147">
    <cfRule type="cellIs" dxfId="9702" priority="201" stopIfTrue="1" operator="equal">
      <formula>"Towel"</formula>
    </cfRule>
  </conditionalFormatting>
  <conditionalFormatting sqref="B147:C147">
    <cfRule type="cellIs" dxfId="9701" priority="198" stopIfTrue="1" operator="equal">
      <formula>"Napkin Hs"</formula>
    </cfRule>
  </conditionalFormatting>
  <conditionalFormatting sqref="B147:C147">
    <cfRule type="cellIs" dxfId="9700" priority="197" stopIfTrue="1" operator="equal">
      <formula>"Towel"</formula>
    </cfRule>
  </conditionalFormatting>
  <conditionalFormatting sqref="C147">
    <cfRule type="cellIs" dxfId="9699" priority="196" stopIfTrue="1" operator="equal">
      <formula>"Napkin Hs"</formula>
    </cfRule>
  </conditionalFormatting>
  <conditionalFormatting sqref="C147">
    <cfRule type="cellIs" dxfId="9698" priority="193" stopIfTrue="1" operator="equal">
      <formula>"Towel"</formula>
    </cfRule>
    <cfRule type="cellIs" dxfId="9697" priority="194" stopIfTrue="1" operator="equal">
      <formula>"Napkin Hs"</formula>
    </cfRule>
  </conditionalFormatting>
  <conditionalFormatting sqref="C147">
    <cfRule type="cellIs" dxfId="9696" priority="195" stopIfTrue="1" operator="equal">
      <formula>"Towel"</formula>
    </cfRule>
  </conditionalFormatting>
  <conditionalFormatting sqref="B147:C147">
    <cfRule type="cellIs" dxfId="9695" priority="245" stopIfTrue="1" operator="equal">
      <formula>"Towel"</formula>
    </cfRule>
    <cfRule type="cellIs" dxfId="9694" priority="246" stopIfTrue="1" operator="equal">
      <formula>"Napkin Hs"</formula>
    </cfRule>
  </conditionalFormatting>
  <conditionalFormatting sqref="C147">
    <cfRule type="cellIs" dxfId="9693" priority="243" stopIfTrue="1" operator="equal">
      <formula>"Towel"</formula>
    </cfRule>
    <cfRule type="cellIs" dxfId="9692" priority="244" stopIfTrue="1" operator="equal">
      <formula>"Napkin Hs"</formula>
    </cfRule>
  </conditionalFormatting>
  <conditionalFormatting sqref="B147:C147">
    <cfRule type="cellIs" dxfId="9691" priority="233" stopIfTrue="1" operator="equal">
      <formula>"Towel"</formula>
    </cfRule>
    <cfRule type="cellIs" dxfId="9690" priority="234" stopIfTrue="1" operator="equal">
      <formula>"Napkin Hs"</formula>
    </cfRule>
  </conditionalFormatting>
  <conditionalFormatting sqref="C147">
    <cfRule type="cellIs" dxfId="9689" priority="231" stopIfTrue="1" operator="equal">
      <formula>"Towel"</formula>
    </cfRule>
    <cfRule type="cellIs" dxfId="9688" priority="232" stopIfTrue="1" operator="equal">
      <formula>"Napkin Hs"</formula>
    </cfRule>
  </conditionalFormatting>
  <conditionalFormatting sqref="B147:C147">
    <cfRule type="cellIs" dxfId="9687" priority="227" stopIfTrue="1" operator="equal">
      <formula>"Towel"</formula>
    </cfRule>
    <cfRule type="cellIs" dxfId="9686" priority="228" stopIfTrue="1" operator="equal">
      <formula>"Napkin Hs"</formula>
    </cfRule>
  </conditionalFormatting>
  <conditionalFormatting sqref="C147">
    <cfRule type="cellIs" dxfId="9685" priority="225" stopIfTrue="1" operator="equal">
      <formula>"Towel"</formula>
    </cfRule>
    <cfRule type="cellIs" dxfId="9684" priority="226" stopIfTrue="1" operator="equal">
      <formula>"Napkin Hs"</formula>
    </cfRule>
  </conditionalFormatting>
  <conditionalFormatting sqref="B147:C147">
    <cfRule type="cellIs" dxfId="9683" priority="221" stopIfTrue="1" operator="equal">
      <formula>"Towel"</formula>
    </cfRule>
    <cfRule type="cellIs" dxfId="9682" priority="222" stopIfTrue="1" operator="equal">
      <formula>"Napkin Hs"</formula>
    </cfRule>
  </conditionalFormatting>
  <conditionalFormatting sqref="C147">
    <cfRule type="cellIs" dxfId="9681" priority="219" stopIfTrue="1" operator="equal">
      <formula>"Towel"</formula>
    </cfRule>
    <cfRule type="cellIs" dxfId="9680" priority="220" stopIfTrue="1" operator="equal">
      <formula>"Napkin Hs"</formula>
    </cfRule>
  </conditionalFormatting>
  <conditionalFormatting sqref="B147:C147">
    <cfRule type="cellIs" dxfId="9679" priority="215" stopIfTrue="1" operator="equal">
      <formula>"Towel"</formula>
    </cfRule>
    <cfRule type="cellIs" dxfId="9678" priority="216" stopIfTrue="1" operator="equal">
      <formula>"Napkin Hs"</formula>
    </cfRule>
  </conditionalFormatting>
  <conditionalFormatting sqref="C147">
    <cfRule type="cellIs" dxfId="9677" priority="213" stopIfTrue="1" operator="equal">
      <formula>"Towel"</formula>
    </cfRule>
    <cfRule type="cellIs" dxfId="9676" priority="214" stopIfTrue="1" operator="equal">
      <formula>"Napkin Hs"</formula>
    </cfRule>
  </conditionalFormatting>
  <conditionalFormatting sqref="B147:C147">
    <cfRule type="cellIs" dxfId="9675" priority="209" stopIfTrue="1" operator="equal">
      <formula>"Towel"</formula>
    </cfRule>
    <cfRule type="cellIs" dxfId="9674" priority="210" stopIfTrue="1" operator="equal">
      <formula>"Napkin Hs"</formula>
    </cfRule>
  </conditionalFormatting>
  <conditionalFormatting sqref="C147">
    <cfRule type="cellIs" dxfId="9673" priority="207" stopIfTrue="1" operator="equal">
      <formula>"Towel"</formula>
    </cfRule>
    <cfRule type="cellIs" dxfId="9672" priority="208" stopIfTrue="1" operator="equal">
      <formula>"Napkin Hs"</formula>
    </cfRule>
  </conditionalFormatting>
  <conditionalFormatting sqref="B147:C147">
    <cfRule type="cellIs" dxfId="9671" priority="192" stopIfTrue="1" operator="equal">
      <formula>"Napkin Hs"</formula>
    </cfRule>
  </conditionalFormatting>
  <conditionalFormatting sqref="B147:C147">
    <cfRule type="cellIs" dxfId="9670" priority="191" stopIfTrue="1" operator="equal">
      <formula>"Towel"</formula>
    </cfRule>
  </conditionalFormatting>
  <conditionalFormatting sqref="C147">
    <cfRule type="cellIs" dxfId="9669" priority="190" stopIfTrue="1" operator="equal">
      <formula>"Napkin Hs"</formula>
    </cfRule>
  </conditionalFormatting>
  <conditionalFormatting sqref="C147">
    <cfRule type="cellIs" dxfId="9668" priority="187" stopIfTrue="1" operator="equal">
      <formula>"Towel"</formula>
    </cfRule>
    <cfRule type="cellIs" dxfId="9667" priority="188" stopIfTrue="1" operator="equal">
      <formula>"Napkin Hs"</formula>
    </cfRule>
  </conditionalFormatting>
  <conditionalFormatting sqref="C147">
    <cfRule type="cellIs" dxfId="9666" priority="189" stopIfTrue="1" operator="equal">
      <formula>"Towel"</formula>
    </cfRule>
  </conditionalFormatting>
  <conditionalFormatting sqref="C148">
    <cfRule type="cellIs" dxfId="9665" priority="183" stopIfTrue="1" operator="equal">
      <formula>"Towel"</formula>
    </cfRule>
    <cfRule type="cellIs" dxfId="9664" priority="184" stopIfTrue="1" operator="equal">
      <formula>"Napkin Hs"</formula>
    </cfRule>
  </conditionalFormatting>
  <conditionalFormatting sqref="C148">
    <cfRule type="cellIs" dxfId="9663" priority="181" stopIfTrue="1" operator="equal">
      <formula>"Towel"</formula>
    </cfRule>
    <cfRule type="cellIs" dxfId="9662" priority="182" stopIfTrue="1" operator="equal">
      <formula>"Napkin Hs"</formula>
    </cfRule>
  </conditionalFormatting>
  <conditionalFormatting sqref="B148:C148">
    <cfRule type="cellIs" dxfId="9661" priority="132" stopIfTrue="1" operator="equal">
      <formula>"Napkin Hs"</formula>
    </cfRule>
  </conditionalFormatting>
  <conditionalFormatting sqref="B148:C148">
    <cfRule type="cellIs" dxfId="9660" priority="131" stopIfTrue="1" operator="equal">
      <formula>"Towel"</formula>
    </cfRule>
  </conditionalFormatting>
  <conditionalFormatting sqref="B148:C148">
    <cfRule type="cellIs" dxfId="9659" priority="185" stopIfTrue="1" operator="equal">
      <formula>"Towel"</formula>
    </cfRule>
    <cfRule type="cellIs" dxfId="9658" priority="186" stopIfTrue="1" operator="equal">
      <formula>"Napkin Hs"</formula>
    </cfRule>
  </conditionalFormatting>
  <conditionalFormatting sqref="C148">
    <cfRule type="cellIs" dxfId="9657" priority="130" stopIfTrue="1" operator="equal">
      <formula>"Napkin Hs"</formula>
    </cfRule>
  </conditionalFormatting>
  <conditionalFormatting sqref="C148">
    <cfRule type="cellIs" dxfId="9656" priority="129" stopIfTrue="1" operator="equal">
      <formula>"Towel"</formula>
    </cfRule>
  </conditionalFormatting>
  <conditionalFormatting sqref="C148">
    <cfRule type="cellIs" dxfId="9655" priority="127" stopIfTrue="1" operator="equal">
      <formula>"Towel"</formula>
    </cfRule>
    <cfRule type="cellIs" dxfId="9654" priority="128" stopIfTrue="1" operator="equal">
      <formula>"Napkin Hs"</formula>
    </cfRule>
  </conditionalFormatting>
  <conditionalFormatting sqref="B148:C148">
    <cfRule type="cellIs" dxfId="9653" priority="180" stopIfTrue="1" operator="equal">
      <formula>"Napkin Hs"</formula>
    </cfRule>
  </conditionalFormatting>
  <conditionalFormatting sqref="B148:C148">
    <cfRule type="cellIs" dxfId="9652" priority="179" stopIfTrue="1" operator="equal">
      <formula>"Towel"</formula>
    </cfRule>
  </conditionalFormatting>
  <conditionalFormatting sqref="C148">
    <cfRule type="cellIs" dxfId="9651" priority="178" stopIfTrue="1" operator="equal">
      <formula>"Napkin Hs"</formula>
    </cfRule>
  </conditionalFormatting>
  <conditionalFormatting sqref="C148">
    <cfRule type="cellIs" dxfId="9650" priority="177" stopIfTrue="1" operator="equal">
      <formula>"Towel"</formula>
    </cfRule>
  </conditionalFormatting>
  <conditionalFormatting sqref="C148">
    <cfRule type="cellIs" dxfId="9649" priority="175" stopIfTrue="1" operator="equal">
      <formula>"Towel"</formula>
    </cfRule>
    <cfRule type="cellIs" dxfId="9648" priority="176" stopIfTrue="1" operator="equal">
      <formula>"Napkin Hs"</formula>
    </cfRule>
  </conditionalFormatting>
  <conditionalFormatting sqref="B148:C148">
    <cfRule type="cellIs" dxfId="9647" priority="173" stopIfTrue="1" operator="equal">
      <formula>"Towel"</formula>
    </cfRule>
    <cfRule type="cellIs" dxfId="9646" priority="174" stopIfTrue="1" operator="equal">
      <formula>"Napkin Hs"</formula>
    </cfRule>
  </conditionalFormatting>
  <conditionalFormatting sqref="C148">
    <cfRule type="cellIs" dxfId="9645" priority="169" stopIfTrue="1" operator="equal">
      <formula>"Towel"</formula>
    </cfRule>
    <cfRule type="cellIs" dxfId="9644" priority="170" stopIfTrue="1" operator="equal">
      <formula>"Napkin Hs"</formula>
    </cfRule>
  </conditionalFormatting>
  <conditionalFormatting sqref="C148">
    <cfRule type="cellIs" dxfId="9643" priority="171" stopIfTrue="1" operator="equal">
      <formula>"Towel"</formula>
    </cfRule>
    <cfRule type="cellIs" dxfId="9642" priority="172" stopIfTrue="1" operator="equal">
      <formula>"Napkin Hs"</formula>
    </cfRule>
  </conditionalFormatting>
  <conditionalFormatting sqref="B148:C148">
    <cfRule type="cellIs" dxfId="9641" priority="168" stopIfTrue="1" operator="equal">
      <formula>"Napkin Hs"</formula>
    </cfRule>
  </conditionalFormatting>
  <conditionalFormatting sqref="B148:C148">
    <cfRule type="cellIs" dxfId="9640" priority="167" stopIfTrue="1" operator="equal">
      <formula>"Towel"</formula>
    </cfRule>
  </conditionalFormatting>
  <conditionalFormatting sqref="C148">
    <cfRule type="cellIs" dxfId="9639" priority="166" stopIfTrue="1" operator="equal">
      <formula>"Napkin Hs"</formula>
    </cfRule>
  </conditionalFormatting>
  <conditionalFormatting sqref="C148">
    <cfRule type="cellIs" dxfId="9638" priority="165" stopIfTrue="1" operator="equal">
      <formula>"Towel"</formula>
    </cfRule>
  </conditionalFormatting>
  <conditionalFormatting sqref="C148">
    <cfRule type="cellIs" dxfId="9637" priority="163" stopIfTrue="1" operator="equal">
      <formula>"Towel"</formula>
    </cfRule>
    <cfRule type="cellIs" dxfId="9636" priority="164" stopIfTrue="1" operator="equal">
      <formula>"Napkin Hs"</formula>
    </cfRule>
  </conditionalFormatting>
  <conditionalFormatting sqref="B148:C148">
    <cfRule type="cellIs" dxfId="9635" priority="161" stopIfTrue="1" operator="equal">
      <formula>"Towel"</formula>
    </cfRule>
    <cfRule type="cellIs" dxfId="9634" priority="162" stopIfTrue="1" operator="equal">
      <formula>"Napkin Hs"</formula>
    </cfRule>
  </conditionalFormatting>
  <conditionalFormatting sqref="C148">
    <cfRule type="cellIs" dxfId="9633" priority="159" stopIfTrue="1" operator="equal">
      <formula>"Towel"</formula>
    </cfRule>
    <cfRule type="cellIs" dxfId="9632" priority="160" stopIfTrue="1" operator="equal">
      <formula>"Napkin Hs"</formula>
    </cfRule>
  </conditionalFormatting>
  <conditionalFormatting sqref="C148">
    <cfRule type="cellIs" dxfId="9631" priority="157" stopIfTrue="1" operator="equal">
      <formula>"Towel"</formula>
    </cfRule>
    <cfRule type="cellIs" dxfId="9630" priority="158" stopIfTrue="1" operator="equal">
      <formula>"Napkin Hs"</formula>
    </cfRule>
  </conditionalFormatting>
  <conditionalFormatting sqref="B148:C148">
    <cfRule type="cellIs" dxfId="9629" priority="155" stopIfTrue="1" operator="equal">
      <formula>"Towel"</formula>
    </cfRule>
    <cfRule type="cellIs" dxfId="9628" priority="156" stopIfTrue="1" operator="equal">
      <formula>"Napkin Hs"</formula>
    </cfRule>
  </conditionalFormatting>
  <conditionalFormatting sqref="C148">
    <cfRule type="cellIs" dxfId="9627" priority="153" stopIfTrue="1" operator="equal">
      <formula>"Towel"</formula>
    </cfRule>
    <cfRule type="cellIs" dxfId="9626" priority="154" stopIfTrue="1" operator="equal">
      <formula>"Napkin Hs"</formula>
    </cfRule>
  </conditionalFormatting>
  <conditionalFormatting sqref="C148">
    <cfRule type="cellIs" dxfId="9625" priority="151" stopIfTrue="1" operator="equal">
      <formula>"Towel"</formula>
    </cfRule>
    <cfRule type="cellIs" dxfId="9624" priority="152" stopIfTrue="1" operator="equal">
      <formula>"Napkin Hs"</formula>
    </cfRule>
  </conditionalFormatting>
  <conditionalFormatting sqref="B148:C148">
    <cfRule type="cellIs" dxfId="9623" priority="149" stopIfTrue="1" operator="equal">
      <formula>"Towel"</formula>
    </cfRule>
    <cfRule type="cellIs" dxfId="9622" priority="150" stopIfTrue="1" operator="equal">
      <formula>"Napkin Hs"</formula>
    </cfRule>
  </conditionalFormatting>
  <conditionalFormatting sqref="C148">
    <cfRule type="cellIs" dxfId="9621" priority="147" stopIfTrue="1" operator="equal">
      <formula>"Towel"</formula>
    </cfRule>
    <cfRule type="cellIs" dxfId="9620" priority="148" stopIfTrue="1" operator="equal">
      <formula>"Napkin Hs"</formula>
    </cfRule>
  </conditionalFormatting>
  <conditionalFormatting sqref="C148">
    <cfRule type="cellIs" dxfId="9619" priority="145" stopIfTrue="1" operator="equal">
      <formula>"Towel"</formula>
    </cfRule>
    <cfRule type="cellIs" dxfId="9618" priority="146" stopIfTrue="1" operator="equal">
      <formula>"Napkin Hs"</formula>
    </cfRule>
  </conditionalFormatting>
  <conditionalFormatting sqref="B148:C148">
    <cfRule type="cellIs" dxfId="9617" priority="143" stopIfTrue="1" operator="equal">
      <formula>"Towel"</formula>
    </cfRule>
    <cfRule type="cellIs" dxfId="9616" priority="144" stopIfTrue="1" operator="equal">
      <formula>"Napkin Hs"</formula>
    </cfRule>
  </conditionalFormatting>
  <conditionalFormatting sqref="C148">
    <cfRule type="cellIs" dxfId="9615" priority="141" stopIfTrue="1" operator="equal">
      <formula>"Towel"</formula>
    </cfRule>
    <cfRule type="cellIs" dxfId="9614" priority="142" stopIfTrue="1" operator="equal">
      <formula>"Napkin Hs"</formula>
    </cfRule>
  </conditionalFormatting>
  <conditionalFormatting sqref="C148">
    <cfRule type="cellIs" dxfId="9613" priority="139" stopIfTrue="1" operator="equal">
      <formula>"Towel"</formula>
    </cfRule>
    <cfRule type="cellIs" dxfId="9612" priority="140" stopIfTrue="1" operator="equal">
      <formula>"Napkin Hs"</formula>
    </cfRule>
  </conditionalFormatting>
  <conditionalFormatting sqref="B148:C148">
    <cfRule type="cellIs" dxfId="9611" priority="137" stopIfTrue="1" operator="equal">
      <formula>"Towel"</formula>
    </cfRule>
    <cfRule type="cellIs" dxfId="9610" priority="138" stopIfTrue="1" operator="equal">
      <formula>"Napkin Hs"</formula>
    </cfRule>
  </conditionalFormatting>
  <conditionalFormatting sqref="C148">
    <cfRule type="cellIs" dxfId="9609" priority="135" stopIfTrue="1" operator="equal">
      <formula>"Towel"</formula>
    </cfRule>
    <cfRule type="cellIs" dxfId="9608" priority="136" stopIfTrue="1" operator="equal">
      <formula>"Napkin Hs"</formula>
    </cfRule>
  </conditionalFormatting>
  <conditionalFormatting sqref="C148">
    <cfRule type="cellIs" dxfId="9607" priority="133" stopIfTrue="1" operator="equal">
      <formula>"Towel"</formula>
    </cfRule>
    <cfRule type="cellIs" dxfId="9606" priority="134" stopIfTrue="1" operator="equal">
      <formula>"Napkin Hs"</formula>
    </cfRule>
  </conditionalFormatting>
  <conditionalFormatting sqref="B148:C148">
    <cfRule type="cellIs" dxfId="9605" priority="123" stopIfTrue="1" operator="equal">
      <formula>"Towel"</formula>
    </cfRule>
    <cfRule type="cellIs" dxfId="9604" priority="124" stopIfTrue="1" operator="equal">
      <formula>"Napkin Hs"</formula>
    </cfRule>
  </conditionalFormatting>
  <conditionalFormatting sqref="C148">
    <cfRule type="cellIs" dxfId="9603" priority="125" stopIfTrue="1" operator="equal">
      <formula>"Towel"</formula>
    </cfRule>
    <cfRule type="cellIs" dxfId="9602" priority="126" stopIfTrue="1" operator="equal">
      <formula>"Napkin Hs"</formula>
    </cfRule>
  </conditionalFormatting>
  <conditionalFormatting sqref="C148">
    <cfRule type="cellIs" dxfId="9601" priority="121" stopIfTrue="1" operator="equal">
      <formula>"Towel"</formula>
    </cfRule>
    <cfRule type="cellIs" dxfId="9600" priority="122" stopIfTrue="1" operator="equal">
      <formula>"Napkin Hs"</formula>
    </cfRule>
  </conditionalFormatting>
  <conditionalFormatting sqref="B148:C148">
    <cfRule type="cellIs" dxfId="9599" priority="120" stopIfTrue="1" operator="equal">
      <formula>"Napkin Hs"</formula>
    </cfRule>
  </conditionalFormatting>
  <conditionalFormatting sqref="B148:C148">
    <cfRule type="cellIs" dxfId="9598" priority="119" stopIfTrue="1" operator="equal">
      <formula>"Towel"</formula>
    </cfRule>
  </conditionalFormatting>
  <conditionalFormatting sqref="C148">
    <cfRule type="cellIs" dxfId="9597" priority="118" stopIfTrue="1" operator="equal">
      <formula>"Napkin Hs"</formula>
    </cfRule>
  </conditionalFormatting>
  <conditionalFormatting sqref="C148">
    <cfRule type="cellIs" dxfId="9596" priority="117" stopIfTrue="1" operator="equal">
      <formula>"Towel"</formula>
    </cfRule>
  </conditionalFormatting>
  <conditionalFormatting sqref="C148">
    <cfRule type="cellIs" dxfId="9595" priority="115" stopIfTrue="1" operator="equal">
      <formula>"Towel"</formula>
    </cfRule>
    <cfRule type="cellIs" dxfId="9594" priority="116" stopIfTrue="1" operator="equal">
      <formula>"Napkin Hs"</formula>
    </cfRule>
  </conditionalFormatting>
  <conditionalFormatting sqref="B148:C148">
    <cfRule type="cellIs" dxfId="9593" priority="113" stopIfTrue="1" operator="equal">
      <formula>"Towel"</formula>
    </cfRule>
    <cfRule type="cellIs" dxfId="9592" priority="114" stopIfTrue="1" operator="equal">
      <formula>"Napkin Hs"</formula>
    </cfRule>
  </conditionalFormatting>
  <conditionalFormatting sqref="C148">
    <cfRule type="cellIs" dxfId="9591" priority="109" stopIfTrue="1" operator="equal">
      <formula>"Towel"</formula>
    </cfRule>
    <cfRule type="cellIs" dxfId="9590" priority="110" stopIfTrue="1" operator="equal">
      <formula>"Napkin Hs"</formula>
    </cfRule>
  </conditionalFormatting>
  <conditionalFormatting sqref="C148">
    <cfRule type="cellIs" dxfId="9589" priority="111" stopIfTrue="1" operator="equal">
      <formula>"Towel"</formula>
    </cfRule>
    <cfRule type="cellIs" dxfId="9588" priority="112" stopIfTrue="1" operator="equal">
      <formula>"Napkin Hs"</formula>
    </cfRule>
  </conditionalFormatting>
  <conditionalFormatting sqref="B148:C148">
    <cfRule type="cellIs" dxfId="9587" priority="108" stopIfTrue="1" operator="equal">
      <formula>"Napkin Hs"</formula>
    </cfRule>
  </conditionalFormatting>
  <conditionalFormatting sqref="B148:C148">
    <cfRule type="cellIs" dxfId="9586" priority="107" stopIfTrue="1" operator="equal">
      <formula>"Towel"</formula>
    </cfRule>
  </conditionalFormatting>
  <conditionalFormatting sqref="C148">
    <cfRule type="cellIs" dxfId="9585" priority="106" stopIfTrue="1" operator="equal">
      <formula>"Napkin Hs"</formula>
    </cfRule>
  </conditionalFormatting>
  <conditionalFormatting sqref="C148">
    <cfRule type="cellIs" dxfId="9584" priority="105" stopIfTrue="1" operator="equal">
      <formula>"Towel"</formula>
    </cfRule>
  </conditionalFormatting>
  <conditionalFormatting sqref="C148">
    <cfRule type="cellIs" dxfId="9583" priority="103" stopIfTrue="1" operator="equal">
      <formula>"Towel"</formula>
    </cfRule>
    <cfRule type="cellIs" dxfId="9582" priority="104" stopIfTrue="1" operator="equal">
      <formula>"Napkin Hs"</formula>
    </cfRule>
  </conditionalFormatting>
  <conditionalFormatting sqref="B148:C148">
    <cfRule type="cellIs" dxfId="9581" priority="101" stopIfTrue="1" operator="equal">
      <formula>"Towel"</formula>
    </cfRule>
    <cfRule type="cellIs" dxfId="9580" priority="102" stopIfTrue="1" operator="equal">
      <formula>"Napkin Hs"</formula>
    </cfRule>
  </conditionalFormatting>
  <conditionalFormatting sqref="C148">
    <cfRule type="cellIs" dxfId="9579" priority="99" stopIfTrue="1" operator="equal">
      <formula>"Towel"</formula>
    </cfRule>
    <cfRule type="cellIs" dxfId="9578" priority="100" stopIfTrue="1" operator="equal">
      <formula>"Napkin Hs"</formula>
    </cfRule>
  </conditionalFormatting>
  <conditionalFormatting sqref="C148">
    <cfRule type="cellIs" dxfId="9577" priority="97" stopIfTrue="1" operator="equal">
      <formula>"Towel"</formula>
    </cfRule>
    <cfRule type="cellIs" dxfId="9576" priority="98" stopIfTrue="1" operator="equal">
      <formula>"Napkin Hs"</formula>
    </cfRule>
  </conditionalFormatting>
  <conditionalFormatting sqref="B148:C148">
    <cfRule type="cellIs" dxfId="9575" priority="95" stopIfTrue="1" operator="equal">
      <formula>"Towel"</formula>
    </cfRule>
    <cfRule type="cellIs" dxfId="9574" priority="96" stopIfTrue="1" operator="equal">
      <formula>"Napkin Hs"</formula>
    </cfRule>
  </conditionalFormatting>
  <conditionalFormatting sqref="C148">
    <cfRule type="cellIs" dxfId="9573" priority="93" stopIfTrue="1" operator="equal">
      <formula>"Towel"</formula>
    </cfRule>
    <cfRule type="cellIs" dxfId="9572" priority="94" stopIfTrue="1" operator="equal">
      <formula>"Napkin Hs"</formula>
    </cfRule>
  </conditionalFormatting>
  <conditionalFormatting sqref="C148">
    <cfRule type="cellIs" dxfId="9571" priority="91" stopIfTrue="1" operator="equal">
      <formula>"Towel"</formula>
    </cfRule>
    <cfRule type="cellIs" dxfId="9570" priority="92" stopIfTrue="1" operator="equal">
      <formula>"Napkin Hs"</formula>
    </cfRule>
  </conditionalFormatting>
  <conditionalFormatting sqref="B148:C148">
    <cfRule type="cellIs" dxfId="9569" priority="89" stopIfTrue="1" operator="equal">
      <formula>"Towel"</formula>
    </cfRule>
    <cfRule type="cellIs" dxfId="9568" priority="90" stopIfTrue="1" operator="equal">
      <formula>"Napkin Hs"</formula>
    </cfRule>
  </conditionalFormatting>
  <conditionalFormatting sqref="C148">
    <cfRule type="cellIs" dxfId="9567" priority="87" stopIfTrue="1" operator="equal">
      <formula>"Towel"</formula>
    </cfRule>
    <cfRule type="cellIs" dxfId="9566" priority="88" stopIfTrue="1" operator="equal">
      <formula>"Napkin Hs"</formula>
    </cfRule>
  </conditionalFormatting>
  <conditionalFormatting sqref="C148">
    <cfRule type="cellIs" dxfId="9565" priority="85" stopIfTrue="1" operator="equal">
      <formula>"Towel"</formula>
    </cfRule>
    <cfRule type="cellIs" dxfId="9564" priority="86" stopIfTrue="1" operator="equal">
      <formula>"Napkin Hs"</formula>
    </cfRule>
  </conditionalFormatting>
  <conditionalFormatting sqref="B148:C148">
    <cfRule type="cellIs" dxfId="9563" priority="83" stopIfTrue="1" operator="equal">
      <formula>"Towel"</formula>
    </cfRule>
    <cfRule type="cellIs" dxfId="9562" priority="84" stopIfTrue="1" operator="equal">
      <formula>"Napkin Hs"</formula>
    </cfRule>
  </conditionalFormatting>
  <conditionalFormatting sqref="C148">
    <cfRule type="cellIs" dxfId="9561" priority="81" stopIfTrue="1" operator="equal">
      <formula>"Towel"</formula>
    </cfRule>
    <cfRule type="cellIs" dxfId="9560" priority="82" stopIfTrue="1" operator="equal">
      <formula>"Napkin Hs"</formula>
    </cfRule>
  </conditionalFormatting>
  <conditionalFormatting sqref="C148">
    <cfRule type="cellIs" dxfId="9559" priority="79" stopIfTrue="1" operator="equal">
      <formula>"Towel"</formula>
    </cfRule>
    <cfRule type="cellIs" dxfId="9558" priority="80" stopIfTrue="1" operator="equal">
      <formula>"Napkin Hs"</formula>
    </cfRule>
  </conditionalFormatting>
  <conditionalFormatting sqref="B148:C148">
    <cfRule type="cellIs" dxfId="9557" priority="77" stopIfTrue="1" operator="equal">
      <formula>"Towel"</formula>
    </cfRule>
    <cfRule type="cellIs" dxfId="9556" priority="78" stopIfTrue="1" operator="equal">
      <formula>"Napkin Hs"</formula>
    </cfRule>
  </conditionalFormatting>
  <conditionalFormatting sqref="C148">
    <cfRule type="cellIs" dxfId="9555" priority="75" stopIfTrue="1" operator="equal">
      <formula>"Towel"</formula>
    </cfRule>
    <cfRule type="cellIs" dxfId="9554" priority="76" stopIfTrue="1" operator="equal">
      <formula>"Napkin Hs"</formula>
    </cfRule>
  </conditionalFormatting>
  <conditionalFormatting sqref="C148">
    <cfRule type="cellIs" dxfId="9553" priority="73" stopIfTrue="1" operator="equal">
      <formula>"Towel"</formula>
    </cfRule>
    <cfRule type="cellIs" dxfId="9552" priority="74" stopIfTrue="1" operator="equal">
      <formula>"Napkin Hs"</formula>
    </cfRule>
  </conditionalFormatting>
  <conditionalFormatting sqref="B148:C148">
    <cfRule type="cellIs" dxfId="9551" priority="72" stopIfTrue="1" operator="equal">
      <formula>"Napkin Hs"</formula>
    </cfRule>
  </conditionalFormatting>
  <conditionalFormatting sqref="B148:C148">
    <cfRule type="cellIs" dxfId="9550" priority="71" stopIfTrue="1" operator="equal">
      <formula>"Towel"</formula>
    </cfRule>
  </conditionalFormatting>
  <conditionalFormatting sqref="C148">
    <cfRule type="cellIs" dxfId="9549" priority="70" stopIfTrue="1" operator="equal">
      <formula>"Napkin Hs"</formula>
    </cfRule>
  </conditionalFormatting>
  <conditionalFormatting sqref="C148">
    <cfRule type="cellIs" dxfId="9548" priority="67" stopIfTrue="1" operator="equal">
      <formula>"Towel"</formula>
    </cfRule>
    <cfRule type="cellIs" dxfId="9547" priority="68" stopIfTrue="1" operator="equal">
      <formula>"Napkin Hs"</formula>
    </cfRule>
  </conditionalFormatting>
  <conditionalFormatting sqref="C148">
    <cfRule type="cellIs" dxfId="9546" priority="69" stopIfTrue="1" operator="equal">
      <formula>"Towel"</formula>
    </cfRule>
  </conditionalFormatting>
  <conditionalFormatting sqref="B148:C148">
    <cfRule type="cellIs" dxfId="9545" priority="66" stopIfTrue="1" operator="equal">
      <formula>"Napkin Hs"</formula>
    </cfRule>
  </conditionalFormatting>
  <conditionalFormatting sqref="B148:C148">
    <cfRule type="cellIs" dxfId="9544" priority="65" stopIfTrue="1" operator="equal">
      <formula>"Towel"</formula>
    </cfRule>
  </conditionalFormatting>
  <conditionalFormatting sqref="C148">
    <cfRule type="cellIs" dxfId="9543" priority="64" stopIfTrue="1" operator="equal">
      <formula>"Napkin Hs"</formula>
    </cfRule>
  </conditionalFormatting>
  <conditionalFormatting sqref="C148">
    <cfRule type="cellIs" dxfId="9542" priority="63" stopIfTrue="1" operator="equal">
      <formula>"Towel"</formula>
    </cfRule>
  </conditionalFormatting>
  <conditionalFormatting sqref="C148">
    <cfRule type="cellIs" dxfId="9541" priority="61" stopIfTrue="1" operator="equal">
      <formula>"Towel"</formula>
    </cfRule>
    <cfRule type="cellIs" dxfId="9540" priority="62" stopIfTrue="1" operator="equal">
      <formula>"Napkin Hs"</formula>
    </cfRule>
  </conditionalFormatting>
  <conditionalFormatting sqref="C148">
    <cfRule type="cellIs" dxfId="9539" priority="55" stopIfTrue="1" operator="equal">
      <formula>"Towel"</formula>
    </cfRule>
    <cfRule type="cellIs" dxfId="9538" priority="56" stopIfTrue="1" operator="equal">
      <formula>"Napkin Hs"</formula>
    </cfRule>
  </conditionalFormatting>
  <conditionalFormatting sqref="B148:C148">
    <cfRule type="cellIs" dxfId="9537" priority="54" stopIfTrue="1" operator="equal">
      <formula>"Napkin Hs"</formula>
    </cfRule>
  </conditionalFormatting>
  <conditionalFormatting sqref="B148:C148">
    <cfRule type="cellIs" dxfId="9536" priority="53" stopIfTrue="1" operator="equal">
      <formula>"Towel"</formula>
    </cfRule>
  </conditionalFormatting>
  <conditionalFormatting sqref="C148">
    <cfRule type="cellIs" dxfId="9535" priority="52" stopIfTrue="1" operator="equal">
      <formula>"Napkin Hs"</formula>
    </cfRule>
  </conditionalFormatting>
  <conditionalFormatting sqref="C148">
    <cfRule type="cellIs" dxfId="9534" priority="51" stopIfTrue="1" operator="equal">
      <formula>"Towel"</formula>
    </cfRule>
  </conditionalFormatting>
  <conditionalFormatting sqref="C148">
    <cfRule type="cellIs" dxfId="9533" priority="49" stopIfTrue="1" operator="equal">
      <formula>"Towel"</formula>
    </cfRule>
    <cfRule type="cellIs" dxfId="9532" priority="50" stopIfTrue="1" operator="equal">
      <formula>"Napkin Hs"</formula>
    </cfRule>
  </conditionalFormatting>
  <conditionalFormatting sqref="C148">
    <cfRule type="cellIs" dxfId="9531" priority="43" stopIfTrue="1" operator="equal">
      <formula>"Towel"</formula>
    </cfRule>
    <cfRule type="cellIs" dxfId="9530" priority="44" stopIfTrue="1" operator="equal">
      <formula>"Napkin Hs"</formula>
    </cfRule>
  </conditionalFormatting>
  <conditionalFormatting sqref="C148">
    <cfRule type="cellIs" dxfId="9529" priority="37" stopIfTrue="1" operator="equal">
      <formula>"Towel"</formula>
    </cfRule>
    <cfRule type="cellIs" dxfId="9528" priority="38" stopIfTrue="1" operator="equal">
      <formula>"Napkin Hs"</formula>
    </cfRule>
  </conditionalFormatting>
  <conditionalFormatting sqref="C148">
    <cfRule type="cellIs" dxfId="9527" priority="31" stopIfTrue="1" operator="equal">
      <formula>"Towel"</formula>
    </cfRule>
    <cfRule type="cellIs" dxfId="9526" priority="32" stopIfTrue="1" operator="equal">
      <formula>"Napkin Hs"</formula>
    </cfRule>
  </conditionalFormatting>
  <conditionalFormatting sqref="C148">
    <cfRule type="cellIs" dxfId="9525" priority="25" stopIfTrue="1" operator="equal">
      <formula>"Towel"</formula>
    </cfRule>
    <cfRule type="cellIs" dxfId="9524" priority="26" stopIfTrue="1" operator="equal">
      <formula>"Napkin Hs"</formula>
    </cfRule>
  </conditionalFormatting>
  <conditionalFormatting sqref="C148">
    <cfRule type="cellIs" dxfId="9523" priority="19" stopIfTrue="1" operator="equal">
      <formula>"Towel"</formula>
    </cfRule>
    <cfRule type="cellIs" dxfId="9522" priority="20" stopIfTrue="1" operator="equal">
      <formula>"Napkin Hs"</formula>
    </cfRule>
  </conditionalFormatting>
  <conditionalFormatting sqref="B148:C148">
    <cfRule type="cellIs" dxfId="9521" priority="18" stopIfTrue="1" operator="equal">
      <formula>"Napkin Hs"</formula>
    </cfRule>
  </conditionalFormatting>
  <conditionalFormatting sqref="B148:C148">
    <cfRule type="cellIs" dxfId="9520" priority="17" stopIfTrue="1" operator="equal">
      <formula>"Towel"</formula>
    </cfRule>
  </conditionalFormatting>
  <conditionalFormatting sqref="C148">
    <cfRule type="cellIs" dxfId="9519" priority="16" stopIfTrue="1" operator="equal">
      <formula>"Napkin Hs"</formula>
    </cfRule>
  </conditionalFormatting>
  <conditionalFormatting sqref="C148">
    <cfRule type="cellIs" dxfId="9518" priority="13" stopIfTrue="1" operator="equal">
      <formula>"Towel"</formula>
    </cfRule>
    <cfRule type="cellIs" dxfId="9517" priority="14" stopIfTrue="1" operator="equal">
      <formula>"Napkin Hs"</formula>
    </cfRule>
  </conditionalFormatting>
  <conditionalFormatting sqref="C148">
    <cfRule type="cellIs" dxfId="9516" priority="15" stopIfTrue="1" operator="equal">
      <formula>"Towel"</formula>
    </cfRule>
  </conditionalFormatting>
  <conditionalFormatting sqref="B148:C148">
    <cfRule type="cellIs" dxfId="9515" priority="12" stopIfTrue="1" operator="equal">
      <formula>"Napkin Hs"</formula>
    </cfRule>
  </conditionalFormatting>
  <conditionalFormatting sqref="B148:C148">
    <cfRule type="cellIs" dxfId="9514" priority="11" stopIfTrue="1" operator="equal">
      <formula>"Towel"</formula>
    </cfRule>
  </conditionalFormatting>
  <conditionalFormatting sqref="C148">
    <cfRule type="cellIs" dxfId="9513" priority="10" stopIfTrue="1" operator="equal">
      <formula>"Napkin Hs"</formula>
    </cfRule>
  </conditionalFormatting>
  <conditionalFormatting sqref="C148">
    <cfRule type="cellIs" dxfId="9512" priority="7" stopIfTrue="1" operator="equal">
      <formula>"Towel"</formula>
    </cfRule>
    <cfRule type="cellIs" dxfId="9511" priority="8" stopIfTrue="1" operator="equal">
      <formula>"Napkin Hs"</formula>
    </cfRule>
  </conditionalFormatting>
  <conditionalFormatting sqref="C148">
    <cfRule type="cellIs" dxfId="9510" priority="9" stopIfTrue="1" operator="equal">
      <formula>"Towel"</formula>
    </cfRule>
  </conditionalFormatting>
  <conditionalFormatting sqref="B148:C148">
    <cfRule type="cellIs" dxfId="9509" priority="59" stopIfTrue="1" operator="equal">
      <formula>"Towel"</formula>
    </cfRule>
    <cfRule type="cellIs" dxfId="9508" priority="60" stopIfTrue="1" operator="equal">
      <formula>"Napkin Hs"</formula>
    </cfRule>
  </conditionalFormatting>
  <conditionalFormatting sqref="C148">
    <cfRule type="cellIs" dxfId="9507" priority="57" stopIfTrue="1" operator="equal">
      <formula>"Towel"</formula>
    </cfRule>
    <cfRule type="cellIs" dxfId="9506" priority="58" stopIfTrue="1" operator="equal">
      <formula>"Napkin Hs"</formula>
    </cfRule>
  </conditionalFormatting>
  <conditionalFormatting sqref="B148:C148">
    <cfRule type="cellIs" dxfId="9505" priority="47" stopIfTrue="1" operator="equal">
      <formula>"Towel"</formula>
    </cfRule>
    <cfRule type="cellIs" dxfId="9504" priority="48" stopIfTrue="1" operator="equal">
      <formula>"Napkin Hs"</formula>
    </cfRule>
  </conditionalFormatting>
  <conditionalFormatting sqref="C148">
    <cfRule type="cellIs" dxfId="9503" priority="45" stopIfTrue="1" operator="equal">
      <formula>"Towel"</formula>
    </cfRule>
    <cfRule type="cellIs" dxfId="9502" priority="46" stopIfTrue="1" operator="equal">
      <formula>"Napkin Hs"</formula>
    </cfRule>
  </conditionalFormatting>
  <conditionalFormatting sqref="B148:C148">
    <cfRule type="cellIs" dxfId="9501" priority="41" stopIfTrue="1" operator="equal">
      <formula>"Towel"</formula>
    </cfRule>
    <cfRule type="cellIs" dxfId="9500" priority="42" stopIfTrue="1" operator="equal">
      <formula>"Napkin Hs"</formula>
    </cfRule>
  </conditionalFormatting>
  <conditionalFormatting sqref="C148">
    <cfRule type="cellIs" dxfId="9499" priority="39" stopIfTrue="1" operator="equal">
      <formula>"Towel"</formula>
    </cfRule>
    <cfRule type="cellIs" dxfId="9498" priority="40" stopIfTrue="1" operator="equal">
      <formula>"Napkin Hs"</formula>
    </cfRule>
  </conditionalFormatting>
  <conditionalFormatting sqref="B148:C148">
    <cfRule type="cellIs" dxfId="9497" priority="35" stopIfTrue="1" operator="equal">
      <formula>"Towel"</formula>
    </cfRule>
    <cfRule type="cellIs" dxfId="9496" priority="36" stopIfTrue="1" operator="equal">
      <formula>"Napkin Hs"</formula>
    </cfRule>
  </conditionalFormatting>
  <conditionalFormatting sqref="C148">
    <cfRule type="cellIs" dxfId="9495" priority="33" stopIfTrue="1" operator="equal">
      <formula>"Towel"</formula>
    </cfRule>
    <cfRule type="cellIs" dxfId="9494" priority="34" stopIfTrue="1" operator="equal">
      <formula>"Napkin Hs"</formula>
    </cfRule>
  </conditionalFormatting>
  <conditionalFormatting sqref="B148:C148">
    <cfRule type="cellIs" dxfId="9493" priority="29" stopIfTrue="1" operator="equal">
      <formula>"Towel"</formula>
    </cfRule>
    <cfRule type="cellIs" dxfId="9492" priority="30" stopIfTrue="1" operator="equal">
      <formula>"Napkin Hs"</formula>
    </cfRule>
  </conditionalFormatting>
  <conditionalFormatting sqref="C148">
    <cfRule type="cellIs" dxfId="9491" priority="27" stopIfTrue="1" operator="equal">
      <formula>"Towel"</formula>
    </cfRule>
    <cfRule type="cellIs" dxfId="9490" priority="28" stopIfTrue="1" operator="equal">
      <formula>"Napkin Hs"</formula>
    </cfRule>
  </conditionalFormatting>
  <conditionalFormatting sqref="B148:C148">
    <cfRule type="cellIs" dxfId="9489" priority="23" stopIfTrue="1" operator="equal">
      <formula>"Towel"</formula>
    </cfRule>
    <cfRule type="cellIs" dxfId="9488" priority="24" stopIfTrue="1" operator="equal">
      <formula>"Napkin Hs"</formula>
    </cfRule>
  </conditionalFormatting>
  <conditionalFormatting sqref="C148">
    <cfRule type="cellIs" dxfId="9487" priority="21" stopIfTrue="1" operator="equal">
      <formula>"Towel"</formula>
    </cfRule>
    <cfRule type="cellIs" dxfId="9486" priority="22" stopIfTrue="1" operator="equal">
      <formula>"Napkin Hs"</formula>
    </cfRule>
  </conditionalFormatting>
  <conditionalFormatting sqref="B148:C148">
    <cfRule type="cellIs" dxfId="9485" priority="6" stopIfTrue="1" operator="equal">
      <formula>"Napkin Hs"</formula>
    </cfRule>
  </conditionalFormatting>
  <conditionalFormatting sqref="B148:C148">
    <cfRule type="cellIs" dxfId="9484" priority="5" stopIfTrue="1" operator="equal">
      <formula>"Towel"</formula>
    </cfRule>
  </conditionalFormatting>
  <conditionalFormatting sqref="C148">
    <cfRule type="cellIs" dxfId="9483" priority="4" stopIfTrue="1" operator="equal">
      <formula>"Napkin Hs"</formula>
    </cfRule>
  </conditionalFormatting>
  <conditionalFormatting sqref="C148">
    <cfRule type="cellIs" dxfId="9482" priority="1" stopIfTrue="1" operator="equal">
      <formula>"Towel"</formula>
    </cfRule>
    <cfRule type="cellIs" dxfId="9481" priority="2" stopIfTrue="1" operator="equal">
      <formula>"Napkin Hs"</formula>
    </cfRule>
  </conditionalFormatting>
  <conditionalFormatting sqref="C148">
    <cfRule type="cellIs" dxfId="9480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BF187"/>
  <sheetViews>
    <sheetView zoomScale="90" zoomScaleNormal="90" workbookViewId="0">
      <pane xSplit="6" ySplit="6" topLeftCell="O148" activePane="bottomRight" state="frozen"/>
      <selection pane="topRight" activeCell="F1" sqref="F1"/>
      <selection pane="bottomLeft" activeCell="A7" sqref="A7"/>
      <selection pane="bottomRight" activeCell="P160" sqref="P160"/>
    </sheetView>
  </sheetViews>
  <sheetFormatPr defaultColWidth="10.28515625" defaultRowHeight="12"/>
  <cols>
    <col min="1" max="1" width="12.28515625" style="33" customWidth="1"/>
    <col min="2" max="3" width="14.140625" style="33" customWidth="1"/>
    <col min="4" max="4" width="10.28515625" style="33" customWidth="1"/>
    <col min="5" max="5" width="7.5703125" style="33" bestFit="1" customWidth="1"/>
    <col min="6" max="6" width="7" style="62" customWidth="1"/>
    <col min="7" max="9" width="10.28515625" style="33" customWidth="1"/>
    <col min="10" max="11" width="10.28515625" style="91" customWidth="1"/>
    <col min="12" max="13" width="12.7109375" style="63" customWidth="1"/>
    <col min="14" max="15" width="10.28515625" style="33" customWidth="1"/>
    <col min="16" max="16" width="16.85546875" style="33" bestFit="1" customWidth="1"/>
    <col min="17" max="17" width="12.7109375" style="352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8" width="10.28515625" style="33" customWidth="1"/>
    <col min="29" max="29" width="12" style="33" customWidth="1"/>
    <col min="30" max="30" width="11.42578125" style="33" bestFit="1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bestFit="1" customWidth="1"/>
    <col min="45" max="16384" width="10.28515625" style="33"/>
  </cols>
  <sheetData>
    <row r="1" spans="1:58" s="24" customFormat="1" ht="15.75">
      <c r="A1" s="23" t="s">
        <v>425</v>
      </c>
      <c r="G1" s="25"/>
      <c r="H1" s="25"/>
      <c r="I1" s="25"/>
      <c r="J1" s="88"/>
      <c r="K1" s="88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2"/>
      <c r="G2" s="25"/>
      <c r="H2" s="25"/>
      <c r="I2" s="25"/>
      <c r="J2" s="88"/>
      <c r="K2" s="88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903" t="s">
        <v>7</v>
      </c>
      <c r="B3" s="903" t="s">
        <v>8</v>
      </c>
      <c r="C3" s="903" t="s">
        <v>201</v>
      </c>
      <c r="D3" s="903" t="s">
        <v>91</v>
      </c>
      <c r="E3" s="903" t="s">
        <v>92</v>
      </c>
      <c r="F3" s="903" t="s">
        <v>93</v>
      </c>
      <c r="G3" s="928" t="s">
        <v>94</v>
      </c>
      <c r="H3" s="929"/>
      <c r="I3" s="929"/>
      <c r="J3" s="929"/>
      <c r="K3" s="930"/>
      <c r="L3" s="909" t="s">
        <v>95</v>
      </c>
      <c r="M3" s="910"/>
      <c r="N3" s="911"/>
      <c r="O3" s="915" t="s">
        <v>96</v>
      </c>
      <c r="P3" s="939" t="s">
        <v>108</v>
      </c>
      <c r="Q3" s="915" t="s">
        <v>97</v>
      </c>
      <c r="R3" s="917" t="s">
        <v>98</v>
      </c>
      <c r="S3" s="917" t="s">
        <v>99</v>
      </c>
      <c r="T3" s="903" t="s">
        <v>158</v>
      </c>
      <c r="U3" s="903" t="s">
        <v>157</v>
      </c>
      <c r="V3" s="903" t="s">
        <v>159</v>
      </c>
      <c r="W3" s="917" t="s">
        <v>143</v>
      </c>
      <c r="X3" s="905" t="s">
        <v>101</v>
      </c>
      <c r="Y3" s="905" t="s">
        <v>328</v>
      </c>
      <c r="Z3" s="917" t="s">
        <v>102</v>
      </c>
      <c r="AA3" s="903" t="s">
        <v>160</v>
      </c>
      <c r="AB3" s="903" t="s">
        <v>171</v>
      </c>
      <c r="AC3" s="903" t="s">
        <v>169</v>
      </c>
      <c r="AD3" s="903" t="s">
        <v>126</v>
      </c>
      <c r="AE3" s="936" t="s">
        <v>127</v>
      </c>
      <c r="AF3" s="938" t="s">
        <v>128</v>
      </c>
      <c r="AG3" s="938"/>
      <c r="AH3" s="938"/>
      <c r="AI3" s="938"/>
      <c r="AJ3" s="938"/>
      <c r="AK3" s="938"/>
      <c r="AL3" s="938"/>
      <c r="AM3" s="919" t="s">
        <v>129</v>
      </c>
      <c r="AN3" s="941" t="s">
        <v>103</v>
      </c>
      <c r="AO3" s="941"/>
      <c r="AP3" s="941"/>
      <c r="AQ3" s="941"/>
      <c r="AR3" s="941"/>
      <c r="AS3" s="942" t="s">
        <v>104</v>
      </c>
      <c r="AT3" s="944" t="s">
        <v>248</v>
      </c>
      <c r="AU3" s="945"/>
      <c r="AV3" s="948" t="s">
        <v>130</v>
      </c>
      <c r="AW3" s="949"/>
      <c r="AX3" s="950" t="s">
        <v>130</v>
      </c>
      <c r="AY3" s="951"/>
      <c r="AZ3" s="952" t="s">
        <v>334</v>
      </c>
      <c r="BA3" s="922" t="s">
        <v>105</v>
      </c>
      <c r="BB3" s="902" t="s">
        <v>106</v>
      </c>
      <c r="BC3" s="902" t="s">
        <v>107</v>
      </c>
      <c r="BD3" s="895" t="s">
        <v>410</v>
      </c>
      <c r="BE3" s="898" t="s">
        <v>411</v>
      </c>
      <c r="BF3" s="903" t="s">
        <v>412</v>
      </c>
    </row>
    <row r="4" spans="1:58" ht="12" customHeight="1">
      <c r="A4" s="904"/>
      <c r="B4" s="904"/>
      <c r="C4" s="904"/>
      <c r="D4" s="904"/>
      <c r="E4" s="904"/>
      <c r="F4" s="904"/>
      <c r="G4" s="931"/>
      <c r="H4" s="932"/>
      <c r="I4" s="932"/>
      <c r="J4" s="932"/>
      <c r="K4" s="933"/>
      <c r="L4" s="912"/>
      <c r="M4" s="913"/>
      <c r="N4" s="914"/>
      <c r="O4" s="916"/>
      <c r="P4" s="926"/>
      <c r="Q4" s="916"/>
      <c r="R4" s="918"/>
      <c r="S4" s="918"/>
      <c r="T4" s="904"/>
      <c r="U4" s="904"/>
      <c r="V4" s="904"/>
      <c r="W4" s="918"/>
      <c r="X4" s="906"/>
      <c r="Y4" s="906"/>
      <c r="Z4" s="918"/>
      <c r="AA4" s="904"/>
      <c r="AB4" s="904"/>
      <c r="AC4" s="904"/>
      <c r="AD4" s="904"/>
      <c r="AE4" s="937"/>
      <c r="AF4" s="923" t="s">
        <v>131</v>
      </c>
      <c r="AG4" s="924"/>
      <c r="AH4" s="925"/>
      <c r="AI4" s="926" t="s">
        <v>202</v>
      </c>
      <c r="AJ4" s="926" t="s">
        <v>14</v>
      </c>
      <c r="AK4" s="926" t="s">
        <v>132</v>
      </c>
      <c r="AL4" s="926" t="s">
        <v>17</v>
      </c>
      <c r="AM4" s="920"/>
      <c r="AN4" s="940" t="s">
        <v>109</v>
      </c>
      <c r="AO4" s="940" t="s">
        <v>14</v>
      </c>
      <c r="AP4" s="940" t="s">
        <v>110</v>
      </c>
      <c r="AQ4" s="940" t="s">
        <v>17</v>
      </c>
      <c r="AR4" s="922" t="s">
        <v>111</v>
      </c>
      <c r="AS4" s="942"/>
      <c r="AT4" s="946"/>
      <c r="AU4" s="947"/>
      <c r="AV4" s="527" t="s">
        <v>6</v>
      </c>
      <c r="AW4" s="527" t="s">
        <v>133</v>
      </c>
      <c r="AX4" s="528" t="s">
        <v>6</v>
      </c>
      <c r="AY4" s="529" t="s">
        <v>133</v>
      </c>
      <c r="AZ4" s="953"/>
      <c r="BA4" s="922"/>
      <c r="BB4" s="904"/>
      <c r="BC4" s="904"/>
      <c r="BD4" s="896"/>
      <c r="BE4" s="899"/>
      <c r="BF4" s="904"/>
    </row>
    <row r="5" spans="1:58" s="36" customFormat="1" ht="48">
      <c r="A5" s="904"/>
      <c r="B5" s="904"/>
      <c r="C5" s="908"/>
      <c r="D5" s="904"/>
      <c r="E5" s="904"/>
      <c r="F5" s="904"/>
      <c r="G5" s="545" t="s">
        <v>112</v>
      </c>
      <c r="H5" s="542" t="s">
        <v>113</v>
      </c>
      <c r="I5" s="34" t="s">
        <v>114</v>
      </c>
      <c r="J5" s="89" t="s">
        <v>115</v>
      </c>
      <c r="K5" s="89" t="s">
        <v>100</v>
      </c>
      <c r="L5" s="35" t="s">
        <v>116</v>
      </c>
      <c r="M5" s="35" t="s">
        <v>117</v>
      </c>
      <c r="N5" s="542" t="s">
        <v>118</v>
      </c>
      <c r="O5" s="916"/>
      <c r="P5" s="927"/>
      <c r="Q5" s="916"/>
      <c r="R5" s="918"/>
      <c r="S5" s="918"/>
      <c r="T5" s="904"/>
      <c r="U5" s="904"/>
      <c r="V5" s="904"/>
      <c r="W5" s="918"/>
      <c r="X5" s="906"/>
      <c r="Y5" s="907"/>
      <c r="Z5" s="918"/>
      <c r="AA5" s="904"/>
      <c r="AB5" s="908"/>
      <c r="AC5" s="904"/>
      <c r="AD5" s="908"/>
      <c r="AE5" s="937"/>
      <c r="AF5" s="458" t="s">
        <v>203</v>
      </c>
      <c r="AG5" s="544" t="s">
        <v>204</v>
      </c>
      <c r="AH5" s="544" t="s">
        <v>205</v>
      </c>
      <c r="AI5" s="927"/>
      <c r="AJ5" s="927"/>
      <c r="AK5" s="927"/>
      <c r="AL5" s="927"/>
      <c r="AM5" s="921"/>
      <c r="AN5" s="939"/>
      <c r="AO5" s="939"/>
      <c r="AP5" s="939"/>
      <c r="AQ5" s="939"/>
      <c r="AR5" s="917"/>
      <c r="AS5" s="943"/>
      <c r="AT5" s="543" t="s">
        <v>326</v>
      </c>
      <c r="AU5" s="543" t="s">
        <v>327</v>
      </c>
      <c r="AV5" s="530" t="s">
        <v>325</v>
      </c>
      <c r="AW5" s="530" t="s">
        <v>325</v>
      </c>
      <c r="AX5" s="528" t="s">
        <v>16</v>
      </c>
      <c r="AY5" s="528" t="s">
        <v>16</v>
      </c>
      <c r="AZ5" s="954"/>
      <c r="BA5" s="917"/>
      <c r="BB5" s="908"/>
      <c r="BC5" s="908"/>
      <c r="BD5" s="897"/>
      <c r="BE5" s="900"/>
      <c r="BF5" s="908"/>
    </row>
    <row r="6" spans="1:58" ht="12.95" customHeight="1">
      <c r="A6" s="346">
        <f>+Report1!A9</f>
        <v>45839</v>
      </c>
      <c r="B6" s="45" t="s">
        <v>231</v>
      </c>
      <c r="C6" s="450">
        <f>(M6*E6*O6*Q6)/100000000</f>
        <v>69.029175600000002</v>
      </c>
      <c r="D6" s="45" t="s">
        <v>458</v>
      </c>
      <c r="E6" s="46">
        <v>14</v>
      </c>
      <c r="F6" s="46">
        <v>1</v>
      </c>
      <c r="G6" s="463">
        <v>1270</v>
      </c>
      <c r="H6" s="48">
        <v>0</v>
      </c>
      <c r="I6" s="49">
        <v>0.88</v>
      </c>
      <c r="J6" s="90">
        <f>E6*G6*(1-H6)*1440/1000000*2.77</f>
        <v>70.920864000000009</v>
      </c>
      <c r="K6" s="90">
        <f>(IF(G6&lt;L6,L6,G6)*(1-IF(H6&lt;N6,H6,N6))*E6*O6*Q6)/100000000</f>
        <v>69.299666099999996</v>
      </c>
      <c r="L6" s="39">
        <v>1281</v>
      </c>
      <c r="M6" s="39">
        <v>1276</v>
      </c>
      <c r="N6" s="50">
        <f>1-(M6/L6)</f>
        <v>3.9032006245121043E-3</v>
      </c>
      <c r="O6" s="51">
        <f>+'Trim Rwd'!H4</f>
        <v>268.34375</v>
      </c>
      <c r="P6" s="52">
        <f>O6*(Q6-R6-S6)</f>
        <v>327916.0625</v>
      </c>
      <c r="Q6" s="51">
        <v>1440</v>
      </c>
      <c r="R6" s="420">
        <v>105</v>
      </c>
      <c r="S6" s="420">
        <f>68+45</f>
        <v>113</v>
      </c>
      <c r="T6" s="41">
        <f>E6*M6*O6*Q6/100000000</f>
        <v>69.029175600000002</v>
      </c>
      <c r="U6" s="41">
        <f>E6*M6*O6*(Q6-R6-S6)/100000000</f>
        <v>58.578925405</v>
      </c>
      <c r="V6" s="41">
        <f>E6*G6*(1-N6)*O6/100*(R6+S6)/1000000</f>
        <v>10.360513464207649</v>
      </c>
      <c r="W6" s="41">
        <f>+'1'!K34/1000</f>
        <v>68.671999999999997</v>
      </c>
      <c r="X6" s="417">
        <f>SUM(W6:W9)/SUM(K6:K9)</f>
        <v>0.9909427254801737</v>
      </c>
      <c r="Y6" s="222">
        <v>0</v>
      </c>
      <c r="Z6" s="41">
        <f>+'1'!D34/1000</f>
        <v>0.36099999999999999</v>
      </c>
      <c r="AA6" s="53">
        <f>SUM(U6:U9)-SUM(W6:W9)-SUM(Z6:Z9)-SUM(Y6:Y9)</f>
        <v>-10.454074594999998</v>
      </c>
      <c r="AB6" s="53">
        <f>(SUM(K6:K9)-SUM(W6:W9)-SUM(Y6:Y9)-SUM(Z6:Z9)-SUM(AC6:AC9)-SUM(V6:V9))-AA6</f>
        <v>8.9736730792353114E-2</v>
      </c>
      <c r="AC6" s="41">
        <f>K6-T6</f>
        <v>0.27049049999999397</v>
      </c>
      <c r="AD6" s="41">
        <f>+AM6+BA6</f>
        <v>30</v>
      </c>
      <c r="AE6" s="241" t="s">
        <v>459</v>
      </c>
      <c r="AF6" s="41">
        <v>30</v>
      </c>
      <c r="AG6" s="41"/>
      <c r="AH6" s="41"/>
      <c r="AI6" s="459"/>
      <c r="AJ6" s="41"/>
      <c r="AK6" s="41"/>
      <c r="AL6" s="41"/>
      <c r="AM6" s="41">
        <f>SUM(AF6:AL6)+AT6+AV6+AX6</f>
        <v>30</v>
      </c>
      <c r="AN6" s="41"/>
      <c r="AO6" s="41"/>
      <c r="AP6" s="41"/>
      <c r="AQ6" s="41"/>
      <c r="AR6" s="41">
        <f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>+AR6+AS6+AU6+AW6+AY6+AZ6</f>
        <v>0</v>
      </c>
      <c r="BB6" s="37">
        <v>6</v>
      </c>
      <c r="BC6" s="55"/>
      <c r="BD6" s="55"/>
      <c r="BE6" s="37"/>
      <c r="BF6" s="55"/>
    </row>
    <row r="7" spans="1:58" ht="12.95" customHeight="1">
      <c r="A7" s="346"/>
      <c r="B7" s="45"/>
      <c r="C7" s="450"/>
      <c r="D7" s="45"/>
      <c r="E7" s="46"/>
      <c r="F7" s="46"/>
      <c r="G7" s="463"/>
      <c r="H7" s="48"/>
      <c r="I7" s="49"/>
      <c r="J7" s="90"/>
      <c r="K7" s="90"/>
      <c r="L7" s="39"/>
      <c r="M7" s="39"/>
      <c r="N7" s="50"/>
      <c r="O7" s="51"/>
      <c r="P7" s="52"/>
      <c r="Q7" s="51"/>
      <c r="R7" s="420"/>
      <c r="S7" s="420"/>
      <c r="T7" s="41"/>
      <c r="U7" s="41"/>
      <c r="V7" s="41"/>
      <c r="W7" s="41"/>
      <c r="X7" s="42"/>
      <c r="Y7" s="222"/>
      <c r="Z7" s="41"/>
      <c r="AA7" s="41"/>
      <c r="AB7" s="41"/>
      <c r="AC7" s="41"/>
      <c r="AD7" s="41">
        <f>+AM7+BA7</f>
        <v>2</v>
      </c>
      <c r="AE7" s="241" t="s">
        <v>454</v>
      </c>
      <c r="AF7" s="41"/>
      <c r="AG7" s="41">
        <v>2</v>
      </c>
      <c r="AH7" s="41"/>
      <c r="AI7" s="459"/>
      <c r="AJ7" s="41"/>
      <c r="AK7" s="41"/>
      <c r="AL7" s="41"/>
      <c r="AM7" s="41">
        <f>SUM(AF7:AL7)+AT7+AV7+AX7</f>
        <v>2</v>
      </c>
      <c r="AN7" s="91"/>
      <c r="AO7" s="41"/>
      <c r="AP7" s="41"/>
      <c r="AQ7" s="41"/>
      <c r="AR7" s="41">
        <f>SUM(AN7:AQ7)</f>
        <v>0</v>
      </c>
      <c r="AS7" s="41"/>
      <c r="AT7" s="41"/>
      <c r="AU7" s="41"/>
      <c r="AV7" s="41"/>
      <c r="AW7" s="41"/>
      <c r="AX7" s="41"/>
      <c r="AY7" s="41"/>
      <c r="AZ7" s="41"/>
      <c r="BA7" s="41">
        <f>+AR7+AS7+AU7+AW7+AY7+AZ7</f>
        <v>0</v>
      </c>
      <c r="BB7" s="54"/>
      <c r="BC7" s="55">
        <v>3</v>
      </c>
      <c r="BD7" s="55"/>
      <c r="BE7" s="54"/>
      <c r="BF7" s="55"/>
    </row>
    <row r="8" spans="1:58" ht="12.95" customHeight="1">
      <c r="A8" s="44"/>
      <c r="B8" s="45"/>
      <c r="C8" s="450"/>
      <c r="D8" s="45"/>
      <c r="E8" s="46"/>
      <c r="F8" s="46"/>
      <c r="G8" s="47"/>
      <c r="H8" s="48"/>
      <c r="I8" s="49"/>
      <c r="J8" s="90"/>
      <c r="K8" s="90"/>
      <c r="L8" s="39"/>
      <c r="M8" s="39"/>
      <c r="N8" s="50"/>
      <c r="O8" s="51"/>
      <c r="P8" s="52"/>
      <c r="Q8" s="51"/>
      <c r="R8" s="420"/>
      <c r="S8" s="420"/>
      <c r="T8" s="41"/>
      <c r="U8" s="41"/>
      <c r="V8" s="41"/>
      <c r="W8" s="41"/>
      <c r="X8" s="42"/>
      <c r="Y8" s="222"/>
      <c r="Z8" s="41"/>
      <c r="AA8" s="41"/>
      <c r="AB8" s="41"/>
      <c r="AC8" s="41"/>
      <c r="AD8" s="41">
        <f>+AM8+BA8</f>
        <v>13</v>
      </c>
      <c r="AE8" s="241" t="s">
        <v>460</v>
      </c>
      <c r="AF8" s="37"/>
      <c r="AG8" s="37"/>
      <c r="AH8" s="37">
        <v>13</v>
      </c>
      <c r="AJ8" s="41"/>
      <c r="AK8" s="41"/>
      <c r="AL8" s="41"/>
      <c r="AM8" s="41">
        <f>SUM(AF8:AL8)+AT8+AV8+AX8</f>
        <v>13</v>
      </c>
      <c r="AN8" s="41"/>
      <c r="AO8" s="41"/>
      <c r="AP8" s="41"/>
      <c r="AQ8" s="41"/>
      <c r="AR8" s="41">
        <f>SUM(AN8:AQ8)</f>
        <v>0</v>
      </c>
      <c r="AS8" s="41"/>
      <c r="AT8" s="41"/>
      <c r="AU8" s="41"/>
      <c r="AV8" s="41"/>
      <c r="AW8" s="41"/>
      <c r="AX8" s="41"/>
      <c r="AY8" s="41"/>
      <c r="AZ8" s="41"/>
      <c r="BA8" s="41">
        <f>+AR8+AS8+AU8+AW8+AY8+AZ8</f>
        <v>0</v>
      </c>
      <c r="BB8" s="37"/>
      <c r="BC8" s="57"/>
      <c r="BD8" s="57"/>
      <c r="BE8" s="37"/>
      <c r="BF8" s="57"/>
    </row>
    <row r="9" spans="1:58" ht="12.95" customHeight="1">
      <c r="A9" s="44"/>
      <c r="B9" s="45"/>
      <c r="C9" s="450"/>
      <c r="D9" s="45"/>
      <c r="E9" s="46"/>
      <c r="F9" s="46"/>
      <c r="G9" s="47"/>
      <c r="H9" s="48"/>
      <c r="I9" s="49"/>
      <c r="J9" s="90"/>
      <c r="K9" s="90"/>
      <c r="L9" s="39"/>
      <c r="M9" s="39"/>
      <c r="N9" s="50"/>
      <c r="O9" s="51"/>
      <c r="P9" s="52"/>
      <c r="Q9" s="38"/>
      <c r="R9" s="420"/>
      <c r="S9" s="420"/>
      <c r="T9" s="41"/>
      <c r="U9" s="41"/>
      <c r="V9" s="41"/>
      <c r="W9" s="41"/>
      <c r="X9" s="42"/>
      <c r="Y9" s="222"/>
      <c r="Z9" s="41"/>
      <c r="AA9" s="41"/>
      <c r="AB9" s="41"/>
      <c r="AC9" s="41"/>
      <c r="AD9" s="41">
        <f>+AM9+BA9</f>
        <v>68</v>
      </c>
      <c r="AE9" s="244" t="s">
        <v>461</v>
      </c>
      <c r="AF9" s="41"/>
      <c r="AG9" s="41"/>
      <c r="AH9" s="41"/>
      <c r="AI9" s="459"/>
      <c r="AJ9" s="41"/>
      <c r="AK9" s="41"/>
      <c r="AL9" s="41"/>
      <c r="AM9" s="41">
        <f>SUM(AF9:AL9)+AT9+AV9+AX9</f>
        <v>68</v>
      </c>
      <c r="AN9" s="41"/>
      <c r="AO9" s="41"/>
      <c r="AP9" s="41"/>
      <c r="AQ9" s="41"/>
      <c r="AR9" s="41">
        <f>SUM(AN9:AQ9)</f>
        <v>0</v>
      </c>
      <c r="AS9" s="41"/>
      <c r="AT9" s="41"/>
      <c r="AU9" s="41"/>
      <c r="AV9" s="41">
        <v>68</v>
      </c>
      <c r="AW9" s="41"/>
      <c r="AX9" s="41"/>
      <c r="AY9" s="41"/>
      <c r="AZ9" s="41"/>
      <c r="BA9" s="41">
        <f>+AR9+AS9+AU9+AW9+AY9+AZ9</f>
        <v>0</v>
      </c>
      <c r="BB9" s="37"/>
      <c r="BC9" s="57"/>
      <c r="BD9" s="57">
        <v>4</v>
      </c>
      <c r="BE9" s="37"/>
      <c r="BF9" s="57"/>
    </row>
    <row r="10" spans="1:58" ht="12.95" customHeight="1">
      <c r="A10" s="346"/>
      <c r="B10" s="45"/>
      <c r="C10" s="450"/>
      <c r="D10" s="45"/>
      <c r="E10" s="46"/>
      <c r="F10" s="46"/>
      <c r="G10" s="463"/>
      <c r="H10" s="48"/>
      <c r="I10" s="49"/>
      <c r="J10" s="90"/>
      <c r="K10" s="90"/>
      <c r="L10" s="39"/>
      <c r="M10" s="39"/>
      <c r="N10" s="50"/>
      <c r="O10" s="51"/>
      <c r="P10" s="52"/>
      <c r="Q10" s="51"/>
      <c r="R10" s="420"/>
      <c r="S10" s="420"/>
      <c r="T10" s="41"/>
      <c r="U10" s="41"/>
      <c r="V10" s="41"/>
      <c r="W10" s="41"/>
      <c r="X10" s="417"/>
      <c r="Y10" s="222"/>
      <c r="Z10" s="41"/>
      <c r="AA10" s="53"/>
      <c r="AB10" s="53"/>
      <c r="AC10" s="41"/>
      <c r="AD10" s="41">
        <f>+AM10+BA10</f>
        <v>105</v>
      </c>
      <c r="AE10" s="244" t="s">
        <v>462</v>
      </c>
      <c r="AF10" s="41"/>
      <c r="AG10" s="41"/>
      <c r="AH10" s="41"/>
      <c r="AI10" s="459"/>
      <c r="AJ10" s="41"/>
      <c r="AK10" s="41"/>
      <c r="AL10" s="41"/>
      <c r="AM10" s="41">
        <f>SUM(AF10:AL10)+AT10+AV10+AX10</f>
        <v>0</v>
      </c>
      <c r="AN10" s="41"/>
      <c r="AO10" s="41"/>
      <c r="AP10" s="41"/>
      <c r="AQ10" s="41"/>
      <c r="AR10" s="41">
        <f>SUM(AN10:AQ10)</f>
        <v>0</v>
      </c>
      <c r="AS10" s="41"/>
      <c r="AT10" s="41"/>
      <c r="AU10" s="41"/>
      <c r="AV10" s="41"/>
      <c r="AW10" s="41">
        <v>105</v>
      </c>
      <c r="AX10" s="41"/>
      <c r="AY10" s="41"/>
      <c r="AZ10" s="41"/>
      <c r="BA10" s="41">
        <f>+AR10+AS10+AU10+AW10+AY10+AZ10</f>
        <v>105</v>
      </c>
      <c r="BB10" s="37"/>
      <c r="BC10" s="57"/>
      <c r="BD10" s="57"/>
      <c r="BE10" s="37"/>
      <c r="BF10" s="57"/>
    </row>
    <row r="11" spans="1:58" ht="12.95" customHeight="1">
      <c r="A11" s="346"/>
      <c r="B11" s="45"/>
      <c r="C11" s="450"/>
      <c r="D11" s="45"/>
      <c r="E11" s="46"/>
      <c r="F11" s="46"/>
      <c r="G11" s="463"/>
      <c r="H11" s="48"/>
      <c r="I11" s="49"/>
      <c r="J11" s="90"/>
      <c r="K11" s="90"/>
      <c r="L11" s="39"/>
      <c r="M11" s="39"/>
      <c r="N11" s="50"/>
      <c r="O11" s="51"/>
      <c r="P11" s="52"/>
      <c r="Q11" s="51"/>
      <c r="R11" s="420"/>
      <c r="S11" s="420"/>
      <c r="T11" s="41"/>
      <c r="U11" s="41"/>
      <c r="V11" s="41"/>
      <c r="W11" s="41"/>
      <c r="X11" s="417"/>
      <c r="Y11" s="222"/>
      <c r="Z11" s="41"/>
      <c r="AA11" s="53"/>
      <c r="AB11" s="53"/>
      <c r="AC11" s="41"/>
      <c r="AD11" s="41"/>
      <c r="AE11" s="241"/>
      <c r="AF11" s="41"/>
      <c r="AG11" s="41"/>
      <c r="AH11" s="41"/>
      <c r="AI11" s="459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37"/>
      <c r="BC11" s="55"/>
      <c r="BD11" s="55"/>
      <c r="BE11" s="37"/>
      <c r="BF11" s="55"/>
    </row>
    <row r="12" spans="1:58" ht="12.95" customHeight="1">
      <c r="A12" s="346">
        <v>45840</v>
      </c>
      <c r="B12" s="45" t="s">
        <v>231</v>
      </c>
      <c r="C12" s="450">
        <f>(M12*E12*O12*Q12)/100000000</f>
        <v>69.540726427586208</v>
      </c>
      <c r="D12" s="45" t="s">
        <v>458</v>
      </c>
      <c r="E12" s="46">
        <v>14</v>
      </c>
      <c r="F12" s="46">
        <v>1</v>
      </c>
      <c r="G12" s="463">
        <v>1270</v>
      </c>
      <c r="H12" s="48">
        <v>0</v>
      </c>
      <c r="I12" s="49">
        <v>0.88</v>
      </c>
      <c r="J12" s="90">
        <f>E12*G12*(1-H12)*1440/1000000*2.77</f>
        <v>70.920864000000009</v>
      </c>
      <c r="K12" s="90">
        <f>(IF(G12&lt;L12,L12,G12)*(1-IF(H12&lt;N12,H12,N12))*E12*O12*Q12)/100000000</f>
        <v>69.755856285057476</v>
      </c>
      <c r="L12" s="39">
        <v>1297</v>
      </c>
      <c r="M12" s="39">
        <v>1293</v>
      </c>
      <c r="N12" s="50">
        <f>1-(M12/L12)</f>
        <v>3.0840400925211675E-3</v>
      </c>
      <c r="O12" s="51">
        <f>+'Trim Rwd'!H7</f>
        <v>268.64367816091954</v>
      </c>
      <c r="P12" s="52">
        <f>O12*(Q12-R12-S12)</f>
        <v>360519.81609195401</v>
      </c>
      <c r="Q12" s="51">
        <f>1440-10</f>
        <v>1430</v>
      </c>
      <c r="R12" s="420">
        <v>0</v>
      </c>
      <c r="S12" s="420">
        <f>98-10</f>
        <v>88</v>
      </c>
      <c r="T12" s="41">
        <f>E12*M12*O12*Q12/100000000</f>
        <v>69.540726427586208</v>
      </c>
      <c r="U12" s="41">
        <f>E12*M12*O12*(Q12-R12-S12)/100000000</f>
        <v>65.261297108965508</v>
      </c>
      <c r="V12" s="41">
        <f>E12*G12*(1-N12)*O12/100*(R12+S12)/1000000</f>
        <v>4.1903432803764646</v>
      </c>
      <c r="W12" s="41">
        <f>+'2'!K34/1000</f>
        <v>69.626999999999995</v>
      </c>
      <c r="X12" s="417">
        <f>SUM(W12:W15)/SUM(K12:K15)</f>
        <v>0.99815275316052443</v>
      </c>
      <c r="Y12" s="222">
        <v>0</v>
      </c>
      <c r="Z12" s="41">
        <f>+'2'!D34/1000</f>
        <v>0.128</v>
      </c>
      <c r="AA12" s="53">
        <f>SUM(U12:U15)-SUM(W12:W15)-SUM(Z12:Z15)-SUM(Y12:Y15)</f>
        <v>-4.4937028910344878</v>
      </c>
      <c r="AB12" s="53">
        <f>(SUM(K12:K15)-SUM(W12:W15)-SUM(Y12:Y15)-SUM(Z12:Z15)-SUM(AC12:AC15)-SUM(V12:V15))-AA12</f>
        <v>8.9086038244235333E-2</v>
      </c>
      <c r="AC12" s="41">
        <f>K12-T12</f>
        <v>0.21512985747126834</v>
      </c>
      <c r="AD12" s="41">
        <f>+AM12+BA12</f>
        <v>10</v>
      </c>
      <c r="AE12" s="241" t="s">
        <v>418</v>
      </c>
      <c r="AF12" s="41">
        <v>10</v>
      </c>
      <c r="AG12" s="41"/>
      <c r="AH12" s="41"/>
      <c r="AI12" s="459"/>
      <c r="AJ12" s="41"/>
      <c r="AK12" s="41"/>
      <c r="AL12" s="41"/>
      <c r="AM12" s="41">
        <f>SUM(AF12:AL12)+AT12+AV12+AX12</f>
        <v>10</v>
      </c>
      <c r="AN12" s="41"/>
      <c r="AO12" s="41"/>
      <c r="AP12" s="41"/>
      <c r="AQ12" s="41"/>
      <c r="AR12" s="41">
        <f>SUM(AN12:AQ12)</f>
        <v>0</v>
      </c>
      <c r="AS12" s="41"/>
      <c r="AT12" s="41"/>
      <c r="AU12" s="41"/>
      <c r="AV12" s="41"/>
      <c r="AW12" s="41"/>
      <c r="AX12" s="41"/>
      <c r="AY12" s="41"/>
      <c r="AZ12" s="41"/>
      <c r="BA12" s="41">
        <f>+AR12+AS12+AU12+AW12+AY12+AZ12</f>
        <v>0</v>
      </c>
      <c r="BB12" s="37">
        <v>6</v>
      </c>
      <c r="BC12" s="55"/>
      <c r="BD12" s="55"/>
      <c r="BE12" s="37"/>
      <c r="BF12" s="55"/>
    </row>
    <row r="13" spans="1:58" ht="12.95" customHeight="1">
      <c r="A13" s="346"/>
      <c r="B13" s="45"/>
      <c r="C13" s="450"/>
      <c r="D13" s="45"/>
      <c r="E13" s="46"/>
      <c r="F13" s="46"/>
      <c r="G13" s="463"/>
      <c r="H13" s="48"/>
      <c r="I13" s="49"/>
      <c r="J13" s="90"/>
      <c r="K13" s="90"/>
      <c r="L13" s="39"/>
      <c r="M13" s="39"/>
      <c r="N13" s="50"/>
      <c r="O13" s="51"/>
      <c r="P13" s="52"/>
      <c r="Q13" s="51"/>
      <c r="R13" s="420"/>
      <c r="S13" s="420"/>
      <c r="T13" s="41"/>
      <c r="U13" s="41"/>
      <c r="V13" s="41"/>
      <c r="W13" s="41"/>
      <c r="X13" s="42"/>
      <c r="Y13" s="222"/>
      <c r="Z13" s="41"/>
      <c r="AA13" s="41"/>
      <c r="AB13" s="41"/>
      <c r="AC13" s="41"/>
      <c r="AD13" s="41">
        <f>+AM13+BA13</f>
        <v>0</v>
      </c>
      <c r="AE13" s="241" t="s">
        <v>452</v>
      </c>
      <c r="AF13" s="41"/>
      <c r="AG13" s="41">
        <v>0</v>
      </c>
      <c r="AH13" s="41"/>
      <c r="AI13" s="459"/>
      <c r="AJ13" s="41"/>
      <c r="AK13" s="41"/>
      <c r="AL13" s="41"/>
      <c r="AM13" s="41">
        <f>SUM(AF13:AL13)+AT13+AV13+AX13</f>
        <v>0</v>
      </c>
      <c r="AN13" s="9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/>
      <c r="AZ13" s="41"/>
      <c r="BA13" s="41">
        <f>+AR13+AS13+AU13+AW13+AY13+AZ13</f>
        <v>0</v>
      </c>
      <c r="BB13" s="54"/>
      <c r="BC13" s="55">
        <v>3</v>
      </c>
      <c r="BD13" s="55"/>
      <c r="BE13" s="54"/>
      <c r="BF13" s="55"/>
    </row>
    <row r="14" spans="1:58" ht="12.95" customHeight="1">
      <c r="A14" s="44"/>
      <c r="B14" s="45"/>
      <c r="C14" s="450"/>
      <c r="D14" s="45"/>
      <c r="E14" s="46"/>
      <c r="F14" s="46"/>
      <c r="G14" s="47"/>
      <c r="H14" s="48"/>
      <c r="I14" s="49"/>
      <c r="J14" s="90"/>
      <c r="K14" s="90"/>
      <c r="L14" s="39"/>
      <c r="M14" s="39"/>
      <c r="N14" s="50"/>
      <c r="O14" s="51"/>
      <c r="P14" s="52"/>
      <c r="Q14" s="51"/>
      <c r="R14" s="420"/>
      <c r="S14" s="420"/>
      <c r="T14" s="41"/>
      <c r="U14" s="41"/>
      <c r="V14" s="41"/>
      <c r="W14" s="41"/>
      <c r="X14" s="42"/>
      <c r="Y14" s="222"/>
      <c r="Z14" s="41"/>
      <c r="AA14" s="41"/>
      <c r="AB14" s="41"/>
      <c r="AC14" s="41"/>
      <c r="AD14" s="41">
        <f>+AM14+BA14</f>
        <v>28</v>
      </c>
      <c r="AE14" s="241" t="s">
        <v>460</v>
      </c>
      <c r="AF14" s="37"/>
      <c r="AG14" s="37"/>
      <c r="AH14" s="37">
        <v>28</v>
      </c>
      <c r="AJ14" s="41"/>
      <c r="AK14" s="41"/>
      <c r="AL14" s="41"/>
      <c r="AM14" s="41">
        <f>SUM(AF14:AL14)+AT14+AV14+AX14</f>
        <v>28</v>
      </c>
      <c r="AN14" s="41"/>
      <c r="AO14" s="41"/>
      <c r="AP14" s="41"/>
      <c r="AQ14" s="41"/>
      <c r="AR14" s="41">
        <f>SUM(AN14:AQ14)</f>
        <v>0</v>
      </c>
      <c r="AS14" s="41"/>
      <c r="AT14" s="41"/>
      <c r="AU14" s="41"/>
      <c r="AV14" s="41"/>
      <c r="AW14" s="41"/>
      <c r="AX14" s="41"/>
      <c r="AY14" s="41"/>
      <c r="AZ14" s="41"/>
      <c r="BA14" s="41">
        <f>+AR14+AS14+AU14+AW14+AY14+AZ14</f>
        <v>0</v>
      </c>
      <c r="BB14" s="37"/>
      <c r="BC14" s="57"/>
      <c r="BD14" s="57"/>
      <c r="BE14" s="37"/>
      <c r="BF14" s="57"/>
    </row>
    <row r="15" spans="1:58" ht="12.95" customHeight="1">
      <c r="A15" s="44"/>
      <c r="B15" s="45"/>
      <c r="C15" s="450"/>
      <c r="D15" s="45"/>
      <c r="E15" s="46"/>
      <c r="F15" s="46"/>
      <c r="G15" s="47"/>
      <c r="H15" s="48"/>
      <c r="I15" s="49"/>
      <c r="J15" s="90"/>
      <c r="K15" s="90"/>
      <c r="L15" s="39"/>
      <c r="M15" s="39"/>
      <c r="N15" s="50"/>
      <c r="O15" s="51"/>
      <c r="P15" s="52"/>
      <c r="Q15" s="38"/>
      <c r="R15" s="420"/>
      <c r="S15" s="420"/>
      <c r="T15" s="41"/>
      <c r="U15" s="41"/>
      <c r="V15" s="41"/>
      <c r="W15" s="41"/>
      <c r="X15" s="42"/>
      <c r="Y15" s="222"/>
      <c r="Z15" s="41"/>
      <c r="AA15" s="41"/>
      <c r="AB15" s="41"/>
      <c r="AC15" s="41"/>
      <c r="AD15" s="41">
        <f>+AM15+BA15</f>
        <v>50</v>
      </c>
      <c r="AE15" s="597" t="s">
        <v>466</v>
      </c>
      <c r="AF15" s="41"/>
      <c r="AG15" s="41"/>
      <c r="AH15" s="41"/>
      <c r="AI15" s="459"/>
      <c r="AJ15" s="41"/>
      <c r="AK15" s="41"/>
      <c r="AL15" s="41"/>
      <c r="AM15" s="41">
        <f>SUM(AF15:AL15)+AT15+AV15+AX15</f>
        <v>50</v>
      </c>
      <c r="AN15" s="41"/>
      <c r="AO15" s="41"/>
      <c r="AP15" s="41"/>
      <c r="AQ15" s="41"/>
      <c r="AR15" s="41">
        <f>SUM(AN15:AQ15)</f>
        <v>0</v>
      </c>
      <c r="AS15" s="41"/>
      <c r="AT15" s="41"/>
      <c r="AU15" s="41"/>
      <c r="AV15" s="41">
        <f>60-10</f>
        <v>50</v>
      </c>
      <c r="AW15" s="41"/>
      <c r="AX15" s="41"/>
      <c r="AY15" s="41"/>
      <c r="AZ15" s="41"/>
      <c r="BA15" s="41">
        <f>+AR15+AS15+AU15+AW15+AY15+AZ15</f>
        <v>0</v>
      </c>
      <c r="BB15" s="37"/>
      <c r="BC15" s="57"/>
      <c r="BD15" s="57">
        <v>1</v>
      </c>
      <c r="BE15" s="37"/>
      <c r="BF15" s="57"/>
    </row>
    <row r="16" spans="1:58" ht="12.95" customHeight="1">
      <c r="A16" s="346"/>
      <c r="B16" s="45"/>
      <c r="C16" s="450"/>
      <c r="D16" s="45"/>
      <c r="E16" s="46"/>
      <c r="F16" s="46"/>
      <c r="G16" s="463"/>
      <c r="H16" s="48"/>
      <c r="I16" s="49"/>
      <c r="J16" s="90"/>
      <c r="K16" s="90"/>
      <c r="L16" s="39"/>
      <c r="M16" s="39"/>
      <c r="N16" s="50"/>
      <c r="O16" s="51"/>
      <c r="P16" s="52"/>
      <c r="Q16" s="51"/>
      <c r="R16" s="420"/>
      <c r="S16" s="420"/>
      <c r="T16" s="41"/>
      <c r="U16" s="41"/>
      <c r="V16" s="41"/>
      <c r="W16" s="41"/>
      <c r="X16" s="417"/>
      <c r="Y16" s="222"/>
      <c r="Z16" s="41"/>
      <c r="AA16" s="53"/>
      <c r="AB16" s="53"/>
      <c r="AC16" s="41"/>
      <c r="AD16" s="41"/>
      <c r="AE16" s="244"/>
      <c r="AF16" s="41"/>
      <c r="AG16" s="41"/>
      <c r="AH16" s="41"/>
      <c r="AI16" s="459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37"/>
      <c r="BC16" s="57"/>
      <c r="BD16" s="57"/>
      <c r="BE16" s="37"/>
      <c r="BF16" s="57"/>
    </row>
    <row r="17" spans="1:58" ht="12.95" customHeight="1">
      <c r="A17" s="346">
        <v>45841</v>
      </c>
      <c r="B17" s="45" t="s">
        <v>231</v>
      </c>
      <c r="C17" s="450">
        <f>(M17*E17*O17*Q17)/100000000</f>
        <v>10.514371000000001</v>
      </c>
      <c r="D17" s="45" t="s">
        <v>458</v>
      </c>
      <c r="E17" s="46">
        <v>14</v>
      </c>
      <c r="F17" s="46">
        <v>1</v>
      </c>
      <c r="G17" s="463">
        <v>1270</v>
      </c>
      <c r="H17" s="48">
        <v>0</v>
      </c>
      <c r="I17" s="49">
        <v>0.88</v>
      </c>
      <c r="J17" s="90">
        <f>E17*G17*(1-H17)*1440/1000000*2.77</f>
        <v>70.920864000000009</v>
      </c>
      <c r="K17" s="90">
        <f>(IF(G17&lt;L17,L17,G17)*(1-IF(H17&lt;N17,H17,N17))*E17*O17*Q17)/100000000</f>
        <v>10.553750666666668</v>
      </c>
      <c r="L17" s="39">
        <v>1340</v>
      </c>
      <c r="M17" s="39">
        <v>1335</v>
      </c>
      <c r="N17" s="50">
        <f>1-(M17/L17)</f>
        <v>3.7313432835820448E-3</v>
      </c>
      <c r="O17" s="51">
        <f>+'Trim Rwd'!H11</f>
        <v>267.88888888888891</v>
      </c>
      <c r="P17" s="52">
        <f>O17*(Q17-R17-S17)</f>
        <v>53577.777777777781</v>
      </c>
      <c r="Q17" s="51">
        <v>210</v>
      </c>
      <c r="R17" s="420">
        <v>0</v>
      </c>
      <c r="S17" s="420">
        <v>10</v>
      </c>
      <c r="T17" s="41">
        <f>E17*M17*O17*Q17/100000000</f>
        <v>10.514371000000001</v>
      </c>
      <c r="U17" s="41">
        <f>E17*M17*O17*(Q17-R17-S17)/100000000</f>
        <v>10.013686666666667</v>
      </c>
      <c r="V17" s="41">
        <f>E17*G17*(1-N17)*O17/100*(R17+S17)/1000000</f>
        <v>0.47452918159203983</v>
      </c>
      <c r="W17" s="41">
        <f>+'3'!K7/1000</f>
        <v>22.141999999999999</v>
      </c>
      <c r="X17" s="417">
        <f>SUM(W17:W20)/SUM(K17:K20)</f>
        <v>0.93934383913837238</v>
      </c>
      <c r="Y17" s="222">
        <v>0</v>
      </c>
      <c r="Z17" s="41">
        <v>0</v>
      </c>
      <c r="AA17" s="53">
        <f>SUM(U17:U20)-SUM(W17:W20)-SUM(Z17:Z20)-SUM(Y17:Y20)</f>
        <v>2.6095960420187909</v>
      </c>
      <c r="AB17" s="53">
        <f>(SUM(K17:K20)-SUM(W17:W20)-SUM(Y17:Y20)-SUM(Z17:Z20)-SUM(AC17:AC20)-SUM(V17:V20))-AA17</f>
        <v>6.9525944246306981E-2</v>
      </c>
      <c r="AC17" s="41">
        <f>K17-T17</f>
        <v>3.9379666666667035E-2</v>
      </c>
      <c r="AD17" s="41">
        <f>+AM17+BA17</f>
        <v>0</v>
      </c>
      <c r="AE17" s="241" t="s">
        <v>473</v>
      </c>
      <c r="AF17" s="41">
        <v>0</v>
      </c>
      <c r="AG17" s="41"/>
      <c r="AH17" s="41"/>
      <c r="AI17" s="459"/>
      <c r="AJ17" s="41"/>
      <c r="AK17" s="41"/>
      <c r="AL17" s="41"/>
      <c r="AM17" s="41">
        <f>SUM(AF17:AL17)+AT17+AV17+AX17</f>
        <v>0</v>
      </c>
      <c r="AN17" s="41"/>
      <c r="AO17" s="41"/>
      <c r="AP17" s="41"/>
      <c r="AQ17" s="41"/>
      <c r="AR17" s="41">
        <f>SUM(AN17:AQ17)</f>
        <v>0</v>
      </c>
      <c r="AS17" s="41"/>
      <c r="AT17" s="41"/>
      <c r="AU17" s="41"/>
      <c r="AV17" s="41"/>
      <c r="AW17" s="41"/>
      <c r="AX17" s="41"/>
      <c r="AY17" s="41"/>
      <c r="AZ17" s="41"/>
      <c r="BA17" s="41">
        <f>+AR17+AS17+AU17+AW17+AY17+AZ17</f>
        <v>0</v>
      </c>
      <c r="BB17" s="37">
        <v>0</v>
      </c>
      <c r="BC17" s="55"/>
      <c r="BD17" s="55"/>
      <c r="BE17" s="37"/>
      <c r="BF17" s="55"/>
    </row>
    <row r="18" spans="1:58" ht="12.95" customHeight="1">
      <c r="A18" s="346"/>
      <c r="B18" s="45" t="s">
        <v>231</v>
      </c>
      <c r="C18" s="450">
        <f>(M18*E18*O18*Q18)/100000000</f>
        <v>68.567853346478856</v>
      </c>
      <c r="D18" s="45" t="s">
        <v>458</v>
      </c>
      <c r="E18" s="46">
        <v>17</v>
      </c>
      <c r="F18" s="46">
        <v>1</v>
      </c>
      <c r="G18" s="463">
        <v>1210</v>
      </c>
      <c r="H18" s="48">
        <v>0</v>
      </c>
      <c r="I18" s="49">
        <v>0.88</v>
      </c>
      <c r="J18" s="90">
        <f>E18*G18*(1-H18)*1440/1000000*2.77</f>
        <v>82.049616</v>
      </c>
      <c r="K18" s="90">
        <f>(IF(G18&lt;L18,L18,G18)*(1-IF(H18&lt;N18,H18,N18))*E18*O18*Q18)/100000000</f>
        <v>68.841032045070421</v>
      </c>
      <c r="L18" s="39">
        <v>1260</v>
      </c>
      <c r="M18" s="39">
        <v>1255</v>
      </c>
      <c r="N18" s="50">
        <f>1-(M18/L18)</f>
        <v>3.9682539682539542E-3</v>
      </c>
      <c r="O18" s="51">
        <f>+'Trim Rwd'!H13</f>
        <v>269.61971830985914</v>
      </c>
      <c r="P18" s="52">
        <f>O18*(Q18-R18-S18)</f>
        <v>316263.92957746476</v>
      </c>
      <c r="Q18" s="51">
        <f>1192+38-38</f>
        <v>1192</v>
      </c>
      <c r="R18" s="420">
        <f>38-38</f>
        <v>0</v>
      </c>
      <c r="S18" s="420">
        <v>19</v>
      </c>
      <c r="T18" s="41">
        <f>E18*M18*O18*Q18/100000000</f>
        <v>68.567853346478856</v>
      </c>
      <c r="U18" s="41">
        <f>E18*M18*O18*(Q18-R18-S18)/100000000</f>
        <v>67.474909375352112</v>
      </c>
      <c r="V18" s="41">
        <f>E18*G18*(1-N18)*O18/100*(R18+S18)/1000000</f>
        <v>1.0495731786217306</v>
      </c>
      <c r="W18" s="41">
        <f>+'3'!K8/1000</f>
        <v>52.436999999999998</v>
      </c>
      <c r="X18" s="42"/>
      <c r="Y18" s="222"/>
      <c r="Z18" s="41">
        <f>+'3'!D8/1000</f>
        <v>0.3</v>
      </c>
      <c r="AA18" s="41"/>
      <c r="AB18" s="41"/>
      <c r="AC18" s="41">
        <f>K18-T18</f>
        <v>0.27317869859156474</v>
      </c>
      <c r="AD18" s="41">
        <f>+AM18+BA18</f>
        <v>0</v>
      </c>
      <c r="AE18" s="241" t="s">
        <v>452</v>
      </c>
      <c r="AF18" s="41"/>
      <c r="AG18" s="41">
        <v>0</v>
      </c>
      <c r="AH18" s="41"/>
      <c r="AI18" s="459"/>
      <c r="AJ18" s="41"/>
      <c r="AK18" s="41"/>
      <c r="AL18" s="41"/>
      <c r="AM18" s="41">
        <f>SUM(AF18:AL18)+AT18+AV18+AX18</f>
        <v>0</v>
      </c>
      <c r="AN18" s="91"/>
      <c r="AO18" s="41"/>
      <c r="AP18" s="41"/>
      <c r="AQ18" s="41"/>
      <c r="AR18" s="41">
        <f>SUM(AN18:AQ18)</f>
        <v>0</v>
      </c>
      <c r="AS18" s="41"/>
      <c r="AT18" s="41"/>
      <c r="AU18" s="41"/>
      <c r="AV18" s="41"/>
      <c r="AW18" s="41"/>
      <c r="AX18" s="41"/>
      <c r="AY18" s="41"/>
      <c r="AZ18" s="41"/>
      <c r="BA18" s="41">
        <f>+AR18+AS18+AU18+AW18+AY18+AZ18</f>
        <v>0</v>
      </c>
      <c r="BB18" s="54"/>
      <c r="BC18" s="55">
        <v>0</v>
      </c>
      <c r="BD18" s="55"/>
      <c r="BE18" s="54"/>
      <c r="BF18" s="55"/>
    </row>
    <row r="19" spans="1:58" ht="12.95" customHeight="1">
      <c r="A19" s="44"/>
      <c r="B19" s="45"/>
      <c r="C19" s="450"/>
      <c r="D19" s="45"/>
      <c r="E19" s="46"/>
      <c r="F19" s="46"/>
      <c r="G19" s="47"/>
      <c r="H19" s="48"/>
      <c r="I19" s="49"/>
      <c r="J19" s="90"/>
      <c r="K19" s="90"/>
      <c r="L19" s="39"/>
      <c r="M19" s="39"/>
      <c r="N19" s="50"/>
      <c r="O19" s="51"/>
      <c r="P19" s="52"/>
      <c r="Q19" s="51"/>
      <c r="R19" s="420"/>
      <c r="S19" s="420"/>
      <c r="T19" s="41"/>
      <c r="U19" s="41"/>
      <c r="V19" s="41"/>
      <c r="W19" s="41"/>
      <c r="X19" s="42"/>
      <c r="Y19" s="222"/>
      <c r="Z19" s="41"/>
      <c r="AA19" s="41"/>
      <c r="AB19" s="41"/>
      <c r="AC19" s="41"/>
      <c r="AD19" s="41">
        <f>+AM19+BA19</f>
        <v>29</v>
      </c>
      <c r="AE19" s="241" t="s">
        <v>490</v>
      </c>
      <c r="AF19" s="37"/>
      <c r="AG19" s="37"/>
      <c r="AH19" s="37">
        <v>29</v>
      </c>
      <c r="AJ19" s="41"/>
      <c r="AK19" s="41"/>
      <c r="AL19" s="41"/>
      <c r="AM19" s="41">
        <f>SUM(AF19:AL19)+AT19+AV19+AX19</f>
        <v>29</v>
      </c>
      <c r="AN19" s="41"/>
      <c r="AO19" s="41"/>
      <c r="AP19" s="41"/>
      <c r="AQ19" s="41"/>
      <c r="AR19" s="41">
        <f>SUM(AN19:AQ19)</f>
        <v>0</v>
      </c>
      <c r="AS19" s="41"/>
      <c r="AT19" s="41"/>
      <c r="AU19" s="41"/>
      <c r="AV19" s="41"/>
      <c r="AW19" s="41"/>
      <c r="AX19" s="41"/>
      <c r="AY19" s="41"/>
      <c r="AZ19" s="41"/>
      <c r="BA19" s="41">
        <f>+AR19+AS19+AU19+AW19+AY19+AZ19</f>
        <v>0</v>
      </c>
      <c r="BB19" s="37"/>
      <c r="BC19" s="57"/>
      <c r="BD19" s="57"/>
      <c r="BE19" s="37"/>
      <c r="BF19" s="57"/>
    </row>
    <row r="20" spans="1:58" ht="12.95" customHeight="1">
      <c r="A20" s="44"/>
      <c r="B20" s="45"/>
      <c r="C20" s="450"/>
      <c r="D20" s="45"/>
      <c r="E20" s="46"/>
      <c r="F20" s="46"/>
      <c r="G20" s="47"/>
      <c r="H20" s="48"/>
      <c r="I20" s="49"/>
      <c r="J20" s="90"/>
      <c r="K20" s="90"/>
      <c r="L20" s="39"/>
      <c r="M20" s="39"/>
      <c r="N20" s="50"/>
      <c r="O20" s="51"/>
      <c r="P20" s="52"/>
      <c r="Q20" s="38"/>
      <c r="R20" s="420"/>
      <c r="S20" s="420"/>
      <c r="T20" s="41"/>
      <c r="U20" s="41"/>
      <c r="V20" s="41"/>
      <c r="W20" s="41"/>
      <c r="X20" s="42"/>
      <c r="Y20" s="222"/>
      <c r="Z20" s="41"/>
      <c r="AA20" s="41"/>
      <c r="AB20" s="41"/>
      <c r="AC20" s="41"/>
      <c r="AD20" s="41">
        <f>+AM20+BA20</f>
        <v>0</v>
      </c>
      <c r="AE20" s="597" t="s">
        <v>491</v>
      </c>
      <c r="AF20" s="41"/>
      <c r="AG20" s="41"/>
      <c r="AH20" s="41"/>
      <c r="AI20" s="459"/>
      <c r="AJ20" s="41"/>
      <c r="AK20" s="41"/>
      <c r="AL20" s="41"/>
      <c r="AM20" s="41">
        <f>SUM(AF20:AL20)+AT20+AV20+AX20</f>
        <v>0</v>
      </c>
      <c r="AN20" s="41"/>
      <c r="AO20" s="41"/>
      <c r="AP20" s="41"/>
      <c r="AQ20" s="41"/>
      <c r="AR20" s="41">
        <f>SUM(AN20:AQ20)</f>
        <v>0</v>
      </c>
      <c r="AS20" s="41"/>
      <c r="AT20" s="41"/>
      <c r="AU20" s="41"/>
      <c r="AV20" s="41"/>
      <c r="AW20" s="41"/>
      <c r="AX20" s="41"/>
      <c r="AY20" s="41">
        <f>38-38</f>
        <v>0</v>
      </c>
      <c r="AZ20" s="41"/>
      <c r="BA20" s="41">
        <f>+AR20+AS20+AU20+AW20+AY20+AZ20</f>
        <v>0</v>
      </c>
      <c r="BB20" s="37"/>
      <c r="BC20" s="57"/>
      <c r="BD20" s="57"/>
      <c r="BE20" s="37">
        <v>1</v>
      </c>
      <c r="BF20" s="57"/>
    </row>
    <row r="21" spans="1:58" ht="12.95" customHeight="1">
      <c r="A21" s="346"/>
      <c r="B21" s="45"/>
      <c r="C21" s="450"/>
      <c r="D21" s="45"/>
      <c r="E21" s="46"/>
      <c r="F21" s="46"/>
      <c r="G21" s="463"/>
      <c r="H21" s="48"/>
      <c r="I21" s="49"/>
      <c r="J21" s="90"/>
      <c r="K21" s="90"/>
      <c r="L21" s="39"/>
      <c r="M21" s="39"/>
      <c r="N21" s="50"/>
      <c r="O21" s="51"/>
      <c r="P21" s="52"/>
      <c r="Q21" s="51"/>
      <c r="R21" s="420"/>
      <c r="S21" s="420"/>
      <c r="T21" s="41"/>
      <c r="U21" s="41"/>
      <c r="V21" s="41"/>
      <c r="W21" s="41"/>
      <c r="X21" s="417"/>
      <c r="Y21" s="222"/>
      <c r="Z21" s="41"/>
      <c r="AA21" s="53"/>
      <c r="AB21" s="53"/>
      <c r="AC21" s="41"/>
      <c r="AD21" s="41"/>
      <c r="AE21" s="241"/>
      <c r="AF21" s="41"/>
      <c r="AG21" s="41"/>
      <c r="AH21" s="41"/>
      <c r="AI21" s="459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37"/>
      <c r="BC21" s="55"/>
      <c r="BD21" s="55"/>
      <c r="BE21" s="37"/>
      <c r="BF21" s="55"/>
    </row>
    <row r="22" spans="1:58" ht="12.95" customHeight="1">
      <c r="A22" s="346">
        <v>45842</v>
      </c>
      <c r="B22" s="45" t="s">
        <v>231</v>
      </c>
      <c r="C22" s="450">
        <f>(M22*E22*O22*Q22)/100000000</f>
        <v>82.712381400000012</v>
      </c>
      <c r="D22" s="45" t="s">
        <v>458</v>
      </c>
      <c r="E22" s="46">
        <v>17</v>
      </c>
      <c r="F22" s="46">
        <v>1</v>
      </c>
      <c r="G22" s="463">
        <v>1210</v>
      </c>
      <c r="H22" s="48">
        <v>0</v>
      </c>
      <c r="I22" s="49">
        <v>0.88</v>
      </c>
      <c r="J22" s="90">
        <f>E22*G22*(1-H22)*1440/1000000*2.77</f>
        <v>82.049616</v>
      </c>
      <c r="K22" s="90">
        <f>(IF(G22&lt;L22,L22,G22)*(1-IF(H22&lt;N22,H22,N22))*E22*O22*Q22)/100000000</f>
        <v>83.041912800000006</v>
      </c>
      <c r="L22" s="39">
        <v>1260</v>
      </c>
      <c r="M22" s="39">
        <v>1255</v>
      </c>
      <c r="N22" s="50">
        <f>1-(M22/L22)</f>
        <v>3.9682539682539542E-3</v>
      </c>
      <c r="O22" s="51">
        <f>+'Trim Rwd'!H19</f>
        <v>269.22500000000002</v>
      </c>
      <c r="P22" s="52">
        <f>O22*(Q22-R22-S22)</f>
        <v>370722.82500000001</v>
      </c>
      <c r="Q22" s="51">
        <v>1440</v>
      </c>
      <c r="R22" s="420">
        <v>0</v>
      </c>
      <c r="S22" s="420">
        <v>63</v>
      </c>
      <c r="T22" s="41">
        <f>E22*M22*O22*Q22/100000000</f>
        <v>82.712381400000012</v>
      </c>
      <c r="U22" s="41">
        <f>E22*M22*O22*(Q22-R22-S22)/100000000</f>
        <v>79.093714713750003</v>
      </c>
      <c r="V22" s="41">
        <f>E22*G22*(1-N22)*O22/100*(R22+S22)/1000000</f>
        <v>3.4750688018750004</v>
      </c>
      <c r="W22" s="41">
        <f>+'4'!K34/1000</f>
        <v>78.611000000000004</v>
      </c>
      <c r="X22" s="417">
        <f>SUM(W22:W25)/SUM(K22:K25)</f>
        <v>0.94664245258088509</v>
      </c>
      <c r="Y22" s="222">
        <v>0</v>
      </c>
      <c r="Z22" s="41">
        <f>+'4'!D34/1000</f>
        <v>0.311</v>
      </c>
      <c r="AA22" s="53">
        <f>SUM(U22:U25)-SUM(W22:W25)-SUM(Z22:Z25)-SUM(Y22:Y25)</f>
        <v>0.17171471374999919</v>
      </c>
      <c r="AB22" s="53">
        <f>(SUM(K22:K25)-SUM(W22:W25)-SUM(Y22:Y25)-SUM(Z22:Z25)-SUM(AC22:AC25)-SUM(V22:V25))-AA22</f>
        <v>0.14359788437500859</v>
      </c>
      <c r="AC22" s="41">
        <f>K22-T22</f>
        <v>0.32953139999999337</v>
      </c>
      <c r="AD22" s="41">
        <f>+AM22+BA22</f>
        <v>30</v>
      </c>
      <c r="AE22" s="241" t="s">
        <v>459</v>
      </c>
      <c r="AF22" s="41">
        <v>30</v>
      </c>
      <c r="AG22" s="41"/>
      <c r="AH22" s="41"/>
      <c r="AI22" s="459"/>
      <c r="AJ22" s="41"/>
      <c r="AK22" s="41"/>
      <c r="AL22" s="41"/>
      <c r="AM22" s="41">
        <f>SUM(AF22:AL22)+AT22+AV22+AX22</f>
        <v>30</v>
      </c>
      <c r="AN22" s="41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37">
        <v>6</v>
      </c>
      <c r="BC22" s="55"/>
      <c r="BD22" s="55"/>
      <c r="BE22" s="37"/>
      <c r="BF22" s="55"/>
    </row>
    <row r="23" spans="1:58" ht="12.95" customHeight="1">
      <c r="A23" s="346"/>
      <c r="B23" s="45"/>
      <c r="C23" s="450"/>
      <c r="D23" s="45"/>
      <c r="E23" s="46"/>
      <c r="F23" s="46"/>
      <c r="G23" s="463"/>
      <c r="H23" s="48"/>
      <c r="I23" s="49"/>
      <c r="J23" s="90"/>
      <c r="K23" s="90"/>
      <c r="L23" s="39"/>
      <c r="M23" s="39"/>
      <c r="N23" s="50"/>
      <c r="O23" s="51"/>
      <c r="P23" s="52"/>
      <c r="Q23" s="51"/>
      <c r="R23" s="420"/>
      <c r="S23" s="420"/>
      <c r="T23" s="41"/>
      <c r="U23" s="41"/>
      <c r="V23" s="41"/>
      <c r="W23" s="41"/>
      <c r="X23" s="42"/>
      <c r="Y23" s="222"/>
      <c r="Z23" s="41"/>
      <c r="AA23" s="41"/>
      <c r="AB23" s="41"/>
      <c r="AC23" s="41"/>
      <c r="AD23" s="41">
        <f>+AM23+BA23</f>
        <v>0</v>
      </c>
      <c r="AE23" s="241" t="s">
        <v>452</v>
      </c>
      <c r="AF23" s="41"/>
      <c r="AG23" s="41">
        <v>0</v>
      </c>
      <c r="AH23" s="41"/>
      <c r="AI23" s="459"/>
      <c r="AJ23" s="41"/>
      <c r="AK23" s="41"/>
      <c r="AL23" s="41"/>
      <c r="AM23" s="41">
        <f>SUM(AF23:AL23)+AT23+AV23+AX23</f>
        <v>0</v>
      </c>
      <c r="AN23" s="91"/>
      <c r="AO23" s="41"/>
      <c r="AP23" s="41"/>
      <c r="AQ23" s="41"/>
      <c r="AR23" s="41">
        <f>SUM(AN23:AQ23)</f>
        <v>0</v>
      </c>
      <c r="AS23" s="41"/>
      <c r="AT23" s="41"/>
      <c r="AU23" s="41"/>
      <c r="AV23" s="41"/>
      <c r="AW23" s="41"/>
      <c r="AX23" s="41"/>
      <c r="AY23" s="41"/>
      <c r="AZ23" s="41"/>
      <c r="BA23" s="41">
        <f>+AR23+AS23+AU23+AW23+AY23+AZ23</f>
        <v>0</v>
      </c>
      <c r="BB23" s="54"/>
      <c r="BC23" s="55">
        <v>0</v>
      </c>
      <c r="BD23" s="55"/>
      <c r="BE23" s="54"/>
      <c r="BF23" s="55"/>
    </row>
    <row r="24" spans="1:58" ht="12.95" customHeight="1">
      <c r="A24" s="44"/>
      <c r="B24" s="45"/>
      <c r="C24" s="450"/>
      <c r="D24" s="45"/>
      <c r="E24" s="46"/>
      <c r="F24" s="46"/>
      <c r="G24" s="47"/>
      <c r="H24" s="48"/>
      <c r="I24" s="49"/>
      <c r="J24" s="90"/>
      <c r="K24" s="90"/>
      <c r="L24" s="39"/>
      <c r="M24" s="39"/>
      <c r="N24" s="50"/>
      <c r="O24" s="51"/>
      <c r="P24" s="52"/>
      <c r="Q24" s="51"/>
      <c r="R24" s="420"/>
      <c r="S24" s="420"/>
      <c r="T24" s="41"/>
      <c r="U24" s="41"/>
      <c r="V24" s="41"/>
      <c r="W24" s="41"/>
      <c r="X24" s="42"/>
      <c r="Y24" s="222"/>
      <c r="Z24" s="41"/>
      <c r="AA24" s="41"/>
      <c r="AB24" s="41"/>
      <c r="AC24" s="41"/>
      <c r="AD24" s="41">
        <f>+AM24+BA24</f>
        <v>33</v>
      </c>
      <c r="AE24" s="241" t="s">
        <v>490</v>
      </c>
      <c r="AF24" s="37"/>
      <c r="AG24" s="37"/>
      <c r="AH24" s="37">
        <v>33</v>
      </c>
      <c r="AJ24" s="41"/>
      <c r="AK24" s="41"/>
      <c r="AL24" s="41"/>
      <c r="AM24" s="41">
        <f>SUM(AF24:AL24)+AT24+AV24+AX24</f>
        <v>33</v>
      </c>
      <c r="AN24" s="41"/>
      <c r="AO24" s="41"/>
      <c r="AP24" s="41"/>
      <c r="AQ24" s="41"/>
      <c r="AR24" s="41">
        <f>SUM(AN24:AQ24)</f>
        <v>0</v>
      </c>
      <c r="AS24" s="41"/>
      <c r="AT24" s="41"/>
      <c r="AU24" s="41"/>
      <c r="AV24" s="41"/>
      <c r="AW24" s="41"/>
      <c r="AX24" s="41"/>
      <c r="AY24" s="41"/>
      <c r="AZ24" s="41"/>
      <c r="BA24" s="41">
        <f>+AR24+AS24+AU24+AW24+AY24+AZ24</f>
        <v>0</v>
      </c>
      <c r="BB24" s="37"/>
      <c r="BC24" s="57"/>
      <c r="BD24" s="57"/>
      <c r="BE24" s="37"/>
      <c r="BF24" s="57"/>
    </row>
    <row r="25" spans="1:58" ht="12.95" customHeight="1">
      <c r="A25" s="346"/>
      <c r="B25" s="45"/>
      <c r="C25" s="450"/>
      <c r="D25" s="45"/>
      <c r="E25" s="46"/>
      <c r="F25" s="46"/>
      <c r="G25" s="463"/>
      <c r="H25" s="48"/>
      <c r="I25" s="49"/>
      <c r="J25" s="90"/>
      <c r="K25" s="90"/>
      <c r="L25" s="39"/>
      <c r="M25" s="39"/>
      <c r="N25" s="50"/>
      <c r="O25" s="51"/>
      <c r="P25" s="52"/>
      <c r="Q25" s="51"/>
      <c r="R25" s="420"/>
      <c r="S25" s="420"/>
      <c r="T25" s="41"/>
      <c r="U25" s="41"/>
      <c r="V25" s="41"/>
      <c r="W25" s="41"/>
      <c r="X25" s="417"/>
      <c r="Y25" s="222"/>
      <c r="Z25" s="41"/>
      <c r="AA25" s="53"/>
      <c r="AB25" s="53"/>
      <c r="AC25" s="41"/>
      <c r="AD25" s="41"/>
      <c r="AE25" s="241"/>
      <c r="AF25" s="41"/>
      <c r="AG25" s="41"/>
      <c r="AH25" s="41"/>
      <c r="AI25" s="459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37"/>
      <c r="BC25" s="55"/>
      <c r="BD25" s="55"/>
      <c r="BE25" s="37"/>
      <c r="BF25" s="55"/>
    </row>
    <row r="26" spans="1:58" ht="12.95" customHeight="1">
      <c r="A26" s="346">
        <v>45843</v>
      </c>
      <c r="B26" s="45" t="s">
        <v>231</v>
      </c>
      <c r="C26" s="450">
        <f>(M26*E26*O26*Q26)/100000000</f>
        <v>77.284806471910116</v>
      </c>
      <c r="D26" s="45" t="s">
        <v>458</v>
      </c>
      <c r="E26" s="46">
        <v>16</v>
      </c>
      <c r="F26" s="46">
        <v>1</v>
      </c>
      <c r="G26" s="463">
        <v>1270</v>
      </c>
      <c r="H26" s="48">
        <v>0</v>
      </c>
      <c r="I26" s="49">
        <v>0.88</v>
      </c>
      <c r="J26" s="90">
        <f>E26*G26*(1-H26)*1440/1000000*2.77</f>
        <v>81.052415999999994</v>
      </c>
      <c r="K26" s="90">
        <f>(IF(G26&lt;L26,L26,G26)*(1-IF(H26&lt;N26,H26,N26))*E26*O26*Q26)/100000000</f>
        <v>78.208529258426964</v>
      </c>
      <c r="L26" s="39">
        <v>1260</v>
      </c>
      <c r="M26" s="39">
        <v>1255</v>
      </c>
      <c r="N26" s="50">
        <f>1-(M26/L26)</f>
        <v>3.9682539682539542E-3</v>
      </c>
      <c r="O26" s="51">
        <f>+'Trim Rwd'!H24</f>
        <v>267.28089887640448</v>
      </c>
      <c r="P26" s="52">
        <f>O26*(Q26-R26-S26)</f>
        <v>372055.01123595505</v>
      </c>
      <c r="Q26" s="51">
        <v>1440</v>
      </c>
      <c r="R26" s="420">
        <v>0</v>
      </c>
      <c r="S26" s="420">
        <v>48</v>
      </c>
      <c r="T26" s="41">
        <f>E26*M26*O26*Q26/100000000</f>
        <v>77.284806471910116</v>
      </c>
      <c r="U26" s="41">
        <f>E26*M26*O26*(Q26-R26-S26)/100000000</f>
        <v>74.708646256179776</v>
      </c>
      <c r="V26" s="41">
        <f>E26*G26*(1-N26)*O26/100*(R26+S26)/1000000</f>
        <v>2.5966059317281971</v>
      </c>
      <c r="W26" s="41">
        <f>+'5'!K34/1000</f>
        <v>74.552000000000007</v>
      </c>
      <c r="X26" s="417">
        <f>SUM(W26:W29)/SUM(K26:K29)</f>
        <v>0.95324641323525505</v>
      </c>
      <c r="Y26" s="222">
        <v>0</v>
      </c>
      <c r="Z26" s="41">
        <f>+'5'!D34/1000</f>
        <v>0.13</v>
      </c>
      <c r="AA26" s="53">
        <f>SUM(U26:U29)-SUM(W26:W29)-SUM(Z26:Z29)-SUM(Y26:Y29)</f>
        <v>2.6646256179769234E-2</v>
      </c>
      <c r="AB26" s="53">
        <f>(SUM(K26:K29)-SUM(W26:W29)-SUM(Y26:Y29)-SUM(Z26:Z29)-SUM(AC26:AC29)-SUM(V26:V29))-AA26</f>
        <v>-2.0445715997856939E-2</v>
      </c>
      <c r="AC26" s="41">
        <f>K26-T26</f>
        <v>0.9237227865168478</v>
      </c>
      <c r="AD26" s="41">
        <f>+AM26+BA26</f>
        <v>20</v>
      </c>
      <c r="AE26" s="241" t="s">
        <v>504</v>
      </c>
      <c r="AF26" s="41">
        <v>20</v>
      </c>
      <c r="AG26" s="41"/>
      <c r="AH26" s="41"/>
      <c r="AI26" s="459"/>
      <c r="AJ26" s="41"/>
      <c r="AK26" s="41"/>
      <c r="AL26" s="41"/>
      <c r="AM26" s="41">
        <f>SUM(AF26:AL26)+AT26+AV26+AX26</f>
        <v>20</v>
      </c>
      <c r="AN26" s="41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37">
        <v>4</v>
      </c>
      <c r="BC26" s="55"/>
      <c r="BD26" s="55"/>
      <c r="BE26" s="37"/>
      <c r="BF26" s="55"/>
    </row>
    <row r="27" spans="1:58" ht="12.95" customHeight="1">
      <c r="A27" s="346"/>
      <c r="B27" s="45"/>
      <c r="C27" s="450"/>
      <c r="D27" s="45"/>
      <c r="E27" s="46"/>
      <c r="F27" s="46"/>
      <c r="G27" s="463"/>
      <c r="H27" s="48"/>
      <c r="I27" s="49"/>
      <c r="J27" s="90"/>
      <c r="K27" s="90"/>
      <c r="L27" s="39"/>
      <c r="M27" s="39"/>
      <c r="N27" s="50"/>
      <c r="O27" s="51"/>
      <c r="P27" s="52"/>
      <c r="Q27" s="51"/>
      <c r="R27" s="420"/>
      <c r="S27" s="420"/>
      <c r="T27" s="41"/>
      <c r="U27" s="41"/>
      <c r="V27" s="41"/>
      <c r="W27" s="41"/>
      <c r="X27" s="42"/>
      <c r="Y27" s="222"/>
      <c r="Z27" s="41"/>
      <c r="AA27" s="41"/>
      <c r="AB27" s="41"/>
      <c r="AC27" s="41"/>
      <c r="AD27" s="41">
        <f>+AM27+BA27</f>
        <v>0</v>
      </c>
      <c r="AE27" s="241" t="s">
        <v>452</v>
      </c>
      <c r="AF27" s="41"/>
      <c r="AG27" s="41">
        <v>0</v>
      </c>
      <c r="AH27" s="41"/>
      <c r="AI27" s="459"/>
      <c r="AJ27" s="41"/>
      <c r="AK27" s="41"/>
      <c r="AL27" s="41"/>
      <c r="AM27" s="41">
        <f>SUM(AF27:AL27)+AT27+AV27+AX27</f>
        <v>0</v>
      </c>
      <c r="AN27" s="91"/>
      <c r="AO27" s="41"/>
      <c r="AP27" s="41"/>
      <c r="AQ27" s="41"/>
      <c r="AR27" s="41">
        <f>SUM(AN27:AQ27)</f>
        <v>0</v>
      </c>
      <c r="AS27" s="41"/>
      <c r="AT27" s="41"/>
      <c r="AU27" s="41"/>
      <c r="AV27" s="41"/>
      <c r="AW27" s="41"/>
      <c r="AX27" s="41"/>
      <c r="AY27" s="41"/>
      <c r="AZ27" s="41"/>
      <c r="BA27" s="41">
        <f>+AR27+AS27+AU27+AW27+AY27+AZ27</f>
        <v>0</v>
      </c>
      <c r="BB27" s="54"/>
      <c r="BC27" s="55">
        <v>0</v>
      </c>
      <c r="BD27" s="55"/>
      <c r="BE27" s="54"/>
      <c r="BF27" s="55"/>
    </row>
    <row r="28" spans="1:58" ht="12.95" customHeight="1">
      <c r="A28" s="44"/>
      <c r="B28" s="45"/>
      <c r="C28" s="450"/>
      <c r="D28" s="45"/>
      <c r="E28" s="46"/>
      <c r="F28" s="46"/>
      <c r="G28" s="47"/>
      <c r="H28" s="48"/>
      <c r="I28" s="49"/>
      <c r="J28" s="90"/>
      <c r="K28" s="90"/>
      <c r="L28" s="39"/>
      <c r="M28" s="39"/>
      <c r="N28" s="50"/>
      <c r="O28" s="51"/>
      <c r="P28" s="52"/>
      <c r="Q28" s="51"/>
      <c r="R28" s="420"/>
      <c r="S28" s="420"/>
      <c r="T28" s="41"/>
      <c r="U28" s="41"/>
      <c r="V28" s="41"/>
      <c r="W28" s="41"/>
      <c r="X28" s="42"/>
      <c r="Y28" s="222"/>
      <c r="Z28" s="41"/>
      <c r="AA28" s="41"/>
      <c r="AB28" s="41"/>
      <c r="AC28" s="41"/>
      <c r="AD28" s="41">
        <f>+AM28+BA28</f>
        <v>28</v>
      </c>
      <c r="AE28" s="241" t="s">
        <v>516</v>
      </c>
      <c r="AF28" s="37"/>
      <c r="AG28" s="37"/>
      <c r="AH28" s="37">
        <v>28</v>
      </c>
      <c r="AJ28" s="41"/>
      <c r="AK28" s="41"/>
      <c r="AL28" s="41"/>
      <c r="AM28" s="41">
        <f>SUM(AF28:AL28)+AT28+AV28+AX28</f>
        <v>28</v>
      </c>
      <c r="AN28" s="41"/>
      <c r="AO28" s="41"/>
      <c r="AP28" s="41"/>
      <c r="AQ28" s="41"/>
      <c r="AR28" s="41">
        <f>SUM(AN28:AQ28)</f>
        <v>0</v>
      </c>
      <c r="AS28" s="41"/>
      <c r="AT28" s="41"/>
      <c r="AU28" s="41"/>
      <c r="AV28" s="41"/>
      <c r="AW28" s="41"/>
      <c r="AX28" s="41"/>
      <c r="AY28" s="41"/>
      <c r="AZ28" s="41"/>
      <c r="BA28" s="41">
        <f>+AR28+AS28+AU28+AW28+AY28+AZ28</f>
        <v>0</v>
      </c>
      <c r="BB28" s="37"/>
      <c r="BC28" s="57"/>
      <c r="BD28" s="57"/>
      <c r="BE28" s="37"/>
      <c r="BF28" s="57"/>
    </row>
    <row r="29" spans="1:58" ht="12.95" customHeight="1">
      <c r="A29" s="346"/>
      <c r="B29" s="45"/>
      <c r="C29" s="450"/>
      <c r="D29" s="45"/>
      <c r="E29" s="46"/>
      <c r="F29" s="46"/>
      <c r="G29" s="463"/>
      <c r="H29" s="48"/>
      <c r="I29" s="49"/>
      <c r="J29" s="90"/>
      <c r="K29" s="90"/>
      <c r="L29" s="39"/>
      <c r="M29" s="39"/>
      <c r="N29" s="50"/>
      <c r="O29" s="51"/>
      <c r="P29" s="52"/>
      <c r="Q29" s="51"/>
      <c r="R29" s="420"/>
      <c r="S29" s="420"/>
      <c r="T29" s="41"/>
      <c r="U29" s="41"/>
      <c r="V29" s="41"/>
      <c r="W29" s="41"/>
      <c r="X29" s="417"/>
      <c r="Y29" s="222"/>
      <c r="Z29" s="41"/>
      <c r="AA29" s="53"/>
      <c r="AB29" s="53"/>
      <c r="AC29" s="41"/>
      <c r="AD29" s="41"/>
      <c r="AE29" s="241"/>
      <c r="AF29" s="41"/>
      <c r="AG29" s="41"/>
      <c r="AH29" s="41"/>
      <c r="AI29" s="459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37"/>
      <c r="BC29" s="55"/>
      <c r="BD29" s="55"/>
      <c r="BE29" s="37"/>
      <c r="BF29" s="55"/>
    </row>
    <row r="30" spans="1:58" ht="12.95" customHeight="1">
      <c r="A30" s="346">
        <v>45844</v>
      </c>
      <c r="B30" s="45" t="s">
        <v>231</v>
      </c>
      <c r="C30" s="450">
        <f>(M30*E30*O30*Q30)/100000000</f>
        <v>76.617077114612499</v>
      </c>
      <c r="D30" s="45" t="s">
        <v>458</v>
      </c>
      <c r="E30" s="46">
        <v>16</v>
      </c>
      <c r="F30" s="46">
        <v>1</v>
      </c>
      <c r="G30" s="463">
        <v>1270</v>
      </c>
      <c r="H30" s="48">
        <v>0</v>
      </c>
      <c r="I30" s="49">
        <v>0.88</v>
      </c>
      <c r="J30" s="90">
        <f>E30*G30*(1-H30)*1440/1000000*2.77</f>
        <v>81.052415999999994</v>
      </c>
      <c r="K30" s="90">
        <f>(IF(G30&lt;L30,L30,G30)*(1-IF(H30&lt;N30,H30,N30))*E30*O30*Q30)/100000000</f>
        <v>78.126335999999995</v>
      </c>
      <c r="L30" s="39">
        <v>1249.8403483309144</v>
      </c>
      <c r="M30" s="39">
        <v>1245.4659071117562</v>
      </c>
      <c r="N30" s="50">
        <f>1-(M30/L30)</f>
        <v>3.4999999999999476E-3</v>
      </c>
      <c r="O30" s="51">
        <f>+'Trim Rwd'!H27</f>
        <v>267</v>
      </c>
      <c r="P30" s="52">
        <f>O30*(Q30-R30-S30)</f>
        <v>353775</v>
      </c>
      <c r="Q30" s="51">
        <v>1440</v>
      </c>
      <c r="R30" s="420">
        <v>62</v>
      </c>
      <c r="S30" s="420">
        <v>53</v>
      </c>
      <c r="T30" s="41">
        <f>E30*M30*O30*Q30/100000000</f>
        <v>76.617077114612499</v>
      </c>
      <c r="U30" s="41">
        <f>E30*M30*O30*(Q30-R30-S30)/100000000</f>
        <v>70.498352206153854</v>
      </c>
      <c r="V30" s="41">
        <f>E30*G30*(1-N30)*O30/100*(R30+S30)/1000000</f>
        <v>6.2174186039999997</v>
      </c>
      <c r="W30" s="41">
        <f>+'6'!K34/1000</f>
        <v>70.131</v>
      </c>
      <c r="X30" s="417">
        <f>SUM(W30:W33)/SUM(K30:K33)</f>
        <v>0.89766144927108837</v>
      </c>
      <c r="Y30" s="222">
        <v>0</v>
      </c>
      <c r="Z30" s="41">
        <f>+'6'!D34/1000</f>
        <v>0</v>
      </c>
      <c r="AA30" s="53">
        <f>SUM(U30:U33)-SUM(W30:W33)-SUM(Z30:Z33)-SUM(Y30:Y33)</f>
        <v>0.36735220615385344</v>
      </c>
      <c r="AB30" s="53">
        <f>(SUM(K30:K33)-SUM(W30:W33)-SUM(Y30:Y33)-SUM(Z30:Z33)-SUM(AC30:AC33)-SUM(V30:V33))-AA30</f>
        <v>-9.8693695541354209E-2</v>
      </c>
      <c r="AC30" s="41">
        <f>K30-T30</f>
        <v>1.5092588853874958</v>
      </c>
      <c r="AD30" s="41">
        <f>+AM30+BA30</f>
        <v>30</v>
      </c>
      <c r="AE30" s="241" t="s">
        <v>459</v>
      </c>
      <c r="AF30" s="41">
        <v>30</v>
      </c>
      <c r="AG30" s="41"/>
      <c r="AH30" s="41"/>
      <c r="AI30" s="459"/>
      <c r="AJ30" s="41"/>
      <c r="AK30" s="41"/>
      <c r="AL30" s="41"/>
      <c r="AM30" s="41">
        <f>SUM(AF30:AL30)+AT30+AV30+AX30</f>
        <v>30</v>
      </c>
      <c r="AN30" s="41"/>
      <c r="AO30" s="41"/>
      <c r="AP30" s="41"/>
      <c r="AQ30" s="41"/>
      <c r="AR30" s="41">
        <f>SUM(AN30:AQ30)</f>
        <v>0</v>
      </c>
      <c r="AS30" s="41"/>
      <c r="AT30" s="41"/>
      <c r="AU30" s="41"/>
      <c r="AV30" s="41"/>
      <c r="AW30" s="41"/>
      <c r="AX30" s="41"/>
      <c r="AY30" s="41"/>
      <c r="AZ30" s="41"/>
      <c r="BA30" s="41">
        <f>+AR30+AS30+AU30+AW30+AY30+AZ30</f>
        <v>0</v>
      </c>
      <c r="BB30" s="37">
        <v>6</v>
      </c>
      <c r="BC30" s="55"/>
      <c r="BD30" s="55"/>
      <c r="BE30" s="37"/>
      <c r="BF30" s="55"/>
    </row>
    <row r="31" spans="1:58" ht="12.95" customHeight="1">
      <c r="A31" s="346"/>
      <c r="B31" s="45"/>
      <c r="C31" s="450"/>
      <c r="D31" s="45"/>
      <c r="E31" s="46"/>
      <c r="F31" s="46"/>
      <c r="G31" s="463"/>
      <c r="H31" s="48"/>
      <c r="I31" s="49"/>
      <c r="J31" s="90"/>
      <c r="K31" s="90"/>
      <c r="L31" s="39"/>
      <c r="M31" s="39"/>
      <c r="N31" s="50"/>
      <c r="O31" s="51"/>
      <c r="P31" s="52"/>
      <c r="Q31" s="51"/>
      <c r="R31" s="420"/>
      <c r="S31" s="420"/>
      <c r="T31" s="41"/>
      <c r="U31" s="41"/>
      <c r="V31" s="41"/>
      <c r="W31" s="41"/>
      <c r="X31" s="42"/>
      <c r="Y31" s="222"/>
      <c r="Z31" s="41"/>
      <c r="AA31" s="41"/>
      <c r="AB31" s="41"/>
      <c r="AC31" s="41"/>
      <c r="AD31" s="41">
        <f>+AM31+BA31</f>
        <v>0</v>
      </c>
      <c r="AE31" s="241" t="s">
        <v>452</v>
      </c>
      <c r="AF31" s="41"/>
      <c r="AG31" s="41">
        <v>0</v>
      </c>
      <c r="AH31" s="41"/>
      <c r="AI31" s="459"/>
      <c r="AJ31" s="41"/>
      <c r="AK31" s="41"/>
      <c r="AL31" s="41"/>
      <c r="AM31" s="41">
        <f>SUM(AF31:AL31)+AT31+AV31+AX31</f>
        <v>0</v>
      </c>
      <c r="AN31" s="91"/>
      <c r="AO31" s="41"/>
      <c r="AP31" s="41"/>
      <c r="AQ31" s="41"/>
      <c r="AR31" s="41">
        <f>SUM(AN31:AQ31)</f>
        <v>0</v>
      </c>
      <c r="AS31" s="41"/>
      <c r="AT31" s="41"/>
      <c r="AU31" s="41"/>
      <c r="AV31" s="41"/>
      <c r="AW31" s="41"/>
      <c r="AX31" s="41"/>
      <c r="AY31" s="41"/>
      <c r="AZ31" s="41"/>
      <c r="BA31" s="41">
        <f>+AR31+AS31+AU31+AW31+AY31+AZ31</f>
        <v>0</v>
      </c>
      <c r="BB31" s="54"/>
      <c r="BC31" s="55">
        <v>0</v>
      </c>
      <c r="BD31" s="55"/>
      <c r="BE31" s="54"/>
      <c r="BF31" s="55"/>
    </row>
    <row r="32" spans="1:58" ht="12.95" customHeight="1">
      <c r="A32" s="44"/>
      <c r="B32" s="45"/>
      <c r="C32" s="450"/>
      <c r="D32" s="45"/>
      <c r="E32" s="46"/>
      <c r="F32" s="46"/>
      <c r="G32" s="47"/>
      <c r="H32" s="48"/>
      <c r="I32" s="49"/>
      <c r="J32" s="90"/>
      <c r="K32" s="90"/>
      <c r="L32" s="39"/>
      <c r="M32" s="39"/>
      <c r="N32" s="50"/>
      <c r="O32" s="51"/>
      <c r="P32" s="52"/>
      <c r="Q32" s="51"/>
      <c r="R32" s="420"/>
      <c r="S32" s="420"/>
      <c r="T32" s="41"/>
      <c r="U32" s="41"/>
      <c r="V32" s="41"/>
      <c r="W32" s="41"/>
      <c r="X32" s="42"/>
      <c r="Y32" s="222"/>
      <c r="Z32" s="41"/>
      <c r="AA32" s="41"/>
      <c r="AB32" s="41"/>
      <c r="AC32" s="41"/>
      <c r="AD32" s="41">
        <f>+AM32+BA32</f>
        <v>23</v>
      </c>
      <c r="AE32" s="241" t="s">
        <v>516</v>
      </c>
      <c r="AF32" s="37"/>
      <c r="AG32" s="37"/>
      <c r="AH32" s="37">
        <v>23</v>
      </c>
      <c r="AJ32" s="41"/>
      <c r="AK32" s="41"/>
      <c r="AL32" s="41"/>
      <c r="AM32" s="41">
        <f>SUM(AF32:AL32)+AT32+AV32+AX32</f>
        <v>23</v>
      </c>
      <c r="AN32" s="41"/>
      <c r="AO32" s="41"/>
      <c r="AP32" s="41"/>
      <c r="AQ32" s="41"/>
      <c r="AR32" s="41">
        <f>SUM(AN32:AQ32)</f>
        <v>0</v>
      </c>
      <c r="AS32" s="41"/>
      <c r="AT32" s="41"/>
      <c r="AU32" s="41"/>
      <c r="AV32" s="41"/>
      <c r="AW32" s="41"/>
      <c r="AX32" s="41"/>
      <c r="AY32" s="41"/>
      <c r="AZ32" s="41"/>
      <c r="BA32" s="41">
        <f>+AR32+AS32+AU32+AW32+AY32+AZ32</f>
        <v>0</v>
      </c>
      <c r="BB32" s="37"/>
      <c r="BC32" s="57"/>
      <c r="BD32" s="57"/>
      <c r="BE32" s="37"/>
      <c r="BF32" s="57"/>
    </row>
    <row r="33" spans="1:58" ht="12.95" customHeight="1">
      <c r="A33" s="346"/>
      <c r="B33" s="45"/>
      <c r="C33" s="450"/>
      <c r="D33" s="45"/>
      <c r="E33" s="46"/>
      <c r="F33" s="46"/>
      <c r="G33" s="463"/>
      <c r="H33" s="48"/>
      <c r="I33" s="49"/>
      <c r="J33" s="90"/>
      <c r="K33" s="90"/>
      <c r="L33" s="39"/>
      <c r="M33" s="39"/>
      <c r="N33" s="50"/>
      <c r="O33" s="51"/>
      <c r="P33" s="52"/>
      <c r="Q33" s="51"/>
      <c r="R33" s="420"/>
      <c r="S33" s="420"/>
      <c r="T33" s="41"/>
      <c r="U33" s="41"/>
      <c r="V33" s="41"/>
      <c r="W33" s="41"/>
      <c r="X33" s="417"/>
      <c r="Y33" s="222"/>
      <c r="Z33" s="41"/>
      <c r="AA33" s="53"/>
      <c r="AB33" s="53"/>
      <c r="AC33" s="41"/>
      <c r="AD33" s="41">
        <f>+AM33+BA33</f>
        <v>62</v>
      </c>
      <c r="AE33" s="244" t="s">
        <v>509</v>
      </c>
      <c r="AF33" s="41"/>
      <c r="AG33" s="41"/>
      <c r="AH33" s="41"/>
      <c r="AI33" s="459"/>
      <c r="AJ33" s="41"/>
      <c r="AK33" s="41"/>
      <c r="AL33" s="41"/>
      <c r="AM33" s="41">
        <f>SUM(AF33:AL33)+AT33+AV33+AX33</f>
        <v>0</v>
      </c>
      <c r="AN33" s="41"/>
      <c r="AO33" s="41"/>
      <c r="AP33" s="41">
        <v>62</v>
      </c>
      <c r="AQ33" s="41"/>
      <c r="AR33" s="41">
        <f>SUM(AN33:AQ33)</f>
        <v>62</v>
      </c>
      <c r="AS33" s="41"/>
      <c r="AT33" s="41"/>
      <c r="AU33" s="41"/>
      <c r="AV33" s="41"/>
      <c r="AW33" s="41"/>
      <c r="AX33" s="41"/>
      <c r="AY33" s="41"/>
      <c r="AZ33" s="41"/>
      <c r="BA33" s="41">
        <f>+AR33+AS33+AU33+AW33+AY33+AZ33</f>
        <v>62</v>
      </c>
      <c r="BB33" s="37"/>
      <c r="BC33" s="57"/>
      <c r="BD33" s="57"/>
      <c r="BE33" s="37"/>
      <c r="BF33" s="57"/>
    </row>
    <row r="34" spans="1:58" ht="12.95" customHeight="1">
      <c r="A34" s="346"/>
      <c r="B34" s="45"/>
      <c r="C34" s="450"/>
      <c r="D34" s="45"/>
      <c r="E34" s="46"/>
      <c r="F34" s="46"/>
      <c r="G34" s="463"/>
      <c r="H34" s="48"/>
      <c r="I34" s="49"/>
      <c r="J34" s="90"/>
      <c r="K34" s="90"/>
      <c r="L34" s="39"/>
      <c r="M34" s="39"/>
      <c r="N34" s="50"/>
      <c r="O34" s="51"/>
      <c r="P34" s="52"/>
      <c r="Q34" s="51"/>
      <c r="R34" s="420"/>
      <c r="S34" s="420"/>
      <c r="T34" s="41"/>
      <c r="U34" s="41"/>
      <c r="V34" s="41"/>
      <c r="W34" s="41"/>
      <c r="X34" s="42"/>
      <c r="Y34" s="222"/>
      <c r="Z34" s="41"/>
      <c r="AA34" s="41"/>
      <c r="AB34" s="41"/>
      <c r="AC34" s="41"/>
      <c r="AD34" s="41"/>
      <c r="AE34" s="241"/>
      <c r="AF34" s="41"/>
      <c r="AG34" s="41"/>
      <c r="AH34" s="41"/>
      <c r="AI34" s="459"/>
      <c r="AJ34" s="41"/>
      <c r="AK34" s="41"/>
      <c r="AL34" s="41"/>
      <c r="AM34" s="41"/>
      <c r="AN34" s="9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54"/>
      <c r="BC34" s="55"/>
      <c r="BD34" s="55"/>
      <c r="BE34" s="54"/>
      <c r="BF34" s="55"/>
    </row>
    <row r="35" spans="1:58" ht="12.95" customHeight="1">
      <c r="A35" s="346">
        <v>45845</v>
      </c>
      <c r="B35" s="45" t="s">
        <v>231</v>
      </c>
      <c r="C35" s="450">
        <f>(M35*E35*O35*Q35)/100000000</f>
        <v>35.136273521777774</v>
      </c>
      <c r="D35" s="45" t="s">
        <v>458</v>
      </c>
      <c r="E35" s="46">
        <v>16</v>
      </c>
      <c r="F35" s="46">
        <v>1</v>
      </c>
      <c r="G35" s="463">
        <v>1270</v>
      </c>
      <c r="H35" s="48">
        <v>0</v>
      </c>
      <c r="I35" s="49">
        <v>0.88</v>
      </c>
      <c r="J35" s="90">
        <f>E35*G35*(1-H35)*1440/1000000*2.77</f>
        <v>81.052415999999994</v>
      </c>
      <c r="K35" s="90">
        <f>(IF(G35&lt;L35,L35,G35)*(1-IF(H35&lt;N35,H35,N35))*E35*O35*Q35)/100000000</f>
        <v>36.696601457777774</v>
      </c>
      <c r="L35" s="39">
        <v>1220</v>
      </c>
      <c r="M35" s="39">
        <v>1216</v>
      </c>
      <c r="N35" s="50">
        <f>1-(M35/L35)</f>
        <v>3.2786885245901232E-3</v>
      </c>
      <c r="O35" s="51">
        <f>+'Trim Rwd'!H29</f>
        <v>266.75555555555553</v>
      </c>
      <c r="P35" s="52">
        <f>O35*(Q35-R35-S35)</f>
        <v>171257.06666666665</v>
      </c>
      <c r="Q35" s="51">
        <v>677</v>
      </c>
      <c r="R35" s="420">
        <v>0</v>
      </c>
      <c r="S35" s="420">
        <v>35</v>
      </c>
      <c r="T35" s="41">
        <f>E35*M35*O35*Q35/100000000</f>
        <v>35.136273521777774</v>
      </c>
      <c r="U35" s="41">
        <f>E35*M35*O35*(Q35-R35-S35)/100000000</f>
        <v>33.319774890666665</v>
      </c>
      <c r="V35" s="41">
        <f>E35*G35*(1-N35)*O35/100*(R35+S35)/1000000</f>
        <v>1.8909452963205831</v>
      </c>
      <c r="W35" s="41">
        <f>+'7'!K9/1000</f>
        <v>35.378</v>
      </c>
      <c r="X35" s="417">
        <f>SUM(W35:W38)/SUM(K35:K38)</f>
        <v>0.76519490080738828</v>
      </c>
      <c r="Y35" s="222">
        <v>0</v>
      </c>
      <c r="Z35" s="41">
        <v>0</v>
      </c>
      <c r="AA35" s="53">
        <f>SUM(U35:U38)-SUM(W35:W38)-SUM(Z35:Z38)-SUM(Y35:Y38)</f>
        <v>6.2162862506666556</v>
      </c>
      <c r="AB35" s="53">
        <f>(SUM(K35:K38)-SUM(W35:W38)-SUM(Y35:Y38)-SUM(Z35:Z38)-SUM(AC35:AC38)-SUM(V35:V38))-AA35</f>
        <v>1.1739225243557474</v>
      </c>
      <c r="AC35" s="41">
        <f>K35-T35</f>
        <v>1.5603279360000002</v>
      </c>
      <c r="AD35" s="41">
        <f t="shared" ref="AD35:AD40" si="0">+AM35+BA35</f>
        <v>35</v>
      </c>
      <c r="AE35" s="241" t="s">
        <v>538</v>
      </c>
      <c r="AF35" s="41">
        <v>35</v>
      </c>
      <c r="AG35" s="41"/>
      <c r="AH35" s="41"/>
      <c r="AI35" s="459"/>
      <c r="AJ35" s="41"/>
      <c r="AK35" s="41"/>
      <c r="AL35" s="41"/>
      <c r="AM35" s="41">
        <f t="shared" ref="AM35:AM40" si="1">SUM(AF35:AL35)+AT35+AV35+AX35</f>
        <v>35</v>
      </c>
      <c r="AN35" s="41"/>
      <c r="AO35" s="41"/>
      <c r="AP35" s="41"/>
      <c r="AQ35" s="41"/>
      <c r="AR35" s="41">
        <f t="shared" ref="AR35:AR40" si="2">SUM(AN35:AQ35)</f>
        <v>0</v>
      </c>
      <c r="AS35" s="41"/>
      <c r="AT35" s="41"/>
      <c r="AU35" s="41"/>
      <c r="AV35" s="41"/>
      <c r="AW35" s="41"/>
      <c r="AX35" s="41"/>
      <c r="AY35" s="41"/>
      <c r="AZ35" s="41"/>
      <c r="BA35" s="41">
        <f t="shared" ref="BA35:BA40" si="3">+AR35+AS35+AU35+AW35+AY35+AZ35</f>
        <v>0</v>
      </c>
      <c r="BB35" s="37">
        <v>7</v>
      </c>
      <c r="BC35" s="55"/>
      <c r="BD35" s="55"/>
      <c r="BE35" s="37"/>
      <c r="BF35" s="55"/>
    </row>
    <row r="36" spans="1:58" ht="12.95" customHeight="1">
      <c r="A36" s="346"/>
      <c r="B36" s="45" t="s">
        <v>231</v>
      </c>
      <c r="C36" s="450">
        <f>(M36*E36*O36*Q36)/100000000</f>
        <v>17.37586048</v>
      </c>
      <c r="D36" s="45" t="s">
        <v>458</v>
      </c>
      <c r="E36" s="46">
        <v>22</v>
      </c>
      <c r="F36" s="46">
        <v>1</v>
      </c>
      <c r="G36" s="463">
        <v>935</v>
      </c>
      <c r="H36" s="48">
        <v>0</v>
      </c>
      <c r="I36" s="49">
        <v>0.88</v>
      </c>
      <c r="J36" s="90">
        <f>E36*G36*(1-H36)*1440/1000000*2.77</f>
        <v>82.049616</v>
      </c>
      <c r="K36" s="90">
        <f>(IF(G36&lt;L36,L36,G36)*(1-IF(H36&lt;N36,H36,N36))*E36*O36*Q36)/100000000</f>
        <v>17.736276799999999</v>
      </c>
      <c r="L36" s="39">
        <v>920</v>
      </c>
      <c r="M36" s="39">
        <v>916</v>
      </c>
      <c r="N36" s="50">
        <f>1-(M36/L36)</f>
        <v>4.3478260869564966E-3</v>
      </c>
      <c r="O36" s="51">
        <f>+'Trim Rwd'!H31</f>
        <v>272</v>
      </c>
      <c r="P36" s="52">
        <f>O36*(Q36-R36-S36)</f>
        <v>68544</v>
      </c>
      <c r="Q36" s="51">
        <f>282+35</f>
        <v>317</v>
      </c>
      <c r="R36" s="420">
        <v>35</v>
      </c>
      <c r="S36" s="420">
        <v>30</v>
      </c>
      <c r="T36" s="41">
        <f>E36*M36*O36*Q36/100000000</f>
        <v>17.37586048</v>
      </c>
      <c r="U36" s="41">
        <f>E36*M36*O36*(Q36-R36-S36)/100000000</f>
        <v>13.81298688</v>
      </c>
      <c r="V36" s="41">
        <f>E36*G36*(1-N36)*O36/100*(R36+S36)/1000000</f>
        <v>3.6209639304347823</v>
      </c>
      <c r="W36" s="41">
        <f>+'7'!K10/1000</f>
        <v>12.128</v>
      </c>
      <c r="X36" s="42"/>
      <c r="Y36" s="222"/>
      <c r="Z36" s="41"/>
      <c r="AA36" s="41"/>
      <c r="AB36" s="41"/>
      <c r="AC36" s="41"/>
      <c r="AD36" s="41">
        <f t="shared" si="0"/>
        <v>5</v>
      </c>
      <c r="AE36" s="241" t="s">
        <v>535</v>
      </c>
      <c r="AF36" s="41"/>
      <c r="AG36" s="41">
        <v>5</v>
      </c>
      <c r="AH36" s="41"/>
      <c r="AI36" s="459"/>
      <c r="AJ36" s="41"/>
      <c r="AK36" s="41"/>
      <c r="AL36" s="41"/>
      <c r="AM36" s="41">
        <f t="shared" si="1"/>
        <v>5</v>
      </c>
      <c r="AN36" s="91"/>
      <c r="AO36" s="41"/>
      <c r="AP36" s="41"/>
      <c r="AQ36" s="41"/>
      <c r="AR36" s="41">
        <f t="shared" si="2"/>
        <v>0</v>
      </c>
      <c r="AS36" s="41"/>
      <c r="AT36" s="41"/>
      <c r="AU36" s="41"/>
      <c r="AV36" s="41"/>
      <c r="AW36" s="41"/>
      <c r="AX36" s="41"/>
      <c r="AY36" s="41"/>
      <c r="AZ36" s="41"/>
      <c r="BA36" s="41">
        <f t="shared" si="3"/>
        <v>0</v>
      </c>
      <c r="BB36" s="54"/>
      <c r="BC36" s="55">
        <v>1</v>
      </c>
      <c r="BD36" s="55"/>
      <c r="BE36" s="54"/>
      <c r="BF36" s="55"/>
    </row>
    <row r="37" spans="1:58" ht="12.95" customHeight="1">
      <c r="A37" s="44"/>
      <c r="B37" s="45" t="s">
        <v>231</v>
      </c>
      <c r="C37" s="450">
        <f>(M37*E37*O37*Q37)/100000000</f>
        <v>15.62685696</v>
      </c>
      <c r="D37" s="45" t="s">
        <v>458</v>
      </c>
      <c r="E37" s="46">
        <v>24</v>
      </c>
      <c r="F37" s="46">
        <v>1</v>
      </c>
      <c r="G37" s="463">
        <v>860</v>
      </c>
      <c r="H37" s="48">
        <v>0</v>
      </c>
      <c r="I37" s="49">
        <v>0.88</v>
      </c>
      <c r="J37" s="90">
        <f>E37*G37*(1-H37)*1440/1000000*2.77</f>
        <v>82.328831999999991</v>
      </c>
      <c r="K37" s="90">
        <f>(IF(G37&lt;L37,L37,G37)*(1-IF(H37&lt;N37,H37,N37))*E37*O37*Q37)/100000000</f>
        <v>16.056268800000002</v>
      </c>
      <c r="L37" s="39">
        <v>840</v>
      </c>
      <c r="M37" s="39">
        <v>837</v>
      </c>
      <c r="N37" s="50">
        <f>1-(M37/L37)</f>
        <v>3.5714285714285587E-3</v>
      </c>
      <c r="O37" s="51">
        <f>+'Trim Rwd'!H32</f>
        <v>272</v>
      </c>
      <c r="P37" s="52">
        <f>O37*(Q37-R37-S37)</f>
        <v>60656</v>
      </c>
      <c r="Q37" s="51">
        <f>253+33</f>
        <v>286</v>
      </c>
      <c r="R37" s="420">
        <v>33</v>
      </c>
      <c r="S37" s="420">
        <v>30</v>
      </c>
      <c r="T37" s="41">
        <f>E37*M37*O37*Q37/100000000</f>
        <v>15.62685696</v>
      </c>
      <c r="U37" s="41">
        <f>E37*M37*O37*(Q37-R37-S37)/100000000</f>
        <v>12.184577279999999</v>
      </c>
      <c r="V37" s="41">
        <f>E37*G37*(1-N37)*O37/100*(R37+S37)/1000000</f>
        <v>3.52423872</v>
      </c>
      <c r="W37" s="41">
        <f>+'7'!K11/1000</f>
        <v>5.5659999999999998</v>
      </c>
      <c r="X37" s="42"/>
      <c r="Y37" s="222"/>
      <c r="Z37" s="41"/>
      <c r="AA37" s="41"/>
      <c r="AB37" s="41"/>
      <c r="AC37" s="41"/>
      <c r="AD37" s="41">
        <f t="shared" si="0"/>
        <v>27</v>
      </c>
      <c r="AE37" s="241" t="s">
        <v>539</v>
      </c>
      <c r="AF37" s="37"/>
      <c r="AG37" s="37"/>
      <c r="AH37" s="37">
        <v>27</v>
      </c>
      <c r="AJ37" s="41"/>
      <c r="AK37" s="41"/>
      <c r="AL37" s="41"/>
      <c r="AM37" s="41">
        <f t="shared" si="1"/>
        <v>27</v>
      </c>
      <c r="AN37" s="41"/>
      <c r="AO37" s="41"/>
      <c r="AP37" s="41"/>
      <c r="AQ37" s="41"/>
      <c r="AR37" s="41">
        <f t="shared" si="2"/>
        <v>0</v>
      </c>
      <c r="AS37" s="41"/>
      <c r="AT37" s="41"/>
      <c r="AU37" s="41"/>
      <c r="AV37" s="41"/>
      <c r="AW37" s="41"/>
      <c r="AX37" s="41"/>
      <c r="AY37" s="41"/>
      <c r="AZ37" s="41"/>
      <c r="BA37" s="41">
        <f t="shared" si="3"/>
        <v>0</v>
      </c>
      <c r="BB37" s="37"/>
      <c r="BC37" s="57"/>
      <c r="BD37" s="57"/>
      <c r="BE37" s="37"/>
      <c r="BF37" s="57"/>
    </row>
    <row r="38" spans="1:58" ht="12.95" customHeight="1">
      <c r="A38" s="346"/>
      <c r="B38" s="45" t="s">
        <v>231</v>
      </c>
      <c r="C38" s="450">
        <f>(M38*E38*O38*Q38)/100000000</f>
        <v>8.3210239999999995</v>
      </c>
      <c r="D38" s="45" t="s">
        <v>458</v>
      </c>
      <c r="E38" s="46">
        <v>20</v>
      </c>
      <c r="F38" s="46">
        <v>1</v>
      </c>
      <c r="G38" s="463">
        <v>1030</v>
      </c>
      <c r="H38" s="48">
        <v>0</v>
      </c>
      <c r="I38" s="49">
        <v>0.88</v>
      </c>
      <c r="J38" s="90">
        <f>E38*G38*(1-H38)*1440/1000000*2.77</f>
        <v>82.169280000000001</v>
      </c>
      <c r="K38" s="90">
        <f>(IF(G38&lt;L38,L38,G38)*(1-IF(H38&lt;N38,H38,N38))*E38*O38*Q38)/100000000</f>
        <v>8.9651200000000006</v>
      </c>
      <c r="L38" s="39">
        <v>960</v>
      </c>
      <c r="M38" s="39">
        <v>956</v>
      </c>
      <c r="N38" s="50">
        <f>1-(M38/L38)</f>
        <v>4.1666666666666519E-3</v>
      </c>
      <c r="O38" s="51">
        <f>+'Trim Rwd'!H33</f>
        <v>272</v>
      </c>
      <c r="P38" s="52">
        <f>O38*(Q38-R38-S38)</f>
        <v>40256</v>
      </c>
      <c r="Q38" s="51">
        <v>160</v>
      </c>
      <c r="R38" s="420">
        <v>0</v>
      </c>
      <c r="S38" s="420">
        <v>12</v>
      </c>
      <c r="T38" s="41">
        <f>E38*M38*O38*Q38/100000000</f>
        <v>8.3210239999999995</v>
      </c>
      <c r="U38" s="41">
        <f>E38*M38*O38*(Q38-R38-S38)/100000000</f>
        <v>7.6969472000000003</v>
      </c>
      <c r="V38" s="41">
        <f>E38*G38*(1-N38)*O38/100*(R38+S38)/1000000</f>
        <v>0.66958240000000013</v>
      </c>
      <c r="W38" s="41">
        <f>+'7'!K12/1000</f>
        <v>7.726</v>
      </c>
      <c r="X38" s="417"/>
      <c r="Y38" s="222"/>
      <c r="Z38" s="41"/>
      <c r="AA38" s="53"/>
      <c r="AB38" s="53"/>
      <c r="AC38" s="41"/>
      <c r="AD38" s="41">
        <f t="shared" si="0"/>
        <v>40</v>
      </c>
      <c r="AE38" s="244" t="s">
        <v>540</v>
      </c>
      <c r="AF38" s="41"/>
      <c r="AG38" s="41"/>
      <c r="AH38" s="41"/>
      <c r="AI38" s="459">
        <v>40</v>
      </c>
      <c r="AJ38" s="41"/>
      <c r="AK38" s="41"/>
      <c r="AL38" s="41"/>
      <c r="AM38" s="41">
        <f t="shared" si="1"/>
        <v>40</v>
      </c>
      <c r="AN38" s="41"/>
      <c r="AO38" s="41"/>
      <c r="AP38" s="41"/>
      <c r="AQ38" s="41"/>
      <c r="AR38" s="41">
        <f t="shared" si="2"/>
        <v>0</v>
      </c>
      <c r="AS38" s="41"/>
      <c r="AT38" s="41"/>
      <c r="AU38" s="41"/>
      <c r="AV38" s="41"/>
      <c r="AW38" s="41"/>
      <c r="AX38" s="41"/>
      <c r="AY38" s="41"/>
      <c r="AZ38" s="41"/>
      <c r="BA38" s="41">
        <f t="shared" si="3"/>
        <v>0</v>
      </c>
      <c r="BB38" s="37"/>
      <c r="BC38" s="57"/>
      <c r="BD38" s="57"/>
      <c r="BE38" s="37"/>
      <c r="BF38" s="57"/>
    </row>
    <row r="39" spans="1:58" ht="12.95" customHeight="1">
      <c r="A39" s="346"/>
      <c r="B39" s="45"/>
      <c r="C39" s="450"/>
      <c r="D39" s="45"/>
      <c r="E39" s="46"/>
      <c r="F39" s="46"/>
      <c r="G39" s="463"/>
      <c r="H39" s="48"/>
      <c r="I39" s="49"/>
      <c r="J39" s="90"/>
      <c r="K39" s="90"/>
      <c r="L39" s="39"/>
      <c r="M39" s="39"/>
      <c r="N39" s="50"/>
      <c r="O39" s="51"/>
      <c r="P39" s="52"/>
      <c r="Q39" s="51"/>
      <c r="R39" s="420"/>
      <c r="S39" s="420"/>
      <c r="T39" s="41"/>
      <c r="U39" s="41"/>
      <c r="V39" s="41"/>
      <c r="W39" s="41"/>
      <c r="X39" s="417"/>
      <c r="Y39" s="222"/>
      <c r="Z39" s="41"/>
      <c r="AA39" s="53"/>
      <c r="AB39" s="53"/>
      <c r="AC39" s="41"/>
      <c r="AD39" s="41">
        <f t="shared" si="0"/>
        <v>35</v>
      </c>
      <c r="AE39" s="244" t="s">
        <v>541</v>
      </c>
      <c r="AF39" s="41"/>
      <c r="AG39" s="41"/>
      <c r="AH39" s="41"/>
      <c r="AI39" s="459"/>
      <c r="AJ39" s="41"/>
      <c r="AK39" s="41"/>
      <c r="AL39" s="41"/>
      <c r="AM39" s="41">
        <f t="shared" si="1"/>
        <v>0</v>
      </c>
      <c r="AN39" s="41">
        <v>35</v>
      </c>
      <c r="AO39" s="41"/>
      <c r="AP39" s="41"/>
      <c r="AQ39" s="41"/>
      <c r="AR39" s="41">
        <f t="shared" si="2"/>
        <v>35</v>
      </c>
      <c r="AS39" s="41"/>
      <c r="AT39" s="41"/>
      <c r="AU39" s="41"/>
      <c r="AV39" s="41"/>
      <c r="AW39" s="41"/>
      <c r="AX39" s="41"/>
      <c r="AY39" s="41"/>
      <c r="AZ39" s="41"/>
      <c r="BA39" s="41">
        <f t="shared" si="3"/>
        <v>35</v>
      </c>
      <c r="BB39" s="37"/>
      <c r="BC39" s="57"/>
      <c r="BD39" s="57"/>
      <c r="BE39" s="37"/>
      <c r="BF39" s="57"/>
    </row>
    <row r="40" spans="1:58" ht="12.95" customHeight="1">
      <c r="A40" s="346"/>
      <c r="B40" s="45"/>
      <c r="C40" s="450"/>
      <c r="D40" s="45"/>
      <c r="E40" s="46"/>
      <c r="F40" s="46"/>
      <c r="G40" s="463"/>
      <c r="H40" s="48"/>
      <c r="I40" s="49"/>
      <c r="J40" s="90"/>
      <c r="K40" s="90"/>
      <c r="L40" s="39"/>
      <c r="M40" s="39"/>
      <c r="N40" s="50"/>
      <c r="O40" s="51"/>
      <c r="P40" s="52"/>
      <c r="Q40" s="51"/>
      <c r="R40" s="420"/>
      <c r="S40" s="420"/>
      <c r="T40" s="41"/>
      <c r="U40" s="41"/>
      <c r="V40" s="41"/>
      <c r="W40" s="41"/>
      <c r="X40" s="417"/>
      <c r="Y40" s="222"/>
      <c r="Z40" s="41"/>
      <c r="AA40" s="53"/>
      <c r="AB40" s="53"/>
      <c r="AC40" s="41"/>
      <c r="AD40" s="41">
        <f t="shared" si="0"/>
        <v>33</v>
      </c>
      <c r="AE40" s="244" t="s">
        <v>542</v>
      </c>
      <c r="AF40" s="41"/>
      <c r="AG40" s="41"/>
      <c r="AH40" s="41"/>
      <c r="AI40" s="459"/>
      <c r="AJ40" s="41"/>
      <c r="AK40" s="41"/>
      <c r="AL40" s="41"/>
      <c r="AM40" s="41">
        <f t="shared" si="1"/>
        <v>0</v>
      </c>
      <c r="AN40" s="41"/>
      <c r="AO40" s="41"/>
      <c r="AP40" s="41">
        <v>33</v>
      </c>
      <c r="AQ40" s="41"/>
      <c r="AR40" s="41">
        <f t="shared" si="2"/>
        <v>33</v>
      </c>
      <c r="AS40" s="41"/>
      <c r="AT40" s="41"/>
      <c r="AU40" s="41"/>
      <c r="AV40" s="41"/>
      <c r="AW40" s="41"/>
      <c r="AX40" s="41"/>
      <c r="AY40" s="41"/>
      <c r="AZ40" s="41"/>
      <c r="BA40" s="41">
        <f t="shared" si="3"/>
        <v>33</v>
      </c>
      <c r="BB40" s="37"/>
      <c r="BC40" s="57"/>
      <c r="BD40" s="57"/>
      <c r="BE40" s="37"/>
      <c r="BF40" s="57"/>
    </row>
    <row r="41" spans="1:58" ht="12.95" customHeight="1">
      <c r="A41" s="44"/>
      <c r="B41" s="45"/>
      <c r="C41" s="450"/>
      <c r="D41" s="45"/>
      <c r="E41" s="46"/>
      <c r="F41" s="46"/>
      <c r="G41" s="47"/>
      <c r="H41" s="48"/>
      <c r="I41" s="49"/>
      <c r="J41" s="90"/>
      <c r="K41" s="90"/>
      <c r="L41" s="39"/>
      <c r="M41" s="39"/>
      <c r="N41" s="50"/>
      <c r="O41" s="51"/>
      <c r="P41" s="52"/>
      <c r="Q41" s="51"/>
      <c r="R41" s="420"/>
      <c r="S41" s="420"/>
      <c r="T41" s="41"/>
      <c r="U41" s="41"/>
      <c r="V41" s="41"/>
      <c r="W41" s="41"/>
      <c r="X41" s="42"/>
      <c r="Y41" s="222"/>
      <c r="Z41" s="41"/>
      <c r="AA41" s="41"/>
      <c r="AB41" s="41"/>
      <c r="AC41" s="41"/>
      <c r="AD41" s="41"/>
      <c r="AE41" s="241"/>
      <c r="AF41" s="37"/>
      <c r="AG41" s="37"/>
      <c r="AH41" s="37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37"/>
      <c r="BC41" s="57"/>
      <c r="BD41" s="55"/>
      <c r="BE41" s="55"/>
      <c r="BF41" s="55"/>
    </row>
    <row r="42" spans="1:58" ht="12.95" customHeight="1">
      <c r="A42" s="346">
        <v>45846</v>
      </c>
      <c r="B42" s="45" t="s">
        <v>231</v>
      </c>
      <c r="C42" s="450">
        <f>(M42*E42*O42*Q42)/100000000</f>
        <v>67.369517810526318</v>
      </c>
      <c r="D42" s="45" t="s">
        <v>458</v>
      </c>
      <c r="E42" s="46">
        <v>16</v>
      </c>
      <c r="F42" s="46">
        <v>1</v>
      </c>
      <c r="G42" s="463">
        <v>1270</v>
      </c>
      <c r="H42" s="48">
        <v>0</v>
      </c>
      <c r="I42" s="49">
        <v>0.88</v>
      </c>
      <c r="J42" s="90">
        <f>E42*G42*(1-H42)*1440/1000000*2.77</f>
        <v>81.052415999999994</v>
      </c>
      <c r="K42" s="90">
        <f>(IF(G42&lt;L42,L42,G42)*(1-IF(H42&lt;N42,H42,N42))*E42*O42*Q42)/100000000</f>
        <v>77.710524631578934</v>
      </c>
      <c r="L42" s="39">
        <v>1105</v>
      </c>
      <c r="M42" s="39">
        <v>1101</v>
      </c>
      <c r="N42" s="50">
        <f>1-(M42/L42)</f>
        <v>3.6199095022624306E-3</v>
      </c>
      <c r="O42" s="51">
        <f>+'Trim Rwd'!H35</f>
        <v>265.57894736842104</v>
      </c>
      <c r="P42" s="52">
        <f>O42*(Q42-R42-S42)</f>
        <v>232381.5789473684</v>
      </c>
      <c r="Q42" s="51">
        <v>1440</v>
      </c>
      <c r="R42" s="420">
        <f>119+393</f>
        <v>512</v>
      </c>
      <c r="S42" s="420">
        <v>53</v>
      </c>
      <c r="T42" s="41">
        <f>E42*M42*O42*Q42/100000000</f>
        <v>67.369517810526318</v>
      </c>
      <c r="U42" s="41">
        <f>E42*M42*O42*(Q42-R42-S42)/100000000</f>
        <v>40.936338947368419</v>
      </c>
      <c r="V42" s="41">
        <f>E42*G42*(1-N42)*O42/100*(R42+S42)/1000000</f>
        <v>30.380214621004999</v>
      </c>
      <c r="W42" s="41">
        <f>+'8'!K34/1000</f>
        <v>12.112</v>
      </c>
      <c r="X42" s="417">
        <f>SUM(W42:W45)/SUM(K42:K45)</f>
        <v>0.15586048424485982</v>
      </c>
      <c r="Y42" s="222">
        <v>0</v>
      </c>
      <c r="Z42" s="41">
        <f>+'8'!D34/1000</f>
        <v>3.4359999999999999</v>
      </c>
      <c r="AA42" s="53">
        <f>SUM(U42:U45)-SUM(W42:W45)-SUM(Z42:Z45)-SUM(Y42:Y45)</f>
        <v>25.388338947368418</v>
      </c>
      <c r="AB42" s="53">
        <f>(SUM(K42:K45)-SUM(W42:W45)-SUM(Y42:Y45)-SUM(Z42:Z45)-SUM(AC42:AC45)-SUM(V42:V45))-AA42</f>
        <v>-3.9470357578470932</v>
      </c>
      <c r="AC42" s="41">
        <f>K42-T42</f>
        <v>10.341006821052616</v>
      </c>
      <c r="AD42" s="41">
        <f>+AM42+BA42</f>
        <v>35</v>
      </c>
      <c r="AE42" s="241" t="s">
        <v>538</v>
      </c>
      <c r="AF42" s="41">
        <v>35</v>
      </c>
      <c r="AG42" s="41"/>
      <c r="AH42" s="41"/>
      <c r="AI42" s="459"/>
      <c r="AJ42" s="41"/>
      <c r="AK42" s="41"/>
      <c r="AL42" s="41"/>
      <c r="AM42" s="41">
        <f>SUM(AF42:AL42)+AT42+AV42+AX42</f>
        <v>35</v>
      </c>
      <c r="AN42" s="41"/>
      <c r="AO42" s="41"/>
      <c r="AP42" s="41"/>
      <c r="AQ42" s="41"/>
      <c r="AR42" s="41">
        <f>SUM(AN42:AQ42)</f>
        <v>0</v>
      </c>
      <c r="AS42" s="41"/>
      <c r="AT42" s="41"/>
      <c r="AU42" s="41"/>
      <c r="AV42" s="41"/>
      <c r="AW42" s="41"/>
      <c r="AX42" s="41"/>
      <c r="AY42" s="41"/>
      <c r="AZ42" s="41"/>
      <c r="BA42" s="41">
        <f>+AR42+AS42+AU42+AW42+AY42+AZ42</f>
        <v>0</v>
      </c>
      <c r="BB42" s="37">
        <v>7</v>
      </c>
      <c r="BC42" s="55"/>
      <c r="BD42" s="55"/>
      <c r="BE42" s="37"/>
      <c r="BF42" s="55"/>
    </row>
    <row r="43" spans="1:58" ht="12.95" customHeight="1">
      <c r="A43" s="346"/>
      <c r="B43" s="45"/>
      <c r="C43" s="450"/>
      <c r="D43" s="45"/>
      <c r="E43" s="46"/>
      <c r="F43" s="46"/>
      <c r="G43" s="463"/>
      <c r="H43" s="48"/>
      <c r="I43" s="49"/>
      <c r="J43" s="90"/>
      <c r="K43" s="90"/>
      <c r="L43" s="39"/>
      <c r="M43" s="39"/>
      <c r="N43" s="50"/>
      <c r="O43" s="51"/>
      <c r="P43" s="52"/>
      <c r="Q43" s="51"/>
      <c r="R43" s="420"/>
      <c r="S43" s="420"/>
      <c r="T43" s="41"/>
      <c r="U43" s="41"/>
      <c r="V43" s="41"/>
      <c r="W43" s="41"/>
      <c r="X43" s="42"/>
      <c r="Y43" s="222"/>
      <c r="Z43" s="41"/>
      <c r="AA43" s="41"/>
      <c r="AB43" s="41"/>
      <c r="AC43" s="41"/>
      <c r="AD43" s="41">
        <f>+AM43+BA43</f>
        <v>0</v>
      </c>
      <c r="AE43" s="241" t="s">
        <v>452</v>
      </c>
      <c r="AF43" s="41"/>
      <c r="AG43" s="41">
        <v>0</v>
      </c>
      <c r="AH43" s="41"/>
      <c r="AI43" s="459"/>
      <c r="AJ43" s="41"/>
      <c r="AK43" s="41"/>
      <c r="AL43" s="41"/>
      <c r="AM43" s="41">
        <f>SUM(AF43:AL43)+AT43+AV43+AX43</f>
        <v>0</v>
      </c>
      <c r="AN43" s="91"/>
      <c r="AO43" s="41"/>
      <c r="AP43" s="41"/>
      <c r="AQ43" s="41"/>
      <c r="AR43" s="41">
        <f>SUM(AN43:AQ43)</f>
        <v>0</v>
      </c>
      <c r="AS43" s="41"/>
      <c r="AT43" s="41"/>
      <c r="AU43" s="41"/>
      <c r="AV43" s="41"/>
      <c r="AW43" s="41"/>
      <c r="AX43" s="41"/>
      <c r="AY43" s="41"/>
      <c r="AZ43" s="41"/>
      <c r="BA43" s="41">
        <f>+AR43+AS43+AU43+AW43+AY43+AZ43</f>
        <v>0</v>
      </c>
      <c r="BB43" s="54"/>
      <c r="BC43" s="55">
        <v>0</v>
      </c>
      <c r="BD43" s="55"/>
      <c r="BE43" s="54"/>
      <c r="BF43" s="55"/>
    </row>
    <row r="44" spans="1:58" ht="12.95" customHeight="1">
      <c r="A44" s="44"/>
      <c r="B44" s="45"/>
      <c r="C44" s="450"/>
      <c r="D44" s="45"/>
      <c r="E44" s="46"/>
      <c r="F44" s="46"/>
      <c r="G44" s="463"/>
      <c r="H44" s="48"/>
      <c r="I44" s="49"/>
      <c r="J44" s="90"/>
      <c r="K44" s="90"/>
      <c r="L44" s="39"/>
      <c r="M44" s="39"/>
      <c r="N44" s="50"/>
      <c r="O44" s="51"/>
      <c r="P44" s="52"/>
      <c r="Q44" s="51"/>
      <c r="R44" s="420"/>
      <c r="S44" s="420"/>
      <c r="T44" s="41"/>
      <c r="U44" s="41"/>
      <c r="V44" s="41"/>
      <c r="W44" s="41"/>
      <c r="X44" s="42"/>
      <c r="Y44" s="222"/>
      <c r="Z44" s="41"/>
      <c r="AA44" s="41"/>
      <c r="AB44" s="41"/>
      <c r="AC44" s="41"/>
      <c r="AD44" s="41">
        <f>+AM44+BA44</f>
        <v>18</v>
      </c>
      <c r="AE44" s="241" t="s">
        <v>579</v>
      </c>
      <c r="AF44" s="37"/>
      <c r="AG44" s="37"/>
      <c r="AH44" s="37">
        <v>18</v>
      </c>
      <c r="AJ44" s="41"/>
      <c r="AK44" s="41"/>
      <c r="AL44" s="41"/>
      <c r="AM44" s="41">
        <f>SUM(AF44:AL44)+AT44+AV44+AX44</f>
        <v>18</v>
      </c>
      <c r="AN44" s="41"/>
      <c r="AO44" s="41"/>
      <c r="AP44" s="41"/>
      <c r="AQ44" s="41"/>
      <c r="AR44" s="41">
        <f>SUM(AN44:AQ44)</f>
        <v>0</v>
      </c>
      <c r="AS44" s="41"/>
      <c r="AT44" s="41"/>
      <c r="AU44" s="41"/>
      <c r="AV44" s="41"/>
      <c r="AW44" s="41"/>
      <c r="AX44" s="41"/>
      <c r="AY44" s="41"/>
      <c r="AZ44" s="41"/>
      <c r="BA44" s="41">
        <f>+AR44+AS44+AU44+AW44+AY44+AZ44</f>
        <v>0</v>
      </c>
      <c r="BB44" s="37"/>
      <c r="BC44" s="57"/>
      <c r="BD44" s="57"/>
      <c r="BE44" s="37"/>
      <c r="BF44" s="57"/>
    </row>
    <row r="45" spans="1:58" ht="12.95" customHeight="1">
      <c r="A45" s="346"/>
      <c r="B45" s="45"/>
      <c r="C45" s="450"/>
      <c r="D45" s="45"/>
      <c r="E45" s="46"/>
      <c r="F45" s="46"/>
      <c r="G45" s="463"/>
      <c r="H45" s="48"/>
      <c r="I45" s="49"/>
      <c r="J45" s="90"/>
      <c r="K45" s="90"/>
      <c r="L45" s="39"/>
      <c r="M45" s="39"/>
      <c r="N45" s="50"/>
      <c r="O45" s="51"/>
      <c r="P45" s="52"/>
      <c r="Q45" s="51"/>
      <c r="R45" s="420"/>
      <c r="S45" s="420"/>
      <c r="T45" s="41"/>
      <c r="U45" s="41"/>
      <c r="V45" s="41"/>
      <c r="W45" s="41"/>
      <c r="X45" s="417"/>
      <c r="Y45" s="222"/>
      <c r="Z45" s="41"/>
      <c r="AA45" s="53"/>
      <c r="AB45" s="53"/>
      <c r="AC45" s="41"/>
      <c r="AD45" s="41">
        <f>+AM45+BA45</f>
        <v>393</v>
      </c>
      <c r="AE45" s="244" t="s">
        <v>559</v>
      </c>
      <c r="AF45" s="41"/>
      <c r="AG45" s="41"/>
      <c r="AH45" s="41"/>
      <c r="AI45" s="459"/>
      <c r="AJ45" s="41"/>
      <c r="AK45" s="41"/>
      <c r="AL45" s="41"/>
      <c r="AM45" s="41">
        <f>SUM(AF45:AL45)+AT45+AV45+AX45</f>
        <v>0</v>
      </c>
      <c r="AN45" s="41">
        <v>393</v>
      </c>
      <c r="AO45" s="41"/>
      <c r="AP45" s="41"/>
      <c r="AQ45" s="41"/>
      <c r="AR45" s="41">
        <f>SUM(AN45:AQ45)</f>
        <v>393</v>
      </c>
      <c r="AS45" s="41"/>
      <c r="AT45" s="41"/>
      <c r="AU45" s="41"/>
      <c r="AV45" s="41"/>
      <c r="AW45" s="41"/>
      <c r="AX45" s="41"/>
      <c r="AY45" s="41"/>
      <c r="AZ45" s="41"/>
      <c r="BA45" s="41">
        <f>+AR45+AS45+AU45+AW45+AY45+AZ45</f>
        <v>393</v>
      </c>
      <c r="BB45" s="37"/>
      <c r="BC45" s="57"/>
      <c r="BD45" s="57"/>
      <c r="BE45" s="37"/>
      <c r="BF45" s="57"/>
    </row>
    <row r="46" spans="1:58" ht="12.95" customHeight="1">
      <c r="A46" s="346"/>
      <c r="B46" s="45"/>
      <c r="C46" s="450"/>
      <c r="D46" s="45"/>
      <c r="E46" s="46"/>
      <c r="F46" s="46"/>
      <c r="G46" s="463"/>
      <c r="H46" s="48"/>
      <c r="I46" s="49"/>
      <c r="J46" s="90"/>
      <c r="K46" s="90"/>
      <c r="L46" s="39"/>
      <c r="M46" s="39"/>
      <c r="N46" s="50"/>
      <c r="O46" s="51"/>
      <c r="P46" s="52"/>
      <c r="Q46" s="51"/>
      <c r="R46" s="420"/>
      <c r="S46" s="420"/>
      <c r="T46" s="41"/>
      <c r="U46" s="41"/>
      <c r="V46" s="41"/>
      <c r="W46" s="41"/>
      <c r="X46" s="417"/>
      <c r="Y46" s="222"/>
      <c r="Z46" s="41"/>
      <c r="AA46" s="53"/>
      <c r="AB46" s="53"/>
      <c r="AC46" s="41"/>
      <c r="AD46" s="41">
        <f>+AM46+BA46</f>
        <v>119</v>
      </c>
      <c r="AE46" s="244" t="s">
        <v>565</v>
      </c>
      <c r="AF46" s="41"/>
      <c r="AG46" s="41"/>
      <c r="AH46" s="41"/>
      <c r="AI46" s="459"/>
      <c r="AJ46" s="41"/>
      <c r="AK46" s="41"/>
      <c r="AL46" s="41"/>
      <c r="AM46" s="41">
        <f>SUM(AF46:AL46)+AT46+AV46+AX46</f>
        <v>0</v>
      </c>
      <c r="AN46" s="41"/>
      <c r="AO46" s="41"/>
      <c r="AP46" s="41">
        <v>119</v>
      </c>
      <c r="AQ46" s="41"/>
      <c r="AR46" s="41">
        <f>SUM(AN46:AQ46)</f>
        <v>119</v>
      </c>
      <c r="AS46" s="41"/>
      <c r="AT46" s="41"/>
      <c r="AU46" s="41"/>
      <c r="AV46" s="41"/>
      <c r="AW46" s="41"/>
      <c r="AX46" s="41"/>
      <c r="AY46" s="41"/>
      <c r="AZ46" s="41"/>
      <c r="BA46" s="41">
        <f>+AR46+AS46+AU46+AW46+AY46+AZ46</f>
        <v>119</v>
      </c>
      <c r="BB46" s="37"/>
      <c r="BC46" s="57"/>
      <c r="BD46" s="57"/>
      <c r="BE46" s="37"/>
      <c r="BF46" s="57">
        <v>3</v>
      </c>
    </row>
    <row r="47" spans="1:58" ht="12.95" customHeight="1">
      <c r="A47" s="346"/>
      <c r="B47" s="45"/>
      <c r="C47" s="450"/>
      <c r="D47" s="45"/>
      <c r="E47" s="46"/>
      <c r="F47" s="46"/>
      <c r="G47" s="463"/>
      <c r="H47" s="48"/>
      <c r="I47" s="49"/>
      <c r="J47" s="90"/>
      <c r="K47" s="90"/>
      <c r="L47" s="39"/>
      <c r="M47" s="39"/>
      <c r="N47" s="50"/>
      <c r="O47" s="51"/>
      <c r="P47" s="52"/>
      <c r="Q47" s="51"/>
      <c r="R47" s="420"/>
      <c r="S47" s="420"/>
      <c r="T47" s="41"/>
      <c r="U47" s="41"/>
      <c r="V47" s="41"/>
      <c r="W47" s="41"/>
      <c r="X47" s="417"/>
      <c r="Y47" s="222"/>
      <c r="Z47" s="41"/>
      <c r="AA47" s="53"/>
      <c r="AB47" s="53"/>
      <c r="AC47" s="41"/>
      <c r="AD47" s="41"/>
      <c r="AE47" s="2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37"/>
      <c r="BC47" s="55"/>
      <c r="BD47" s="55"/>
      <c r="BE47" s="55"/>
      <c r="BF47" s="55"/>
    </row>
    <row r="48" spans="1:58" ht="12.95" customHeight="1">
      <c r="A48" s="346">
        <v>45847</v>
      </c>
      <c r="B48" s="45" t="s">
        <v>231</v>
      </c>
      <c r="C48" s="450">
        <f>(M48*E48*O48*Q48)/100000000</f>
        <v>67.598899200000005</v>
      </c>
      <c r="D48" s="45" t="s">
        <v>458</v>
      </c>
      <c r="E48" s="46">
        <v>16</v>
      </c>
      <c r="F48" s="46">
        <v>1</v>
      </c>
      <c r="G48" s="463">
        <v>1270</v>
      </c>
      <c r="H48" s="48">
        <v>0</v>
      </c>
      <c r="I48" s="49">
        <v>0.88</v>
      </c>
      <c r="J48" s="90">
        <f>E48*G48*(1-H48)*1440/1000000*2.77</f>
        <v>81.052415999999994</v>
      </c>
      <c r="K48" s="90">
        <f>(IF(G48&lt;L48,L48,G48)*(1-IF(H48&lt;N48,H48,N48))*E48*O48*Q48)/100000000</f>
        <v>77.833727999999994</v>
      </c>
      <c r="L48" s="39">
        <v>1107</v>
      </c>
      <c r="M48" s="39">
        <v>1103</v>
      </c>
      <c r="N48" s="50">
        <f>1-(M48/L48)</f>
        <v>3.6133694670279493E-3</v>
      </c>
      <c r="O48" s="51">
        <f>+'Trim Rwd'!H38</f>
        <v>266</v>
      </c>
      <c r="P48" s="52">
        <f>O48*(Q48-R48-S48)</f>
        <v>377986</v>
      </c>
      <c r="Q48" s="51">
        <v>1440</v>
      </c>
      <c r="R48" s="420">
        <v>0</v>
      </c>
      <c r="S48" s="420">
        <v>19</v>
      </c>
      <c r="T48" s="41">
        <f>E48*M48*O48*Q48/100000000</f>
        <v>67.598899200000005</v>
      </c>
      <c r="U48" s="41">
        <f>E48*M48*O48*(Q48-R48-S48)/100000000</f>
        <v>66.706969279999996</v>
      </c>
      <c r="V48" s="41">
        <f>E48*G48*(1-N48)*O48/100*(R48+S48)/1000000</f>
        <v>1.0232619678410118</v>
      </c>
      <c r="W48" s="41">
        <f>+'9'!K34/1000</f>
        <v>65.429000000000002</v>
      </c>
      <c r="X48" s="417">
        <f>SUM(W48:W51)/SUM(K48:K51)</f>
        <v>0.8406252877929733</v>
      </c>
      <c r="Y48" s="222">
        <v>0</v>
      </c>
      <c r="Z48" s="41">
        <f>+'9'!D34/1000</f>
        <v>4.04</v>
      </c>
      <c r="AA48" s="53">
        <f>SUM(U48:U51)-SUM(W48:W51)-SUM(Z48:Z51)-SUM(Y48:Y51)</f>
        <v>-2.7620307200000065</v>
      </c>
      <c r="AB48" s="53">
        <f>(SUM(K48:K51)-SUM(W48:W51)-SUM(Y48:Y51)-SUM(Z48:Z51)-SUM(AC48:AC51)-SUM(V48:V51))-AA48</f>
        <v>-0.13133204784100094</v>
      </c>
      <c r="AC48" s="41">
        <f>K48-T48</f>
        <v>10.234828799999988</v>
      </c>
      <c r="AD48" s="41">
        <f>+AM48+BA48</f>
        <v>0</v>
      </c>
      <c r="AE48" s="241" t="s">
        <v>473</v>
      </c>
      <c r="AF48" s="41">
        <v>0</v>
      </c>
      <c r="AG48" s="41"/>
      <c r="AH48" s="41"/>
      <c r="AI48" s="459"/>
      <c r="AJ48" s="41"/>
      <c r="AK48" s="41"/>
      <c r="AL48" s="41"/>
      <c r="AM48" s="41">
        <f>SUM(AF48:AL48)+AT48+AV48+AX48</f>
        <v>0</v>
      </c>
      <c r="AN48" s="41"/>
      <c r="AO48" s="41"/>
      <c r="AP48" s="41"/>
      <c r="AQ48" s="41"/>
      <c r="AR48" s="41">
        <f>SUM(AN48:AQ48)</f>
        <v>0</v>
      </c>
      <c r="AS48" s="41"/>
      <c r="AT48" s="41"/>
      <c r="AU48" s="41"/>
      <c r="AV48" s="41"/>
      <c r="AW48" s="41"/>
      <c r="AX48" s="41"/>
      <c r="AY48" s="41"/>
      <c r="AZ48" s="41"/>
      <c r="BA48" s="41">
        <f>+AR48+AS48+AU48+AW48+AY48+AZ48</f>
        <v>0</v>
      </c>
      <c r="BB48" s="37">
        <v>0</v>
      </c>
      <c r="BC48" s="55"/>
      <c r="BD48" s="55"/>
      <c r="BE48" s="37"/>
      <c r="BF48" s="55"/>
    </row>
    <row r="49" spans="1:58" ht="12.95" customHeight="1">
      <c r="A49" s="346"/>
      <c r="B49" s="45"/>
      <c r="C49" s="450"/>
      <c r="D49" s="45"/>
      <c r="E49" s="46"/>
      <c r="F49" s="46"/>
      <c r="G49" s="463"/>
      <c r="H49" s="48"/>
      <c r="I49" s="49"/>
      <c r="J49" s="90"/>
      <c r="K49" s="90"/>
      <c r="L49" s="39"/>
      <c r="M49" s="39"/>
      <c r="N49" s="50"/>
      <c r="O49" s="51"/>
      <c r="P49" s="52"/>
      <c r="Q49" s="51"/>
      <c r="R49" s="420"/>
      <c r="S49" s="420"/>
      <c r="T49" s="41"/>
      <c r="U49" s="41"/>
      <c r="V49" s="41"/>
      <c r="W49" s="41"/>
      <c r="X49" s="42"/>
      <c r="Y49" s="222"/>
      <c r="Z49" s="41"/>
      <c r="AA49" s="41"/>
      <c r="AB49" s="41"/>
      <c r="AC49" s="41"/>
      <c r="AD49" s="41">
        <f>+AM49+BA49</f>
        <v>0</v>
      </c>
      <c r="AE49" s="241" t="s">
        <v>452</v>
      </c>
      <c r="AF49" s="41"/>
      <c r="AG49" s="41">
        <v>0</v>
      </c>
      <c r="AH49" s="41"/>
      <c r="AI49" s="459"/>
      <c r="AJ49" s="41"/>
      <c r="AK49" s="41"/>
      <c r="AL49" s="41"/>
      <c r="AM49" s="41">
        <f>SUM(AF49:AL49)+AT49+AV49+AX49</f>
        <v>0</v>
      </c>
      <c r="AN49" s="91"/>
      <c r="AO49" s="41"/>
      <c r="AP49" s="41"/>
      <c r="AQ49" s="41"/>
      <c r="AR49" s="41">
        <f>SUM(AN49:AQ49)</f>
        <v>0</v>
      </c>
      <c r="AS49" s="41"/>
      <c r="AT49" s="41"/>
      <c r="AU49" s="41"/>
      <c r="AV49" s="41"/>
      <c r="AW49" s="41"/>
      <c r="AX49" s="41"/>
      <c r="AY49" s="41"/>
      <c r="AZ49" s="41"/>
      <c r="BA49" s="41">
        <f>+AR49+AS49+AU49+AW49+AY49+AZ49</f>
        <v>0</v>
      </c>
      <c r="BB49" s="54"/>
      <c r="BC49" s="55">
        <v>0</v>
      </c>
      <c r="BD49" s="55"/>
      <c r="BE49" s="54"/>
      <c r="BF49" s="55"/>
    </row>
    <row r="50" spans="1:58" ht="12.95" customHeight="1">
      <c r="A50" s="44"/>
      <c r="B50" s="45"/>
      <c r="C50" s="450"/>
      <c r="D50" s="45"/>
      <c r="E50" s="46"/>
      <c r="F50" s="46"/>
      <c r="G50" s="463"/>
      <c r="H50" s="48"/>
      <c r="I50" s="49"/>
      <c r="J50" s="90"/>
      <c r="K50" s="90"/>
      <c r="L50" s="39"/>
      <c r="M50" s="39"/>
      <c r="N50" s="50"/>
      <c r="O50" s="51"/>
      <c r="P50" s="52"/>
      <c r="Q50" s="51"/>
      <c r="R50" s="420"/>
      <c r="S50" s="420"/>
      <c r="T50" s="41"/>
      <c r="U50" s="41"/>
      <c r="V50" s="41"/>
      <c r="W50" s="41"/>
      <c r="X50" s="42"/>
      <c r="Y50" s="222"/>
      <c r="Z50" s="41"/>
      <c r="AA50" s="41"/>
      <c r="AB50" s="41"/>
      <c r="AC50" s="41"/>
      <c r="AD50" s="41">
        <f>+AM50+BA50</f>
        <v>19</v>
      </c>
      <c r="AE50" s="241" t="s">
        <v>539</v>
      </c>
      <c r="AF50" s="37"/>
      <c r="AG50" s="37"/>
      <c r="AH50" s="37">
        <v>19</v>
      </c>
      <c r="AJ50" s="41"/>
      <c r="AK50" s="41"/>
      <c r="AL50" s="41"/>
      <c r="AM50" s="41">
        <f>SUM(AF50:AL50)+AT50+AV50+AX50</f>
        <v>19</v>
      </c>
      <c r="AN50" s="41"/>
      <c r="AO50" s="41"/>
      <c r="AP50" s="41"/>
      <c r="AQ50" s="41"/>
      <c r="AR50" s="41">
        <f>SUM(AN50:AQ50)</f>
        <v>0</v>
      </c>
      <c r="AS50" s="41"/>
      <c r="AT50" s="41"/>
      <c r="AU50" s="41"/>
      <c r="AV50" s="41"/>
      <c r="AW50" s="41"/>
      <c r="AX50" s="41"/>
      <c r="AY50" s="41"/>
      <c r="AZ50" s="41"/>
      <c r="BA50" s="41">
        <f>+AR50+AS50+AU50+AW50+AY50+AZ50</f>
        <v>0</v>
      </c>
      <c r="BB50" s="37"/>
      <c r="BC50" s="57"/>
      <c r="BD50" s="57"/>
      <c r="BE50" s="37"/>
      <c r="BF50" s="57"/>
    </row>
    <row r="51" spans="1:58" ht="12.95" customHeight="1">
      <c r="A51" s="44"/>
      <c r="B51" s="45"/>
      <c r="C51" s="450"/>
      <c r="D51" s="45"/>
      <c r="E51" s="46"/>
      <c r="F51" s="46"/>
      <c r="G51" s="47"/>
      <c r="H51" s="48"/>
      <c r="I51" s="49"/>
      <c r="J51" s="90"/>
      <c r="K51" s="90"/>
      <c r="L51" s="39"/>
      <c r="M51" s="39"/>
      <c r="N51" s="50"/>
      <c r="O51" s="51"/>
      <c r="P51" s="52"/>
      <c r="Q51" s="51"/>
      <c r="R51" s="420"/>
      <c r="S51" s="420"/>
      <c r="T51" s="41"/>
      <c r="U51" s="41"/>
      <c r="V51" s="41"/>
      <c r="W51" s="41"/>
      <c r="X51" s="42"/>
      <c r="Y51" s="222"/>
      <c r="Z51" s="41"/>
      <c r="AA51" s="41"/>
      <c r="AB51" s="41"/>
      <c r="AC51" s="41"/>
      <c r="AD51" s="41"/>
      <c r="AE51" s="2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37"/>
      <c r="BC51" s="55"/>
      <c r="BD51" s="55"/>
      <c r="BE51" s="55"/>
      <c r="BF51" s="55"/>
    </row>
    <row r="52" spans="1:58" ht="12.95" customHeight="1">
      <c r="A52" s="346">
        <v>45848</v>
      </c>
      <c r="B52" s="45" t="s">
        <v>231</v>
      </c>
      <c r="C52" s="450">
        <f>(M52*E52*O52*Q52)/100000000</f>
        <v>16.904332799999999</v>
      </c>
      <c r="D52" s="45" t="s">
        <v>606</v>
      </c>
      <c r="E52" s="46">
        <v>16</v>
      </c>
      <c r="F52" s="46">
        <v>1</v>
      </c>
      <c r="G52" s="463">
        <v>1270</v>
      </c>
      <c r="H52" s="48">
        <v>0</v>
      </c>
      <c r="I52" s="49">
        <v>0.88</v>
      </c>
      <c r="J52" s="90">
        <f>E52*G52*(1-H52)*1440/1000000*2.77</f>
        <v>81.052415999999994</v>
      </c>
      <c r="K52" s="90">
        <f>(IF(G52&lt;L52,L52,G52)*(1-IF(H52&lt;N52,H52,N52))*E52*O52*Q52)/100000000</f>
        <v>19.393407999999997</v>
      </c>
      <c r="L52" s="39">
        <v>1111</v>
      </c>
      <c r="M52" s="39">
        <v>1107</v>
      </c>
      <c r="N52" s="50">
        <f>1-(M52/L52)</f>
        <v>3.6003600360036137E-3</v>
      </c>
      <c r="O52" s="51">
        <f>+'Trim Rwd'!H40</f>
        <v>265.11111111111109</v>
      </c>
      <c r="P52" s="52">
        <f>O52*(Q52-R52-S52)</f>
        <v>92788.888888888876</v>
      </c>
      <c r="Q52" s="51">
        <v>360</v>
      </c>
      <c r="R52" s="420">
        <v>0</v>
      </c>
      <c r="S52" s="420">
        <v>10</v>
      </c>
      <c r="T52" s="41">
        <f>E52*M52*O52*Q52/100000000</f>
        <v>16.904332799999999</v>
      </c>
      <c r="U52" s="41">
        <f>E52*M52*O52*(Q52-R52-S52)/100000000</f>
        <v>16.434767999999998</v>
      </c>
      <c r="V52" s="41">
        <f>E52*G52*(1-N52)*O52/100*(R52+S52)/1000000</f>
        <v>0.53676624302430243</v>
      </c>
      <c r="W52" s="41">
        <f>+'10'!K9/1000</f>
        <v>21.044</v>
      </c>
      <c r="X52" s="417">
        <f>SUM(W52:W55)/SUM(K52:K55)</f>
        <v>0.88034016925384084</v>
      </c>
      <c r="Y52" s="222">
        <v>0</v>
      </c>
      <c r="Z52" s="41">
        <f>+'10'!D7/1000</f>
        <v>0.60699999999999998</v>
      </c>
      <c r="AA52" s="53">
        <f>SUM(U52:U55)-SUM(W52:W55)-SUM(Z52:Z55)-SUM(Y52:Y55)</f>
        <v>-0.38908495999999881</v>
      </c>
      <c r="AB52" s="53">
        <f>(SUM(K52:K55)-SUM(W52:W55)-SUM(Y52:Y55)-SUM(Z52:Z55)-SUM(AC52:AC55)-SUM(V52:V55))-AA52</f>
        <v>-0.19412346212877751</v>
      </c>
      <c r="AC52" s="41">
        <f>K52-T52</f>
        <v>2.4890751999999985</v>
      </c>
      <c r="AD52" s="41">
        <f>+AM52+BA52</f>
        <v>10</v>
      </c>
      <c r="AE52" s="241" t="s">
        <v>418</v>
      </c>
      <c r="AF52" s="41">
        <v>10</v>
      </c>
      <c r="AG52" s="41"/>
      <c r="AH52" s="41"/>
      <c r="AI52" s="459"/>
      <c r="AJ52" s="41"/>
      <c r="AK52" s="41"/>
      <c r="AL52" s="41"/>
      <c r="AM52" s="41">
        <f>SUM(AF52:AL52)+AT52+AV52+AX52</f>
        <v>10</v>
      </c>
      <c r="AN52" s="41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37">
        <v>2</v>
      </c>
      <c r="BC52" s="55"/>
      <c r="BD52" s="55"/>
      <c r="BE52" s="37"/>
      <c r="BF52" s="55"/>
    </row>
    <row r="53" spans="1:58" ht="12.95" customHeight="1">
      <c r="A53" s="346"/>
      <c r="B53" s="45" t="s">
        <v>607</v>
      </c>
      <c r="C53" s="450">
        <f>(M53*E53*O53*Q53)/100000000</f>
        <v>44.367523200000001</v>
      </c>
      <c r="D53" s="45" t="s">
        <v>608</v>
      </c>
      <c r="E53" s="46">
        <v>12</v>
      </c>
      <c r="F53" s="46">
        <v>1</v>
      </c>
      <c r="G53" s="463">
        <v>1700</v>
      </c>
      <c r="H53" s="48">
        <v>0.2</v>
      </c>
      <c r="I53" s="49">
        <v>0.88</v>
      </c>
      <c r="J53" s="90">
        <f>E53*G53*(1-H53)*1440/1000000*2.77</f>
        <v>65.097216000000003</v>
      </c>
      <c r="K53" s="90">
        <f>(IF(G53&lt;L53,L53,G53)*(1-IF(H53&lt;N53,H53,N53))*E53*O53*Q53)/100000000</f>
        <v>46.905963582089548</v>
      </c>
      <c r="L53" s="39">
        <v>1608</v>
      </c>
      <c r="M53" s="39">
        <v>1287</v>
      </c>
      <c r="N53" s="50">
        <f>1-(M53/L53)</f>
        <v>0.19962686567164178</v>
      </c>
      <c r="O53" s="51">
        <f>+'Trim Rwd'!H42</f>
        <v>266</v>
      </c>
      <c r="P53" s="52">
        <f>O53*(Q53-R53-S53)</f>
        <v>272916</v>
      </c>
      <c r="Q53" s="51">
        <v>1080</v>
      </c>
      <c r="R53" s="420">
        <v>0</v>
      </c>
      <c r="S53" s="420">
        <v>54</v>
      </c>
      <c r="T53" s="41">
        <f>E53*M53*O53*Q53/100000000</f>
        <v>44.367523200000001</v>
      </c>
      <c r="U53" s="41">
        <f>E53*M53*O53*(Q53-R53-S53)/100000000</f>
        <v>42.149147040000003</v>
      </c>
      <c r="V53" s="41">
        <f>E53*G53*(1-N53)*O53/100*(R53+S53)/1000000</f>
        <v>2.3452981791044771</v>
      </c>
      <c r="W53" s="41">
        <f>+'10'!K13/1000</f>
        <v>37.322000000000003</v>
      </c>
      <c r="X53" s="42"/>
      <c r="Y53" s="222"/>
      <c r="Z53" s="41"/>
      <c r="AA53" s="41"/>
      <c r="AB53" s="41"/>
      <c r="AC53" s="41">
        <f>K53-T53</f>
        <v>2.5384403820895471</v>
      </c>
      <c r="AD53" s="41">
        <f>+AM53+BA53</f>
        <v>12</v>
      </c>
      <c r="AE53" s="241" t="s">
        <v>609</v>
      </c>
      <c r="AF53" s="41"/>
      <c r="AG53" s="41">
        <v>12</v>
      </c>
      <c r="AH53" s="41"/>
      <c r="AI53" s="459"/>
      <c r="AJ53" s="41"/>
      <c r="AK53" s="41"/>
      <c r="AL53" s="41"/>
      <c r="AM53" s="41">
        <f>SUM(AF53:AL53)+AT53+AV53+AX53</f>
        <v>12</v>
      </c>
      <c r="AN53" s="91"/>
      <c r="AO53" s="41"/>
      <c r="AP53" s="41"/>
      <c r="AQ53" s="41"/>
      <c r="AR53" s="41">
        <f>SUM(AN53:AQ53)</f>
        <v>0</v>
      </c>
      <c r="AS53" s="41"/>
      <c r="AT53" s="41"/>
      <c r="AU53" s="41"/>
      <c r="AV53" s="41"/>
      <c r="AW53" s="41"/>
      <c r="AX53" s="41"/>
      <c r="AY53" s="41"/>
      <c r="AZ53" s="41"/>
      <c r="BA53" s="41">
        <f>+AR53+AS53+AU53+AW53+AY53+AZ53</f>
        <v>0</v>
      </c>
      <c r="BB53" s="54"/>
      <c r="BC53" s="55">
        <v>10</v>
      </c>
      <c r="BD53" s="55"/>
      <c r="BE53" s="54"/>
      <c r="BF53" s="55"/>
    </row>
    <row r="54" spans="1:58" ht="12.95" customHeight="1">
      <c r="A54" s="44"/>
      <c r="B54" s="45"/>
      <c r="C54" s="450"/>
      <c r="D54" s="45"/>
      <c r="E54" s="46"/>
      <c r="F54" s="46"/>
      <c r="G54" s="463"/>
      <c r="H54" s="48"/>
      <c r="I54" s="49"/>
      <c r="J54" s="90"/>
      <c r="K54" s="90"/>
      <c r="L54" s="39"/>
      <c r="M54" s="39"/>
      <c r="N54" s="50"/>
      <c r="O54" s="51"/>
      <c r="P54" s="52"/>
      <c r="Q54" s="51"/>
      <c r="R54" s="420"/>
      <c r="S54" s="420"/>
      <c r="T54" s="41"/>
      <c r="U54" s="41"/>
      <c r="V54" s="41"/>
      <c r="W54" s="41"/>
      <c r="X54" s="42"/>
      <c r="Y54" s="222"/>
      <c r="Z54" s="41"/>
      <c r="AA54" s="41"/>
      <c r="AB54" s="41"/>
      <c r="AC54" s="41"/>
      <c r="AD54" s="41">
        <f>+AM54+BA54</f>
        <v>27</v>
      </c>
      <c r="AE54" s="241" t="s">
        <v>610</v>
      </c>
      <c r="AF54" s="37"/>
      <c r="AG54" s="37"/>
      <c r="AH54" s="37">
        <v>27</v>
      </c>
      <c r="AJ54" s="41"/>
      <c r="AK54" s="41"/>
      <c r="AL54" s="41"/>
      <c r="AM54" s="41">
        <f>SUM(AF54:AL54)+AT54+AV54+AX54</f>
        <v>27</v>
      </c>
      <c r="AN54" s="41"/>
      <c r="AO54" s="41"/>
      <c r="AP54" s="41"/>
      <c r="AQ54" s="41"/>
      <c r="AR54" s="41">
        <f>SUM(AN54:AQ54)</f>
        <v>0</v>
      </c>
      <c r="AS54" s="41"/>
      <c r="AT54" s="41"/>
      <c r="AU54" s="41"/>
      <c r="AV54" s="41"/>
      <c r="AW54" s="41"/>
      <c r="AX54" s="41"/>
      <c r="AY54" s="41"/>
      <c r="AZ54" s="41"/>
      <c r="BA54" s="41">
        <f>+AR54+AS54+AU54+AW54+AY54+AZ54</f>
        <v>0</v>
      </c>
      <c r="BB54" s="37"/>
      <c r="BC54" s="57"/>
      <c r="BD54" s="57"/>
      <c r="BE54" s="37"/>
      <c r="BF54" s="57"/>
    </row>
    <row r="55" spans="1:58" ht="12.95" customHeight="1">
      <c r="A55" s="44"/>
      <c r="B55" s="45"/>
      <c r="C55" s="450"/>
      <c r="D55" s="45"/>
      <c r="E55" s="46"/>
      <c r="F55" s="46"/>
      <c r="G55" s="47"/>
      <c r="H55" s="48"/>
      <c r="I55" s="49"/>
      <c r="J55" s="90"/>
      <c r="K55" s="90"/>
      <c r="L55" s="39"/>
      <c r="M55" s="39"/>
      <c r="N55" s="50"/>
      <c r="O55" s="51"/>
      <c r="P55" s="52"/>
      <c r="Q55" s="51"/>
      <c r="R55" s="420"/>
      <c r="S55" s="420"/>
      <c r="T55" s="41"/>
      <c r="U55" s="41"/>
      <c r="V55" s="41"/>
      <c r="W55" s="41"/>
      <c r="X55" s="42"/>
      <c r="Y55" s="222"/>
      <c r="Z55" s="41"/>
      <c r="AA55" s="41"/>
      <c r="AB55" s="41"/>
      <c r="AC55" s="41"/>
      <c r="AD55" s="41">
        <f>+AM55+BA55</f>
        <v>15</v>
      </c>
      <c r="AE55" s="241" t="s">
        <v>540</v>
      </c>
      <c r="AF55" s="41"/>
      <c r="AG55" s="41"/>
      <c r="AH55" s="41"/>
      <c r="AI55" s="41">
        <v>15</v>
      </c>
      <c r="AJ55" s="41"/>
      <c r="AK55" s="41"/>
      <c r="AL55" s="41"/>
      <c r="AM55" s="41">
        <f>SUM(AF55:AL55)+AT55+AV55+AX55</f>
        <v>15</v>
      </c>
      <c r="AN55" s="41"/>
      <c r="AO55" s="41"/>
      <c r="AP55" s="41"/>
      <c r="AQ55" s="41"/>
      <c r="AR55" s="41">
        <f>SUM(AN55:AQ55)</f>
        <v>0</v>
      </c>
      <c r="AS55" s="41"/>
      <c r="AT55" s="41"/>
      <c r="AU55" s="41"/>
      <c r="AV55" s="41"/>
      <c r="AW55" s="41"/>
      <c r="AX55" s="41"/>
      <c r="AY55" s="41"/>
      <c r="AZ55" s="41"/>
      <c r="BA55" s="41">
        <f>+AR55+AS55+AU55+AW55+AY55+AZ55</f>
        <v>0</v>
      </c>
      <c r="BB55" s="37"/>
      <c r="BC55" s="57"/>
      <c r="BD55" s="57"/>
      <c r="BE55" s="37"/>
      <c r="BF55" s="57"/>
    </row>
    <row r="56" spans="1:58" ht="12.95" customHeight="1">
      <c r="A56" s="346"/>
      <c r="B56" s="45"/>
      <c r="C56" s="450"/>
      <c r="D56" s="45"/>
      <c r="E56" s="46"/>
      <c r="F56" s="46"/>
      <c r="G56" s="463"/>
      <c r="H56" s="48"/>
      <c r="I56" s="49"/>
      <c r="J56" s="90"/>
      <c r="K56" s="90"/>
      <c r="L56" s="39"/>
      <c r="M56" s="39"/>
      <c r="N56" s="50"/>
      <c r="O56" s="51"/>
      <c r="P56" s="52"/>
      <c r="Q56" s="51"/>
      <c r="R56" s="420"/>
      <c r="S56" s="420"/>
      <c r="T56" s="41"/>
      <c r="U56" s="41"/>
      <c r="V56" s="41"/>
      <c r="W56" s="41"/>
      <c r="X56" s="417"/>
      <c r="Y56" s="222"/>
      <c r="Z56" s="41"/>
      <c r="AA56" s="53"/>
      <c r="AB56" s="53"/>
      <c r="AC56" s="41"/>
      <c r="AD56" s="41"/>
      <c r="AE56" s="241"/>
      <c r="AF56" s="41"/>
      <c r="AG56" s="41"/>
      <c r="AH56" s="41"/>
      <c r="AI56" s="459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37"/>
      <c r="BC56" s="55"/>
      <c r="BD56" s="55"/>
      <c r="BE56" s="55"/>
      <c r="BF56" s="55"/>
    </row>
    <row r="57" spans="1:58" ht="12.95" customHeight="1">
      <c r="A57" s="346">
        <v>45849</v>
      </c>
      <c r="B57" s="45" t="s">
        <v>607</v>
      </c>
      <c r="C57" s="450">
        <f>(M57*E57*O57*Q57)/100000000</f>
        <v>57.793075199999997</v>
      </c>
      <c r="D57" s="45" t="s">
        <v>608</v>
      </c>
      <c r="E57" s="46">
        <v>11.5</v>
      </c>
      <c r="F57" s="46">
        <v>1</v>
      </c>
      <c r="G57" s="463">
        <v>1700</v>
      </c>
      <c r="H57" s="48">
        <v>0.2</v>
      </c>
      <c r="I57" s="49">
        <v>0.88</v>
      </c>
      <c r="J57" s="90">
        <f>E57*G57*(1-H57)*1440/1000000*2.77</f>
        <v>62.384831999999996</v>
      </c>
      <c r="K57" s="90">
        <f>(IF(G57&lt;L57,L57,G57)*(1-IF(H57&lt;N57,H57,N57))*E57*O57*Q57)/100000000</f>
        <v>59.907456000000003</v>
      </c>
      <c r="L57" s="39">
        <v>1640</v>
      </c>
      <c r="M57" s="39">
        <v>1312</v>
      </c>
      <c r="N57" s="50">
        <f>1-(M57/L57)</f>
        <v>0.19999999999999996</v>
      </c>
      <c r="O57" s="51">
        <f>+'Trim Rwd'!H44</f>
        <v>266</v>
      </c>
      <c r="P57" s="52">
        <f>O57*(Q57-R57-S57)</f>
        <v>355908</v>
      </c>
      <c r="Q57" s="51">
        <v>1440</v>
      </c>
      <c r="R57" s="420">
        <v>0</v>
      </c>
      <c r="S57" s="420">
        <v>102</v>
      </c>
      <c r="T57" s="41">
        <f>E57*M57*O57*Q57/100000000</f>
        <v>57.793075199999997</v>
      </c>
      <c r="U57" s="41">
        <f>E57*M57*O57*(Q57-R57-S57)/100000000</f>
        <v>53.699399040000003</v>
      </c>
      <c r="V57" s="41">
        <f>E57*G57*(1-N57)*O57/100*(R57+S57)/1000000</f>
        <v>4.2434447999999998</v>
      </c>
      <c r="W57" s="41">
        <f>+'11'!K34/1000</f>
        <v>52.795999999999999</v>
      </c>
      <c r="X57" s="417">
        <f>SUM(W57:W60)/SUM(K57:K60)</f>
        <v>0.88129263909988098</v>
      </c>
      <c r="Y57" s="222">
        <v>0</v>
      </c>
      <c r="Z57" s="41">
        <v>0</v>
      </c>
      <c r="AA57" s="53">
        <f>SUM(U57:U60)-SUM(W57:W60)-SUM(Z57:Z60)-SUM(Y57:Y60)</f>
        <v>0.90339904000000359</v>
      </c>
      <c r="AB57" s="53">
        <f>(SUM(K57:K60)-SUM(W57:W60)-SUM(Y57:Y60)-SUM(Z57:Z60)-SUM(AC57:AC60)-SUM(V57:V60))-AA57</f>
        <v>-0.14976864000000578</v>
      </c>
      <c r="AC57" s="41">
        <f>K57-T57</f>
        <v>2.1143808000000064</v>
      </c>
      <c r="AD57" s="41">
        <f>+AM57+BA57</f>
        <v>20</v>
      </c>
      <c r="AE57" s="241" t="s">
        <v>418</v>
      </c>
      <c r="AF57" s="41">
        <v>20</v>
      </c>
      <c r="AG57" s="41"/>
      <c r="AH57" s="41"/>
      <c r="AI57" s="459"/>
      <c r="AJ57" s="41"/>
      <c r="AK57" s="41"/>
      <c r="AL57" s="41"/>
      <c r="AM57" s="41">
        <f>SUM(AF57:AL57)+AT57+AV57+AX57</f>
        <v>20</v>
      </c>
      <c r="AN57" s="41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37">
        <v>2</v>
      </c>
      <c r="BC57" s="55"/>
      <c r="BD57" s="55"/>
      <c r="BE57" s="37"/>
      <c r="BF57" s="55"/>
    </row>
    <row r="58" spans="1:58" ht="12.95" customHeight="1">
      <c r="A58" s="346"/>
      <c r="B58" s="45"/>
      <c r="C58" s="450"/>
      <c r="D58" s="45"/>
      <c r="E58" s="46"/>
      <c r="F58" s="46"/>
      <c r="G58" s="463"/>
      <c r="H58" s="48"/>
      <c r="I58" s="49"/>
      <c r="J58" s="90"/>
      <c r="K58" s="90"/>
      <c r="L58" s="39"/>
      <c r="M58" s="39"/>
      <c r="N58" s="50"/>
      <c r="O58" s="51"/>
      <c r="P58" s="52"/>
      <c r="Q58" s="51"/>
      <c r="R58" s="420"/>
      <c r="S58" s="420"/>
      <c r="T58" s="41"/>
      <c r="U58" s="41"/>
      <c r="V58" s="41"/>
      <c r="W58" s="41"/>
      <c r="X58" s="42"/>
      <c r="Y58" s="222"/>
      <c r="Z58" s="41"/>
      <c r="AA58" s="41"/>
      <c r="AB58" s="41"/>
      <c r="AC58" s="41"/>
      <c r="AD58" s="41">
        <f>+AM58+BA58</f>
        <v>16</v>
      </c>
      <c r="AE58" s="241" t="s">
        <v>625</v>
      </c>
      <c r="AF58" s="41"/>
      <c r="AG58" s="41">
        <v>16</v>
      </c>
      <c r="AH58" s="41"/>
      <c r="AI58" s="459"/>
      <c r="AJ58" s="41"/>
      <c r="AK58" s="41"/>
      <c r="AL58" s="41"/>
      <c r="AM58" s="41">
        <f>SUM(AF58:AL58)+AT58+AV58+AX58</f>
        <v>16</v>
      </c>
      <c r="AN58" s="91"/>
      <c r="AO58" s="41"/>
      <c r="AP58" s="41"/>
      <c r="AQ58" s="41"/>
      <c r="AR58" s="41">
        <f>SUM(AN58:AQ58)</f>
        <v>0</v>
      </c>
      <c r="AS58" s="41"/>
      <c r="AT58" s="41"/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54"/>
      <c r="BC58" s="55">
        <v>18</v>
      </c>
      <c r="BD58" s="55"/>
      <c r="BE58" s="54"/>
      <c r="BF58" s="55"/>
    </row>
    <row r="59" spans="1:58" ht="12.95" customHeight="1">
      <c r="A59" s="44"/>
      <c r="B59" s="45"/>
      <c r="C59" s="450"/>
      <c r="D59" s="45"/>
      <c r="E59" s="46"/>
      <c r="F59" s="46"/>
      <c r="G59" s="463"/>
      <c r="H59" s="48"/>
      <c r="I59" s="49"/>
      <c r="J59" s="90"/>
      <c r="K59" s="90"/>
      <c r="L59" s="39"/>
      <c r="M59" s="39"/>
      <c r="N59" s="50"/>
      <c r="O59" s="51"/>
      <c r="P59" s="52"/>
      <c r="Q59" s="51"/>
      <c r="R59" s="420"/>
      <c r="S59" s="420"/>
      <c r="T59" s="41"/>
      <c r="U59" s="41"/>
      <c r="V59" s="41"/>
      <c r="W59" s="41"/>
      <c r="X59" s="42"/>
      <c r="Y59" s="222"/>
      <c r="Z59" s="41"/>
      <c r="AA59" s="41"/>
      <c r="AB59" s="41"/>
      <c r="AC59" s="41"/>
      <c r="AD59" s="41">
        <f>+AM59+BA59</f>
        <v>30</v>
      </c>
      <c r="AE59" s="241" t="s">
        <v>626</v>
      </c>
      <c r="AF59" s="37"/>
      <c r="AG59" s="37"/>
      <c r="AH59" s="37">
        <v>30</v>
      </c>
      <c r="AJ59" s="41"/>
      <c r="AK59" s="41"/>
      <c r="AL59" s="41"/>
      <c r="AM59" s="41">
        <f>SUM(AF59:AL59)+AT59+AV59+AX59</f>
        <v>30</v>
      </c>
      <c r="AN59" s="41"/>
      <c r="AO59" s="41"/>
      <c r="AP59" s="41"/>
      <c r="AQ59" s="41"/>
      <c r="AR59" s="41">
        <f>SUM(AN59:AQ59)</f>
        <v>0</v>
      </c>
      <c r="AS59" s="41"/>
      <c r="AT59" s="41"/>
      <c r="AU59" s="41"/>
      <c r="AV59" s="41"/>
      <c r="AW59" s="41"/>
      <c r="AX59" s="41"/>
      <c r="AY59" s="41"/>
      <c r="AZ59" s="41"/>
      <c r="BA59" s="41">
        <f>+AR59+AS59+AU59+AW59+AY59+AZ59</f>
        <v>0</v>
      </c>
      <c r="BB59" s="37"/>
      <c r="BC59" s="57"/>
      <c r="BD59" s="57"/>
      <c r="BE59" s="37"/>
      <c r="BF59" s="57"/>
    </row>
    <row r="60" spans="1:58" ht="12.95" customHeight="1">
      <c r="A60" s="44"/>
      <c r="B60" s="45"/>
      <c r="C60" s="450"/>
      <c r="D60" s="45"/>
      <c r="E60" s="46"/>
      <c r="F60" s="46"/>
      <c r="G60" s="47"/>
      <c r="H60" s="48"/>
      <c r="I60" s="49"/>
      <c r="J60" s="90"/>
      <c r="K60" s="90"/>
      <c r="L60" s="39"/>
      <c r="M60" s="39"/>
      <c r="N60" s="50"/>
      <c r="O60" s="51"/>
      <c r="P60" s="52"/>
      <c r="Q60" s="51"/>
      <c r="R60" s="420"/>
      <c r="S60" s="420"/>
      <c r="T60" s="41"/>
      <c r="U60" s="41"/>
      <c r="V60" s="41"/>
      <c r="W60" s="41"/>
      <c r="X60" s="42"/>
      <c r="Y60" s="222"/>
      <c r="Z60" s="41"/>
      <c r="AA60" s="41"/>
      <c r="AB60" s="41"/>
      <c r="AC60" s="41"/>
      <c r="AD60" s="41">
        <f>+AM60+BA60</f>
        <v>36</v>
      </c>
      <c r="AE60" s="241" t="s">
        <v>627</v>
      </c>
      <c r="AF60" s="41"/>
      <c r="AG60" s="41"/>
      <c r="AH60" s="41"/>
      <c r="AI60" s="41">
        <v>36</v>
      </c>
      <c r="AJ60" s="41"/>
      <c r="AK60" s="41"/>
      <c r="AL60" s="41"/>
      <c r="AM60" s="41">
        <f>SUM(AF60:AL60)+AT60+AV60+AX60</f>
        <v>36</v>
      </c>
      <c r="AN60" s="41"/>
      <c r="AO60" s="41"/>
      <c r="AP60" s="41"/>
      <c r="AQ60" s="41"/>
      <c r="AR60" s="41">
        <f>SUM(AN60:AQ60)</f>
        <v>0</v>
      </c>
      <c r="AS60" s="41"/>
      <c r="AT60" s="41"/>
      <c r="AU60" s="41"/>
      <c r="AV60" s="41"/>
      <c r="AW60" s="41"/>
      <c r="AX60" s="41"/>
      <c r="AY60" s="41"/>
      <c r="AZ60" s="41"/>
      <c r="BA60" s="41">
        <f>+AR60+AS60+AU60+AW60+AY60+AZ60</f>
        <v>0</v>
      </c>
      <c r="BB60" s="37"/>
      <c r="BC60" s="57"/>
      <c r="BD60" s="57"/>
      <c r="BE60" s="37"/>
      <c r="BF60" s="57"/>
    </row>
    <row r="61" spans="1:58" ht="12.95" customHeight="1">
      <c r="A61" s="44"/>
      <c r="B61" s="45"/>
      <c r="C61" s="450"/>
      <c r="D61" s="45"/>
      <c r="E61" s="46"/>
      <c r="F61" s="46"/>
      <c r="G61" s="47"/>
      <c r="H61" s="48"/>
      <c r="I61" s="49"/>
      <c r="J61" s="90"/>
      <c r="K61" s="90"/>
      <c r="L61" s="39"/>
      <c r="M61" s="39"/>
      <c r="N61" s="50"/>
      <c r="O61" s="51"/>
      <c r="P61" s="52"/>
      <c r="Q61" s="51"/>
      <c r="R61" s="420"/>
      <c r="S61" s="420"/>
      <c r="T61" s="41"/>
      <c r="U61" s="41"/>
      <c r="V61" s="41"/>
      <c r="W61" s="41"/>
      <c r="X61" s="42"/>
      <c r="Y61" s="222"/>
      <c r="Z61" s="41"/>
      <c r="AA61" s="41"/>
      <c r="AB61" s="41"/>
      <c r="AC61" s="41"/>
      <c r="AD61" s="41"/>
      <c r="AE61" s="2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37"/>
      <c r="BC61" s="55"/>
      <c r="BD61" s="55"/>
      <c r="BE61" s="55"/>
      <c r="BF61" s="55"/>
    </row>
    <row r="62" spans="1:58" ht="12.95" customHeight="1">
      <c r="A62" s="346">
        <v>45850</v>
      </c>
      <c r="B62" s="45" t="s">
        <v>607</v>
      </c>
      <c r="C62" s="450">
        <f>(M62*E62*O62*Q62)/100000000</f>
        <v>3.3918192</v>
      </c>
      <c r="D62" s="45" t="s">
        <v>608</v>
      </c>
      <c r="E62" s="46">
        <v>11.5</v>
      </c>
      <c r="F62" s="46">
        <v>1</v>
      </c>
      <c r="G62" s="463">
        <v>1700</v>
      </c>
      <c r="H62" s="48">
        <v>0.2</v>
      </c>
      <c r="I62" s="49">
        <v>0.88</v>
      </c>
      <c r="J62" s="90">
        <f>E62*G62*(1-H62)*1440/1000000*2.77</f>
        <v>62.384831999999996</v>
      </c>
      <c r="K62" s="90">
        <f>(IF(G62&lt;L62,L62,G62)*(1-IF(H62&lt;N62,H62,N62))*E62*O62*Q62)/100000000</f>
        <v>3.4946016000000002</v>
      </c>
      <c r="L62" s="39">
        <v>1650</v>
      </c>
      <c r="M62" s="39">
        <v>1320</v>
      </c>
      <c r="N62" s="50">
        <f>1-(M62/L62)</f>
        <v>0.19999999999999996</v>
      </c>
      <c r="O62" s="51">
        <f>+'Trim Rwd'!H46</f>
        <v>266</v>
      </c>
      <c r="P62" s="52">
        <f>O62*(Q62-R62-S62)</f>
        <v>21014</v>
      </c>
      <c r="Q62" s="51">
        <v>84</v>
      </c>
      <c r="R62" s="420">
        <v>0</v>
      </c>
      <c r="S62" s="420">
        <v>5</v>
      </c>
      <c r="T62" s="41">
        <f>E62*M62*O62*Q62/100000000</f>
        <v>3.3918192</v>
      </c>
      <c r="U62" s="41">
        <f>E62*M62*O62*(Q62-R62-S62)/100000000</f>
        <v>3.1899251999999998</v>
      </c>
      <c r="V62" s="41">
        <f>E62*G62*(1-N62)*O62/100*(R62+S62)/1000000</f>
        <v>0.208012</v>
      </c>
      <c r="W62" s="41">
        <f>+'12'!K14/1000</f>
        <v>8.5510000000000002</v>
      </c>
      <c r="X62" s="417">
        <f>SUM(W62:W65)/SUM(K62:K65)</f>
        <v>0.78168732173426547</v>
      </c>
      <c r="Y62" s="222">
        <v>0</v>
      </c>
      <c r="Z62" s="41">
        <v>0</v>
      </c>
      <c r="AA62" s="53">
        <f>SUM(U62:U65)-SUM(W62:W65)-SUM(Z62:Z65)-SUM(Y62:Y65)</f>
        <v>6.7772135939999973</v>
      </c>
      <c r="AB62" s="53">
        <f>(SUM(K62:K65)-SUM(W62:W65)-SUM(Y62:Y65)-SUM(Z62:Z65)-SUM(AC62:AC65)-SUM(V62:V65))-AA62</f>
        <v>-0.11170308755810332</v>
      </c>
      <c r="AC62" s="41">
        <f>K62-T62</f>
        <v>0.10278240000000016</v>
      </c>
      <c r="AD62" s="41">
        <f>+AM62+BA62</f>
        <v>5</v>
      </c>
      <c r="AE62" s="241" t="s">
        <v>536</v>
      </c>
      <c r="AF62" s="41">
        <v>5</v>
      </c>
      <c r="AG62" s="41"/>
      <c r="AH62" s="41"/>
      <c r="AI62" s="459"/>
      <c r="AJ62" s="41"/>
      <c r="AK62" s="41"/>
      <c r="AL62" s="41"/>
      <c r="AM62" s="41">
        <f>SUM(AF62:AL62)+AT62+AV62+AX62</f>
        <v>5</v>
      </c>
      <c r="AN62" s="41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37">
        <v>1</v>
      </c>
      <c r="BC62" s="55"/>
      <c r="BD62" s="55"/>
      <c r="BE62" s="37"/>
      <c r="BF62" s="55"/>
    </row>
    <row r="63" spans="1:58" ht="12.95" customHeight="1">
      <c r="A63" s="346"/>
      <c r="B63" s="45" t="s">
        <v>607</v>
      </c>
      <c r="C63" s="450">
        <f>(M63*E63*O63*Q63)/100000000</f>
        <v>38.531902500000001</v>
      </c>
      <c r="D63" s="45" t="s">
        <v>608</v>
      </c>
      <c r="E63" s="46">
        <v>10.5</v>
      </c>
      <c r="F63" s="46">
        <v>1</v>
      </c>
      <c r="G63" s="463">
        <v>1730</v>
      </c>
      <c r="H63" s="48">
        <v>0.16</v>
      </c>
      <c r="I63" s="49">
        <v>0.88</v>
      </c>
      <c r="J63" s="90">
        <f>E63*G63*(1-H63)*1440/1000000*2.77</f>
        <v>60.863503679999987</v>
      </c>
      <c r="K63" s="90">
        <f>(IF(G63&lt;L63,L63,G63)*(1-IF(H63&lt;N63,H63,N63))*E63*O63*Q63)/100000000</f>
        <v>40.180947151898735</v>
      </c>
      <c r="L63" s="39">
        <v>1659</v>
      </c>
      <c r="M63" s="39">
        <v>1394</v>
      </c>
      <c r="N63" s="50">
        <f>1-(M63/L63)</f>
        <v>0.1597347799879445</v>
      </c>
      <c r="O63" s="51">
        <f>+'Trim Rwd'!H47</f>
        <v>270</v>
      </c>
      <c r="P63" s="52">
        <f>O63*(Q63-R63-S63)</f>
        <v>250830</v>
      </c>
      <c r="Q63" s="51">
        <v>975</v>
      </c>
      <c r="R63" s="420">
        <v>0</v>
      </c>
      <c r="S63" s="420">
        <f>18+28</f>
        <v>46</v>
      </c>
      <c r="T63" s="41">
        <f>E63*M63*O63*Q63/100000000</f>
        <v>38.531902500000001</v>
      </c>
      <c r="U63" s="41">
        <f>E63*M63*O63*(Q63-R63-S63)/100000000</f>
        <v>36.713987099999997</v>
      </c>
      <c r="V63" s="41">
        <f>E63*G63*(1-N63)*O63/100*(R63+S63)/1000000</f>
        <v>1.8957164810126585</v>
      </c>
      <c r="W63" s="41">
        <f>+'12'!K15/1000</f>
        <v>15.566000000000001</v>
      </c>
      <c r="X63" s="42"/>
      <c r="Y63" s="222"/>
      <c r="Z63" s="41">
        <f>+'12'!D34/1000</f>
        <v>1.0389999999999999</v>
      </c>
      <c r="AA63" s="41"/>
      <c r="AB63" s="41"/>
      <c r="AC63" s="41">
        <f>K63-T63</f>
        <v>1.6490446518987341</v>
      </c>
      <c r="AD63" s="41">
        <f>+AM63+BA63</f>
        <v>18</v>
      </c>
      <c r="AE63" s="241" t="s">
        <v>658</v>
      </c>
      <c r="AF63" s="41"/>
      <c r="AG63" s="41">
        <v>18</v>
      </c>
      <c r="AH63" s="41"/>
      <c r="AI63" s="459"/>
      <c r="AJ63" s="41"/>
      <c r="AK63" s="41"/>
      <c r="AL63" s="41"/>
      <c r="AM63" s="41">
        <f>SUM(AF63:AL63)+AT63+AV63+AX63</f>
        <v>18</v>
      </c>
      <c r="AN63" s="91"/>
      <c r="AO63" s="41"/>
      <c r="AP63" s="41"/>
      <c r="AQ63" s="41"/>
      <c r="AR63" s="41">
        <f>SUM(AN63:AQ63)</f>
        <v>0</v>
      </c>
      <c r="AS63" s="41"/>
      <c r="AT63" s="41"/>
      <c r="AU63" s="41"/>
      <c r="AV63" s="41"/>
      <c r="AW63" s="41"/>
      <c r="AX63" s="41"/>
      <c r="AY63" s="41"/>
      <c r="AZ63" s="41"/>
      <c r="BA63" s="41">
        <f>+AR63+AS63+AU63+AW63+AY63+AZ63</f>
        <v>0</v>
      </c>
      <c r="BB63" s="54"/>
      <c r="BC63" s="55">
        <v>15</v>
      </c>
      <c r="BD63" s="55"/>
      <c r="BE63" s="54"/>
      <c r="BF63" s="55"/>
    </row>
    <row r="64" spans="1:58" ht="12.95" customHeight="1">
      <c r="A64" s="44"/>
      <c r="B64" s="45" t="s">
        <v>607</v>
      </c>
      <c r="C64" s="450">
        <f>(M64*E64*O64*Q64)/100000000</f>
        <v>14.555346429</v>
      </c>
      <c r="D64" s="45" t="s">
        <v>608</v>
      </c>
      <c r="E64" s="46">
        <v>10.3</v>
      </c>
      <c r="F64" s="46">
        <v>1</v>
      </c>
      <c r="G64" s="463">
        <v>1730</v>
      </c>
      <c r="H64" s="48">
        <v>0.2</v>
      </c>
      <c r="I64" s="49">
        <v>0.88</v>
      </c>
      <c r="J64" s="90">
        <f>E64*G64*(1-H64)*1440/1000000*2.77</f>
        <v>56.861141760000002</v>
      </c>
      <c r="K64" s="90">
        <f>(IF(G64&lt;L64,L64,G64)*(1-IF(H64&lt;N64,H64,N64))*E64*O64*Q64)/100000000</f>
        <v>15.261060195254547</v>
      </c>
      <c r="L64" s="39">
        <v>1650</v>
      </c>
      <c r="M64" s="39">
        <v>1339</v>
      </c>
      <c r="N64" s="50">
        <f>1-(M64/L64)</f>
        <v>0.18848484848484848</v>
      </c>
      <c r="O64" s="51">
        <f>+'Trim Rwd'!H48</f>
        <v>277</v>
      </c>
      <c r="P64" s="52">
        <f>O64*(Q64-R64-S64)</f>
        <v>101382</v>
      </c>
      <c r="Q64" s="51">
        <v>381</v>
      </c>
      <c r="R64" s="420">
        <v>0</v>
      </c>
      <c r="S64" s="420">
        <v>15</v>
      </c>
      <c r="T64" s="41">
        <f>E64*M64*O64*Q64/100000000</f>
        <v>14.555346429</v>
      </c>
      <c r="U64" s="41">
        <f>E64*M64*O64*(Q64-R64-S64)/100000000</f>
        <v>13.982301294000001</v>
      </c>
      <c r="V64" s="41">
        <f>E64*G64*(1-N64)*O64/100*(R64+S64)/1000000</f>
        <v>0.60082914154545453</v>
      </c>
      <c r="W64" s="41">
        <f>+'12'!K16/1000</f>
        <v>21.952999999999999</v>
      </c>
      <c r="X64" s="42"/>
      <c r="Y64" s="222"/>
      <c r="Z64" s="41"/>
      <c r="AA64" s="41"/>
      <c r="AB64" s="41"/>
      <c r="AC64" s="41">
        <f>K64-T64</f>
        <v>0.70571376625454718</v>
      </c>
      <c r="AD64" s="41">
        <f>+AM64+BA64</f>
        <v>28</v>
      </c>
      <c r="AE64" s="241" t="s">
        <v>610</v>
      </c>
      <c r="AF64" s="37"/>
      <c r="AG64" s="37"/>
      <c r="AH64" s="37">
        <v>28</v>
      </c>
      <c r="AJ64" s="41"/>
      <c r="AK64" s="41"/>
      <c r="AL64" s="41"/>
      <c r="AM64" s="41">
        <f>SUM(AF64:AL64)+AT64+AV64+AX64</f>
        <v>28</v>
      </c>
      <c r="AN64" s="41"/>
      <c r="AO64" s="41"/>
      <c r="AP64" s="41"/>
      <c r="AQ64" s="41"/>
      <c r="AR64" s="41">
        <f>SUM(AN64:AQ64)</f>
        <v>0</v>
      </c>
      <c r="AS64" s="41"/>
      <c r="AT64" s="41"/>
      <c r="AU64" s="41"/>
      <c r="AV64" s="41"/>
      <c r="AW64" s="41"/>
      <c r="AX64" s="41"/>
      <c r="AY64" s="41"/>
      <c r="AZ64" s="41"/>
      <c r="BA64" s="41">
        <f>+AR64+AS64+AU64+AW64+AY64+AZ64</f>
        <v>0</v>
      </c>
      <c r="BB64" s="37"/>
      <c r="BC64" s="57"/>
      <c r="BD64" s="57"/>
      <c r="BE64" s="37"/>
      <c r="BF64" s="57"/>
    </row>
    <row r="65" spans="1:58" ht="12.95" customHeight="1">
      <c r="A65" s="44"/>
      <c r="B65" s="45"/>
      <c r="C65" s="450"/>
      <c r="D65" s="45"/>
      <c r="E65" s="46"/>
      <c r="F65" s="46"/>
      <c r="G65" s="47"/>
      <c r="H65" s="48"/>
      <c r="I65" s="49"/>
      <c r="J65" s="90"/>
      <c r="K65" s="90"/>
      <c r="L65" s="39"/>
      <c r="M65" s="39"/>
      <c r="N65" s="50"/>
      <c r="O65" s="51"/>
      <c r="P65" s="52"/>
      <c r="Q65" s="51"/>
      <c r="R65" s="420"/>
      <c r="S65" s="420"/>
      <c r="T65" s="41"/>
      <c r="U65" s="41"/>
      <c r="V65" s="41"/>
      <c r="W65" s="41"/>
      <c r="X65" s="42"/>
      <c r="Y65" s="222"/>
      <c r="Z65" s="41"/>
      <c r="AA65" s="41"/>
      <c r="AB65" s="41"/>
      <c r="AC65" s="41"/>
      <c r="AD65" s="41">
        <f>+AM65+BA65</f>
        <v>15</v>
      </c>
      <c r="AE65" s="241" t="s">
        <v>540</v>
      </c>
      <c r="AF65" s="41"/>
      <c r="AG65" s="41"/>
      <c r="AH65" s="41"/>
      <c r="AI65" s="41">
        <v>15</v>
      </c>
      <c r="AJ65" s="41"/>
      <c r="AK65" s="41"/>
      <c r="AL65" s="41"/>
      <c r="AM65" s="41">
        <f>SUM(AF65:AL65)+AT65+AV65+AX65</f>
        <v>15</v>
      </c>
      <c r="AN65" s="41"/>
      <c r="AO65" s="41"/>
      <c r="AP65" s="41"/>
      <c r="AQ65" s="41"/>
      <c r="AR65" s="41">
        <f>SUM(AN65:AQ65)</f>
        <v>0</v>
      </c>
      <c r="AS65" s="41"/>
      <c r="AT65" s="41"/>
      <c r="AU65" s="41"/>
      <c r="AV65" s="41"/>
      <c r="AW65" s="41"/>
      <c r="AX65" s="41"/>
      <c r="AY65" s="41"/>
      <c r="AZ65" s="41"/>
      <c r="BA65" s="41">
        <f>+AR65+AS65+AU65+AW65+AY65+AZ65</f>
        <v>0</v>
      </c>
      <c r="BB65" s="37"/>
      <c r="BC65" s="57"/>
      <c r="BD65" s="57"/>
      <c r="BE65" s="37"/>
      <c r="BF65" s="57"/>
    </row>
    <row r="66" spans="1:58" ht="12.95" customHeight="1">
      <c r="A66" s="44"/>
      <c r="B66" s="45"/>
      <c r="C66" s="450"/>
      <c r="D66" s="45"/>
      <c r="E66" s="46"/>
      <c r="F66" s="46"/>
      <c r="G66" s="47"/>
      <c r="H66" s="48"/>
      <c r="I66" s="49"/>
      <c r="J66" s="90"/>
      <c r="K66" s="90"/>
      <c r="L66" s="39"/>
      <c r="M66" s="39"/>
      <c r="N66" s="50"/>
      <c r="O66" s="51"/>
      <c r="P66" s="52"/>
      <c r="Q66" s="51"/>
      <c r="R66" s="420"/>
      <c r="S66" s="420"/>
      <c r="T66" s="41"/>
      <c r="U66" s="41"/>
      <c r="V66" s="41"/>
      <c r="W66" s="41"/>
      <c r="X66" s="42"/>
      <c r="Y66" s="222"/>
      <c r="Z66" s="41"/>
      <c r="AA66" s="41"/>
      <c r="AB66" s="41"/>
      <c r="AC66" s="41"/>
      <c r="AD66" s="41"/>
      <c r="AE66" s="2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37"/>
      <c r="BC66" s="55"/>
      <c r="BD66" s="55"/>
      <c r="BE66" s="55"/>
      <c r="BF66" s="55"/>
    </row>
    <row r="67" spans="1:58" ht="12.95" customHeight="1">
      <c r="A67" s="346">
        <v>45851</v>
      </c>
      <c r="B67" s="45" t="s">
        <v>607</v>
      </c>
      <c r="C67" s="450">
        <f>(M67*E67*O67*Q67)/100000000</f>
        <v>39.178792799999997</v>
      </c>
      <c r="D67" s="45" t="s">
        <v>608</v>
      </c>
      <c r="E67" s="46">
        <v>10.5</v>
      </c>
      <c r="F67" s="46">
        <v>1</v>
      </c>
      <c r="G67" s="463">
        <v>1730</v>
      </c>
      <c r="H67" s="48">
        <v>0.16</v>
      </c>
      <c r="I67" s="49">
        <v>0.88</v>
      </c>
      <c r="J67" s="90">
        <f>E67*G67*(1-H67)*1440/1000000*2.77</f>
        <v>60.863503679999987</v>
      </c>
      <c r="K67" s="90">
        <f>(IF(G67&lt;L67,L67,G67)*(1-IF(H67&lt;N67,H67,N67))*E67*O67*Q67)/100000000</f>
        <v>42.022184399999993</v>
      </c>
      <c r="L67" s="39">
        <v>1612.9411764705883</v>
      </c>
      <c r="M67" s="39">
        <v>1354.870588235294</v>
      </c>
      <c r="N67" s="50">
        <f>1-(M67/L67)</f>
        <v>0.16000000000000014</v>
      </c>
      <c r="O67" s="51">
        <f>+'Trim Rwd'!H51</f>
        <v>270</v>
      </c>
      <c r="P67" s="52">
        <f>O67*(Q67-R67-S67)</f>
        <v>260550</v>
      </c>
      <c r="Q67" s="51">
        <v>1020</v>
      </c>
      <c r="R67" s="420">
        <v>0</v>
      </c>
      <c r="S67" s="420">
        <v>55</v>
      </c>
      <c r="T67" s="41">
        <f>E67*M67*O67*Q67/100000000</f>
        <v>39.178792799999997</v>
      </c>
      <c r="U67" s="41">
        <f>E67*M67*O67*(Q67-R67-S67)/100000000</f>
        <v>37.066210835294115</v>
      </c>
      <c r="V67" s="41">
        <f>E67*G67*(1-N67)*O67/100*(R67+S67)/1000000</f>
        <v>2.2659020999999995</v>
      </c>
      <c r="W67" s="41">
        <f>+'13'!K15/1000</f>
        <v>22.26</v>
      </c>
      <c r="X67" s="417">
        <f>SUM(W67:W70)/SUM(K67:K70)</f>
        <v>0.60333694021081286</v>
      </c>
      <c r="Y67" s="222">
        <v>0</v>
      </c>
      <c r="Z67" s="41">
        <f>+'13'!D34/1000</f>
        <v>3.012</v>
      </c>
      <c r="AA67" s="53">
        <f>SUM(U67:U70)-SUM(W67:W70)-SUM(Z67:Z70)-SUM(Y67:Y70)</f>
        <v>14.638239635294113</v>
      </c>
      <c r="AB67" s="53">
        <f>(SUM(K67:K70)-SUM(W67:W70)-SUM(Y67:Y70)-SUM(Z67:Z70)-SUM(AC67:AC70)-SUM(V67:V70))-AA67</f>
        <v>-0.17630253529411632</v>
      </c>
      <c r="AC67" s="41">
        <f>K67-T67</f>
        <v>2.8433915999999968</v>
      </c>
      <c r="AD67" s="41">
        <f>+AM67+BA67</f>
        <v>20</v>
      </c>
      <c r="AE67" s="241" t="s">
        <v>504</v>
      </c>
      <c r="AF67" s="41">
        <v>20</v>
      </c>
      <c r="AG67" s="41"/>
      <c r="AH67" s="41"/>
      <c r="AI67" s="459"/>
      <c r="AJ67" s="41"/>
      <c r="AK67" s="41"/>
      <c r="AL67" s="41"/>
      <c r="AM67" s="41">
        <f>SUM(AF67:AL67)+AT67+AV67+AX67</f>
        <v>20</v>
      </c>
      <c r="AN67" s="41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37">
        <v>4</v>
      </c>
      <c r="BC67" s="55"/>
      <c r="BD67" s="55"/>
      <c r="BE67" s="37"/>
      <c r="BF67" s="55"/>
    </row>
    <row r="68" spans="1:58" ht="12.95" customHeight="1">
      <c r="A68" s="346"/>
      <c r="B68" s="45" t="s">
        <v>607</v>
      </c>
      <c r="C68" s="450">
        <f>(M68*E68*O68*Q68)/100000000</f>
        <v>17.696448</v>
      </c>
      <c r="D68" s="45" t="s">
        <v>608</v>
      </c>
      <c r="E68" s="46">
        <v>12</v>
      </c>
      <c r="F68" s="46">
        <v>1</v>
      </c>
      <c r="G68" s="463">
        <v>1700</v>
      </c>
      <c r="H68" s="48">
        <v>0.2</v>
      </c>
      <c r="I68" s="49">
        <v>0.88</v>
      </c>
      <c r="J68" s="90">
        <f>E68*G68*(1-H68)*1440/1000000*2.77</f>
        <v>65.097216000000003</v>
      </c>
      <c r="K68" s="90">
        <f>(IF(G68&lt;L68,L68,G68)*(1-IF(H68&lt;N68,H68,N68))*E68*O68*Q68)/100000000</f>
        <v>18.232703999999998</v>
      </c>
      <c r="L68" s="39">
        <v>1650</v>
      </c>
      <c r="M68" s="39">
        <v>1320</v>
      </c>
      <c r="N68" s="50">
        <f>1-(M68/L68)</f>
        <v>0.19999999999999996</v>
      </c>
      <c r="O68" s="51">
        <f>+'Trim Rwd'!H50</f>
        <v>266</v>
      </c>
      <c r="P68" s="52">
        <f>O68*(Q68-R68-S68)</f>
        <v>106932</v>
      </c>
      <c r="Q68" s="51">
        <v>420</v>
      </c>
      <c r="R68" s="420">
        <v>0</v>
      </c>
      <c r="S68" s="420">
        <v>18</v>
      </c>
      <c r="T68" s="41">
        <f>E68*M68*O68*Q68/100000000</f>
        <v>17.696448</v>
      </c>
      <c r="U68" s="41">
        <f>E68*M68*O68*(Q68-R68-S68)/100000000</f>
        <v>16.938028800000001</v>
      </c>
      <c r="V68" s="41">
        <f>E68*G68*(1-N68)*O68/100*(R68+S68)/1000000</f>
        <v>0.78140160000000003</v>
      </c>
      <c r="W68" s="41">
        <f>+'13'!K13/1000</f>
        <v>14.093999999999999</v>
      </c>
      <c r="X68" s="42"/>
      <c r="Y68" s="222"/>
      <c r="Z68" s="41"/>
      <c r="AA68" s="41"/>
      <c r="AB68" s="41"/>
      <c r="AC68" s="41">
        <f>K68-T68</f>
        <v>0.53625599999999807</v>
      </c>
      <c r="AD68" s="41">
        <f>+AM68+BA68</f>
        <v>18</v>
      </c>
      <c r="AE68" s="241" t="s">
        <v>659</v>
      </c>
      <c r="AF68" s="41"/>
      <c r="AG68" s="41">
        <v>18</v>
      </c>
      <c r="AH68" s="41"/>
      <c r="AI68" s="459"/>
      <c r="AJ68" s="41"/>
      <c r="AK68" s="41"/>
      <c r="AL68" s="41"/>
      <c r="AM68" s="41">
        <f>SUM(AF68:AL68)+AT68+AV68+AX68</f>
        <v>18</v>
      </c>
      <c r="AN68" s="91"/>
      <c r="AO68" s="41"/>
      <c r="AP68" s="41"/>
      <c r="AQ68" s="41"/>
      <c r="AR68" s="41">
        <f>SUM(AN68:AQ68)</f>
        <v>0</v>
      </c>
      <c r="AS68" s="41"/>
      <c r="AT68" s="41"/>
      <c r="AU68" s="41"/>
      <c r="AV68" s="41"/>
      <c r="AW68" s="41"/>
      <c r="AX68" s="41"/>
      <c r="AY68" s="41"/>
      <c r="AZ68" s="41"/>
      <c r="BA68" s="41">
        <f>+AR68+AS68+AU68+AW68+AY68+AZ68</f>
        <v>0</v>
      </c>
      <c r="BB68" s="54"/>
      <c r="BC68" s="55">
        <v>17</v>
      </c>
      <c r="BD68" s="55"/>
      <c r="BE68" s="54"/>
      <c r="BF68" s="55"/>
    </row>
    <row r="69" spans="1:58" ht="12.95" customHeight="1">
      <c r="A69" s="44"/>
      <c r="B69" s="45"/>
      <c r="C69" s="450"/>
      <c r="D69" s="45"/>
      <c r="E69" s="46"/>
      <c r="F69" s="46"/>
      <c r="G69" s="463"/>
      <c r="H69" s="48"/>
      <c r="I69" s="49"/>
      <c r="J69" s="90"/>
      <c r="K69" s="90"/>
      <c r="L69" s="39"/>
      <c r="M69" s="39"/>
      <c r="N69" s="50"/>
      <c r="O69" s="51"/>
      <c r="P69" s="52"/>
      <c r="Q69" s="51"/>
      <c r="R69" s="420"/>
      <c r="S69" s="420"/>
      <c r="T69" s="41"/>
      <c r="U69" s="41"/>
      <c r="V69" s="41"/>
      <c r="W69" s="41"/>
      <c r="X69" s="42"/>
      <c r="Y69" s="222"/>
      <c r="Z69" s="41"/>
      <c r="AA69" s="41"/>
      <c r="AB69" s="41"/>
      <c r="AC69" s="41"/>
      <c r="AD69" s="41">
        <f>+AM69+BA69</f>
        <v>25</v>
      </c>
      <c r="AE69" s="241" t="s">
        <v>460</v>
      </c>
      <c r="AF69" s="37"/>
      <c r="AG69" s="37"/>
      <c r="AH69" s="37">
        <v>25</v>
      </c>
      <c r="AJ69" s="41"/>
      <c r="AK69" s="41"/>
      <c r="AL69" s="41"/>
      <c r="AM69" s="41">
        <f>SUM(AF69:AL69)+AT69+AV69+AX69</f>
        <v>25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/>
      <c r="BC69" s="57"/>
      <c r="BD69" s="57"/>
      <c r="BE69" s="37"/>
      <c r="BF69" s="57"/>
    </row>
    <row r="70" spans="1:58" ht="12.95" customHeight="1">
      <c r="A70" s="44"/>
      <c r="B70" s="45"/>
      <c r="C70" s="450"/>
      <c r="D70" s="45"/>
      <c r="E70" s="46"/>
      <c r="F70" s="46"/>
      <c r="G70" s="47"/>
      <c r="H70" s="48"/>
      <c r="I70" s="49"/>
      <c r="J70" s="90"/>
      <c r="K70" s="90"/>
      <c r="L70" s="39"/>
      <c r="M70" s="39"/>
      <c r="N70" s="50"/>
      <c r="O70" s="51"/>
      <c r="P70" s="52"/>
      <c r="Q70" s="51"/>
      <c r="R70" s="420"/>
      <c r="S70" s="420"/>
      <c r="T70" s="41"/>
      <c r="U70" s="41"/>
      <c r="V70" s="41"/>
      <c r="W70" s="41"/>
      <c r="X70" s="42"/>
      <c r="Y70" s="222"/>
      <c r="Z70" s="41"/>
      <c r="AA70" s="41"/>
      <c r="AB70" s="41"/>
      <c r="AC70" s="41"/>
      <c r="AD70" s="41">
        <f>+AM70+BA70</f>
        <v>10</v>
      </c>
      <c r="AE70" s="241" t="s">
        <v>540</v>
      </c>
      <c r="AF70" s="41"/>
      <c r="AG70" s="41"/>
      <c r="AH70" s="41"/>
      <c r="AI70" s="41">
        <v>10</v>
      </c>
      <c r="AJ70" s="41"/>
      <c r="AK70" s="41"/>
      <c r="AL70" s="41"/>
      <c r="AM70" s="41">
        <f>SUM(AF70:AL70)+AT70+AV70+AX70</f>
        <v>10</v>
      </c>
      <c r="AN70" s="41"/>
      <c r="AO70" s="41"/>
      <c r="AP70" s="41"/>
      <c r="AQ70" s="41"/>
      <c r="AR70" s="41">
        <f>SUM(AN70:AQ70)</f>
        <v>0</v>
      </c>
      <c r="AS70" s="41"/>
      <c r="AT70" s="41"/>
      <c r="AU70" s="41"/>
      <c r="AV70" s="41"/>
      <c r="AW70" s="41"/>
      <c r="AX70" s="41"/>
      <c r="AY70" s="41"/>
      <c r="AZ70" s="41"/>
      <c r="BA70" s="41">
        <f>+AR70+AS70+AU70+AW70+AY70+AZ70</f>
        <v>0</v>
      </c>
      <c r="BB70" s="37"/>
      <c r="BC70" s="57"/>
      <c r="BD70" s="57"/>
      <c r="BE70" s="37"/>
      <c r="BF70" s="57"/>
    </row>
    <row r="71" spans="1:58" ht="12.95" customHeight="1">
      <c r="A71" s="44"/>
      <c r="B71" s="45"/>
      <c r="C71" s="450"/>
      <c r="D71" s="45"/>
      <c r="E71" s="46"/>
      <c r="F71" s="46"/>
      <c r="G71" s="47"/>
      <c r="H71" s="48"/>
      <c r="I71" s="49"/>
      <c r="J71" s="90"/>
      <c r="K71" s="90"/>
      <c r="L71" s="39"/>
      <c r="M71" s="39"/>
      <c r="N71" s="50"/>
      <c r="O71" s="51"/>
      <c r="P71" s="52"/>
      <c r="Q71" s="51"/>
      <c r="R71" s="420"/>
      <c r="S71" s="420"/>
      <c r="T71" s="41"/>
      <c r="U71" s="41"/>
      <c r="V71" s="41"/>
      <c r="W71" s="41"/>
      <c r="X71" s="42"/>
      <c r="Y71" s="222"/>
      <c r="Z71" s="41"/>
      <c r="AA71" s="41"/>
      <c r="AB71" s="41"/>
      <c r="AC71" s="41"/>
      <c r="AD71" s="41"/>
      <c r="AE71" s="2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37"/>
      <c r="BC71" s="55"/>
      <c r="BD71" s="55"/>
      <c r="BE71" s="55"/>
      <c r="BF71" s="55"/>
    </row>
    <row r="72" spans="1:58" ht="12.75" customHeight="1">
      <c r="A72" s="346">
        <v>45852</v>
      </c>
      <c r="B72" s="45" t="s">
        <v>607</v>
      </c>
      <c r="C72" s="450">
        <f>(M72*E72*O72*Q72)/100000000</f>
        <v>55.739577599999997</v>
      </c>
      <c r="D72" s="45" t="s">
        <v>608</v>
      </c>
      <c r="E72" s="46">
        <v>10.5</v>
      </c>
      <c r="F72" s="46">
        <v>1</v>
      </c>
      <c r="G72" s="463">
        <v>1730</v>
      </c>
      <c r="H72" s="48">
        <v>0.16</v>
      </c>
      <c r="I72" s="49">
        <v>0.88</v>
      </c>
      <c r="J72" s="90">
        <f>E72*G72*(1-H72)*1440/1000000*2.77</f>
        <v>60.863503679999987</v>
      </c>
      <c r="K72" s="90">
        <f>(IF(G72&lt;L72,L72,G72)*(1-IF(H72&lt;N72,H72,N72))*E72*O72*Q72)/100000000</f>
        <v>59.050501682792415</v>
      </c>
      <c r="L72" s="39">
        <v>1633</v>
      </c>
      <c r="M72" s="39">
        <v>1372</v>
      </c>
      <c r="N72" s="50">
        <f>1-(M72/L72)</f>
        <v>0.15982853643600736</v>
      </c>
      <c r="O72" s="51">
        <f>+'Trim Rwd'!H53</f>
        <v>268.69387755102042</v>
      </c>
      <c r="P72" s="52">
        <f>O72*(Q72-R72-S72)</f>
        <v>295025.87755102041</v>
      </c>
      <c r="Q72" s="51">
        <v>1440</v>
      </c>
      <c r="R72" s="420">
        <v>0</v>
      </c>
      <c r="S72" s="420">
        <v>342</v>
      </c>
      <c r="T72" s="41">
        <f>E72*M72*O72*Q72/100000000</f>
        <v>55.739577599999997</v>
      </c>
      <c r="U72" s="41">
        <f>E72*M72*O72*(Q72-R72-S72)/100000000</f>
        <v>42.501427919999998</v>
      </c>
      <c r="V72" s="41">
        <f>E72*G72*(1-N72)*O72/100*(R72+S72)/1000000</f>
        <v>14.024494149663196</v>
      </c>
      <c r="W72" s="41">
        <f>+'14'!K34/1000</f>
        <v>45.256999999999998</v>
      </c>
      <c r="X72" s="417">
        <f>SUM(W72:W75)/SUM(K72:K75)</f>
        <v>0.76641177822860218</v>
      </c>
      <c r="Y72" s="222">
        <v>0</v>
      </c>
      <c r="Z72" s="41">
        <f>+'14'!D34/1000</f>
        <v>1.3160000000000001</v>
      </c>
      <c r="AA72" s="53">
        <f>SUM(U72:U75)-SUM(W72:W75)-SUM(Z72:Z75)-SUM(Y72:Y75)</f>
        <v>-4.0715720800000001</v>
      </c>
      <c r="AB72" s="53">
        <f>(SUM(K72:K75)-SUM(W72:W75)-SUM(Y72:Y75)-SUM(Z72:Z75)-SUM(AC72:AC75)-SUM(V72:V75))-AA72</f>
        <v>-0.78634446966319782</v>
      </c>
      <c r="AC72" s="41">
        <f>K72-T72</f>
        <v>3.3109240827924182</v>
      </c>
      <c r="AD72" s="41">
        <f>+AM72+BA72</f>
        <v>120</v>
      </c>
      <c r="AE72" s="241" t="s">
        <v>676</v>
      </c>
      <c r="AF72" s="41">
        <v>120</v>
      </c>
      <c r="AG72" s="41"/>
      <c r="AH72" s="41"/>
      <c r="AI72" s="459"/>
      <c r="AJ72" s="41"/>
      <c r="AK72" s="41"/>
      <c r="AL72" s="41"/>
      <c r="AM72" s="41">
        <f>SUM(AF72:AL72)+AT72+AV72+AX72</f>
        <v>120</v>
      </c>
      <c r="AN72" s="41"/>
      <c r="AO72" s="41"/>
      <c r="AP72" s="41"/>
      <c r="AQ72" s="41"/>
      <c r="AR72" s="41">
        <f>SUM(AN72:AQ72)</f>
        <v>0</v>
      </c>
      <c r="AS72" s="41"/>
      <c r="AT72" s="41"/>
      <c r="AU72" s="41"/>
      <c r="AV72" s="41"/>
      <c r="AW72" s="41"/>
      <c r="AX72" s="41"/>
      <c r="AY72" s="41"/>
      <c r="AZ72" s="41"/>
      <c r="BA72" s="41">
        <f>+AR72+AS72+AU72+AW72+AY72+AZ72</f>
        <v>0</v>
      </c>
      <c r="BB72" s="37">
        <v>24</v>
      </c>
      <c r="BC72" s="55"/>
      <c r="BD72" s="55"/>
      <c r="BE72" s="37"/>
      <c r="BF72" s="55"/>
    </row>
    <row r="73" spans="1:58" ht="12.95" customHeight="1">
      <c r="A73" s="346"/>
      <c r="B73" s="45"/>
      <c r="C73" s="450"/>
      <c r="D73" s="45"/>
      <c r="E73" s="46"/>
      <c r="F73" s="46"/>
      <c r="G73" s="463"/>
      <c r="H73" s="48"/>
      <c r="I73" s="49"/>
      <c r="J73" s="90"/>
      <c r="K73" s="90"/>
      <c r="L73" s="39"/>
      <c r="M73" s="39"/>
      <c r="N73" s="50"/>
      <c r="O73" s="51"/>
      <c r="P73" s="52"/>
      <c r="Q73" s="51"/>
      <c r="R73" s="420"/>
      <c r="S73" s="420"/>
      <c r="T73" s="41"/>
      <c r="U73" s="41"/>
      <c r="V73" s="41"/>
      <c r="W73" s="41"/>
      <c r="X73" s="42"/>
      <c r="Y73" s="222"/>
      <c r="Z73" s="41"/>
      <c r="AA73" s="41"/>
      <c r="AB73" s="41"/>
      <c r="AC73" s="41"/>
      <c r="AD73" s="41">
        <f>+AM73+BA73</f>
        <v>12</v>
      </c>
      <c r="AE73" s="241" t="s">
        <v>677</v>
      </c>
      <c r="AF73" s="41"/>
      <c r="AG73" s="41">
        <v>12</v>
      </c>
      <c r="AH73" s="41"/>
      <c r="AI73" s="459"/>
      <c r="AJ73" s="41"/>
      <c r="AK73" s="41"/>
      <c r="AL73" s="41"/>
      <c r="AM73" s="41">
        <f>SUM(AF73:AL73)+AT73+AV73+AX73</f>
        <v>12</v>
      </c>
      <c r="AN73" s="91"/>
      <c r="AO73" s="41"/>
      <c r="AP73" s="41"/>
      <c r="AQ73" s="41"/>
      <c r="AR73" s="41">
        <f>SUM(AN73:AQ73)</f>
        <v>0</v>
      </c>
      <c r="AS73" s="41"/>
      <c r="AT73" s="41"/>
      <c r="AU73" s="41"/>
      <c r="AV73" s="41"/>
      <c r="AW73" s="41"/>
      <c r="AX73" s="41"/>
      <c r="AY73" s="41"/>
      <c r="AZ73" s="41"/>
      <c r="BA73" s="41">
        <f>+AR73+AS73+AU73+AW73+AY73+AZ73</f>
        <v>0</v>
      </c>
      <c r="BB73" s="54"/>
      <c r="BC73" s="55">
        <v>13</v>
      </c>
      <c r="BD73" s="55"/>
      <c r="BE73" s="54"/>
      <c r="BF73" s="55"/>
    </row>
    <row r="74" spans="1:58" ht="12.95" customHeight="1">
      <c r="A74" s="44"/>
      <c r="B74" s="45"/>
      <c r="C74" s="450"/>
      <c r="D74" s="45"/>
      <c r="E74" s="46"/>
      <c r="F74" s="46"/>
      <c r="G74" s="463"/>
      <c r="H74" s="48"/>
      <c r="I74" s="49"/>
      <c r="J74" s="90"/>
      <c r="K74" s="90"/>
      <c r="L74" s="39"/>
      <c r="M74" s="39"/>
      <c r="N74" s="50"/>
      <c r="O74" s="51"/>
      <c r="P74" s="52"/>
      <c r="Q74" s="51"/>
      <c r="R74" s="420"/>
      <c r="S74" s="420"/>
      <c r="T74" s="41"/>
      <c r="U74" s="41"/>
      <c r="V74" s="41"/>
      <c r="W74" s="41"/>
      <c r="X74" s="42"/>
      <c r="Y74" s="222"/>
      <c r="Z74" s="41"/>
      <c r="AA74" s="41"/>
      <c r="AB74" s="41"/>
      <c r="AC74" s="41"/>
      <c r="AD74" s="41">
        <f>+AM74+BA74</f>
        <v>30</v>
      </c>
      <c r="AE74" s="241" t="s">
        <v>678</v>
      </c>
      <c r="AF74" s="37"/>
      <c r="AG74" s="37"/>
      <c r="AH74" s="37">
        <v>30</v>
      </c>
      <c r="AJ74" s="41"/>
      <c r="AK74" s="41"/>
      <c r="AL74" s="41"/>
      <c r="AM74" s="41">
        <f>SUM(AF74:AL74)+AT74+AV74+AX74</f>
        <v>30</v>
      </c>
      <c r="AN74" s="41"/>
      <c r="AO74" s="41"/>
      <c r="AP74" s="41"/>
      <c r="AQ74" s="41"/>
      <c r="AR74" s="41">
        <f>SUM(AN74:AQ74)</f>
        <v>0</v>
      </c>
      <c r="AS74" s="41"/>
      <c r="AT74" s="41"/>
      <c r="AU74" s="41"/>
      <c r="AV74" s="41"/>
      <c r="AW74" s="41"/>
      <c r="AX74" s="41"/>
      <c r="AY74" s="41"/>
      <c r="AZ74" s="41"/>
      <c r="BA74" s="41">
        <f>+AR74+AS74+AU74+AW74+AY74+AZ74</f>
        <v>0</v>
      </c>
      <c r="BB74" s="37"/>
      <c r="BC74" s="57"/>
      <c r="BD74" s="57"/>
      <c r="BE74" s="37"/>
      <c r="BF74" s="57"/>
    </row>
    <row r="75" spans="1:58" ht="12.95" customHeight="1">
      <c r="A75" s="44"/>
      <c r="B75" s="45"/>
      <c r="C75" s="450"/>
      <c r="D75" s="45"/>
      <c r="E75" s="46"/>
      <c r="F75" s="46"/>
      <c r="G75" s="47"/>
      <c r="H75" s="48"/>
      <c r="I75" s="49"/>
      <c r="J75" s="90"/>
      <c r="K75" s="90"/>
      <c r="L75" s="39"/>
      <c r="M75" s="39"/>
      <c r="N75" s="50"/>
      <c r="O75" s="51"/>
      <c r="P75" s="52"/>
      <c r="Q75" s="51"/>
      <c r="R75" s="420"/>
      <c r="S75" s="420"/>
      <c r="T75" s="41"/>
      <c r="U75" s="41"/>
      <c r="V75" s="41"/>
      <c r="W75" s="41"/>
      <c r="X75" s="42"/>
      <c r="Y75" s="222"/>
      <c r="Z75" s="41"/>
      <c r="AA75" s="41"/>
      <c r="AB75" s="41"/>
      <c r="AC75" s="41"/>
      <c r="AD75" s="41">
        <f>+AM75+BA75</f>
        <v>180</v>
      </c>
      <c r="AE75" s="244" t="s">
        <v>667</v>
      </c>
      <c r="AF75" s="41"/>
      <c r="AG75" s="41"/>
      <c r="AH75" s="41"/>
      <c r="AI75" s="41"/>
      <c r="AJ75" s="41"/>
      <c r="AK75" s="41">
        <v>180</v>
      </c>
      <c r="AL75" s="41"/>
      <c r="AM75" s="41">
        <f>SUM(AF75:AL75)+AT75+AV75+AX75</f>
        <v>180</v>
      </c>
      <c r="AN75" s="41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37"/>
      <c r="BC75" s="57"/>
      <c r="BD75" s="57"/>
      <c r="BE75" s="37"/>
      <c r="BF75" s="57">
        <v>1</v>
      </c>
    </row>
    <row r="76" spans="1:58" ht="12.95" customHeight="1">
      <c r="A76" s="346"/>
      <c r="B76" s="45"/>
      <c r="C76" s="450"/>
      <c r="D76" s="45"/>
      <c r="E76" s="46"/>
      <c r="F76" s="46"/>
      <c r="G76" s="463"/>
      <c r="H76" s="48"/>
      <c r="I76" s="49"/>
      <c r="J76" s="90"/>
      <c r="K76" s="90"/>
      <c r="L76" s="39"/>
      <c r="M76" s="39"/>
      <c r="N76" s="50"/>
      <c r="O76" s="51"/>
      <c r="P76" s="52"/>
      <c r="Q76" s="51"/>
      <c r="R76" s="420"/>
      <c r="S76" s="420"/>
      <c r="T76" s="41"/>
      <c r="U76" s="41"/>
      <c r="V76" s="41"/>
      <c r="W76" s="41"/>
      <c r="X76" s="417"/>
      <c r="Y76" s="222"/>
      <c r="Z76" s="41"/>
      <c r="AA76" s="53"/>
      <c r="AB76" s="53"/>
      <c r="AC76" s="41"/>
      <c r="AD76" s="41"/>
      <c r="AE76" s="241"/>
      <c r="AF76" s="41"/>
      <c r="AG76" s="41"/>
      <c r="AH76" s="41"/>
      <c r="AI76" s="459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37"/>
      <c r="BC76" s="55"/>
      <c r="BD76" s="55"/>
      <c r="BE76" s="55"/>
      <c r="BF76" s="55"/>
    </row>
    <row r="77" spans="1:58" ht="12.75" customHeight="1">
      <c r="A77" s="346">
        <v>45853</v>
      </c>
      <c r="B77" s="45" t="s">
        <v>607</v>
      </c>
      <c r="C77" s="450">
        <f>(M77*E77*O77*Q77)/100000000</f>
        <v>56.017700015094348</v>
      </c>
      <c r="D77" s="45" t="s">
        <v>608</v>
      </c>
      <c r="E77" s="46">
        <v>10.5</v>
      </c>
      <c r="F77" s="46">
        <v>1</v>
      </c>
      <c r="G77" s="463">
        <v>1730</v>
      </c>
      <c r="H77" s="48">
        <v>0.16</v>
      </c>
      <c r="I77" s="49">
        <v>0.88</v>
      </c>
      <c r="J77" s="90">
        <f>E77*G77*(1-H77)*1440/1000000*2.77</f>
        <v>60.863503679999987</v>
      </c>
      <c r="K77" s="90">
        <f>(IF(G77&lt;L77,L77,G77)*(1-IF(H77&lt;N77,H77,N77))*E77*O77*Q77)/100000000</f>
        <v>58.876440477590045</v>
      </c>
      <c r="L77" s="39">
        <v>1646</v>
      </c>
      <c r="M77" s="39">
        <v>1383</v>
      </c>
      <c r="N77" s="50">
        <f>1-(M77/L77)</f>
        <v>0.15978128797083835</v>
      </c>
      <c r="O77" s="51">
        <f>+'Trim Rwd'!H56</f>
        <v>267.88679245283021</v>
      </c>
      <c r="P77" s="52">
        <f>O77*(Q77-R77-S77)</f>
        <v>358700.41509433964</v>
      </c>
      <c r="Q77" s="51">
        <v>1440</v>
      </c>
      <c r="R77" s="420">
        <v>0</v>
      </c>
      <c r="S77" s="420">
        <v>101</v>
      </c>
      <c r="T77" s="41">
        <f>E77*M77*O77*Q77/100000000</f>
        <v>56.017700015094348</v>
      </c>
      <c r="U77" s="41">
        <f>E77*M77*O77*(Q77-R77-S77)/100000000</f>
        <v>52.088680777924537</v>
      </c>
      <c r="V77" s="41">
        <f>E77*G77*(1-N77)*O77/100*(R77+S77)/1000000</f>
        <v>4.1295281168309685</v>
      </c>
      <c r="W77" s="41">
        <f>+'15'!K34/1000</f>
        <v>50.311</v>
      </c>
      <c r="X77" s="417">
        <f>SUM(W77:W80)/SUM(K77:K80)</f>
        <v>0.85451837087790183</v>
      </c>
      <c r="Y77" s="222">
        <v>0</v>
      </c>
      <c r="Z77" s="41">
        <f>+'15'!D34/1000</f>
        <v>1.7110000000000001</v>
      </c>
      <c r="AA77" s="53">
        <f>SUM(U77:U80)-SUM(W77:W80)-SUM(Z77:Z80)-SUM(Y77:Y80)</f>
        <v>6.6680777924537304E-2</v>
      </c>
      <c r="AB77" s="53">
        <f>(SUM(K77:K80)-SUM(W77:W80)-SUM(Y77:Y80)-SUM(Z77:Z80)-SUM(AC77:AC80)-SUM(V77:V80))-AA77</f>
        <v>-0.2005088796611576</v>
      </c>
      <c r="AC77" s="41">
        <f>K77-T77</f>
        <v>2.858740462495696</v>
      </c>
      <c r="AD77" s="41">
        <f>+AM77+BA77</f>
        <v>40</v>
      </c>
      <c r="AE77" s="241" t="s">
        <v>688</v>
      </c>
      <c r="AF77" s="41">
        <v>40</v>
      </c>
      <c r="AG77" s="41"/>
      <c r="AH77" s="41"/>
      <c r="AI77" s="459"/>
      <c r="AJ77" s="41"/>
      <c r="AK77" s="41"/>
      <c r="AL77" s="41"/>
      <c r="AM77" s="41">
        <f>SUM(AF77:AL77)+AT77+AV77+AX77</f>
        <v>40</v>
      </c>
      <c r="AN77" s="41"/>
      <c r="AO77" s="41"/>
      <c r="AP77" s="41"/>
      <c r="AQ77" s="41"/>
      <c r="AR77" s="41">
        <f>SUM(AN77:AQ77)</f>
        <v>0</v>
      </c>
      <c r="AS77" s="41"/>
      <c r="AT77" s="41"/>
      <c r="AU77" s="41"/>
      <c r="AV77" s="41"/>
      <c r="AW77" s="41"/>
      <c r="AX77" s="41"/>
      <c r="AY77" s="41"/>
      <c r="AZ77" s="41"/>
      <c r="BA77" s="41">
        <f>+AR77+AS77+AU77+AW77+AY77+AZ77</f>
        <v>0</v>
      </c>
      <c r="BB77" s="37">
        <v>8</v>
      </c>
      <c r="BC77" s="55"/>
      <c r="BD77" s="55"/>
      <c r="BE77" s="37"/>
      <c r="BF77" s="55"/>
    </row>
    <row r="78" spans="1:58" ht="12.95" customHeight="1">
      <c r="A78" s="346"/>
      <c r="B78" s="45"/>
      <c r="C78" s="450"/>
      <c r="D78" s="45"/>
      <c r="E78" s="46"/>
      <c r="F78" s="46"/>
      <c r="G78" s="463"/>
      <c r="H78" s="48"/>
      <c r="I78" s="49"/>
      <c r="J78" s="90"/>
      <c r="K78" s="90"/>
      <c r="L78" s="39"/>
      <c r="M78" s="39"/>
      <c r="N78" s="50"/>
      <c r="O78" s="51"/>
      <c r="P78" s="52"/>
      <c r="Q78" s="51"/>
      <c r="R78" s="420"/>
      <c r="S78" s="420"/>
      <c r="T78" s="41"/>
      <c r="U78" s="41"/>
      <c r="V78" s="41"/>
      <c r="W78" s="41"/>
      <c r="X78" s="42"/>
      <c r="Y78" s="222"/>
      <c r="Z78" s="41"/>
      <c r="AA78" s="41"/>
      <c r="AB78" s="41"/>
      <c r="AC78" s="41"/>
      <c r="AD78" s="41">
        <f>+AM78+BA78</f>
        <v>21</v>
      </c>
      <c r="AE78" s="241" t="s">
        <v>689</v>
      </c>
      <c r="AF78" s="41"/>
      <c r="AG78" s="41">
        <v>21</v>
      </c>
      <c r="AH78" s="41"/>
      <c r="AI78" s="459"/>
      <c r="AJ78" s="41"/>
      <c r="AK78" s="41"/>
      <c r="AL78" s="41"/>
      <c r="AM78" s="41">
        <f>SUM(AF78:AL78)+AT78+AV78+AX78</f>
        <v>21</v>
      </c>
      <c r="AN78" s="91"/>
      <c r="AO78" s="41"/>
      <c r="AP78" s="41"/>
      <c r="AQ78" s="41"/>
      <c r="AR78" s="41">
        <f>SUM(AN78:AQ78)</f>
        <v>0</v>
      </c>
      <c r="AS78" s="41"/>
      <c r="AT78" s="41"/>
      <c r="AU78" s="41"/>
      <c r="AV78" s="41"/>
      <c r="AW78" s="41"/>
      <c r="AX78" s="41"/>
      <c r="AY78" s="41"/>
      <c r="AZ78" s="41"/>
      <c r="BA78" s="41">
        <f>+AR78+AS78+AU78+AW78+AY78+AZ78</f>
        <v>0</v>
      </c>
      <c r="BB78" s="54"/>
      <c r="BC78" s="55">
        <v>14</v>
      </c>
      <c r="BD78" s="55"/>
      <c r="BE78" s="54"/>
      <c r="BF78" s="55"/>
    </row>
    <row r="79" spans="1:58" ht="12.95" customHeight="1">
      <c r="A79" s="44"/>
      <c r="B79" s="45"/>
      <c r="C79" s="450"/>
      <c r="D79" s="45"/>
      <c r="E79" s="46"/>
      <c r="F79" s="46"/>
      <c r="G79" s="463"/>
      <c r="H79" s="48"/>
      <c r="I79" s="49"/>
      <c r="J79" s="90"/>
      <c r="K79" s="90"/>
      <c r="L79" s="39"/>
      <c r="M79" s="39"/>
      <c r="N79" s="50"/>
      <c r="O79" s="51"/>
      <c r="P79" s="52"/>
      <c r="Q79" s="51"/>
      <c r="R79" s="420"/>
      <c r="S79" s="420"/>
      <c r="T79" s="41"/>
      <c r="U79" s="41"/>
      <c r="V79" s="41"/>
      <c r="W79" s="41"/>
      <c r="X79" s="42"/>
      <c r="Y79" s="222"/>
      <c r="Z79" s="41"/>
      <c r="AA79" s="41"/>
      <c r="AB79" s="41"/>
      <c r="AC79" s="41"/>
      <c r="AD79" s="41">
        <f>+AM79+BA79</f>
        <v>30</v>
      </c>
      <c r="AE79" s="241" t="s">
        <v>516</v>
      </c>
      <c r="AF79" s="37"/>
      <c r="AG79" s="37"/>
      <c r="AH79" s="37">
        <v>30</v>
      </c>
      <c r="AJ79" s="41"/>
      <c r="AK79" s="41"/>
      <c r="AL79" s="41"/>
      <c r="AM79" s="41">
        <f>SUM(AF79:AL79)+AT79+AV79+AX79</f>
        <v>30</v>
      </c>
      <c r="AN79" s="41"/>
      <c r="AO79" s="41"/>
      <c r="AP79" s="41"/>
      <c r="AQ79" s="41"/>
      <c r="AR79" s="41">
        <f>SUM(AN79:AQ79)</f>
        <v>0</v>
      </c>
      <c r="AS79" s="41"/>
      <c r="AT79" s="41"/>
      <c r="AU79" s="41"/>
      <c r="AV79" s="41"/>
      <c r="AW79" s="41"/>
      <c r="AX79" s="41"/>
      <c r="AY79" s="41"/>
      <c r="AZ79" s="41"/>
      <c r="BA79" s="41">
        <f>+AR79+AS79+AU79+AW79+AY79+AZ79</f>
        <v>0</v>
      </c>
      <c r="BB79" s="37"/>
      <c r="BC79" s="57"/>
      <c r="BD79" s="57"/>
      <c r="BE79" s="37"/>
      <c r="BF79" s="57"/>
    </row>
    <row r="80" spans="1:58" ht="12.95" customHeight="1">
      <c r="A80" s="44"/>
      <c r="B80" s="45"/>
      <c r="C80" s="450"/>
      <c r="D80" s="45"/>
      <c r="E80" s="46"/>
      <c r="F80" s="46"/>
      <c r="G80" s="47"/>
      <c r="H80" s="48"/>
      <c r="I80" s="49"/>
      <c r="J80" s="90"/>
      <c r="K80" s="90"/>
      <c r="L80" s="39"/>
      <c r="M80" s="39"/>
      <c r="N80" s="50"/>
      <c r="O80" s="51"/>
      <c r="P80" s="52"/>
      <c r="Q80" s="51"/>
      <c r="R80" s="420"/>
      <c r="S80" s="420"/>
      <c r="T80" s="41"/>
      <c r="U80" s="41"/>
      <c r="V80" s="41"/>
      <c r="W80" s="41"/>
      <c r="X80" s="42"/>
      <c r="Y80" s="222"/>
      <c r="Z80" s="41"/>
      <c r="AA80" s="41"/>
      <c r="AB80" s="41"/>
      <c r="AC80" s="41"/>
      <c r="AD80" s="41">
        <f>+AM80+BA80</f>
        <v>10</v>
      </c>
      <c r="AE80" s="244" t="s">
        <v>691</v>
      </c>
      <c r="AF80" s="41"/>
      <c r="AG80" s="41"/>
      <c r="AH80" s="41"/>
      <c r="AI80" s="41"/>
      <c r="AJ80" s="41"/>
      <c r="AK80" s="41">
        <v>10</v>
      </c>
      <c r="AL80" s="41"/>
      <c r="AM80" s="41">
        <f>SUM(AF80:AL80)+AT80+AV80+AX80</f>
        <v>10</v>
      </c>
      <c r="AN80" s="41"/>
      <c r="AO80" s="41"/>
      <c r="AP80" s="41"/>
      <c r="AQ80" s="41"/>
      <c r="AR80" s="41">
        <f>SUM(AN80:AQ80)</f>
        <v>0</v>
      </c>
      <c r="AS80" s="41"/>
      <c r="AT80" s="41"/>
      <c r="AU80" s="41"/>
      <c r="AV80" s="41"/>
      <c r="AW80" s="41"/>
      <c r="AX80" s="41"/>
      <c r="AY80" s="41"/>
      <c r="AZ80" s="41"/>
      <c r="BA80" s="41">
        <f>+AR80+AS80+AU80+AW80+AY80+AZ80</f>
        <v>0</v>
      </c>
      <c r="BB80" s="37"/>
      <c r="BC80" s="57"/>
      <c r="BD80" s="57"/>
      <c r="BE80" s="37"/>
      <c r="BF80" s="57">
        <v>1</v>
      </c>
    </row>
    <row r="81" spans="1:58" ht="12.95" customHeight="1">
      <c r="A81" s="346"/>
      <c r="B81" s="45"/>
      <c r="C81" s="450"/>
      <c r="D81" s="45"/>
      <c r="E81" s="46"/>
      <c r="F81" s="46"/>
      <c r="G81" s="463"/>
      <c r="H81" s="48"/>
      <c r="I81" s="49"/>
      <c r="J81" s="90"/>
      <c r="K81" s="90"/>
      <c r="L81" s="39"/>
      <c r="M81" s="39"/>
      <c r="N81" s="50"/>
      <c r="O81" s="51"/>
      <c r="P81" s="52"/>
      <c r="Q81" s="51"/>
      <c r="R81" s="420"/>
      <c r="S81" s="420"/>
      <c r="T81" s="41"/>
      <c r="U81" s="41"/>
      <c r="V81" s="41"/>
      <c r="W81" s="41"/>
      <c r="X81" s="417"/>
      <c r="Y81" s="222"/>
      <c r="Z81" s="41"/>
      <c r="AA81" s="53"/>
      <c r="AB81" s="53"/>
      <c r="AC81" s="41"/>
      <c r="AD81" s="41"/>
      <c r="AE81" s="241"/>
      <c r="AF81" s="41"/>
      <c r="AG81" s="41"/>
      <c r="AH81" s="41"/>
      <c r="AI81" s="459"/>
      <c r="AJ81" s="41"/>
      <c r="AK81" s="41"/>
      <c r="AL81" s="41"/>
      <c r="AM81" s="41"/>
      <c r="AN81" s="9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54"/>
      <c r="BC81" s="55"/>
      <c r="BD81" s="55"/>
      <c r="BE81" s="55"/>
      <c r="BF81" s="55"/>
    </row>
    <row r="82" spans="1:58" ht="12.75" customHeight="1">
      <c r="A82" s="346">
        <v>45854</v>
      </c>
      <c r="B82" s="45" t="s">
        <v>607</v>
      </c>
      <c r="C82" s="450">
        <f>(M82*E82*O82*Q82)/100000000</f>
        <v>55.585492677818181</v>
      </c>
      <c r="D82" s="45" t="s">
        <v>608</v>
      </c>
      <c r="E82" s="46">
        <v>10.3</v>
      </c>
      <c r="F82" s="46">
        <v>1</v>
      </c>
      <c r="G82" s="463">
        <v>1730</v>
      </c>
      <c r="H82" s="48">
        <v>0.16</v>
      </c>
      <c r="I82" s="49">
        <v>0.88</v>
      </c>
      <c r="J82" s="90">
        <f>E82*G82*(1-H82)*1440/1000000*2.77</f>
        <v>59.704198847999997</v>
      </c>
      <c r="K82" s="90">
        <f>(IF(G82&lt;L82,L82,G82)*(1-IF(H82&lt;N82,H82,N82))*E82*O82*Q82)/100000000</f>
        <v>57.615433637236364</v>
      </c>
      <c r="L82" s="39">
        <v>1670</v>
      </c>
      <c r="M82" s="39">
        <v>1402</v>
      </c>
      <c r="N82" s="50">
        <f>1-(M82/L82)</f>
        <v>0.16047904191616769</v>
      </c>
      <c r="O82" s="51">
        <f>+'Trim Rwd'!H59</f>
        <v>267.30909090909091</v>
      </c>
      <c r="P82" s="52">
        <f>O82*(Q82-R82-S82)</f>
        <v>369153.85454545455</v>
      </c>
      <c r="Q82" s="51">
        <v>1440</v>
      </c>
      <c r="R82" s="420">
        <v>0</v>
      </c>
      <c r="S82" s="420">
        <v>59</v>
      </c>
      <c r="T82" s="41">
        <f>E82*M82*O82*Q82/100000000</f>
        <v>55.585492677818181</v>
      </c>
      <c r="U82" s="41">
        <f>E82*M82*O82*(Q82-R82-S82)/100000000</f>
        <v>53.30803151949091</v>
      </c>
      <c r="V82" s="41">
        <f>E82*G82*(1-N82)*O82/100*(R82+S82)/1000000</f>
        <v>2.3592861101234619</v>
      </c>
      <c r="W82" s="41">
        <f>+'16'!K34/1000</f>
        <v>53.802999999999997</v>
      </c>
      <c r="X82" s="417">
        <f>SUM(W82:W85)/SUM(K82:K85)</f>
        <v>0.93382964604170882</v>
      </c>
      <c r="Y82" s="222">
        <v>0</v>
      </c>
      <c r="Z82" s="41">
        <f>+'16'!D34/1000</f>
        <v>0.97299999999999998</v>
      </c>
      <c r="AA82" s="53">
        <f>SUM(U82:U85)-SUM(W82:W85)-SUM(Z82:Z85)-SUM(Y82:Y85)</f>
        <v>-1.4679684805090867</v>
      </c>
      <c r="AB82" s="53">
        <f>(SUM(K82:K85)-SUM(W82:W85)-SUM(Y82:Y85)-SUM(Z82:Z85)-SUM(AC82:AC85)-SUM(V82:V85))-AA82</f>
        <v>-8.1824951796191758E-2</v>
      </c>
      <c r="AC82" s="41">
        <f>K82-T82</f>
        <v>2.0299409594181839</v>
      </c>
      <c r="AD82" s="41">
        <f>+AM82+BA82</f>
        <v>20</v>
      </c>
      <c r="AE82" s="241" t="s">
        <v>504</v>
      </c>
      <c r="AF82" s="41">
        <v>20</v>
      </c>
      <c r="AG82" s="41"/>
      <c r="AH82" s="41"/>
      <c r="AI82" s="459"/>
      <c r="AJ82" s="41"/>
      <c r="AK82" s="41"/>
      <c r="AL82" s="41"/>
      <c r="AM82" s="41">
        <f>SUM(AF82:AL82)+AT82+AV82+AX82</f>
        <v>20</v>
      </c>
      <c r="AN82" s="41"/>
      <c r="AO82" s="41"/>
      <c r="AP82" s="41"/>
      <c r="AQ82" s="41"/>
      <c r="AR82" s="41">
        <f>SUM(AN82:AQ82)</f>
        <v>0</v>
      </c>
      <c r="AS82" s="41"/>
      <c r="AT82" s="41"/>
      <c r="AU82" s="41"/>
      <c r="AV82" s="41"/>
      <c r="AW82" s="41"/>
      <c r="AX82" s="41"/>
      <c r="AY82" s="41"/>
      <c r="AZ82" s="41"/>
      <c r="BA82" s="41">
        <f>+AR82+AS82+AU82+AW82+AY82+AZ82</f>
        <v>0</v>
      </c>
      <c r="BB82" s="37">
        <v>4</v>
      </c>
      <c r="BC82" s="55"/>
      <c r="BD82" s="55"/>
      <c r="BE82" s="37"/>
      <c r="BF82" s="55"/>
    </row>
    <row r="83" spans="1:58" ht="12.95" customHeight="1">
      <c r="A83" s="346"/>
      <c r="B83" s="45"/>
      <c r="C83" s="450"/>
      <c r="D83" s="45"/>
      <c r="E83" s="46"/>
      <c r="F83" s="46"/>
      <c r="G83" s="463"/>
      <c r="H83" s="48"/>
      <c r="I83" s="49"/>
      <c r="J83" s="90"/>
      <c r="K83" s="90"/>
      <c r="L83" s="39"/>
      <c r="M83" s="39"/>
      <c r="N83" s="50"/>
      <c r="O83" s="51"/>
      <c r="P83" s="52"/>
      <c r="Q83" s="51"/>
      <c r="R83" s="420"/>
      <c r="S83" s="420"/>
      <c r="T83" s="41"/>
      <c r="U83" s="41"/>
      <c r="V83" s="41"/>
      <c r="W83" s="41"/>
      <c r="X83" s="42"/>
      <c r="Y83" s="222"/>
      <c r="Z83" s="41"/>
      <c r="AA83" s="41"/>
      <c r="AB83" s="41"/>
      <c r="AC83" s="41"/>
      <c r="AD83" s="41">
        <f>+AM83+BA83</f>
        <v>14</v>
      </c>
      <c r="AE83" s="241" t="s">
        <v>677</v>
      </c>
      <c r="AF83" s="41"/>
      <c r="AG83" s="41">
        <v>14</v>
      </c>
      <c r="AH83" s="41"/>
      <c r="AI83" s="459"/>
      <c r="AJ83" s="41"/>
      <c r="AK83" s="41"/>
      <c r="AL83" s="41"/>
      <c r="AM83" s="41">
        <f>SUM(AF83:AL83)+AT83+AV83+AX83</f>
        <v>14</v>
      </c>
      <c r="AN83" s="91"/>
      <c r="AO83" s="41"/>
      <c r="AP83" s="41"/>
      <c r="AQ83" s="41"/>
      <c r="AR83" s="41">
        <f>SUM(AN83:AQ83)</f>
        <v>0</v>
      </c>
      <c r="AS83" s="41"/>
      <c r="AT83" s="41"/>
      <c r="AU83" s="41"/>
      <c r="AV83" s="41"/>
      <c r="AW83" s="41"/>
      <c r="AX83" s="41"/>
      <c r="AY83" s="41"/>
      <c r="AZ83" s="41"/>
      <c r="BA83" s="41">
        <f>+AR83+AS83+AU83+AW83+AY83+AZ83</f>
        <v>0</v>
      </c>
      <c r="BB83" s="54"/>
      <c r="BC83" s="55">
        <v>13</v>
      </c>
      <c r="BD83" s="55"/>
      <c r="BE83" s="54"/>
      <c r="BF83" s="55"/>
    </row>
    <row r="84" spans="1:58" ht="12.95" customHeight="1">
      <c r="A84" s="44"/>
      <c r="B84" s="45"/>
      <c r="C84" s="450"/>
      <c r="D84" s="45"/>
      <c r="E84" s="46"/>
      <c r="F84" s="46"/>
      <c r="G84" s="463"/>
      <c r="H84" s="48"/>
      <c r="I84" s="49"/>
      <c r="J84" s="90"/>
      <c r="K84" s="90"/>
      <c r="L84" s="39"/>
      <c r="M84" s="39"/>
      <c r="N84" s="50"/>
      <c r="O84" s="51"/>
      <c r="P84" s="52"/>
      <c r="Q84" s="51"/>
      <c r="R84" s="420"/>
      <c r="S84" s="420"/>
      <c r="T84" s="41"/>
      <c r="U84" s="41"/>
      <c r="V84" s="41"/>
      <c r="W84" s="41"/>
      <c r="X84" s="42"/>
      <c r="Y84" s="222"/>
      <c r="Z84" s="41"/>
      <c r="AA84" s="41"/>
      <c r="AB84" s="41"/>
      <c r="AC84" s="41"/>
      <c r="AD84" s="41">
        <f>+AM84+BA84</f>
        <v>25</v>
      </c>
      <c r="AE84" s="241" t="s">
        <v>460</v>
      </c>
      <c r="AF84" s="37"/>
      <c r="AG84" s="37"/>
      <c r="AH84" s="37">
        <v>25</v>
      </c>
      <c r="AJ84" s="41"/>
      <c r="AK84" s="41"/>
      <c r="AL84" s="41"/>
      <c r="AM84" s="41">
        <f>SUM(AF84:AL84)+AT84+AV84+AX84</f>
        <v>25</v>
      </c>
      <c r="AN84" s="41"/>
      <c r="AO84" s="41"/>
      <c r="AP84" s="41"/>
      <c r="AQ84" s="41"/>
      <c r="AR84" s="41">
        <f>SUM(AN84:AQ84)</f>
        <v>0</v>
      </c>
      <c r="AS84" s="41"/>
      <c r="AT84" s="41"/>
      <c r="AU84" s="41"/>
      <c r="AV84" s="41"/>
      <c r="AW84" s="41"/>
      <c r="AX84" s="41"/>
      <c r="AY84" s="41"/>
      <c r="AZ84" s="41"/>
      <c r="BA84" s="41">
        <f>+AR84+AS84+AU84+AW84+AY84+AZ84</f>
        <v>0</v>
      </c>
      <c r="BB84" s="37"/>
      <c r="BC84" s="57"/>
      <c r="BD84" s="57"/>
      <c r="BE84" s="37"/>
      <c r="BF84" s="57"/>
    </row>
    <row r="85" spans="1:58" ht="12.95" customHeight="1">
      <c r="A85" s="44"/>
      <c r="B85" s="45"/>
      <c r="C85" s="450"/>
      <c r="D85" s="45"/>
      <c r="E85" s="46"/>
      <c r="F85" s="46"/>
      <c r="G85" s="47"/>
      <c r="H85" s="48"/>
      <c r="I85" s="49"/>
      <c r="J85" s="90"/>
      <c r="K85" s="90"/>
      <c r="L85" s="39"/>
      <c r="M85" s="39"/>
      <c r="N85" s="50"/>
      <c r="O85" s="51"/>
      <c r="P85" s="52"/>
      <c r="Q85" s="51"/>
      <c r="R85" s="420"/>
      <c r="S85" s="420"/>
      <c r="T85" s="41"/>
      <c r="U85" s="41"/>
      <c r="V85" s="41"/>
      <c r="W85" s="41"/>
      <c r="X85" s="42"/>
      <c r="Y85" s="222"/>
      <c r="Z85" s="41"/>
      <c r="AA85" s="41"/>
      <c r="AB85" s="41"/>
      <c r="AC85" s="41"/>
      <c r="AD85" s="41"/>
      <c r="AE85" s="244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37"/>
      <c r="BC85" s="57"/>
      <c r="BD85" s="57"/>
      <c r="BE85" s="37"/>
      <c r="BF85" s="57"/>
    </row>
    <row r="86" spans="1:58" ht="12.75" customHeight="1">
      <c r="A86" s="346">
        <v>45855</v>
      </c>
      <c r="B86" s="45" t="s">
        <v>607</v>
      </c>
      <c r="C86" s="450">
        <f>(M86*E86*O86*Q86)/100000000</f>
        <v>49.903813120000002</v>
      </c>
      <c r="D86" s="45" t="s">
        <v>608</v>
      </c>
      <c r="E86" s="46">
        <v>10.3</v>
      </c>
      <c r="F86" s="46">
        <v>1</v>
      </c>
      <c r="G86" s="463">
        <v>1730</v>
      </c>
      <c r="H86" s="48">
        <v>0.16</v>
      </c>
      <c r="I86" s="49">
        <v>0.88</v>
      </c>
      <c r="J86" s="90">
        <f>E86*G86*(1-H86)*1440/1000000*2.77</f>
        <v>59.704198847999997</v>
      </c>
      <c r="K86" s="90">
        <f>(IF(G86&lt;L86,L86,G86)*(1-IF(H86&lt;N86,H86,N86))*E86*O86*Q86)/100000000</f>
        <v>50.962910208000004</v>
      </c>
      <c r="L86" s="39">
        <v>1695</v>
      </c>
      <c r="M86" s="39">
        <v>1423</v>
      </c>
      <c r="N86" s="50">
        <f>1-(M86/L86)</f>
        <v>0.16047197640117994</v>
      </c>
      <c r="O86" s="51">
        <f>+'Trim Rwd'!H62</f>
        <v>266</v>
      </c>
      <c r="P86" s="52">
        <f>O86*(Q86-R86-S86)</f>
        <v>319200</v>
      </c>
      <c r="Q86" s="51">
        <v>1280</v>
      </c>
      <c r="R86" s="420">
        <v>0</v>
      </c>
      <c r="S86" s="420">
        <v>80</v>
      </c>
      <c r="T86" s="41">
        <f>E86*M86*O86*Q86/100000000</f>
        <v>49.903813120000002</v>
      </c>
      <c r="U86" s="41">
        <f>E86*M86*O86*(Q86-R86-S86)/100000000</f>
        <v>46.784824800000003</v>
      </c>
      <c r="V86" s="41">
        <f>E86*G86*(1-N86)*O86/100*(R86+S86)/1000000</f>
        <v>3.1833922086135695</v>
      </c>
      <c r="W86" s="41">
        <f>+'17'!K16/1000</f>
        <v>54.225999999999999</v>
      </c>
      <c r="X86" s="417">
        <f>SUM(W86:W89)/SUM(K86:K89)</f>
        <v>0.94110836908639406</v>
      </c>
      <c r="Y86" s="222">
        <v>0</v>
      </c>
      <c r="Z86" s="41">
        <v>0</v>
      </c>
      <c r="AA86" s="53">
        <f>SUM(U86:U89)-SUM(W86:W89)-SUM(Z86:Z89)-SUM(Y86:Y89)</f>
        <v>-1.1176103999999967</v>
      </c>
      <c r="AB86" s="53">
        <f>(SUM(K86:K89)-SUM(W86:W89)-SUM(Y86:Y89)-SUM(Z86:Z89)-SUM(AC86:AC89)-SUM(V86:V89))-AA86</f>
        <v>-6.4403888613566718E-2</v>
      </c>
      <c r="AC86" s="41">
        <f>K86-T86</f>
        <v>1.0590970880000015</v>
      </c>
      <c r="AD86" s="41">
        <f>+AM86+BA86</f>
        <v>30</v>
      </c>
      <c r="AE86" s="241" t="s">
        <v>459</v>
      </c>
      <c r="AF86" s="41">
        <v>30</v>
      </c>
      <c r="AG86" s="41"/>
      <c r="AH86" s="41"/>
      <c r="AI86" s="459"/>
      <c r="AJ86" s="41"/>
      <c r="AK86" s="41"/>
      <c r="AL86" s="41"/>
      <c r="AM86" s="41">
        <f>SUM(AF86:AL86)+AT86+AV86+AX86</f>
        <v>30</v>
      </c>
      <c r="AN86" s="41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37">
        <v>6</v>
      </c>
      <c r="BC86" s="55"/>
      <c r="BD86" s="55"/>
      <c r="BE86" s="37"/>
      <c r="BF86" s="55"/>
    </row>
    <row r="87" spans="1:58" ht="12.95" customHeight="1">
      <c r="A87" s="346"/>
      <c r="B87" s="45" t="s">
        <v>607</v>
      </c>
      <c r="C87" s="450">
        <f>(M87*E87*O87*Q87)/100000000</f>
        <v>6.6563840000000001</v>
      </c>
      <c r="D87" s="45" t="s">
        <v>608</v>
      </c>
      <c r="E87" s="46">
        <v>11.5</v>
      </c>
      <c r="F87" s="46">
        <v>1</v>
      </c>
      <c r="G87" s="463">
        <v>1700</v>
      </c>
      <c r="H87" s="48">
        <v>0.2</v>
      </c>
      <c r="I87" s="49">
        <v>0.88</v>
      </c>
      <c r="J87" s="90">
        <f>E87*G87*(1-H87)*1440/1000000*2.77</f>
        <v>62.384831999999996</v>
      </c>
      <c r="K87" s="90">
        <f>(IF(G87&lt;L87,L87,G87)*(1-IF(H87&lt;N87,H87,N87))*E87*O87*Q87)/100000000</f>
        <v>6.6563840000000001</v>
      </c>
      <c r="L87" s="39">
        <v>1700</v>
      </c>
      <c r="M87" s="39">
        <v>1360</v>
      </c>
      <c r="N87" s="50">
        <f>1-(M87/L87)</f>
        <v>0.19999999999999996</v>
      </c>
      <c r="O87" s="51">
        <f>+'Trim Rwd'!H64</f>
        <v>266</v>
      </c>
      <c r="P87" s="52">
        <f>O87*(Q87-R87-S87)</f>
        <v>40432</v>
      </c>
      <c r="Q87" s="51">
        <v>160</v>
      </c>
      <c r="R87" s="420">
        <v>0</v>
      </c>
      <c r="S87" s="420">
        <v>8</v>
      </c>
      <c r="T87" s="41">
        <f>E87*M87*O87*Q87/100000000</f>
        <v>6.6563840000000001</v>
      </c>
      <c r="U87" s="41">
        <f>E87*M87*O87*(Q87-R87-S87)/100000000</f>
        <v>6.3235647999999998</v>
      </c>
      <c r="V87" s="41">
        <f>E87*G87*(1-N87)*O87/100*(R87+S87)/1000000</f>
        <v>0.33281920000000004</v>
      </c>
      <c r="W87" s="41">
        <f>+'17'!K17/1000</f>
        <v>0</v>
      </c>
      <c r="X87" s="42"/>
      <c r="Y87" s="222"/>
      <c r="Z87" s="41"/>
      <c r="AA87" s="41"/>
      <c r="AB87" s="41"/>
      <c r="AC87" s="41">
        <f>K87-T87</f>
        <v>0</v>
      </c>
      <c r="AD87" s="41">
        <f>+AM87+BA87</f>
        <v>21</v>
      </c>
      <c r="AE87" s="241" t="s">
        <v>689</v>
      </c>
      <c r="AF87" s="41"/>
      <c r="AG87" s="41">
        <v>21</v>
      </c>
      <c r="AH87" s="41"/>
      <c r="AI87" s="459"/>
      <c r="AJ87" s="41"/>
      <c r="AK87" s="41"/>
      <c r="AL87" s="41"/>
      <c r="AM87" s="41">
        <f>SUM(AF87:AL87)+AT87+AV87+AX87</f>
        <v>21</v>
      </c>
      <c r="AN87" s="91"/>
      <c r="AO87" s="41"/>
      <c r="AP87" s="41"/>
      <c r="AQ87" s="41"/>
      <c r="AR87" s="41">
        <f>SUM(AN87:AQ87)</f>
        <v>0</v>
      </c>
      <c r="AS87" s="41"/>
      <c r="AT87" s="41"/>
      <c r="AU87" s="41"/>
      <c r="AV87" s="41"/>
      <c r="AW87" s="41"/>
      <c r="AX87" s="41"/>
      <c r="AY87" s="41"/>
      <c r="AZ87" s="41"/>
      <c r="BA87" s="41">
        <f>+AR87+AS87+AU87+AW87+AY87+AZ87</f>
        <v>0</v>
      </c>
      <c r="BB87" s="54"/>
      <c r="BC87" s="55">
        <v>14</v>
      </c>
      <c r="BD87" s="55"/>
      <c r="BE87" s="54"/>
      <c r="BF87" s="55"/>
    </row>
    <row r="88" spans="1:58" ht="12.95" customHeight="1">
      <c r="A88" s="44"/>
      <c r="B88" s="45"/>
      <c r="C88" s="450"/>
      <c r="D88" s="45"/>
      <c r="E88" s="46"/>
      <c r="F88" s="46"/>
      <c r="G88" s="463"/>
      <c r="H88" s="48"/>
      <c r="I88" s="49"/>
      <c r="J88" s="90"/>
      <c r="K88" s="90"/>
      <c r="L88" s="39"/>
      <c r="M88" s="39"/>
      <c r="N88" s="50"/>
      <c r="O88" s="51"/>
      <c r="P88" s="52"/>
      <c r="Q88" s="51"/>
      <c r="R88" s="420"/>
      <c r="S88" s="420"/>
      <c r="T88" s="41"/>
      <c r="U88" s="41"/>
      <c r="V88" s="41"/>
      <c r="W88" s="41"/>
      <c r="X88" s="42"/>
      <c r="Y88" s="222"/>
      <c r="Z88" s="41"/>
      <c r="AA88" s="41"/>
      <c r="AB88" s="41"/>
      <c r="AC88" s="41"/>
      <c r="AD88" s="41">
        <f>+AM88+BA88</f>
        <v>30</v>
      </c>
      <c r="AE88" s="241" t="s">
        <v>460</v>
      </c>
      <c r="AF88" s="37"/>
      <c r="AG88" s="37"/>
      <c r="AH88" s="37">
        <v>30</v>
      </c>
      <c r="AJ88" s="41"/>
      <c r="AK88" s="41"/>
      <c r="AL88" s="41"/>
      <c r="AM88" s="41">
        <f>SUM(AF88:AL88)+AT88+AV88+AX88</f>
        <v>30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/>
      <c r="AX88" s="41"/>
      <c r="AY88" s="41"/>
      <c r="AZ88" s="41"/>
      <c r="BA88" s="41">
        <f>+AR88+AS88+AU88+AW88+AY88+AZ88</f>
        <v>0</v>
      </c>
      <c r="BB88" s="37"/>
      <c r="BC88" s="57"/>
      <c r="BD88" s="57"/>
      <c r="BE88" s="37"/>
      <c r="BF88" s="57"/>
    </row>
    <row r="89" spans="1:58" ht="12.95" customHeight="1">
      <c r="A89" s="44"/>
      <c r="B89" s="45"/>
      <c r="C89" s="450"/>
      <c r="D89" s="45"/>
      <c r="E89" s="46"/>
      <c r="F89" s="46"/>
      <c r="G89" s="47"/>
      <c r="H89" s="48"/>
      <c r="I89" s="49"/>
      <c r="J89" s="90"/>
      <c r="K89" s="90"/>
      <c r="L89" s="39"/>
      <c r="M89" s="39"/>
      <c r="N89" s="50"/>
      <c r="O89" s="51"/>
      <c r="P89" s="52"/>
      <c r="Q89" s="51"/>
      <c r="R89" s="420"/>
      <c r="S89" s="420"/>
      <c r="T89" s="41"/>
      <c r="U89" s="41"/>
      <c r="V89" s="41"/>
      <c r="W89" s="41"/>
      <c r="X89" s="42"/>
      <c r="Y89" s="222"/>
      <c r="Z89" s="41"/>
      <c r="AA89" s="41"/>
      <c r="AB89" s="41"/>
      <c r="AC89" s="41"/>
      <c r="AD89" s="41">
        <f>+AM89+BA89</f>
        <v>7</v>
      </c>
      <c r="AE89" s="244" t="s">
        <v>540</v>
      </c>
      <c r="AF89" s="41"/>
      <c r="AG89" s="41"/>
      <c r="AH89" s="41"/>
      <c r="AI89" s="41">
        <v>7</v>
      </c>
      <c r="AJ89" s="41"/>
      <c r="AK89" s="41"/>
      <c r="AL89" s="41"/>
      <c r="AM89" s="41">
        <f>SUM(AF89:AL89)+AT89+AV89+AX89</f>
        <v>7</v>
      </c>
      <c r="AN89" s="41"/>
      <c r="AO89" s="41"/>
      <c r="AP89" s="41"/>
      <c r="AQ89" s="41"/>
      <c r="AR89" s="41">
        <f>SUM(AN89:AQ89)</f>
        <v>0</v>
      </c>
      <c r="AS89" s="41"/>
      <c r="AT89" s="41"/>
      <c r="AU89" s="41"/>
      <c r="AV89" s="41"/>
      <c r="AW89" s="41"/>
      <c r="AX89" s="41"/>
      <c r="AY89" s="41"/>
      <c r="AZ89" s="41"/>
      <c r="BA89" s="41">
        <f>+AR89+AS89+AU89+AW89+AY89+AZ89</f>
        <v>0</v>
      </c>
      <c r="BB89" s="37"/>
      <c r="BC89" s="57"/>
      <c r="BD89" s="57"/>
      <c r="BE89" s="37"/>
      <c r="BF89" s="57"/>
    </row>
    <row r="90" spans="1:58" ht="12.95" customHeight="1">
      <c r="A90" s="346"/>
      <c r="B90" s="45"/>
      <c r="C90" s="450"/>
      <c r="D90" s="45"/>
      <c r="E90" s="46"/>
      <c r="F90" s="46"/>
      <c r="G90" s="463"/>
      <c r="H90" s="48"/>
      <c r="I90" s="49"/>
      <c r="J90" s="90"/>
      <c r="K90" s="90"/>
      <c r="L90" s="39"/>
      <c r="M90" s="39"/>
      <c r="N90" s="50"/>
      <c r="O90" s="51"/>
      <c r="P90" s="52"/>
      <c r="Q90" s="51"/>
      <c r="R90" s="420"/>
      <c r="S90" s="420"/>
      <c r="T90" s="41"/>
      <c r="U90" s="41"/>
      <c r="V90" s="41"/>
      <c r="W90" s="41"/>
      <c r="X90" s="417"/>
      <c r="Y90" s="222"/>
      <c r="Z90" s="41"/>
      <c r="AA90" s="53"/>
      <c r="AB90" s="53"/>
      <c r="AC90" s="41"/>
      <c r="AD90" s="41"/>
      <c r="AE90" s="241"/>
      <c r="AF90" s="41"/>
      <c r="AG90" s="41"/>
      <c r="AH90" s="41"/>
      <c r="AI90" s="459"/>
      <c r="AJ90" s="41"/>
      <c r="AK90" s="41"/>
      <c r="AL90" s="41"/>
      <c r="AM90" s="41"/>
      <c r="AN90" s="9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54"/>
      <c r="BC90" s="55"/>
      <c r="BD90" s="55"/>
      <c r="BE90" s="55"/>
      <c r="BF90" s="55"/>
    </row>
    <row r="91" spans="1:58" ht="12.75" customHeight="1">
      <c r="A91" s="346">
        <v>45856</v>
      </c>
      <c r="B91" s="45" t="s">
        <v>607</v>
      </c>
      <c r="C91" s="450">
        <f>(M91*E91*O91*Q91)/100000000</f>
        <v>58.938364800000002</v>
      </c>
      <c r="D91" s="45" t="s">
        <v>608</v>
      </c>
      <c r="E91" s="46">
        <v>11.5</v>
      </c>
      <c r="F91" s="46">
        <v>1</v>
      </c>
      <c r="G91" s="463">
        <v>1700</v>
      </c>
      <c r="H91" s="48">
        <v>0.2</v>
      </c>
      <c r="I91" s="49">
        <v>0.88</v>
      </c>
      <c r="J91" s="90">
        <f>E91*G91*(1-H91)*1440/1000000*2.77</f>
        <v>62.384831999999996</v>
      </c>
      <c r="K91" s="90">
        <f>(IF(G91&lt;L91,L91,G91)*(1-IF(H91&lt;N91,H91,N91))*E91*O91*Q91)/100000000</f>
        <v>59.907456000000003</v>
      </c>
      <c r="L91" s="39">
        <v>1673</v>
      </c>
      <c r="M91" s="39">
        <v>1338</v>
      </c>
      <c r="N91" s="50">
        <f>1-(M91/L91)</f>
        <v>0.20023909145248053</v>
      </c>
      <c r="O91" s="51">
        <f>+'Trim Rwd'!H66</f>
        <v>266</v>
      </c>
      <c r="P91" s="52">
        <f>O91*(Q91-R91-S91)</f>
        <v>343938</v>
      </c>
      <c r="Q91" s="51">
        <v>1440</v>
      </c>
      <c r="R91" s="420">
        <v>0</v>
      </c>
      <c r="S91" s="420">
        <v>147</v>
      </c>
      <c r="T91" s="41">
        <f>E91*M91*O91*Q91/100000000</f>
        <v>58.938364800000002</v>
      </c>
      <c r="U91" s="41">
        <f>E91*M91*O91*(Q91-R91-S91)/100000000</f>
        <v>52.921740059999998</v>
      </c>
      <c r="V91" s="41">
        <f>E91*G91*(1-N91)*O91/100*(R91+S91)/1000000</f>
        <v>6.1137250794979074</v>
      </c>
      <c r="W91" s="41">
        <f>+'18'!K34/1000</f>
        <v>53.707000000000001</v>
      </c>
      <c r="X91" s="417">
        <f>SUM(W91:W94)/SUM(K91:K94)</f>
        <v>0.89649942738346289</v>
      </c>
      <c r="Y91" s="222">
        <v>0</v>
      </c>
      <c r="Z91" s="41">
        <v>0</v>
      </c>
      <c r="AA91" s="53">
        <f>SUM(U91:U94)-SUM(W91:W94)-SUM(Z91:Z94)-SUM(Y91:Y94)</f>
        <v>-0.7852599400000031</v>
      </c>
      <c r="AB91" s="53">
        <f>(SUM(K91:K94)-SUM(W91:W94)-SUM(Y91:Y94)-SUM(Z91:Z94)-SUM(AC91:AC94)-SUM(V91:V94))-AA91</f>
        <v>-9.7100339497902866E-2</v>
      </c>
      <c r="AC91" s="41">
        <f>K91-T91</f>
        <v>0.96909120000000115</v>
      </c>
      <c r="AD91" s="41">
        <f>+AM91+BA91</f>
        <v>100</v>
      </c>
      <c r="AE91" s="241" t="s">
        <v>712</v>
      </c>
      <c r="AF91" s="41">
        <v>100</v>
      </c>
      <c r="AG91" s="41"/>
      <c r="AH91" s="41"/>
      <c r="AI91" s="459"/>
      <c r="AJ91" s="41"/>
      <c r="AK91" s="41"/>
      <c r="AL91" s="41"/>
      <c r="AM91" s="41">
        <f>SUM(AF91:AL91)+AT91+AV91+AX91</f>
        <v>100</v>
      </c>
      <c r="AN91" s="41"/>
      <c r="AO91" s="41"/>
      <c r="AP91" s="41"/>
      <c r="AQ91" s="41"/>
      <c r="AR91" s="41">
        <f>SUM(AN91:AQ91)</f>
        <v>0</v>
      </c>
      <c r="AS91" s="41"/>
      <c r="AT91" s="41"/>
      <c r="AU91" s="41"/>
      <c r="AV91" s="41"/>
      <c r="AW91" s="41"/>
      <c r="AX91" s="41"/>
      <c r="AY91" s="41"/>
      <c r="AZ91" s="41"/>
      <c r="BA91" s="41">
        <f>+AR91+AS91+AU91+AW91+AY91+AZ91</f>
        <v>0</v>
      </c>
      <c r="BB91" s="37">
        <v>20</v>
      </c>
      <c r="BC91" s="55"/>
      <c r="BD91" s="55"/>
      <c r="BE91" s="37"/>
      <c r="BF91" s="55"/>
    </row>
    <row r="92" spans="1:58" ht="12.95" customHeight="1">
      <c r="A92" s="346"/>
      <c r="B92" s="45"/>
      <c r="C92" s="450"/>
      <c r="D92" s="45"/>
      <c r="E92" s="46"/>
      <c r="F92" s="46"/>
      <c r="G92" s="463"/>
      <c r="H92" s="48"/>
      <c r="I92" s="49"/>
      <c r="J92" s="90"/>
      <c r="K92" s="90"/>
      <c r="L92" s="39"/>
      <c r="M92" s="39"/>
      <c r="N92" s="50"/>
      <c r="O92" s="51"/>
      <c r="P92" s="52"/>
      <c r="Q92" s="51"/>
      <c r="R92" s="420"/>
      <c r="S92" s="420"/>
      <c r="T92" s="41"/>
      <c r="U92" s="41"/>
      <c r="V92" s="41"/>
      <c r="W92" s="41"/>
      <c r="X92" s="42"/>
      <c r="Y92" s="222"/>
      <c r="Z92" s="41"/>
      <c r="AA92" s="41"/>
      <c r="AB92" s="41"/>
      <c r="AC92" s="41"/>
      <c r="AD92" s="41">
        <f>+AM92+BA92</f>
        <v>18</v>
      </c>
      <c r="AE92" s="241" t="s">
        <v>677</v>
      </c>
      <c r="AF92" s="41"/>
      <c r="AG92" s="41">
        <v>18</v>
      </c>
      <c r="AH92" s="41"/>
      <c r="AI92" s="459"/>
      <c r="AJ92" s="41"/>
      <c r="AK92" s="41"/>
      <c r="AL92" s="41"/>
      <c r="AM92" s="41">
        <f>SUM(AF92:AL92)+AT92+AV92+AX92</f>
        <v>18</v>
      </c>
      <c r="AN92" s="91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54"/>
      <c r="BC92" s="55">
        <v>13</v>
      </c>
      <c r="BD92" s="55"/>
      <c r="BE92" s="54"/>
      <c r="BF92" s="55"/>
    </row>
    <row r="93" spans="1:58" ht="12.95" customHeight="1">
      <c r="A93" s="44"/>
      <c r="B93" s="45"/>
      <c r="C93" s="450"/>
      <c r="D93" s="45"/>
      <c r="E93" s="46"/>
      <c r="F93" s="46"/>
      <c r="G93" s="463"/>
      <c r="H93" s="48"/>
      <c r="I93" s="49"/>
      <c r="J93" s="90"/>
      <c r="K93" s="90"/>
      <c r="L93" s="39"/>
      <c r="M93" s="39"/>
      <c r="N93" s="50"/>
      <c r="O93" s="51"/>
      <c r="P93" s="52"/>
      <c r="Q93" s="51"/>
      <c r="R93" s="420"/>
      <c r="S93" s="420"/>
      <c r="T93" s="41"/>
      <c r="U93" s="41"/>
      <c r="V93" s="41"/>
      <c r="W93" s="41"/>
      <c r="X93" s="42"/>
      <c r="Y93" s="222"/>
      <c r="Z93" s="41"/>
      <c r="AA93" s="41"/>
      <c r="AB93" s="41"/>
      <c r="AC93" s="41"/>
      <c r="AD93" s="41">
        <f>+AM93+BA93</f>
        <v>29</v>
      </c>
      <c r="AE93" s="241" t="s">
        <v>626</v>
      </c>
      <c r="AF93" s="37"/>
      <c r="AG93" s="37"/>
      <c r="AH93" s="37">
        <v>29</v>
      </c>
      <c r="AJ93" s="41"/>
      <c r="AK93" s="41"/>
      <c r="AL93" s="41"/>
      <c r="AM93" s="41">
        <f>SUM(AF93:AL93)+AT93+AV93+AX93</f>
        <v>29</v>
      </c>
      <c r="AN93" s="41"/>
      <c r="AO93" s="41"/>
      <c r="AP93" s="41"/>
      <c r="AQ93" s="41"/>
      <c r="AR93" s="41">
        <f>SUM(AN93:AQ93)</f>
        <v>0</v>
      </c>
      <c r="AS93" s="41"/>
      <c r="AT93" s="41"/>
      <c r="AU93" s="41"/>
      <c r="AV93" s="41"/>
      <c r="AW93" s="41"/>
      <c r="AX93" s="41"/>
      <c r="AY93" s="41"/>
      <c r="AZ93" s="41"/>
      <c r="BA93" s="41">
        <f>+AR93+AS93+AU93+AW93+AY93+AZ93</f>
        <v>0</v>
      </c>
      <c r="BB93" s="37"/>
      <c r="BC93" s="57"/>
      <c r="BD93" s="57"/>
      <c r="BE93" s="37"/>
      <c r="BF93" s="57"/>
    </row>
    <row r="94" spans="1:58" ht="12.95" customHeight="1">
      <c r="A94" s="44"/>
      <c r="B94" s="45"/>
      <c r="C94" s="450"/>
      <c r="D94" s="45"/>
      <c r="E94" s="46"/>
      <c r="F94" s="46"/>
      <c r="G94" s="47"/>
      <c r="H94" s="48"/>
      <c r="I94" s="49"/>
      <c r="J94" s="90"/>
      <c r="K94" s="90"/>
      <c r="L94" s="39"/>
      <c r="M94" s="39"/>
      <c r="N94" s="50"/>
      <c r="O94" s="51"/>
      <c r="P94" s="52"/>
      <c r="Q94" s="51"/>
      <c r="R94" s="420"/>
      <c r="S94" s="420"/>
      <c r="T94" s="41"/>
      <c r="U94" s="41"/>
      <c r="V94" s="41"/>
      <c r="W94" s="41"/>
      <c r="X94" s="42"/>
      <c r="Y94" s="222"/>
      <c r="Z94" s="41"/>
      <c r="AA94" s="41"/>
      <c r="AB94" s="41"/>
      <c r="AC94" s="41"/>
      <c r="AD94" s="41"/>
      <c r="AE94" s="244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37"/>
      <c r="BC94" s="57"/>
      <c r="BD94" s="57"/>
      <c r="BE94" s="37"/>
      <c r="BF94" s="57"/>
    </row>
    <row r="95" spans="1:58" ht="12.75" customHeight="1">
      <c r="A95" s="346">
        <v>45857</v>
      </c>
      <c r="B95" s="45" t="s">
        <v>607</v>
      </c>
      <c r="C95" s="450">
        <f>(M95*E95*O95*Q95)/100000000</f>
        <v>18.981296176071428</v>
      </c>
      <c r="D95" s="45" t="s">
        <v>608</v>
      </c>
      <c r="E95" s="46">
        <v>11.5</v>
      </c>
      <c r="F95" s="46">
        <v>1</v>
      </c>
      <c r="G95" s="463">
        <v>1700</v>
      </c>
      <c r="H95" s="631">
        <v>0.24</v>
      </c>
      <c r="I95" s="49">
        <v>0.88</v>
      </c>
      <c r="J95" s="90">
        <f>E95*G95*(1-H95)*1440/1000000*2.77</f>
        <v>59.265590400000001</v>
      </c>
      <c r="K95" s="90">
        <f>(IF(G95&lt;L95,L95,G95)*(1-IF(H95&lt;N95,H95,N95))*E95*O95*Q95)/100000000</f>
        <v>19.556486969285711</v>
      </c>
      <c r="L95" s="39">
        <v>1650</v>
      </c>
      <c r="M95" s="39">
        <v>1254</v>
      </c>
      <c r="N95" s="50">
        <f>1-(M95/L95)</f>
        <v>0.24</v>
      </c>
      <c r="O95" s="51">
        <f>+'Trim Rwd'!H69</f>
        <v>262.19642857142856</v>
      </c>
      <c r="P95" s="52">
        <f>O95*(Q95-R95-S95)</f>
        <v>120085.96428571428</v>
      </c>
      <c r="Q95" s="51">
        <v>502</v>
      </c>
      <c r="R95" s="420">
        <v>0</v>
      </c>
      <c r="S95" s="420">
        <v>44</v>
      </c>
      <c r="T95" s="41">
        <f>E95*M95*O95*Q95/100000000</f>
        <v>18.981296176071428</v>
      </c>
      <c r="U95" s="41">
        <f>E95*M95*O95*(Q95-R95-S95)/100000000</f>
        <v>17.317596909642855</v>
      </c>
      <c r="V95" s="41">
        <f>E95*G95*(1-N95)*O95/100*(R95+S95)/1000000</f>
        <v>1.7141143957142857</v>
      </c>
      <c r="W95" s="41">
        <f>+'19'!K14/1000</f>
        <v>34.942999999999998</v>
      </c>
      <c r="X95" s="417">
        <f>SUM(W95:W98)/SUM(K95:K98)</f>
        <v>0.90712458255772299</v>
      </c>
      <c r="Y95" s="222">
        <v>0</v>
      </c>
      <c r="Z95" s="41">
        <f>+'19'!D7/1000</f>
        <v>0.71</v>
      </c>
      <c r="AA95" s="53">
        <f>SUM(U95:U98)-SUM(W95:W98)-SUM(Z95:Z98)-SUM(Y95:Y98)</f>
        <v>-0.90618432235714419</v>
      </c>
      <c r="AB95" s="53">
        <f>(SUM(K95:K98)-SUM(W95:W98)-SUM(Y95:Y98)-SUM(Z95:Z98)-SUM(AC95:AC98)-SUM(V95:V98))-AA95</f>
        <v>-7.9880380485708891E-2</v>
      </c>
      <c r="AC95" s="41">
        <f>K95-T95</f>
        <v>0.57519079321428279</v>
      </c>
      <c r="AD95" s="41">
        <f>+AM95+BA95</f>
        <v>40</v>
      </c>
      <c r="AE95" s="241" t="s">
        <v>688</v>
      </c>
      <c r="AF95" s="41">
        <v>40</v>
      </c>
      <c r="AG95" s="41"/>
      <c r="AH95" s="41"/>
      <c r="AI95" s="459"/>
      <c r="AJ95" s="41"/>
      <c r="AK95" s="41"/>
      <c r="AL95" s="41"/>
      <c r="AM95" s="41">
        <f>SUM(AF95:AL95)+AT95+AV95+AX95</f>
        <v>40</v>
      </c>
      <c r="AN95" s="41"/>
      <c r="AO95" s="41"/>
      <c r="AP95" s="41"/>
      <c r="AQ95" s="41"/>
      <c r="AR95" s="41">
        <f>SUM(AN95:AQ95)</f>
        <v>0</v>
      </c>
      <c r="AS95" s="41"/>
      <c r="AT95" s="41"/>
      <c r="AU95" s="41"/>
      <c r="AV95" s="41"/>
      <c r="AW95" s="41"/>
      <c r="AX95" s="41"/>
      <c r="AY95" s="41"/>
      <c r="AZ95" s="41"/>
      <c r="BA95" s="41">
        <f>+AR95+AS95+AU95+AW95+AY95+AZ95</f>
        <v>0</v>
      </c>
      <c r="BB95" s="37">
        <v>8</v>
      </c>
      <c r="BC95" s="55"/>
      <c r="BD95" s="55"/>
      <c r="BE95" s="37"/>
      <c r="BF95" s="55"/>
    </row>
    <row r="96" spans="1:58" ht="12.95" customHeight="1">
      <c r="A96" s="346"/>
      <c r="B96" s="45" t="s">
        <v>607</v>
      </c>
      <c r="C96" s="450">
        <f>(M96*E96*O96*Q96)/100000000</f>
        <v>35.594916336000004</v>
      </c>
      <c r="D96" s="45" t="s">
        <v>608</v>
      </c>
      <c r="E96" s="46">
        <v>10.3</v>
      </c>
      <c r="F96" s="46">
        <v>1</v>
      </c>
      <c r="G96" s="463">
        <v>1730</v>
      </c>
      <c r="H96" s="48">
        <v>0.2</v>
      </c>
      <c r="I96" s="49">
        <v>0.88</v>
      </c>
      <c r="J96" s="90">
        <f>E96*G96*(1-H96)*1440/1000000*2.77</f>
        <v>56.861141760000002</v>
      </c>
      <c r="K96" s="90">
        <f>(IF(G96&lt;L96,L96,G96)*(1-IF(H96&lt;N96,H96,N96))*E96*O96*Q96)/100000000</f>
        <v>36.223061918399999</v>
      </c>
      <c r="L96" s="39">
        <v>1700</v>
      </c>
      <c r="M96" s="39">
        <v>1360</v>
      </c>
      <c r="N96" s="50">
        <f>1-(M96/L96)</f>
        <v>0.19999999999999996</v>
      </c>
      <c r="O96" s="51">
        <f>+'Trim Rwd'!H72</f>
        <v>270.89999999999998</v>
      </c>
      <c r="P96" s="52">
        <f>O96*(Q96-R96-S96)</f>
        <v>242184.59999999998</v>
      </c>
      <c r="Q96" s="51">
        <v>938</v>
      </c>
      <c r="R96" s="420">
        <v>0</v>
      </c>
      <c r="S96" s="420">
        <v>44</v>
      </c>
      <c r="T96" s="41">
        <f>E96*M96*O96*Q96/100000000</f>
        <v>35.594916336000004</v>
      </c>
      <c r="U96" s="41">
        <f>E96*M96*O96*(Q96-R96-S96)/100000000</f>
        <v>33.925218768000001</v>
      </c>
      <c r="V96" s="41">
        <f>E96*G96*(1-N96)*O96/100*(R96+S96)/1000000</f>
        <v>1.6991628191999999</v>
      </c>
      <c r="W96" s="41">
        <f>+'19'!K16/1000</f>
        <v>15.656000000000001</v>
      </c>
      <c r="X96" s="417"/>
      <c r="Y96" s="222"/>
      <c r="Z96" s="41">
        <f>+('19'!D17+'19'!D26)/1000</f>
        <v>0.84</v>
      </c>
      <c r="AA96" s="53"/>
      <c r="AB96" s="53"/>
      <c r="AC96" s="41">
        <f>K96-T96</f>
        <v>0.62814558239999485</v>
      </c>
      <c r="AD96" s="41">
        <f>+AM96+BA96</f>
        <v>18</v>
      </c>
      <c r="AE96" s="241" t="s">
        <v>658</v>
      </c>
      <c r="AF96" s="41"/>
      <c r="AG96" s="41">
        <v>18</v>
      </c>
      <c r="AH96" s="41"/>
      <c r="AI96" s="459"/>
      <c r="AJ96" s="41"/>
      <c r="AK96" s="41"/>
      <c r="AL96" s="41"/>
      <c r="AM96" s="41">
        <f>SUM(AF96:AL96)+AT96+AV96+AX96</f>
        <v>18</v>
      </c>
      <c r="AN96" s="91"/>
      <c r="AO96" s="41"/>
      <c r="AP96" s="41"/>
      <c r="AQ96" s="41"/>
      <c r="AR96" s="41">
        <f>SUM(AN96:AQ96)</f>
        <v>0</v>
      </c>
      <c r="AS96" s="41"/>
      <c r="AT96" s="41"/>
      <c r="AU96" s="41"/>
      <c r="AV96" s="41"/>
      <c r="AW96" s="41"/>
      <c r="AX96" s="41"/>
      <c r="AY96" s="41"/>
      <c r="AZ96" s="41"/>
      <c r="BA96" s="41">
        <f>+AR96+AS96+AU96+AW96+AY96+AZ96</f>
        <v>0</v>
      </c>
      <c r="BB96" s="54"/>
      <c r="BC96" s="55">
        <v>15</v>
      </c>
      <c r="BD96" s="55"/>
      <c r="BE96" s="54"/>
      <c r="BF96" s="55"/>
    </row>
    <row r="97" spans="1:58" ht="12.95" customHeight="1">
      <c r="A97" s="44"/>
      <c r="B97" s="45"/>
      <c r="C97" s="450"/>
      <c r="D97" s="45"/>
      <c r="E97" s="46"/>
      <c r="F97" s="46"/>
      <c r="G97" s="463"/>
      <c r="H97" s="48"/>
      <c r="I97" s="49"/>
      <c r="J97" s="90"/>
      <c r="K97" s="90"/>
      <c r="L97" s="39"/>
      <c r="M97" s="39"/>
      <c r="N97" s="50"/>
      <c r="O97" s="51"/>
      <c r="P97" s="52"/>
      <c r="Q97" s="51"/>
      <c r="R97" s="420"/>
      <c r="S97" s="420"/>
      <c r="T97" s="41"/>
      <c r="U97" s="41"/>
      <c r="V97" s="41"/>
      <c r="W97" s="41"/>
      <c r="X97" s="42"/>
      <c r="Y97" s="222"/>
      <c r="Z97" s="41"/>
      <c r="AA97" s="41"/>
      <c r="AB97" s="41"/>
      <c r="AC97" s="41"/>
      <c r="AD97" s="41">
        <f>+AM97+BA97</f>
        <v>30</v>
      </c>
      <c r="AE97" s="241" t="s">
        <v>460</v>
      </c>
      <c r="AF97" s="37"/>
      <c r="AG97" s="37"/>
      <c r="AH97" s="37">
        <v>30</v>
      </c>
      <c r="AJ97" s="41"/>
      <c r="AK97" s="41"/>
      <c r="AL97" s="41"/>
      <c r="AM97" s="41">
        <f>SUM(AF97:AL97)+AT97+AV97+AX97</f>
        <v>30</v>
      </c>
      <c r="AN97" s="41"/>
      <c r="AO97" s="41"/>
      <c r="AP97" s="41"/>
      <c r="AQ97" s="41"/>
      <c r="AR97" s="41">
        <f>SUM(AN97:AQ97)</f>
        <v>0</v>
      </c>
      <c r="AS97" s="41"/>
      <c r="AT97" s="41"/>
      <c r="AU97" s="41"/>
      <c r="AV97" s="41"/>
      <c r="AW97" s="41"/>
      <c r="AX97" s="41"/>
      <c r="AY97" s="41"/>
      <c r="AZ97" s="41"/>
      <c r="BA97" s="41">
        <f>+AR97+AS97+AU97+AW97+AY97+AZ97</f>
        <v>0</v>
      </c>
      <c r="BB97" s="37"/>
      <c r="BC97" s="57"/>
      <c r="BD97" s="57"/>
      <c r="BE97" s="37"/>
      <c r="BF97" s="57"/>
    </row>
    <row r="98" spans="1:58" ht="12.95" customHeight="1">
      <c r="A98" s="44"/>
      <c r="B98" s="45"/>
      <c r="C98" s="450"/>
      <c r="D98" s="45"/>
      <c r="E98" s="46"/>
      <c r="F98" s="46"/>
      <c r="G98" s="47"/>
      <c r="H98" s="48"/>
      <c r="I98" s="49"/>
      <c r="J98" s="90"/>
      <c r="K98" s="90"/>
      <c r="L98" s="39"/>
      <c r="M98" s="39"/>
      <c r="N98" s="50"/>
      <c r="O98" s="51"/>
      <c r="P98" s="52"/>
      <c r="Q98" s="51"/>
      <c r="R98" s="420"/>
      <c r="S98" s="420"/>
      <c r="T98" s="41"/>
      <c r="U98" s="41"/>
      <c r="V98" s="41"/>
      <c r="W98" s="41"/>
      <c r="X98" s="42"/>
      <c r="Y98" s="222"/>
      <c r="Z98" s="41"/>
      <c r="AA98" s="41"/>
      <c r="AB98" s="41"/>
      <c r="AC98" s="41"/>
      <c r="AD98" s="41"/>
      <c r="AE98" s="244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37"/>
      <c r="BC98" s="57"/>
      <c r="BD98" s="57"/>
      <c r="BE98" s="37"/>
      <c r="BF98" s="57"/>
    </row>
    <row r="99" spans="1:58" ht="12.75" customHeight="1">
      <c r="A99" s="346">
        <v>45858</v>
      </c>
      <c r="B99" s="45" t="s">
        <v>607</v>
      </c>
      <c r="C99" s="450">
        <f>(M99*E99*O99*Q99)/100000000</f>
        <v>54.583038152112685</v>
      </c>
      <c r="D99" s="45" t="s">
        <v>608</v>
      </c>
      <c r="E99" s="46">
        <v>11.5</v>
      </c>
      <c r="F99" s="46">
        <v>1</v>
      </c>
      <c r="G99" s="463">
        <v>1700</v>
      </c>
      <c r="H99" s="631">
        <v>0.24</v>
      </c>
      <c r="I99" s="49">
        <v>0.88</v>
      </c>
      <c r="J99" s="90">
        <f>E99*G99*(1-H99)*1440/1000000*2.77</f>
        <v>59.265590400000001</v>
      </c>
      <c r="K99" s="90">
        <f>(IF(G99&lt;L99,L99,G99)*(1-IF(H99&lt;N99,H99,N99))*E99*O99*Q99)/100000000</f>
        <v>56.237069611267614</v>
      </c>
      <c r="L99" s="39">
        <v>1650</v>
      </c>
      <c r="M99" s="39">
        <v>1254</v>
      </c>
      <c r="N99" s="50">
        <f>1-(M99/L99)</f>
        <v>0.24</v>
      </c>
      <c r="O99" s="51">
        <f>+'Trim Rwd'!H75</f>
        <v>262.84507042253523</v>
      </c>
      <c r="P99" s="52">
        <f>O99*(Q99-R99-S99)</f>
        <v>343538.50704225356</v>
      </c>
      <c r="Q99" s="51">
        <v>1440</v>
      </c>
      <c r="R99" s="420">
        <v>0</v>
      </c>
      <c r="S99" s="420">
        <v>133</v>
      </c>
      <c r="T99" s="41">
        <f>E99*M99*O99*Q99/100000000</f>
        <v>54.583038152112685</v>
      </c>
      <c r="U99" s="41">
        <f>E99*M99*O99*(Q99-R99-S99)/100000000</f>
        <v>49.541688100563384</v>
      </c>
      <c r="V99" s="41">
        <f>E99*G99*(1-N99)*O99/100*(R99+S99)/1000000</f>
        <v>5.1941182349295776</v>
      </c>
      <c r="W99" s="41">
        <f>+'20'!K14/1000</f>
        <v>45.067999999999998</v>
      </c>
      <c r="X99" s="417">
        <f>SUM(W99:W102)/SUM(K99:K102)</f>
        <v>0.80139310798957797</v>
      </c>
      <c r="Y99" s="222">
        <v>0</v>
      </c>
      <c r="Z99" s="41">
        <f>+'20'!D7/1000</f>
        <v>0.33100000000000002</v>
      </c>
      <c r="AA99" s="53">
        <f>SUM(U99:U102)-SUM(W99:W102)-SUM(Z99:Z102)-SUM(Y99:Y102)</f>
        <v>4.1426881005633858</v>
      </c>
      <c r="AB99" s="53">
        <f>(SUM(K99:K102)-SUM(W99:W102)-SUM(Y99:Y102)-SUM(Z99:Z102)-SUM(AC99:AC102)-SUM(V99:V102))-AA99</f>
        <v>-0.15276818338027542</v>
      </c>
      <c r="AC99" s="41">
        <f>K99-T99</f>
        <v>1.654031459154929</v>
      </c>
      <c r="AD99" s="41">
        <f>+AM99+BA99</f>
        <v>80</v>
      </c>
      <c r="AE99" s="241" t="s">
        <v>728</v>
      </c>
      <c r="AF99" s="41">
        <v>80</v>
      </c>
      <c r="AG99" s="41"/>
      <c r="AH99" s="41"/>
      <c r="AI99" s="459"/>
      <c r="AJ99" s="41"/>
      <c r="AK99" s="41"/>
      <c r="AL99" s="41"/>
      <c r="AM99" s="41">
        <f>SUM(AF99:AL99)+AT99+AV99+AX99</f>
        <v>80</v>
      </c>
      <c r="AN99" s="41"/>
      <c r="AO99" s="41"/>
      <c r="AP99" s="41"/>
      <c r="AQ99" s="41"/>
      <c r="AR99" s="41">
        <f>SUM(AN99:AQ99)</f>
        <v>0</v>
      </c>
      <c r="AS99" s="41"/>
      <c r="AT99" s="41"/>
      <c r="AU99" s="41"/>
      <c r="AV99" s="41"/>
      <c r="AW99" s="41"/>
      <c r="AX99" s="41"/>
      <c r="AY99" s="41"/>
      <c r="AZ99" s="41"/>
      <c r="BA99" s="41">
        <f>+AR99+AS99+AU99+AW99+AY99+AZ99</f>
        <v>0</v>
      </c>
      <c r="BB99" s="37">
        <v>16</v>
      </c>
      <c r="BC99" s="55"/>
      <c r="BD99" s="55"/>
      <c r="BE99" s="37"/>
      <c r="BF99" s="55"/>
    </row>
    <row r="100" spans="1:58" ht="12.95" customHeight="1">
      <c r="A100" s="346"/>
      <c r="B100" s="45"/>
      <c r="C100" s="450"/>
      <c r="D100" s="45"/>
      <c r="E100" s="46"/>
      <c r="F100" s="46"/>
      <c r="G100" s="463"/>
      <c r="H100" s="48"/>
      <c r="I100" s="49"/>
      <c r="J100" s="90"/>
      <c r="K100" s="90"/>
      <c r="L100" s="39"/>
      <c r="M100" s="39"/>
      <c r="N100" s="50"/>
      <c r="O100" s="51"/>
      <c r="P100" s="52"/>
      <c r="Q100" s="51"/>
      <c r="R100" s="420"/>
      <c r="S100" s="420"/>
      <c r="T100" s="41"/>
      <c r="U100" s="41"/>
      <c r="V100" s="41"/>
      <c r="W100" s="41"/>
      <c r="X100" s="42"/>
      <c r="Y100" s="222"/>
      <c r="Z100" s="41"/>
      <c r="AA100" s="41"/>
      <c r="AB100" s="41"/>
      <c r="AC100" s="41"/>
      <c r="AD100" s="41">
        <f>+AM100+BA100</f>
        <v>18</v>
      </c>
      <c r="AE100" s="241" t="s">
        <v>658</v>
      </c>
      <c r="AF100" s="41"/>
      <c r="AG100" s="41">
        <v>18</v>
      </c>
      <c r="AH100" s="41"/>
      <c r="AI100" s="459"/>
      <c r="AJ100" s="41"/>
      <c r="AK100" s="41"/>
      <c r="AL100" s="41"/>
      <c r="AM100" s="41">
        <f>SUM(AF100:AL100)+AT100+AV100+AX100</f>
        <v>18</v>
      </c>
      <c r="AN100" s="91"/>
      <c r="AO100" s="41"/>
      <c r="AP100" s="41"/>
      <c r="AQ100" s="41"/>
      <c r="AR100" s="41">
        <f>SUM(AN100:AQ100)</f>
        <v>0</v>
      </c>
      <c r="AS100" s="41"/>
      <c r="AT100" s="41"/>
      <c r="AU100" s="41"/>
      <c r="AV100" s="41"/>
      <c r="AW100" s="41"/>
      <c r="AX100" s="41"/>
      <c r="AY100" s="41"/>
      <c r="AZ100" s="41"/>
      <c r="BA100" s="41">
        <f>+AR100+AS100+AU100+AW100+AY100+AZ100</f>
        <v>0</v>
      </c>
      <c r="BB100" s="54"/>
      <c r="BC100" s="55">
        <v>15</v>
      </c>
      <c r="BD100" s="55"/>
      <c r="BE100" s="54"/>
      <c r="BF100" s="55"/>
    </row>
    <row r="101" spans="1:58" ht="12.95" customHeight="1">
      <c r="A101" s="44"/>
      <c r="B101" s="45"/>
      <c r="C101" s="450"/>
      <c r="D101" s="45"/>
      <c r="E101" s="46"/>
      <c r="F101" s="46"/>
      <c r="G101" s="463"/>
      <c r="H101" s="48"/>
      <c r="I101" s="49"/>
      <c r="J101" s="90"/>
      <c r="K101" s="90"/>
      <c r="L101" s="39"/>
      <c r="M101" s="39"/>
      <c r="N101" s="50"/>
      <c r="O101" s="51"/>
      <c r="P101" s="52"/>
      <c r="Q101" s="51"/>
      <c r="R101" s="420"/>
      <c r="S101" s="420"/>
      <c r="T101" s="41"/>
      <c r="U101" s="41"/>
      <c r="V101" s="41"/>
      <c r="W101" s="41"/>
      <c r="X101" s="42"/>
      <c r="Y101" s="222"/>
      <c r="Z101" s="41"/>
      <c r="AA101" s="41"/>
      <c r="AB101" s="41"/>
      <c r="AC101" s="41"/>
      <c r="AD101" s="41">
        <f>+AM101+BA101</f>
        <v>35</v>
      </c>
      <c r="AE101" s="241" t="s">
        <v>729</v>
      </c>
      <c r="AF101" s="37"/>
      <c r="AG101" s="37"/>
      <c r="AH101" s="37">
        <v>35</v>
      </c>
      <c r="AJ101" s="41"/>
      <c r="AK101" s="41"/>
      <c r="AL101" s="41"/>
      <c r="AM101" s="41">
        <f>SUM(AF101:AL101)+AT101+AV101+AX101</f>
        <v>35</v>
      </c>
      <c r="AN101" s="41"/>
      <c r="AO101" s="41"/>
      <c r="AP101" s="41"/>
      <c r="AQ101" s="41"/>
      <c r="AR101" s="41">
        <f>SUM(AN101:AQ101)</f>
        <v>0</v>
      </c>
      <c r="AS101" s="41"/>
      <c r="AT101" s="41"/>
      <c r="AU101" s="41"/>
      <c r="AV101" s="41"/>
      <c r="AW101" s="41"/>
      <c r="AX101" s="41"/>
      <c r="AY101" s="41"/>
      <c r="AZ101" s="41"/>
      <c r="BA101" s="41">
        <f>+AR101+AS101+AU101+AW101+AY101+AZ101</f>
        <v>0</v>
      </c>
      <c r="BB101" s="37"/>
      <c r="BC101" s="57"/>
      <c r="BD101" s="57"/>
      <c r="BE101" s="37"/>
      <c r="BF101" s="57"/>
    </row>
    <row r="102" spans="1:58" ht="12.95" customHeight="1">
      <c r="A102" s="346"/>
      <c r="B102" s="45"/>
      <c r="C102" s="450"/>
      <c r="D102" s="45"/>
      <c r="E102" s="46"/>
      <c r="F102" s="46"/>
      <c r="G102" s="47"/>
      <c r="H102" s="48"/>
      <c r="I102" s="49"/>
      <c r="J102" s="90"/>
      <c r="K102" s="90"/>
      <c r="L102" s="39"/>
      <c r="M102" s="39"/>
      <c r="N102" s="50"/>
      <c r="O102" s="51"/>
      <c r="P102" s="52"/>
      <c r="Q102" s="51"/>
      <c r="R102" s="420"/>
      <c r="S102" s="420"/>
      <c r="T102" s="41"/>
      <c r="U102" s="41"/>
      <c r="V102" s="41"/>
      <c r="W102" s="41"/>
      <c r="X102" s="417"/>
      <c r="Y102" s="222"/>
      <c r="Z102" s="41"/>
      <c r="AA102" s="53"/>
      <c r="AB102" s="53"/>
      <c r="AC102" s="41"/>
      <c r="AD102" s="41"/>
      <c r="AE102" s="244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37"/>
      <c r="BC102" s="55"/>
      <c r="BD102" s="55"/>
      <c r="BE102" s="55"/>
      <c r="BF102" s="55"/>
    </row>
    <row r="103" spans="1:58" ht="12.75" customHeight="1">
      <c r="A103" s="346">
        <v>45859</v>
      </c>
      <c r="B103" s="45" t="s">
        <v>607</v>
      </c>
      <c r="C103" s="450">
        <f>(M103*E103*O103*Q103)/100000000</f>
        <v>54.511380000000003</v>
      </c>
      <c r="D103" s="45" t="s">
        <v>608</v>
      </c>
      <c r="E103" s="46">
        <v>11.5</v>
      </c>
      <c r="F103" s="46">
        <v>1</v>
      </c>
      <c r="G103" s="463">
        <v>1700</v>
      </c>
      <c r="H103" s="631">
        <v>0.24</v>
      </c>
      <c r="I103" s="49">
        <v>0.88</v>
      </c>
      <c r="J103" s="90">
        <f>E103*G103*(1-H103)*1440/1000000*2.77</f>
        <v>59.265590400000001</v>
      </c>
      <c r="K103" s="90">
        <f>(IF(G103&lt;L103,L103,G103)*(1-IF(H103&lt;N103,H103,N103))*E103*O103*Q103)/100000000</f>
        <v>56.163240000000002</v>
      </c>
      <c r="L103" s="39">
        <v>1650</v>
      </c>
      <c r="M103" s="39">
        <v>1254</v>
      </c>
      <c r="N103" s="50">
        <f>1-(M103/L103)</f>
        <v>0.24</v>
      </c>
      <c r="O103" s="51">
        <f>+'Trim Rwd'!H78</f>
        <v>262.5</v>
      </c>
      <c r="P103" s="52">
        <f>O103*(Q103-R103-S103)</f>
        <v>340200</v>
      </c>
      <c r="Q103" s="51">
        <v>1440</v>
      </c>
      <c r="R103" s="420">
        <v>0</v>
      </c>
      <c r="S103" s="420">
        <v>144</v>
      </c>
      <c r="T103" s="41">
        <f>E103*M103*O103*Q103/100000000</f>
        <v>54.511380000000003</v>
      </c>
      <c r="U103" s="41">
        <f>E103*M103*O103*(Q103-R103-S103)/100000000</f>
        <v>49.060242000000002</v>
      </c>
      <c r="V103" s="41">
        <f>E103*G103*(1-N103)*O103/100*(R103+S103)/1000000</f>
        <v>5.6163239999999996</v>
      </c>
      <c r="W103" s="41">
        <f>+'21'!K34/1000</f>
        <v>44.09</v>
      </c>
      <c r="X103" s="417">
        <f>SUM(W103:W106)/SUM(K103:K106)</f>
        <v>0.78503305720966243</v>
      </c>
      <c r="Y103" s="222">
        <v>0</v>
      </c>
      <c r="Z103" s="41">
        <f>+'21'!D34/1000</f>
        <v>0.32</v>
      </c>
      <c r="AA103" s="53">
        <f>SUM(U103:U106)-SUM(W103:W106)-SUM(Z103:Z106)-SUM(Y103:Y106)</f>
        <v>4.6502419999999987</v>
      </c>
      <c r="AB103" s="53">
        <f>(SUM(K103:K106)-SUM(W103:W106)-SUM(Y103:Y106)-SUM(Z103:Z106)-SUM(AC103:AC106)-SUM(V103:V106))-AA103</f>
        <v>-0.16518599999999939</v>
      </c>
      <c r="AC103" s="41">
        <f>K103-T103</f>
        <v>1.6518599999999992</v>
      </c>
      <c r="AD103" s="41">
        <f>+AM103+BA103</f>
        <v>95</v>
      </c>
      <c r="AE103" s="241" t="s">
        <v>740</v>
      </c>
      <c r="AF103" s="41">
        <v>95</v>
      </c>
      <c r="AG103" s="41"/>
      <c r="AH103" s="41"/>
      <c r="AI103" s="459"/>
      <c r="AJ103" s="41"/>
      <c r="AK103" s="41"/>
      <c r="AL103" s="41"/>
      <c r="AM103" s="41">
        <f>SUM(AF103:AL103)+AT103+AV103+AX103</f>
        <v>95</v>
      </c>
      <c r="AN103" s="41"/>
      <c r="AO103" s="41"/>
      <c r="AP103" s="41"/>
      <c r="AQ103" s="41"/>
      <c r="AR103" s="41">
        <f>SUM(AN103:AQ103)</f>
        <v>0</v>
      </c>
      <c r="AS103" s="41"/>
      <c r="AT103" s="41"/>
      <c r="AU103" s="41"/>
      <c r="AV103" s="41"/>
      <c r="AW103" s="41"/>
      <c r="AX103" s="41"/>
      <c r="AY103" s="41"/>
      <c r="AZ103" s="41"/>
      <c r="BA103" s="41">
        <f>+AR103+AS103+AU103+AW103+AY103+AZ103</f>
        <v>0</v>
      </c>
      <c r="BB103" s="37">
        <v>19</v>
      </c>
      <c r="BC103" s="55"/>
      <c r="BD103" s="55"/>
      <c r="BE103" s="37"/>
      <c r="BF103" s="55"/>
    </row>
    <row r="104" spans="1:58" ht="12.95" customHeight="1">
      <c r="A104" s="346"/>
      <c r="B104" s="45"/>
      <c r="C104" s="450"/>
      <c r="D104" s="45"/>
      <c r="E104" s="46"/>
      <c r="F104" s="46"/>
      <c r="G104" s="463"/>
      <c r="H104" s="48"/>
      <c r="I104" s="49"/>
      <c r="J104" s="90"/>
      <c r="K104" s="90"/>
      <c r="L104" s="39"/>
      <c r="M104" s="39"/>
      <c r="N104" s="50"/>
      <c r="O104" s="51"/>
      <c r="P104" s="52"/>
      <c r="Q104" s="51"/>
      <c r="R104" s="420"/>
      <c r="S104" s="420"/>
      <c r="T104" s="41"/>
      <c r="U104" s="41"/>
      <c r="V104" s="41"/>
      <c r="W104" s="41"/>
      <c r="X104" s="42"/>
      <c r="Y104" s="222"/>
      <c r="Z104" s="41"/>
      <c r="AA104" s="41"/>
      <c r="AB104" s="41"/>
      <c r="AC104" s="41"/>
      <c r="AD104" s="41">
        <f>+AM104+BA104</f>
        <v>19</v>
      </c>
      <c r="AE104" s="241" t="s">
        <v>741</v>
      </c>
      <c r="AF104" s="41"/>
      <c r="AG104" s="41">
        <v>19</v>
      </c>
      <c r="AH104" s="41"/>
      <c r="AI104" s="459"/>
      <c r="AJ104" s="41"/>
      <c r="AK104" s="41"/>
      <c r="AL104" s="41"/>
      <c r="AM104" s="41">
        <f>SUM(AF104:AL104)+AT104+AV104+AX104</f>
        <v>19</v>
      </c>
      <c r="AN104" s="91"/>
      <c r="AO104" s="41"/>
      <c r="AP104" s="41"/>
      <c r="AQ104" s="41"/>
      <c r="AR104" s="41">
        <f>SUM(AN104:AQ104)</f>
        <v>0</v>
      </c>
      <c r="AS104" s="41"/>
      <c r="AT104" s="41"/>
      <c r="AU104" s="41"/>
      <c r="AV104" s="41"/>
      <c r="AW104" s="41"/>
      <c r="AX104" s="41"/>
      <c r="AY104" s="41"/>
      <c r="AZ104" s="41"/>
      <c r="BA104" s="41">
        <f>+AR104+AS104+AU104+AW104+AY104+AZ104</f>
        <v>0</v>
      </c>
      <c r="BB104" s="54"/>
      <c r="BC104" s="55">
        <v>9</v>
      </c>
      <c r="BD104" s="55"/>
      <c r="BE104" s="54"/>
      <c r="BF104" s="55"/>
    </row>
    <row r="105" spans="1:58" ht="12.95" customHeight="1">
      <c r="A105" s="44"/>
      <c r="B105" s="45"/>
      <c r="C105" s="450"/>
      <c r="D105" s="45"/>
      <c r="E105" s="46"/>
      <c r="F105" s="46"/>
      <c r="G105" s="463"/>
      <c r="H105" s="48"/>
      <c r="I105" s="49"/>
      <c r="J105" s="90"/>
      <c r="K105" s="90"/>
      <c r="L105" s="39"/>
      <c r="M105" s="39"/>
      <c r="N105" s="50"/>
      <c r="O105" s="51"/>
      <c r="P105" s="52"/>
      <c r="Q105" s="51"/>
      <c r="R105" s="420"/>
      <c r="S105" s="420"/>
      <c r="T105" s="41"/>
      <c r="U105" s="41"/>
      <c r="V105" s="41"/>
      <c r="W105" s="41"/>
      <c r="X105" s="42"/>
      <c r="Y105" s="222"/>
      <c r="Z105" s="41"/>
      <c r="AA105" s="41"/>
      <c r="AB105" s="41"/>
      <c r="AC105" s="41"/>
      <c r="AD105" s="41">
        <f>+AM105+BA105</f>
        <v>30</v>
      </c>
      <c r="AE105" s="241" t="s">
        <v>742</v>
      </c>
      <c r="AF105" s="37"/>
      <c r="AG105" s="37"/>
      <c r="AH105" s="37">
        <v>30</v>
      </c>
      <c r="AJ105" s="41"/>
      <c r="AK105" s="41"/>
      <c r="AL105" s="41"/>
      <c r="AM105" s="41">
        <f>SUM(AF105:AL105)+AT105+AV105+AX105</f>
        <v>30</v>
      </c>
      <c r="AN105" s="41"/>
      <c r="AO105" s="41"/>
      <c r="AP105" s="41"/>
      <c r="AQ105" s="41"/>
      <c r="AR105" s="41">
        <f>SUM(AN105:AQ105)</f>
        <v>0</v>
      </c>
      <c r="AS105" s="41"/>
      <c r="AT105" s="41"/>
      <c r="AU105" s="41"/>
      <c r="AV105" s="41"/>
      <c r="AW105" s="41"/>
      <c r="AX105" s="41"/>
      <c r="AY105" s="41"/>
      <c r="AZ105" s="41"/>
      <c r="BA105" s="41">
        <f>+AR105+AS105+AU105+AW105+AY105+AZ105</f>
        <v>0</v>
      </c>
      <c r="BB105" s="37"/>
      <c r="BC105" s="57"/>
      <c r="BD105" s="57"/>
      <c r="BE105" s="37"/>
      <c r="BF105" s="57"/>
    </row>
    <row r="106" spans="1:58" ht="12.95" customHeight="1">
      <c r="A106" s="346"/>
      <c r="B106" s="45"/>
      <c r="C106" s="450"/>
      <c r="D106" s="45"/>
      <c r="E106" s="46"/>
      <c r="F106" s="46"/>
      <c r="G106" s="47"/>
      <c r="H106" s="48"/>
      <c r="I106" s="49"/>
      <c r="J106" s="90"/>
      <c r="K106" s="90"/>
      <c r="L106" s="39"/>
      <c r="M106" s="39"/>
      <c r="N106" s="50"/>
      <c r="O106" s="51"/>
      <c r="P106" s="52"/>
      <c r="Q106" s="51"/>
      <c r="R106" s="420"/>
      <c r="S106" s="420"/>
      <c r="T106" s="41"/>
      <c r="U106" s="41"/>
      <c r="V106" s="41"/>
      <c r="W106" s="41"/>
      <c r="X106" s="417"/>
      <c r="Y106" s="222"/>
      <c r="Z106" s="41"/>
      <c r="AA106" s="53"/>
      <c r="AB106" s="53"/>
      <c r="AC106" s="41"/>
      <c r="AD106" s="41"/>
      <c r="AE106" s="244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37"/>
      <c r="BC106" s="55"/>
      <c r="BD106" s="55"/>
      <c r="BE106" s="55"/>
      <c r="BF106" s="55"/>
    </row>
    <row r="107" spans="1:58" ht="12.75" customHeight="1">
      <c r="A107" s="346">
        <v>45860</v>
      </c>
      <c r="B107" s="45" t="s">
        <v>607</v>
      </c>
      <c r="C107" s="450">
        <f>(M107*E107*O107*Q107)/100000000</f>
        <v>18.170459999999999</v>
      </c>
      <c r="D107" s="45" t="s">
        <v>608</v>
      </c>
      <c r="E107" s="46">
        <v>11.5</v>
      </c>
      <c r="F107" s="46">
        <v>1</v>
      </c>
      <c r="G107" s="463">
        <v>1700</v>
      </c>
      <c r="H107" s="631">
        <v>0.24</v>
      </c>
      <c r="I107" s="49">
        <v>0.88</v>
      </c>
      <c r="J107" s="90">
        <f>E107*G107*(1-H107)*1440/1000000*2.77</f>
        <v>59.265590400000001</v>
      </c>
      <c r="K107" s="90">
        <f>(IF(G107&lt;L107,L107,G107)*(1-IF(H107&lt;N107,H107,N107))*E107*O107*Q107)/100000000</f>
        <v>18.721080000000001</v>
      </c>
      <c r="L107" s="39">
        <v>1650</v>
      </c>
      <c r="M107" s="39">
        <v>1254</v>
      </c>
      <c r="N107" s="50">
        <f>1-(M107/L107)</f>
        <v>0.24</v>
      </c>
      <c r="O107" s="51">
        <f>+'Trim Rwd'!H80</f>
        <v>262.5</v>
      </c>
      <c r="P107" s="52">
        <f>O107*(Q107-R107-S107)</f>
        <v>118125</v>
      </c>
      <c r="Q107" s="51">
        <v>480</v>
      </c>
      <c r="R107" s="420">
        <v>0</v>
      </c>
      <c r="S107" s="420">
        <v>30</v>
      </c>
      <c r="T107" s="41">
        <f>E107*M107*O107*Q107/100000000</f>
        <v>18.170459999999999</v>
      </c>
      <c r="U107" s="41">
        <f>E107*M107*O107*(Q107-R107-S107)/100000000</f>
        <v>17.034806249999999</v>
      </c>
      <c r="V107" s="41">
        <f>E107*G107*(1-N107)*O107/100*(R107+S107)/1000000</f>
        <v>1.1700675</v>
      </c>
      <c r="W107" s="41">
        <f>+'22'!K14/1000</f>
        <v>3.42</v>
      </c>
      <c r="X107" s="417">
        <f>SUM(W107:W110)/SUM(K107:K110)</f>
        <v>0.82502237366406905</v>
      </c>
      <c r="Y107" s="222">
        <v>0</v>
      </c>
      <c r="Z107" s="41">
        <v>0</v>
      </c>
      <c r="AA107" s="53">
        <f>SUM(U107:U110)-SUM(W107:W110)-SUM(Z107:Z110)-SUM(Y107:Y110)</f>
        <v>3.9983687500000009</v>
      </c>
      <c r="AB107" s="53">
        <f>(SUM(K107:K110)-SUM(W107:W110)-SUM(Y107:Y110)-SUM(Z107:Z110)-SUM(AC107:AC110)-SUM(V107:V110))-AA107</f>
        <v>-0.10561273648649294</v>
      </c>
      <c r="AC107" s="41">
        <f>K107-T107</f>
        <v>0.55062000000000211</v>
      </c>
      <c r="AD107" s="41">
        <f>+AM107+BA107</f>
        <v>70</v>
      </c>
      <c r="AE107" s="241" t="s">
        <v>750</v>
      </c>
      <c r="AF107" s="41">
        <v>70</v>
      </c>
      <c r="AG107" s="41"/>
      <c r="AH107" s="41"/>
      <c r="AI107" s="459"/>
      <c r="AJ107" s="41"/>
      <c r="AK107" s="41"/>
      <c r="AL107" s="41"/>
      <c r="AM107" s="41">
        <f>SUM(AF107:AL107)+AT107+AV107+AX107</f>
        <v>70</v>
      </c>
      <c r="AN107" s="41"/>
      <c r="AO107" s="41"/>
      <c r="AP107" s="41"/>
      <c r="AQ107" s="41"/>
      <c r="AR107" s="41">
        <f>SUM(AN107:AQ107)</f>
        <v>0</v>
      </c>
      <c r="AS107" s="41"/>
      <c r="AT107" s="41"/>
      <c r="AU107" s="41"/>
      <c r="AV107" s="41"/>
      <c r="AW107" s="41"/>
      <c r="AX107" s="41"/>
      <c r="AY107" s="41"/>
      <c r="AZ107" s="41"/>
      <c r="BA107" s="41">
        <f>+AR107+AS107+AU107+AW107+AY107+AZ107</f>
        <v>0</v>
      </c>
      <c r="BB107" s="37">
        <v>14</v>
      </c>
      <c r="BC107" s="55"/>
      <c r="BD107" s="55"/>
      <c r="BE107" s="37"/>
      <c r="BF107" s="55"/>
    </row>
    <row r="108" spans="1:58" ht="12.95" customHeight="1">
      <c r="A108" s="346"/>
      <c r="B108" s="45" t="s">
        <v>607</v>
      </c>
      <c r="C108" s="450">
        <f>(M108*E108*O108*Q108)/100000000</f>
        <v>38.253599999999999</v>
      </c>
      <c r="D108" s="45" t="s">
        <v>608</v>
      </c>
      <c r="E108" s="46">
        <v>12</v>
      </c>
      <c r="F108" s="46">
        <v>1</v>
      </c>
      <c r="G108" s="463">
        <v>1700</v>
      </c>
      <c r="H108" s="631">
        <v>0.24</v>
      </c>
      <c r="I108" s="49">
        <v>0.88</v>
      </c>
      <c r="J108" s="90">
        <f>E108*G108*(1-H108)*1440/1000000*2.77</f>
        <v>61.8423552</v>
      </c>
      <c r="K108" s="90">
        <f>(IF(G108&lt;L108,L108,G108)*(1-IF(H108&lt;N108,H108,N108))*E108*O108*Q108)/100000000</f>
        <v>39.070079999999997</v>
      </c>
      <c r="L108" s="39">
        <v>1665</v>
      </c>
      <c r="M108" s="39">
        <v>1265</v>
      </c>
      <c r="N108" s="50">
        <f>1-(M108/L108)</f>
        <v>0.24024024024024027</v>
      </c>
      <c r="O108" s="51">
        <f>+'Trim Rwd'!H81</f>
        <v>262.5</v>
      </c>
      <c r="P108" s="52">
        <f>O108*(Q108-R108-S108)</f>
        <v>229687.5</v>
      </c>
      <c r="Q108" s="51">
        <v>960</v>
      </c>
      <c r="R108" s="420">
        <v>0</v>
      </c>
      <c r="S108" s="420">
        <v>85</v>
      </c>
      <c r="T108" s="41">
        <f>E108*M108*O108*Q108/100000000</f>
        <v>38.253599999999999</v>
      </c>
      <c r="U108" s="41">
        <f>E108*M108*O108*(Q108-R108-S108)/100000000</f>
        <v>34.866562500000001</v>
      </c>
      <c r="V108" s="41">
        <f>E108*G108*(1-N108)*O108/100*(R108+S108)/1000000</f>
        <v>3.458236486486487</v>
      </c>
      <c r="W108" s="41">
        <f>+'22'!K13/1000</f>
        <v>44.259</v>
      </c>
      <c r="X108" s="42"/>
      <c r="Y108" s="222"/>
      <c r="Z108" s="41">
        <f>+'22'!D16/1000</f>
        <v>0.224</v>
      </c>
      <c r="AA108" s="41"/>
      <c r="AB108" s="41"/>
      <c r="AC108" s="41">
        <f>K108-T108</f>
        <v>0.81647999999999854</v>
      </c>
      <c r="AD108" s="41">
        <f>+AM108+BA108</f>
        <v>15</v>
      </c>
      <c r="AE108" s="241" t="s">
        <v>689</v>
      </c>
      <c r="AF108" s="41"/>
      <c r="AG108" s="41">
        <v>15</v>
      </c>
      <c r="AH108" s="41"/>
      <c r="AI108" s="459"/>
      <c r="AJ108" s="41"/>
      <c r="AK108" s="41"/>
      <c r="AL108" s="41"/>
      <c r="AM108" s="41">
        <f>SUM(AF108:AL108)+AT108+AV108+AX108</f>
        <v>15</v>
      </c>
      <c r="AN108" s="91"/>
      <c r="AO108" s="41"/>
      <c r="AP108" s="41"/>
      <c r="AQ108" s="41"/>
      <c r="AR108" s="41">
        <f>SUM(AN108:AQ108)</f>
        <v>0</v>
      </c>
      <c r="AS108" s="41"/>
      <c r="AT108" s="41"/>
      <c r="AU108" s="41"/>
      <c r="AV108" s="41"/>
      <c r="AW108" s="41"/>
      <c r="AX108" s="41"/>
      <c r="AY108" s="41"/>
      <c r="AZ108" s="41"/>
      <c r="BA108" s="41">
        <f>+AR108+AS108+AU108+AW108+AY108+AZ108</f>
        <v>0</v>
      </c>
      <c r="BB108" s="54"/>
      <c r="BC108" s="55">
        <v>14</v>
      </c>
      <c r="BD108" s="55"/>
      <c r="BE108" s="54"/>
      <c r="BF108" s="55"/>
    </row>
    <row r="109" spans="1:58" ht="12.95" customHeight="1">
      <c r="A109" s="44"/>
      <c r="B109" s="45"/>
      <c r="C109" s="450"/>
      <c r="D109" s="45"/>
      <c r="E109" s="46"/>
      <c r="F109" s="46"/>
      <c r="G109" s="463"/>
      <c r="H109" s="48"/>
      <c r="I109" s="49"/>
      <c r="J109" s="90"/>
      <c r="K109" s="90"/>
      <c r="L109" s="39"/>
      <c r="M109" s="39"/>
      <c r="N109" s="50"/>
      <c r="O109" s="51"/>
      <c r="P109" s="52"/>
      <c r="Q109" s="51"/>
      <c r="R109" s="420"/>
      <c r="S109" s="420"/>
      <c r="T109" s="41"/>
      <c r="U109" s="41"/>
      <c r="V109" s="41"/>
      <c r="W109" s="41"/>
      <c r="X109" s="42"/>
      <c r="Y109" s="222"/>
      <c r="Z109" s="41"/>
      <c r="AA109" s="41"/>
      <c r="AB109" s="41"/>
      <c r="AC109" s="41"/>
      <c r="AD109" s="41">
        <f>+AM109+BA109</f>
        <v>30</v>
      </c>
      <c r="AE109" s="241" t="s">
        <v>490</v>
      </c>
      <c r="AF109" s="37"/>
      <c r="AG109" s="37"/>
      <c r="AH109" s="37">
        <v>30</v>
      </c>
      <c r="AJ109" s="41"/>
      <c r="AK109" s="41"/>
      <c r="AL109" s="41"/>
      <c r="AM109" s="41">
        <f>SUM(AF109:AL109)+AT109+AV109+AX109</f>
        <v>30</v>
      </c>
      <c r="AN109" s="41"/>
      <c r="AO109" s="41"/>
      <c r="AP109" s="41"/>
      <c r="AQ109" s="41"/>
      <c r="AR109" s="41">
        <f>SUM(AN109:AQ109)</f>
        <v>0</v>
      </c>
      <c r="AS109" s="41"/>
      <c r="AT109" s="41"/>
      <c r="AU109" s="41"/>
      <c r="AV109" s="41"/>
      <c r="AW109" s="41"/>
      <c r="AX109" s="41"/>
      <c r="AY109" s="41"/>
      <c r="AZ109" s="41"/>
      <c r="BA109" s="41">
        <f>+AR109+AS109+AU109+AW109+AY109+AZ109</f>
        <v>0</v>
      </c>
      <c r="BB109" s="37"/>
      <c r="BC109" s="57"/>
      <c r="BD109" s="57"/>
      <c r="BE109" s="37"/>
      <c r="BF109" s="57"/>
    </row>
    <row r="110" spans="1:58" ht="12.95" customHeight="1">
      <c r="A110" s="44"/>
      <c r="B110" s="45"/>
      <c r="C110" s="450"/>
      <c r="D110" s="45"/>
      <c r="E110" s="46"/>
      <c r="F110" s="46"/>
      <c r="G110" s="463"/>
      <c r="H110" s="48"/>
      <c r="I110" s="49"/>
      <c r="J110" s="90"/>
      <c r="K110" s="90"/>
      <c r="L110" s="39"/>
      <c r="M110" s="39"/>
      <c r="N110" s="50"/>
      <c r="O110" s="51"/>
      <c r="P110" s="52"/>
      <c r="Q110" s="51"/>
      <c r="R110" s="420"/>
      <c r="S110" s="420"/>
      <c r="T110" s="41"/>
      <c r="U110" s="41"/>
      <c r="V110" s="41"/>
      <c r="W110" s="41"/>
      <c r="X110" s="42"/>
      <c r="Y110" s="222"/>
      <c r="Z110" s="41"/>
      <c r="AA110" s="41"/>
      <c r="AB110" s="41"/>
      <c r="AC110" s="41"/>
      <c r="AD110" s="41"/>
      <c r="AE110" s="241"/>
      <c r="AF110" s="37"/>
      <c r="AG110" s="37"/>
      <c r="AH110" s="37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37"/>
      <c r="BC110" s="57"/>
      <c r="BD110" s="55"/>
      <c r="BE110" s="55"/>
      <c r="BF110" s="55"/>
    </row>
    <row r="111" spans="1:58" ht="12.75" customHeight="1">
      <c r="A111" s="346">
        <v>45861</v>
      </c>
      <c r="B111" s="45" t="s">
        <v>607</v>
      </c>
      <c r="C111" s="450">
        <f>(M111*E111*O111*Q111)/100000000</f>
        <v>58.33296</v>
      </c>
      <c r="D111" s="45" t="s">
        <v>608</v>
      </c>
      <c r="E111" s="46">
        <v>12</v>
      </c>
      <c r="F111" s="46">
        <v>1</v>
      </c>
      <c r="G111" s="463">
        <v>1700</v>
      </c>
      <c r="H111" s="631">
        <v>0.24</v>
      </c>
      <c r="I111" s="49">
        <v>0.88</v>
      </c>
      <c r="J111" s="90">
        <f>E111*G111*(1-H111)*1440/1000000*2.77</f>
        <v>61.8423552</v>
      </c>
      <c r="K111" s="90">
        <f>(IF(G111&lt;L111,L111,G111)*(1-IF(H111&lt;N111,H111,N111))*E111*O111*Q111)/100000000</f>
        <v>58.605119999999999</v>
      </c>
      <c r="L111" s="39">
        <v>1693</v>
      </c>
      <c r="M111" s="39">
        <v>1286</v>
      </c>
      <c r="N111" s="50">
        <f>1-(M111/L111)</f>
        <v>0.2404016538688718</v>
      </c>
      <c r="O111" s="51">
        <f>+'Trim Rwd'!H83</f>
        <v>262.5</v>
      </c>
      <c r="P111" s="52">
        <f>O111*(Q111-R111-S111)</f>
        <v>339412.5</v>
      </c>
      <c r="Q111" s="51">
        <v>1440</v>
      </c>
      <c r="R111" s="420">
        <v>0</v>
      </c>
      <c r="S111" s="420">
        <v>147</v>
      </c>
      <c r="T111" s="41">
        <f>E111*M111*O111*Q111/100000000</f>
        <v>58.33296</v>
      </c>
      <c r="U111" s="41">
        <f>E111*M111*O111*(Q111-R111-S111)/100000000</f>
        <v>52.378137000000002</v>
      </c>
      <c r="V111" s="41">
        <f>E111*G111*(1-N111)*O111/100*(R111+S111)/1000000</f>
        <v>5.9794442409923212</v>
      </c>
      <c r="W111" s="41">
        <f>+'23'!K34/1000</f>
        <v>42.927999999999997</v>
      </c>
      <c r="X111" s="417">
        <f>SUM(W111:W114)/SUM(K111:K114)</f>
        <v>0.73249572733576862</v>
      </c>
      <c r="Y111" s="222">
        <v>0</v>
      </c>
      <c r="Z111" s="41">
        <f>+'23'!D34/1000</f>
        <v>0.78</v>
      </c>
      <c r="AA111" s="53">
        <f>SUM(U111:U114)-SUM(W111:W114)-SUM(Z111:Z114)-SUM(Y111:Y114)</f>
        <v>8.6701370000000058</v>
      </c>
      <c r="AB111" s="53">
        <f>(SUM(K111:K114)-SUM(W111:W114)-SUM(Y111:Y114)-SUM(Z111:Z114)-SUM(AC111:AC114)-SUM(V111:V114))-AA111</f>
        <v>-2.4621240992322768E-2</v>
      </c>
      <c r="AC111" s="41">
        <f>K111-T111</f>
        <v>0.27215999999999951</v>
      </c>
      <c r="AD111" s="41">
        <f>+AM111+BA111</f>
        <v>75</v>
      </c>
      <c r="AE111" s="241" t="s">
        <v>711</v>
      </c>
      <c r="AF111" s="41">
        <v>75</v>
      </c>
      <c r="AG111" s="41"/>
      <c r="AH111" s="41"/>
      <c r="AI111" s="459"/>
      <c r="AJ111" s="41"/>
      <c r="AK111" s="41"/>
      <c r="AL111" s="41"/>
      <c r="AM111" s="41">
        <f>SUM(AF111:AL111)+AT111+AV111+AX111</f>
        <v>75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>
        <v>15</v>
      </c>
      <c r="BC111" s="55"/>
      <c r="BD111" s="55"/>
      <c r="BE111" s="37"/>
      <c r="BF111" s="55"/>
    </row>
    <row r="112" spans="1:58" ht="12.95" customHeight="1">
      <c r="A112" s="346"/>
      <c r="B112" s="45"/>
      <c r="C112" s="450"/>
      <c r="D112" s="45"/>
      <c r="E112" s="46"/>
      <c r="F112" s="46"/>
      <c r="G112" s="463"/>
      <c r="H112" s="48"/>
      <c r="I112" s="49"/>
      <c r="J112" s="90"/>
      <c r="K112" s="90"/>
      <c r="L112" s="39"/>
      <c r="M112" s="39"/>
      <c r="N112" s="50"/>
      <c r="O112" s="51"/>
      <c r="P112" s="52"/>
      <c r="Q112" s="51"/>
      <c r="R112" s="420"/>
      <c r="S112" s="420"/>
      <c r="T112" s="41"/>
      <c r="U112" s="41"/>
      <c r="V112" s="41"/>
      <c r="W112" s="41"/>
      <c r="X112" s="42"/>
      <c r="Y112" s="222"/>
      <c r="Z112" s="41"/>
      <c r="AA112" s="41"/>
      <c r="AB112" s="41"/>
      <c r="AC112" s="41"/>
      <c r="AD112" s="41">
        <f>+AM112+BA112</f>
        <v>22</v>
      </c>
      <c r="AE112" s="241" t="s">
        <v>625</v>
      </c>
      <c r="AF112" s="41"/>
      <c r="AG112" s="41">
        <v>22</v>
      </c>
      <c r="AH112" s="41"/>
      <c r="AI112" s="459"/>
      <c r="AJ112" s="41"/>
      <c r="AK112" s="41"/>
      <c r="AL112" s="41"/>
      <c r="AM112" s="41">
        <f>SUM(AF112:AL112)+AT112+AV112+AX112</f>
        <v>22</v>
      </c>
      <c r="AN112" s="91"/>
      <c r="AO112" s="41"/>
      <c r="AP112" s="41"/>
      <c r="AQ112" s="41"/>
      <c r="AR112" s="41">
        <f>SUM(AN112:AQ112)</f>
        <v>0</v>
      </c>
      <c r="AS112" s="41"/>
      <c r="AT112" s="41"/>
      <c r="AU112" s="41"/>
      <c r="AV112" s="41"/>
      <c r="AW112" s="41"/>
      <c r="AX112" s="41"/>
      <c r="AY112" s="41"/>
      <c r="AZ112" s="41"/>
      <c r="BA112" s="41">
        <f>+AR112+AS112+AU112+AW112+AY112+AZ112</f>
        <v>0</v>
      </c>
      <c r="BB112" s="54"/>
      <c r="BC112" s="55">
        <v>18</v>
      </c>
      <c r="BD112" s="55"/>
      <c r="BE112" s="54"/>
      <c r="BF112" s="55"/>
    </row>
    <row r="113" spans="1:58" ht="12.95" customHeight="1">
      <c r="A113" s="44"/>
      <c r="B113" s="45"/>
      <c r="C113" s="450"/>
      <c r="D113" s="45"/>
      <c r="E113" s="46"/>
      <c r="F113" s="46"/>
      <c r="G113" s="463"/>
      <c r="H113" s="48"/>
      <c r="I113" s="49"/>
      <c r="J113" s="90"/>
      <c r="K113" s="90"/>
      <c r="L113" s="39"/>
      <c r="M113" s="39"/>
      <c r="N113" s="50"/>
      <c r="O113" s="51"/>
      <c r="P113" s="52"/>
      <c r="Q113" s="51"/>
      <c r="R113" s="420"/>
      <c r="S113" s="420"/>
      <c r="T113" s="41"/>
      <c r="U113" s="41"/>
      <c r="V113" s="41"/>
      <c r="W113" s="41"/>
      <c r="X113" s="42"/>
      <c r="Y113" s="222"/>
      <c r="Z113" s="41"/>
      <c r="AA113" s="41"/>
      <c r="AB113" s="41"/>
      <c r="AC113" s="41"/>
      <c r="AD113" s="41">
        <f>+AM113+BA113</f>
        <v>32</v>
      </c>
      <c r="AE113" s="241" t="s">
        <v>516</v>
      </c>
      <c r="AF113" s="37"/>
      <c r="AG113" s="37"/>
      <c r="AH113" s="37">
        <v>32</v>
      </c>
      <c r="AJ113" s="41"/>
      <c r="AK113" s="41"/>
      <c r="AL113" s="41"/>
      <c r="AM113" s="41">
        <f>SUM(AF113:AL113)+AT113+AV113+AX113</f>
        <v>32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/>
      <c r="BC113" s="57"/>
      <c r="BD113" s="57"/>
      <c r="BE113" s="37"/>
      <c r="BF113" s="57"/>
    </row>
    <row r="114" spans="1:58" ht="12.95" customHeight="1">
      <c r="A114" s="44"/>
      <c r="B114" s="45"/>
      <c r="C114" s="450"/>
      <c r="D114" s="45"/>
      <c r="E114" s="46"/>
      <c r="F114" s="46"/>
      <c r="G114" s="463"/>
      <c r="H114" s="48"/>
      <c r="I114" s="49"/>
      <c r="J114" s="90"/>
      <c r="K114" s="90"/>
      <c r="L114" s="39"/>
      <c r="M114" s="39"/>
      <c r="N114" s="50"/>
      <c r="O114" s="51"/>
      <c r="P114" s="52"/>
      <c r="Q114" s="51"/>
      <c r="R114" s="420"/>
      <c r="S114" s="420"/>
      <c r="T114" s="41"/>
      <c r="U114" s="41"/>
      <c r="V114" s="41"/>
      <c r="W114" s="41"/>
      <c r="X114" s="42"/>
      <c r="Y114" s="222"/>
      <c r="Z114" s="41"/>
      <c r="AA114" s="41"/>
      <c r="AB114" s="41"/>
      <c r="AC114" s="41"/>
      <c r="AD114" s="41">
        <f>+AM114+BA114</f>
        <v>18</v>
      </c>
      <c r="AE114" s="244" t="s">
        <v>761</v>
      </c>
      <c r="AF114" s="37"/>
      <c r="AG114" s="37"/>
      <c r="AH114" s="37"/>
      <c r="AJ114" s="41"/>
      <c r="AK114" s="41">
        <v>18</v>
      </c>
      <c r="AL114" s="41"/>
      <c r="AM114" s="41">
        <f>SUM(AF114:AL114)+AT114+AV114+AX114</f>
        <v>18</v>
      </c>
      <c r="AN114" s="41"/>
      <c r="AO114" s="41"/>
      <c r="AP114" s="41"/>
      <c r="AQ114" s="41"/>
      <c r="AR114" s="41">
        <f>SUM(AN114:AQ114)</f>
        <v>0</v>
      </c>
      <c r="AS114" s="41"/>
      <c r="AT114" s="41"/>
      <c r="AU114" s="41"/>
      <c r="AV114" s="41"/>
      <c r="AW114" s="41"/>
      <c r="AX114" s="41"/>
      <c r="AY114" s="41"/>
      <c r="AZ114" s="41"/>
      <c r="BA114" s="41">
        <f>+AR114+AS114+AU114+AW114+AY114+AZ114</f>
        <v>0</v>
      </c>
      <c r="BB114" s="37"/>
      <c r="BC114" s="57"/>
      <c r="BD114" s="57"/>
      <c r="BE114" s="37"/>
      <c r="BF114" s="57"/>
    </row>
    <row r="115" spans="1:58" ht="12.95" customHeight="1">
      <c r="A115" s="346"/>
      <c r="B115" s="45"/>
      <c r="C115" s="450"/>
      <c r="D115" s="45"/>
      <c r="E115" s="46"/>
      <c r="F115" s="46"/>
      <c r="G115" s="47"/>
      <c r="H115" s="48"/>
      <c r="I115" s="49"/>
      <c r="J115" s="90"/>
      <c r="K115" s="90"/>
      <c r="L115" s="39"/>
      <c r="M115" s="39"/>
      <c r="N115" s="50"/>
      <c r="O115" s="51"/>
      <c r="P115" s="52"/>
      <c r="Q115" s="51"/>
      <c r="R115" s="420"/>
      <c r="S115" s="420"/>
      <c r="T115" s="41"/>
      <c r="U115" s="41"/>
      <c r="V115" s="41"/>
      <c r="W115" s="41"/>
      <c r="X115" s="417"/>
      <c r="Y115" s="222"/>
      <c r="Z115" s="41"/>
      <c r="AA115" s="53"/>
      <c r="AB115" s="53"/>
      <c r="AC115" s="41"/>
      <c r="AD115" s="41"/>
      <c r="AE115" s="2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37"/>
      <c r="BC115" s="55"/>
      <c r="BD115" s="55"/>
      <c r="BE115" s="55"/>
      <c r="BF115" s="55"/>
    </row>
    <row r="116" spans="1:58" ht="12.75" customHeight="1">
      <c r="A116" s="346">
        <v>45862</v>
      </c>
      <c r="B116" s="45" t="s">
        <v>607</v>
      </c>
      <c r="C116" s="450">
        <f>(M116*E116*O116*Q116)/100000000</f>
        <v>44.918738911807232</v>
      </c>
      <c r="D116" s="45" t="s">
        <v>608</v>
      </c>
      <c r="E116" s="46">
        <v>12</v>
      </c>
      <c r="F116" s="46">
        <v>1</v>
      </c>
      <c r="G116" s="463">
        <v>1700</v>
      </c>
      <c r="H116" s="631">
        <v>0.24</v>
      </c>
      <c r="I116" s="49">
        <v>0.88</v>
      </c>
      <c r="J116" s="90">
        <f>E116*G116*(1-H116)*1440/1000000*2.77</f>
        <v>61.8423552</v>
      </c>
      <c r="K116" s="90">
        <f>(IF(G116&lt;L116,L116,G116)*(1-IF(H116&lt;N116,H116,N116))*E116*O116*Q116)/100000000</f>
        <v>44.918738911807232</v>
      </c>
      <c r="L116" s="39">
        <v>1700</v>
      </c>
      <c r="M116" s="39">
        <v>1292</v>
      </c>
      <c r="N116" s="50">
        <f>1-(M116/L116)</f>
        <v>0.24</v>
      </c>
      <c r="O116" s="51">
        <f>+'Trim Rwd'!H85</f>
        <v>262.6686746987952</v>
      </c>
      <c r="P116" s="52">
        <f>O116*(Q116-R116-S116)</f>
        <v>267396.7108433735</v>
      </c>
      <c r="Q116" s="51">
        <v>1103</v>
      </c>
      <c r="R116" s="420">
        <v>0</v>
      </c>
      <c r="S116" s="420">
        <v>85</v>
      </c>
      <c r="T116" s="41">
        <f>E116*M116*O116*Q116/100000000</f>
        <v>44.918738911807232</v>
      </c>
      <c r="U116" s="41">
        <f>E116*M116*O116*(Q116-R116-S116)/100000000</f>
        <v>41.457186049156626</v>
      </c>
      <c r="V116" s="41">
        <f>E116*G116*(1-N116)*O116/100*(R116+S116)/1000000</f>
        <v>3.4615528626506027</v>
      </c>
      <c r="W116" s="41">
        <f>+'24'!K13/1000</f>
        <v>49.802</v>
      </c>
      <c r="X116" s="417">
        <f>SUM(W116:W119)/SUM(K116:K119)</f>
        <v>0.93638366459845312</v>
      </c>
      <c r="Y116" s="222">
        <v>0</v>
      </c>
      <c r="Z116" s="41">
        <f>+'24'!D7/1000</f>
        <v>0.32</v>
      </c>
      <c r="AA116" s="53">
        <f>SUM(U116:U119)-SUM(W116:W119)-SUM(Z116:Z119)-SUM(Y116:Y119)</f>
        <v>-2.285482700843374</v>
      </c>
      <c r="AB116" s="53">
        <f>(SUM(K116:K119)-SUM(W116:W119)-SUM(Y116:Y119)-SUM(Z116:Z119)-SUM(AC116:AC119)-SUM(V116:V119))-AA116</f>
        <v>-2.4921874999997762E-2</v>
      </c>
      <c r="AC116" s="41">
        <f>K116-T116</f>
        <v>0</v>
      </c>
      <c r="AD116" s="41">
        <f>+AM116+BA116</f>
        <v>60</v>
      </c>
      <c r="AE116" s="241" t="s">
        <v>739</v>
      </c>
      <c r="AF116" s="41">
        <v>60</v>
      </c>
      <c r="AG116" s="41"/>
      <c r="AH116" s="41"/>
      <c r="AI116" s="459"/>
      <c r="AJ116" s="41"/>
      <c r="AK116" s="41"/>
      <c r="AL116" s="41"/>
      <c r="AM116" s="41">
        <f>SUM(AF116:AL116)+AT116+AV116+AX116</f>
        <v>60</v>
      </c>
      <c r="AN116" s="41"/>
      <c r="AO116" s="41"/>
      <c r="AP116" s="41"/>
      <c r="AQ116" s="41"/>
      <c r="AR116" s="41">
        <f>SUM(AN116:AQ116)</f>
        <v>0</v>
      </c>
      <c r="AS116" s="41"/>
      <c r="AT116" s="41"/>
      <c r="AU116" s="41"/>
      <c r="AV116" s="41"/>
      <c r="AW116" s="41"/>
      <c r="AX116" s="41"/>
      <c r="AY116" s="41"/>
      <c r="AZ116" s="41"/>
      <c r="BA116" s="41">
        <f>+AR116+AS116+AU116+AW116+AY116+AZ116</f>
        <v>0</v>
      </c>
      <c r="BB116" s="37">
        <v>12</v>
      </c>
      <c r="BC116" s="55"/>
      <c r="BD116" s="55"/>
      <c r="BE116" s="37"/>
      <c r="BF116" s="55"/>
    </row>
    <row r="117" spans="1:58" ht="12.95" customHeight="1">
      <c r="A117" s="346"/>
      <c r="B117" s="45" t="s">
        <v>607</v>
      </c>
      <c r="C117" s="450">
        <f>(M117*E117*O117*Q117)/100000000</f>
        <v>14.109768750000001</v>
      </c>
      <c r="D117" s="45" t="s">
        <v>608</v>
      </c>
      <c r="E117" s="46">
        <v>12.5</v>
      </c>
      <c r="F117" s="46">
        <v>1</v>
      </c>
      <c r="G117" s="463">
        <v>1700</v>
      </c>
      <c r="H117" s="631">
        <v>0.24</v>
      </c>
      <c r="I117" s="49">
        <v>0.88</v>
      </c>
      <c r="J117" s="90">
        <f>E117*G117*(1-H117)*1440/1000000*2.77</f>
        <v>64.419120000000007</v>
      </c>
      <c r="K117" s="90">
        <f>(IF(G117&lt;L117,L117,G117)*(1-IF(H117&lt;N117,H117,N117))*E117*O117*Q117)/100000000</f>
        <v>14.28669375</v>
      </c>
      <c r="L117" s="39">
        <v>1680</v>
      </c>
      <c r="M117" s="39">
        <v>1276</v>
      </c>
      <c r="N117" s="50">
        <f>1-(M117/L117)</f>
        <v>0.24047619047619051</v>
      </c>
      <c r="O117" s="51">
        <f>+'Trim Rwd'!H87</f>
        <v>262.5</v>
      </c>
      <c r="P117" s="52">
        <f>O117*(Q117-R117-S117)</f>
        <v>75337.5</v>
      </c>
      <c r="Q117" s="51">
        <v>337</v>
      </c>
      <c r="R117" s="420">
        <v>0</v>
      </c>
      <c r="S117" s="420">
        <f>35+15</f>
        <v>50</v>
      </c>
      <c r="T117" s="41">
        <f>E117*M117*O117*Q117/100000000</f>
        <v>14.109768750000001</v>
      </c>
      <c r="U117" s="41">
        <f>E117*M117*O117*(Q117-R117-S117)/100000000</f>
        <v>12.01633125</v>
      </c>
      <c r="V117" s="41">
        <f>E117*G117*(1-N117)*O117/100*(R117+S117)/1000000</f>
        <v>2.1183593749999998</v>
      </c>
      <c r="W117" s="41">
        <f>+'24'!K17/1000</f>
        <v>5.6369999999999996</v>
      </c>
      <c r="X117" s="42"/>
      <c r="Y117" s="222"/>
      <c r="Z117" s="41"/>
      <c r="AA117" s="41"/>
      <c r="AB117" s="41"/>
      <c r="AC117" s="41">
        <f>K117-T117</f>
        <v>0.17692499999999889</v>
      </c>
      <c r="AD117" s="41">
        <f>+AM117+BA117</f>
        <v>25</v>
      </c>
      <c r="AE117" s="241" t="s">
        <v>772</v>
      </c>
      <c r="AF117" s="41"/>
      <c r="AG117" s="41">
        <v>25</v>
      </c>
      <c r="AH117" s="41"/>
      <c r="AI117" s="459"/>
      <c r="AJ117" s="41"/>
      <c r="AK117" s="41"/>
      <c r="AL117" s="41"/>
      <c r="AM117" s="41">
        <f>SUM(AF117:AL117)+AT117+AV117+AX117</f>
        <v>25</v>
      </c>
      <c r="AN117" s="91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54"/>
      <c r="BC117" s="55">
        <v>24</v>
      </c>
      <c r="BD117" s="55"/>
      <c r="BE117" s="54"/>
      <c r="BF117" s="55"/>
    </row>
    <row r="118" spans="1:58" ht="12.95" customHeight="1">
      <c r="A118" s="44"/>
      <c r="B118" s="45"/>
      <c r="C118" s="450"/>
      <c r="D118" s="45"/>
      <c r="E118" s="46"/>
      <c r="F118" s="46"/>
      <c r="G118" s="463"/>
      <c r="H118" s="48"/>
      <c r="I118" s="49"/>
      <c r="J118" s="90"/>
      <c r="K118" s="90"/>
      <c r="L118" s="39"/>
      <c r="M118" s="39"/>
      <c r="N118" s="50"/>
      <c r="O118" s="51"/>
      <c r="P118" s="52"/>
      <c r="Q118" s="51"/>
      <c r="R118" s="420"/>
      <c r="S118" s="420"/>
      <c r="T118" s="41"/>
      <c r="U118" s="41"/>
      <c r="V118" s="41"/>
      <c r="W118" s="41"/>
      <c r="X118" s="42"/>
      <c r="Y118" s="222"/>
      <c r="Z118" s="41"/>
      <c r="AA118" s="41"/>
      <c r="AB118" s="41"/>
      <c r="AC118" s="41"/>
      <c r="AD118" s="41">
        <f>+AM118+BA118</f>
        <v>35</v>
      </c>
      <c r="AE118" s="241" t="s">
        <v>626</v>
      </c>
      <c r="AF118" s="37"/>
      <c r="AG118" s="37"/>
      <c r="AH118" s="37">
        <v>35</v>
      </c>
      <c r="AI118" s="459"/>
      <c r="AJ118" s="41"/>
      <c r="AK118" s="41"/>
      <c r="AL118" s="41"/>
      <c r="AM118" s="41">
        <f>SUM(AF118:AL118)+AT118+AV118+AX118</f>
        <v>35</v>
      </c>
      <c r="AN118" s="41"/>
      <c r="AO118" s="41"/>
      <c r="AP118" s="41"/>
      <c r="AQ118" s="41"/>
      <c r="AR118" s="41">
        <f>SUM(AN118:AQ118)</f>
        <v>0</v>
      </c>
      <c r="AS118" s="41"/>
      <c r="AT118" s="41"/>
      <c r="AU118" s="41"/>
      <c r="AV118" s="41"/>
      <c r="AW118" s="41"/>
      <c r="AX118" s="41"/>
      <c r="AY118" s="41"/>
      <c r="AZ118" s="41"/>
      <c r="BA118" s="41">
        <f>+AR118+AS118+AU118+AW118+AY118+AZ118</f>
        <v>0</v>
      </c>
      <c r="BB118" s="37"/>
      <c r="BC118" s="57"/>
      <c r="BD118" s="57"/>
      <c r="BE118" s="37"/>
      <c r="BF118" s="57"/>
    </row>
    <row r="119" spans="1:58" ht="12.95" customHeight="1">
      <c r="A119" s="44"/>
      <c r="B119" s="45"/>
      <c r="C119" s="450"/>
      <c r="D119" s="45"/>
      <c r="E119" s="46"/>
      <c r="F119" s="46"/>
      <c r="G119" s="463"/>
      <c r="H119" s="48"/>
      <c r="I119" s="49"/>
      <c r="J119" s="90"/>
      <c r="K119" s="90"/>
      <c r="L119" s="39"/>
      <c r="M119" s="39"/>
      <c r="N119" s="50"/>
      <c r="O119" s="51"/>
      <c r="P119" s="52"/>
      <c r="Q119" s="51"/>
      <c r="R119" s="420"/>
      <c r="S119" s="420"/>
      <c r="T119" s="41"/>
      <c r="U119" s="41"/>
      <c r="V119" s="41"/>
      <c r="W119" s="41"/>
      <c r="X119" s="42"/>
      <c r="Y119" s="222"/>
      <c r="Z119" s="41"/>
      <c r="AA119" s="41"/>
      <c r="AB119" s="41"/>
      <c r="AC119" s="41"/>
      <c r="AD119" s="41">
        <f>+AM119+BA119</f>
        <v>15</v>
      </c>
      <c r="AE119" s="244" t="s">
        <v>763</v>
      </c>
      <c r="AF119" s="37"/>
      <c r="AG119" s="37"/>
      <c r="AH119" s="37"/>
      <c r="AJ119" s="41"/>
      <c r="AK119" s="41">
        <v>15</v>
      </c>
      <c r="AL119" s="41"/>
      <c r="AM119" s="41">
        <f>SUM(AF119:AL119)+AT119+AV119+AX119</f>
        <v>15</v>
      </c>
      <c r="AN119" s="41"/>
      <c r="AO119" s="41"/>
      <c r="AP119" s="41"/>
      <c r="AQ119" s="41"/>
      <c r="AR119" s="41">
        <f>SUM(AN119:AQ119)</f>
        <v>0</v>
      </c>
      <c r="AS119" s="41"/>
      <c r="AT119" s="41"/>
      <c r="AU119" s="41"/>
      <c r="AV119" s="41"/>
      <c r="AW119" s="41"/>
      <c r="AX119" s="41"/>
      <c r="AY119" s="41"/>
      <c r="AZ119" s="41"/>
      <c r="BA119" s="41">
        <f>+AR119+AS119+AU119+AW119+AY119+AZ119</f>
        <v>0</v>
      </c>
      <c r="BB119" s="37"/>
      <c r="BC119" s="57"/>
      <c r="BD119" s="57"/>
      <c r="BE119" s="37"/>
      <c r="BF119" s="57"/>
    </row>
    <row r="120" spans="1:58" ht="12.95" customHeight="1">
      <c r="A120" s="346"/>
      <c r="B120" s="45"/>
      <c r="C120" s="450"/>
      <c r="D120" s="45"/>
      <c r="E120" s="46"/>
      <c r="F120" s="46"/>
      <c r="G120" s="463"/>
      <c r="H120" s="48"/>
      <c r="I120" s="49"/>
      <c r="J120" s="90"/>
      <c r="K120" s="90"/>
      <c r="L120" s="39"/>
      <c r="M120" s="39"/>
      <c r="N120" s="50"/>
      <c r="O120" s="51"/>
      <c r="P120" s="52"/>
      <c r="Q120" s="51"/>
      <c r="R120" s="420"/>
      <c r="S120" s="420"/>
      <c r="T120" s="41"/>
      <c r="U120" s="41"/>
      <c r="V120" s="41"/>
      <c r="W120" s="41"/>
      <c r="X120" s="417"/>
      <c r="Y120" s="222"/>
      <c r="Z120" s="41"/>
      <c r="AA120" s="53"/>
      <c r="AB120" s="53"/>
      <c r="AC120" s="41"/>
      <c r="AD120" s="41"/>
      <c r="AE120" s="241"/>
      <c r="AF120" s="41"/>
      <c r="AG120" s="41"/>
      <c r="AH120" s="41"/>
      <c r="AI120" s="459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37"/>
      <c r="BC120" s="55"/>
      <c r="BD120" s="55"/>
      <c r="BE120" s="55"/>
      <c r="BF120" s="55"/>
    </row>
    <row r="121" spans="1:58" ht="12.75" customHeight="1">
      <c r="A121" s="346">
        <v>45863</v>
      </c>
      <c r="B121" s="45" t="s">
        <v>607</v>
      </c>
      <c r="C121" s="450">
        <f>(M121*E121*O121*Q121)/100000000</f>
        <v>57.283200000000001</v>
      </c>
      <c r="D121" s="45" t="s">
        <v>608</v>
      </c>
      <c r="E121" s="46">
        <v>12.5</v>
      </c>
      <c r="F121" s="46">
        <v>1</v>
      </c>
      <c r="G121" s="463">
        <v>1700</v>
      </c>
      <c r="H121" s="631">
        <v>0.24</v>
      </c>
      <c r="I121" s="49">
        <v>0.88</v>
      </c>
      <c r="J121" s="90">
        <f>E121*G121*(1-H121)*1440/1000000*2.77</f>
        <v>64.419120000000007</v>
      </c>
      <c r="K121" s="90">
        <f>(IF(G121&lt;L121,L121,G121)*(1-IF(H121&lt;N121,H121,N121))*E121*O121*Q121)/100000000</f>
        <v>60.465600000000002</v>
      </c>
      <c r="L121" s="39">
        <v>1611</v>
      </c>
      <c r="M121" s="39">
        <v>1224</v>
      </c>
      <c r="N121" s="50">
        <f>1-(M121/L121)</f>
        <v>0.24022346368715086</v>
      </c>
      <c r="O121" s="51">
        <f>+'Trim Rwd'!H89</f>
        <v>260</v>
      </c>
      <c r="P121" s="52">
        <f>O121*(Q121-R121-S121)</f>
        <v>342160</v>
      </c>
      <c r="Q121" s="51">
        <v>1440</v>
      </c>
      <c r="R121" s="420">
        <v>0</v>
      </c>
      <c r="S121" s="420">
        <v>124</v>
      </c>
      <c r="T121" s="41">
        <f>E121*M121*O121*Q121/100000000</f>
        <v>57.283200000000001</v>
      </c>
      <c r="U121" s="41">
        <f>E121*M121*O121*(Q121-R121-S121)/100000000</f>
        <v>52.350479999999997</v>
      </c>
      <c r="V121" s="41">
        <f>E121*G121*(1-N121)*O121/100*(R121+S121)/1000000</f>
        <v>5.2052290502793301</v>
      </c>
      <c r="W121" s="41">
        <f>+'25'!K34/1000</f>
        <v>41.302999999999997</v>
      </c>
      <c r="X121" s="417">
        <f>SUM(W121:W124)/SUM(K121:K124)</f>
        <v>0.68308261226217881</v>
      </c>
      <c r="Y121" s="222">
        <v>0</v>
      </c>
      <c r="Z121" s="41">
        <f>+'25'!D34/1000</f>
        <v>0.47</v>
      </c>
      <c r="AA121" s="53">
        <f>SUM(U121:U124)-SUM(W121:W124)-SUM(Z121:Z124)-SUM(Y121:Y124)</f>
        <v>10.57748</v>
      </c>
      <c r="AB121" s="53">
        <f>(SUM(K121:K124)-SUM(W121:W124)-SUM(Y121:Y124)-SUM(Z121:Z124)-SUM(AC121:AC124)-SUM(V121:V124))-AA121</f>
        <v>-0.27250905027932504</v>
      </c>
      <c r="AC121" s="41">
        <f>K121-T121</f>
        <v>3.1824000000000012</v>
      </c>
      <c r="AD121" s="41">
        <f>+AM121+BA121</f>
        <v>80</v>
      </c>
      <c r="AE121" s="241" t="s">
        <v>728</v>
      </c>
      <c r="AF121" s="41">
        <v>80</v>
      </c>
      <c r="AG121" s="41"/>
      <c r="AH121" s="41"/>
      <c r="AI121" s="459"/>
      <c r="AJ121" s="41"/>
      <c r="AK121" s="41"/>
      <c r="AL121" s="41"/>
      <c r="AM121" s="41">
        <f>SUM(AF121:AL121)+AT121+AV121+AX121</f>
        <v>80</v>
      </c>
      <c r="AN121" s="41"/>
      <c r="AO121" s="41"/>
      <c r="AP121" s="41"/>
      <c r="AQ121" s="41"/>
      <c r="AR121" s="41">
        <f>SUM(AN121:AQ121)</f>
        <v>0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0</v>
      </c>
      <c r="BB121" s="37">
        <v>16</v>
      </c>
      <c r="BC121" s="55"/>
      <c r="BD121" s="55"/>
      <c r="BE121" s="37"/>
      <c r="BF121" s="55"/>
    </row>
    <row r="122" spans="1:58" ht="12.95" customHeight="1">
      <c r="A122" s="346"/>
      <c r="B122" s="45"/>
      <c r="C122" s="450"/>
      <c r="D122" s="45"/>
      <c r="E122" s="46"/>
      <c r="F122" s="46"/>
      <c r="G122" s="463"/>
      <c r="H122" s="48"/>
      <c r="I122" s="49"/>
      <c r="J122" s="90"/>
      <c r="K122" s="90"/>
      <c r="L122" s="39"/>
      <c r="M122" s="39"/>
      <c r="N122" s="50"/>
      <c r="O122" s="51"/>
      <c r="P122" s="52"/>
      <c r="Q122" s="51"/>
      <c r="R122" s="420"/>
      <c r="S122" s="420"/>
      <c r="T122" s="41"/>
      <c r="U122" s="41"/>
      <c r="V122" s="41"/>
      <c r="W122" s="41"/>
      <c r="X122" s="42"/>
      <c r="Y122" s="222"/>
      <c r="Z122" s="41"/>
      <c r="AA122" s="41"/>
      <c r="AB122" s="41"/>
      <c r="AC122" s="41"/>
      <c r="AD122" s="41">
        <f>+AM122+BA122</f>
        <v>19</v>
      </c>
      <c r="AE122" s="241" t="s">
        <v>785</v>
      </c>
      <c r="AF122" s="41"/>
      <c r="AG122" s="41">
        <v>19</v>
      </c>
      <c r="AH122" s="41"/>
      <c r="AI122" s="459"/>
      <c r="AJ122" s="41"/>
      <c r="AK122" s="41"/>
      <c r="AL122" s="41"/>
      <c r="AM122" s="41">
        <f>SUM(AF122:AL122)+AT122+AV122+AX122</f>
        <v>19</v>
      </c>
      <c r="AN122" s="91"/>
      <c r="AO122" s="41"/>
      <c r="AP122" s="41"/>
      <c r="AQ122" s="41"/>
      <c r="AR122" s="41">
        <f>SUM(AN122:AQ122)</f>
        <v>0</v>
      </c>
      <c r="AS122" s="41"/>
      <c r="AT122" s="41"/>
      <c r="AU122" s="41"/>
      <c r="AV122" s="41"/>
      <c r="AW122" s="41"/>
      <c r="AX122" s="41"/>
      <c r="AY122" s="41"/>
      <c r="AZ122" s="41"/>
      <c r="BA122" s="41">
        <f>+AR122+AS122+AU122+AW122+AY122+AZ122</f>
        <v>0</v>
      </c>
      <c r="BB122" s="54"/>
      <c r="BC122" s="55">
        <v>20</v>
      </c>
      <c r="BD122" s="55"/>
      <c r="BE122" s="54"/>
      <c r="BF122" s="55"/>
    </row>
    <row r="123" spans="1:58" ht="12.95" customHeight="1">
      <c r="A123" s="44"/>
      <c r="B123" s="45"/>
      <c r="C123" s="450"/>
      <c r="D123" s="45"/>
      <c r="E123" s="46"/>
      <c r="F123" s="46"/>
      <c r="G123" s="463"/>
      <c r="H123" s="48"/>
      <c r="I123" s="49"/>
      <c r="J123" s="90"/>
      <c r="K123" s="90"/>
      <c r="L123" s="39"/>
      <c r="M123" s="39"/>
      <c r="N123" s="50"/>
      <c r="O123" s="51"/>
      <c r="P123" s="52"/>
      <c r="Q123" s="51"/>
      <c r="R123" s="420"/>
      <c r="S123" s="420"/>
      <c r="T123" s="41"/>
      <c r="U123" s="41"/>
      <c r="V123" s="41"/>
      <c r="W123" s="41"/>
      <c r="X123" s="42"/>
      <c r="Y123" s="222"/>
      <c r="Z123" s="41"/>
      <c r="AA123" s="41"/>
      <c r="AB123" s="41"/>
      <c r="AC123" s="41"/>
      <c r="AD123" s="41">
        <f>+AM123+BA123</f>
        <v>25</v>
      </c>
      <c r="AE123" s="241" t="s">
        <v>516</v>
      </c>
      <c r="AF123" s="37"/>
      <c r="AG123" s="37"/>
      <c r="AH123" s="37">
        <v>25</v>
      </c>
      <c r="AI123" s="459"/>
      <c r="AJ123" s="41"/>
      <c r="AK123" s="41"/>
      <c r="AL123" s="41"/>
      <c r="AM123" s="41">
        <f>SUM(AF123:AL123)+AT123+AV123+AX123</f>
        <v>25</v>
      </c>
      <c r="AN123" s="41"/>
      <c r="AO123" s="41"/>
      <c r="AP123" s="41"/>
      <c r="AQ123" s="41"/>
      <c r="AR123" s="41">
        <f>SUM(AN123:AQ123)</f>
        <v>0</v>
      </c>
      <c r="AS123" s="41"/>
      <c r="AT123" s="41"/>
      <c r="AU123" s="41"/>
      <c r="AV123" s="41"/>
      <c r="AW123" s="41"/>
      <c r="AX123" s="41"/>
      <c r="AY123" s="41"/>
      <c r="AZ123" s="41"/>
      <c r="BA123" s="41">
        <f>+AR123+AS123+AU123+AW123+AY123+AZ123</f>
        <v>0</v>
      </c>
      <c r="BB123" s="37"/>
      <c r="BC123" s="57"/>
      <c r="BD123" s="57"/>
      <c r="BE123" s="37"/>
      <c r="BF123" s="57"/>
    </row>
    <row r="124" spans="1:58" ht="12.95" customHeight="1">
      <c r="A124" s="44"/>
      <c r="B124" s="45"/>
      <c r="C124" s="450"/>
      <c r="D124" s="45"/>
      <c r="E124" s="46"/>
      <c r="F124" s="46"/>
      <c r="G124" s="463"/>
      <c r="H124" s="48"/>
      <c r="I124" s="49"/>
      <c r="J124" s="90"/>
      <c r="K124" s="90"/>
      <c r="L124" s="39"/>
      <c r="M124" s="39"/>
      <c r="N124" s="50"/>
      <c r="O124" s="51"/>
      <c r="P124" s="52"/>
      <c r="Q124" s="51"/>
      <c r="R124" s="420"/>
      <c r="S124" s="420"/>
      <c r="T124" s="41"/>
      <c r="U124" s="41"/>
      <c r="V124" s="41"/>
      <c r="W124" s="41"/>
      <c r="X124" s="42"/>
      <c r="Y124" s="222"/>
      <c r="Z124" s="41"/>
      <c r="AA124" s="41"/>
      <c r="AB124" s="41"/>
      <c r="AC124" s="41"/>
      <c r="AD124" s="41"/>
      <c r="AE124" s="244"/>
      <c r="AF124" s="37"/>
      <c r="AG124" s="37"/>
      <c r="AH124" s="37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37"/>
      <c r="BC124" s="57"/>
      <c r="BD124" s="57"/>
      <c r="BE124" s="37"/>
      <c r="BF124" s="57"/>
    </row>
    <row r="125" spans="1:58" ht="12.75" customHeight="1">
      <c r="A125" s="346">
        <v>45864</v>
      </c>
      <c r="B125" s="45" t="s">
        <v>607</v>
      </c>
      <c r="C125" s="450">
        <f>(M125*E125*O125*Q125)/100000000</f>
        <v>4.7423999999999999</v>
      </c>
      <c r="D125" s="45" t="s">
        <v>608</v>
      </c>
      <c r="E125" s="46">
        <v>12.5</v>
      </c>
      <c r="F125" s="46">
        <v>1</v>
      </c>
      <c r="G125" s="463">
        <v>1700</v>
      </c>
      <c r="H125" s="631">
        <v>0.24</v>
      </c>
      <c r="I125" s="49">
        <v>0.88</v>
      </c>
      <c r="J125" s="90">
        <f>E125*G125*(1-H125)*1440/1000000*2.77</f>
        <v>64.419120000000007</v>
      </c>
      <c r="K125" s="90">
        <f>(IF(G125&lt;L125,L125,G125)*(1-IF(H125&lt;N125,H125,N125))*E125*O125*Q125)/100000000</f>
        <v>5.0388000000000002</v>
      </c>
      <c r="L125" s="39">
        <v>1600</v>
      </c>
      <c r="M125" s="39">
        <v>1216</v>
      </c>
      <c r="N125" s="50">
        <f>1-(M125/L125)</f>
        <v>0.24</v>
      </c>
      <c r="O125" s="51">
        <f>+'Trim Rwd'!H91</f>
        <v>260</v>
      </c>
      <c r="P125" s="52">
        <f>O125*(Q125-R125-S125)</f>
        <v>29120</v>
      </c>
      <c r="Q125" s="51">
        <v>120</v>
      </c>
      <c r="R125" s="420">
        <v>0</v>
      </c>
      <c r="S125" s="420">
        <v>8</v>
      </c>
      <c r="T125" s="41">
        <f>E125*M125*O125*Q125/100000000</f>
        <v>4.7423999999999999</v>
      </c>
      <c r="U125" s="41">
        <f>E125*M125*O125*(Q125-R125-S125)/100000000</f>
        <v>4.42624</v>
      </c>
      <c r="V125" s="41">
        <f>E125*G125*(1-N125)*O125/100*(R125+S125)/1000000</f>
        <v>0.33592</v>
      </c>
      <c r="W125" s="41">
        <f>+'26'!K17/1000</f>
        <v>15.840999999999999</v>
      </c>
      <c r="X125" s="417">
        <f>SUM(W125:W128)/SUM(K125:K128)</f>
        <v>1.0217425580265307</v>
      </c>
      <c r="Y125" s="222">
        <v>0</v>
      </c>
      <c r="Z125" s="41">
        <v>0</v>
      </c>
      <c r="AA125" s="53">
        <f>SUM(U125:U128)-SUM(W125:W128)-SUM(Z125:Z128)-SUM(Y125:Y128)</f>
        <v>-7.8827600000000011</v>
      </c>
      <c r="AB125" s="53">
        <f>(SUM(K125:K128)-SUM(W125:W128)-SUM(Y125:Y128)-SUM(Z125:Z128)-SUM(AC125:AC128)-SUM(V125:V128))-AA125</f>
        <v>-0.18574399999999969</v>
      </c>
      <c r="AC125" s="41">
        <f>K125-T125</f>
        <v>0.29640000000000022</v>
      </c>
      <c r="AD125" s="41">
        <f>+AM125+BA125</f>
        <v>30</v>
      </c>
      <c r="AE125" s="241" t="s">
        <v>459</v>
      </c>
      <c r="AF125" s="41">
        <v>30</v>
      </c>
      <c r="AG125" s="41"/>
      <c r="AH125" s="41"/>
      <c r="AI125" s="459"/>
      <c r="AJ125" s="41"/>
      <c r="AK125" s="41"/>
      <c r="AL125" s="41"/>
      <c r="AM125" s="41">
        <f>SUM(AF125:AL125)+AT125+AV125+AX125</f>
        <v>30</v>
      </c>
      <c r="AN125" s="41"/>
      <c r="AO125" s="41"/>
      <c r="AP125" s="41"/>
      <c r="AQ125" s="41"/>
      <c r="AR125" s="41">
        <f>SUM(AN125:AQ125)</f>
        <v>0</v>
      </c>
      <c r="AS125" s="41"/>
      <c r="AT125" s="41"/>
      <c r="AU125" s="41"/>
      <c r="AV125" s="41"/>
      <c r="AW125" s="41"/>
      <c r="AX125" s="41"/>
      <c r="AY125" s="41"/>
      <c r="AZ125" s="41"/>
      <c r="BA125" s="41">
        <f>+AR125+AS125+AU125+AW125+AY125+AZ125</f>
        <v>0</v>
      </c>
      <c r="BB125" s="37">
        <v>6</v>
      </c>
      <c r="BC125" s="55"/>
      <c r="BD125" s="55"/>
      <c r="BE125" s="37"/>
      <c r="BF125" s="55"/>
    </row>
    <row r="126" spans="1:58" ht="12.95" customHeight="1">
      <c r="A126" s="346"/>
      <c r="B126" s="45" t="s">
        <v>607</v>
      </c>
      <c r="C126" s="450">
        <f>(M126*E126*O126*Q126)/100000000</f>
        <v>50.079743999999998</v>
      </c>
      <c r="D126" s="45" t="s">
        <v>608</v>
      </c>
      <c r="E126" s="46">
        <v>12</v>
      </c>
      <c r="F126" s="46">
        <v>1</v>
      </c>
      <c r="G126" s="463">
        <v>1700</v>
      </c>
      <c r="H126" s="631">
        <v>0.24</v>
      </c>
      <c r="I126" s="49">
        <v>0.88</v>
      </c>
      <c r="J126" s="90">
        <f>E126*G126*(1-H126)*1440/1000000*2.77</f>
        <v>61.8423552</v>
      </c>
      <c r="K126" s="90">
        <f>(IF(G126&lt;L126,L126,G126)*(1-IF(H126&lt;N126,H126,N126))*E126*O126*Q126)/100000000</f>
        <v>53.209727999999998</v>
      </c>
      <c r="L126" s="39">
        <v>1600</v>
      </c>
      <c r="M126" s="39">
        <v>1216</v>
      </c>
      <c r="N126" s="50">
        <f>1-(M126/L126)</f>
        <v>0.24</v>
      </c>
      <c r="O126" s="51">
        <f>+'Trim Rwd'!H92</f>
        <v>260</v>
      </c>
      <c r="P126" s="52">
        <f>O126*(Q126-R126-S126)</f>
        <v>325000</v>
      </c>
      <c r="Q126" s="51">
        <v>1320</v>
      </c>
      <c r="R126" s="420">
        <v>0</v>
      </c>
      <c r="S126" s="420">
        <v>70</v>
      </c>
      <c r="T126" s="41">
        <f>E126*M126*O126*Q126/100000000</f>
        <v>50.079743999999998</v>
      </c>
      <c r="U126" s="41">
        <f>E126*M126*O126*(Q126-R126-S126)/100000000</f>
        <v>47.423999999999999</v>
      </c>
      <c r="V126" s="41">
        <f>E126*G126*(1-N126)*O126/100*(R126+S126)/1000000</f>
        <v>2.8217279999999998</v>
      </c>
      <c r="W126" s="41">
        <f>+'26'!K13/1000</f>
        <v>43.673999999999999</v>
      </c>
      <c r="X126" s="42"/>
      <c r="Y126" s="222"/>
      <c r="Z126" s="41">
        <f>+'26'!D16/1000</f>
        <v>0.218</v>
      </c>
      <c r="AA126" s="41"/>
      <c r="AB126" s="41"/>
      <c r="AC126" s="41">
        <f>K126-T126</f>
        <v>3.1299840000000003</v>
      </c>
      <c r="AD126" s="41">
        <f>+AM126+BA126</f>
        <v>23</v>
      </c>
      <c r="AE126" s="241" t="s">
        <v>796</v>
      </c>
      <c r="AF126" s="41"/>
      <c r="AG126" s="41">
        <v>23</v>
      </c>
      <c r="AH126" s="41"/>
      <c r="AI126" s="459"/>
      <c r="AJ126" s="41"/>
      <c r="AK126" s="41"/>
      <c r="AL126" s="41"/>
      <c r="AM126" s="41">
        <f>SUM(AF126:AL126)+AT126+AV126+AX126</f>
        <v>23</v>
      </c>
      <c r="AN126" s="91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54"/>
      <c r="BC126" s="55">
        <v>22</v>
      </c>
      <c r="BD126" s="55"/>
      <c r="BE126" s="54"/>
      <c r="BF126" s="55"/>
    </row>
    <row r="127" spans="1:58" ht="12.95" customHeight="1">
      <c r="A127" s="44"/>
      <c r="B127" s="45"/>
      <c r="C127" s="450"/>
      <c r="D127" s="45"/>
      <c r="E127" s="46"/>
      <c r="F127" s="46"/>
      <c r="G127" s="463"/>
      <c r="H127" s="48"/>
      <c r="I127" s="49"/>
      <c r="J127" s="90"/>
      <c r="K127" s="90"/>
      <c r="L127" s="39"/>
      <c r="M127" s="39"/>
      <c r="N127" s="50"/>
      <c r="O127" s="51"/>
      <c r="P127" s="52"/>
      <c r="Q127" s="51"/>
      <c r="R127" s="420"/>
      <c r="S127" s="420"/>
      <c r="T127" s="41"/>
      <c r="U127" s="41"/>
      <c r="V127" s="41"/>
      <c r="W127" s="41"/>
      <c r="X127" s="42"/>
      <c r="Y127" s="222"/>
      <c r="Z127" s="41"/>
      <c r="AA127" s="41"/>
      <c r="AB127" s="41"/>
      <c r="AC127" s="41"/>
      <c r="AD127" s="41">
        <f>+AM127+BA127</f>
        <v>25</v>
      </c>
      <c r="AE127" s="241" t="s">
        <v>610</v>
      </c>
      <c r="AF127" s="37"/>
      <c r="AG127" s="37"/>
      <c r="AH127" s="37">
        <v>25</v>
      </c>
      <c r="AI127" s="459"/>
      <c r="AJ127" s="41"/>
      <c r="AK127" s="41"/>
      <c r="AL127" s="41"/>
      <c r="AM127" s="41">
        <f>SUM(AF127:AL127)+AT127+AV127+AX127</f>
        <v>25</v>
      </c>
      <c r="AN127" s="41"/>
      <c r="AO127" s="41"/>
      <c r="AP127" s="41"/>
      <c r="AQ127" s="41"/>
      <c r="AR127" s="41">
        <f>SUM(AN127:AQ127)</f>
        <v>0</v>
      </c>
      <c r="AS127" s="41"/>
      <c r="AT127" s="41"/>
      <c r="AU127" s="41"/>
      <c r="AV127" s="41"/>
      <c r="AW127" s="41"/>
      <c r="AX127" s="41"/>
      <c r="AY127" s="41"/>
      <c r="AZ127" s="41"/>
      <c r="BA127" s="41">
        <f>+AR127+AS127+AU127+AW127+AY127+AZ127</f>
        <v>0</v>
      </c>
      <c r="BB127" s="37"/>
      <c r="BC127" s="57"/>
      <c r="BD127" s="57"/>
      <c r="BE127" s="37"/>
      <c r="BF127" s="57"/>
    </row>
    <row r="128" spans="1:58" ht="12.95" customHeight="1">
      <c r="A128" s="44"/>
      <c r="B128" s="45"/>
      <c r="C128" s="450"/>
      <c r="D128" s="45"/>
      <c r="E128" s="46"/>
      <c r="F128" s="46"/>
      <c r="G128" s="463"/>
      <c r="H128" s="48"/>
      <c r="I128" s="49"/>
      <c r="J128" s="90"/>
      <c r="K128" s="90"/>
      <c r="L128" s="39"/>
      <c r="M128" s="39"/>
      <c r="N128" s="50"/>
      <c r="O128" s="51"/>
      <c r="P128" s="52"/>
      <c r="Q128" s="51"/>
      <c r="R128" s="420"/>
      <c r="S128" s="420"/>
      <c r="T128" s="41"/>
      <c r="U128" s="41"/>
      <c r="V128" s="41"/>
      <c r="W128" s="41"/>
      <c r="X128" s="42"/>
      <c r="Y128" s="222"/>
      <c r="Z128" s="41"/>
      <c r="AA128" s="41"/>
      <c r="AB128" s="41"/>
      <c r="AC128" s="41"/>
      <c r="AD128" s="41"/>
      <c r="AE128" s="244"/>
      <c r="AF128" s="37"/>
      <c r="AG128" s="37"/>
      <c r="AH128" s="37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37"/>
      <c r="BC128" s="57"/>
      <c r="BD128" s="57"/>
      <c r="BE128" s="37"/>
      <c r="BF128" s="57"/>
    </row>
    <row r="129" spans="1:58" ht="12.75" customHeight="1">
      <c r="A129" s="346">
        <v>45865</v>
      </c>
      <c r="B129" s="45" t="s">
        <v>607</v>
      </c>
      <c r="C129" s="450">
        <f>(M129*E129*O129*Q129)/100000000</f>
        <v>54.632447999999997</v>
      </c>
      <c r="D129" s="45" t="s">
        <v>608</v>
      </c>
      <c r="E129" s="46">
        <v>12</v>
      </c>
      <c r="F129" s="46">
        <v>1</v>
      </c>
      <c r="G129" s="463">
        <v>1700</v>
      </c>
      <c r="H129" s="631">
        <v>0.24</v>
      </c>
      <c r="I129" s="49">
        <v>0.88</v>
      </c>
      <c r="J129" s="90">
        <f>E129*G129*(1-H129)*1440/1000000*2.77</f>
        <v>61.8423552</v>
      </c>
      <c r="K129" s="90">
        <f>(IF(G129&lt;L129,L129,G129)*(1-IF(H129&lt;N129,H129,N129))*E129*O129*Q129)/100000000</f>
        <v>58.046976000000001</v>
      </c>
      <c r="L129" s="39">
        <v>1600</v>
      </c>
      <c r="M129" s="39">
        <v>1216</v>
      </c>
      <c r="N129" s="50">
        <f>1-(M129/L129)</f>
        <v>0.24</v>
      </c>
      <c r="O129" s="51">
        <f>+'Trim Rwd'!H94</f>
        <v>260</v>
      </c>
      <c r="P129" s="52">
        <f>O129*(Q129-R129-S129)</f>
        <v>357760</v>
      </c>
      <c r="Q129" s="51">
        <v>1440</v>
      </c>
      <c r="R129" s="420">
        <v>0</v>
      </c>
      <c r="S129" s="420">
        <v>64</v>
      </c>
      <c r="T129" s="41">
        <f>E129*M129*O129*Q129/100000000</f>
        <v>54.632447999999997</v>
      </c>
      <c r="U129" s="41">
        <f>E129*M129*O129*(Q129-R129-S129)/100000000</f>
        <v>52.2043392</v>
      </c>
      <c r="V129" s="41">
        <f>E129*G129*(1-N129)*O129/100*(R129+S129)/1000000</f>
        <v>2.5798656000000002</v>
      </c>
      <c r="W129" s="41">
        <f>+'27'!K34/1000</f>
        <v>51.79</v>
      </c>
      <c r="X129" s="417">
        <f>SUM(W129:W132)/SUM(K129:K132)</f>
        <v>0.8922084072045372</v>
      </c>
      <c r="Y129" s="222">
        <v>0</v>
      </c>
      <c r="Z129" s="41">
        <f>+'27'!D34/1000</f>
        <v>0.218</v>
      </c>
      <c r="AA129" s="53">
        <f>SUM(U129:U132)-SUM(W129:W132)-SUM(Z129:Z132)-SUM(Y129:Y132)</f>
        <v>0.19633920000000057</v>
      </c>
      <c r="AB129" s="53">
        <f>(SUM(K129:K132)-SUM(W129:W132)-SUM(Y129:Y132)-SUM(Z129:Z132)-SUM(AC129:AC132)-SUM(V129:V132))-AA129</f>
        <v>-0.15175680000000333</v>
      </c>
      <c r="AC129" s="41">
        <f>K129-T129</f>
        <v>3.4145280000000042</v>
      </c>
      <c r="AD129" s="41">
        <f>+AM129+BA129</f>
        <v>10</v>
      </c>
      <c r="AE129" s="241" t="s">
        <v>418</v>
      </c>
      <c r="AF129" s="41">
        <v>10</v>
      </c>
      <c r="AG129" s="41"/>
      <c r="AH129" s="41"/>
      <c r="AI129" s="459"/>
      <c r="AJ129" s="41"/>
      <c r="AK129" s="41"/>
      <c r="AL129" s="41"/>
      <c r="AM129" s="41">
        <f>SUM(AF129:AL129)+AT129+AV129+AX129</f>
        <v>10</v>
      </c>
      <c r="AN129" s="41"/>
      <c r="AO129" s="41"/>
      <c r="AP129" s="41"/>
      <c r="AQ129" s="41"/>
      <c r="AR129" s="41">
        <f>SUM(AN129:AQ129)</f>
        <v>0</v>
      </c>
      <c r="AS129" s="41"/>
      <c r="AT129" s="41"/>
      <c r="AU129" s="41"/>
      <c r="AV129" s="41"/>
      <c r="AW129" s="41"/>
      <c r="AX129" s="41"/>
      <c r="AY129" s="41"/>
      <c r="AZ129" s="41"/>
      <c r="BA129" s="41">
        <f>+AR129+AS129+AU129+AW129+AY129+AZ129</f>
        <v>0</v>
      </c>
      <c r="BB129" s="37">
        <v>2</v>
      </c>
      <c r="BC129" s="55"/>
      <c r="BD129" s="55"/>
      <c r="BE129" s="37"/>
      <c r="BF129" s="55"/>
    </row>
    <row r="130" spans="1:58" ht="12.95" customHeight="1">
      <c r="A130" s="346"/>
      <c r="B130" s="45"/>
      <c r="C130" s="450"/>
      <c r="D130" s="45"/>
      <c r="E130" s="46"/>
      <c r="F130" s="46"/>
      <c r="G130" s="463"/>
      <c r="H130" s="48"/>
      <c r="I130" s="49"/>
      <c r="J130" s="90"/>
      <c r="K130" s="90"/>
      <c r="L130" s="39"/>
      <c r="M130" s="39"/>
      <c r="N130" s="50"/>
      <c r="O130" s="51"/>
      <c r="P130" s="52"/>
      <c r="Q130" s="51"/>
      <c r="R130" s="420"/>
      <c r="S130" s="420"/>
      <c r="T130" s="41"/>
      <c r="U130" s="41"/>
      <c r="V130" s="41"/>
      <c r="W130" s="41"/>
      <c r="X130" s="42"/>
      <c r="Y130" s="222"/>
      <c r="Z130" s="41"/>
      <c r="AA130" s="41"/>
      <c r="AB130" s="41"/>
      <c r="AC130" s="41"/>
      <c r="AD130" s="41">
        <f>+AM130+BA130</f>
        <v>23</v>
      </c>
      <c r="AE130" s="241" t="s">
        <v>797</v>
      </c>
      <c r="AF130" s="41"/>
      <c r="AG130" s="41">
        <v>23</v>
      </c>
      <c r="AH130" s="41"/>
      <c r="AI130" s="459"/>
      <c r="AJ130" s="41"/>
      <c r="AK130" s="41"/>
      <c r="AL130" s="41"/>
      <c r="AM130" s="41">
        <f>SUM(AF130:AL130)+AT130+AV130+AX130</f>
        <v>23</v>
      </c>
      <c r="AN130" s="9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54"/>
      <c r="BC130" s="55">
        <v>23</v>
      </c>
      <c r="BD130" s="55"/>
      <c r="BE130" s="54"/>
      <c r="BF130" s="55"/>
    </row>
    <row r="131" spans="1:58" ht="12.95" customHeight="1">
      <c r="A131" s="44"/>
      <c r="B131" s="45"/>
      <c r="C131" s="450"/>
      <c r="D131" s="45"/>
      <c r="E131" s="46"/>
      <c r="F131" s="46"/>
      <c r="G131" s="463"/>
      <c r="H131" s="48"/>
      <c r="I131" s="49"/>
      <c r="J131" s="90"/>
      <c r="K131" s="90"/>
      <c r="L131" s="39"/>
      <c r="M131" s="39"/>
      <c r="N131" s="50"/>
      <c r="O131" s="51"/>
      <c r="P131" s="52"/>
      <c r="Q131" s="51"/>
      <c r="R131" s="420"/>
      <c r="S131" s="420"/>
      <c r="T131" s="41"/>
      <c r="U131" s="41"/>
      <c r="V131" s="41"/>
      <c r="W131" s="41"/>
      <c r="X131" s="42"/>
      <c r="Y131" s="222"/>
      <c r="Z131" s="41"/>
      <c r="AA131" s="41"/>
      <c r="AB131" s="41"/>
      <c r="AC131" s="41"/>
      <c r="AD131" s="41">
        <f>+AM131+BA131</f>
        <v>31</v>
      </c>
      <c r="AE131" s="241" t="s">
        <v>490</v>
      </c>
      <c r="AF131" s="37"/>
      <c r="AG131" s="37"/>
      <c r="AH131" s="37">
        <v>31</v>
      </c>
      <c r="AI131" s="459"/>
      <c r="AJ131" s="41"/>
      <c r="AK131" s="41"/>
      <c r="AL131" s="41"/>
      <c r="AM131" s="41">
        <f>SUM(AF131:AL131)+AT131+AV131+AX131</f>
        <v>31</v>
      </c>
      <c r="AN131" s="41"/>
      <c r="AO131" s="41"/>
      <c r="AP131" s="41"/>
      <c r="AQ131" s="41"/>
      <c r="AR131" s="41">
        <f>SUM(AN131:AQ131)</f>
        <v>0</v>
      </c>
      <c r="AS131" s="41"/>
      <c r="AT131" s="41"/>
      <c r="AU131" s="41"/>
      <c r="AV131" s="41"/>
      <c r="AW131" s="41"/>
      <c r="AX131" s="41"/>
      <c r="AY131" s="41"/>
      <c r="AZ131" s="41"/>
      <c r="BA131" s="41">
        <f>+AR131+AS131+AU131+AW131+AY131+AZ131</f>
        <v>0</v>
      </c>
      <c r="BB131" s="37"/>
      <c r="BC131" s="57"/>
      <c r="BD131" s="57"/>
      <c r="BE131" s="37"/>
      <c r="BF131" s="57"/>
    </row>
    <row r="132" spans="1:58" ht="12.95" customHeight="1">
      <c r="A132" s="346"/>
      <c r="B132" s="45"/>
      <c r="C132" s="450"/>
      <c r="D132" s="45"/>
      <c r="E132" s="46"/>
      <c r="F132" s="46"/>
      <c r="G132" s="463"/>
      <c r="H132" s="48"/>
      <c r="I132" s="49"/>
      <c r="J132" s="90"/>
      <c r="K132" s="90"/>
      <c r="L132" s="39"/>
      <c r="M132" s="39"/>
      <c r="N132" s="50"/>
      <c r="O132" s="51"/>
      <c r="P132" s="52"/>
      <c r="Q132" s="51"/>
      <c r="R132" s="420"/>
      <c r="S132" s="420"/>
      <c r="T132" s="41"/>
      <c r="U132" s="41"/>
      <c r="V132" s="41"/>
      <c r="W132" s="41"/>
      <c r="X132" s="417"/>
      <c r="Y132" s="222"/>
      <c r="Z132" s="41"/>
      <c r="AA132" s="53"/>
      <c r="AB132" s="53"/>
      <c r="AC132" s="41"/>
      <c r="AD132" s="41"/>
      <c r="AE132" s="241"/>
      <c r="AF132" s="41"/>
      <c r="AG132" s="41"/>
      <c r="AH132" s="41"/>
      <c r="AI132" s="459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37"/>
      <c r="BC132" s="55"/>
      <c r="BD132" s="55"/>
      <c r="BE132" s="55"/>
      <c r="BF132" s="55"/>
    </row>
    <row r="133" spans="1:58" ht="12.75" customHeight="1">
      <c r="A133" s="346">
        <v>45866</v>
      </c>
      <c r="B133" s="45" t="s">
        <v>607</v>
      </c>
      <c r="C133" s="450">
        <f>(M133*E133*O133*Q133)/100000000</f>
        <v>12.481996799999999</v>
      </c>
      <c r="D133" s="45" t="s">
        <v>608</v>
      </c>
      <c r="E133" s="46">
        <v>12</v>
      </c>
      <c r="F133" s="46">
        <v>1</v>
      </c>
      <c r="G133" s="463">
        <v>1700</v>
      </c>
      <c r="H133" s="631">
        <v>0.24</v>
      </c>
      <c r="I133" s="49">
        <v>0.88</v>
      </c>
      <c r="J133" s="90">
        <f>E133*G133*(1-H133)*1440/1000000*2.77</f>
        <v>61.8423552</v>
      </c>
      <c r="K133" s="90">
        <f>(IF(G133&lt;L133,L133,G133)*(1-IF(H133&lt;N133,H133,N133))*E133*O133*Q133)/100000000</f>
        <v>13.2621216</v>
      </c>
      <c r="L133" s="39">
        <v>1600</v>
      </c>
      <c r="M133" s="39">
        <v>1216</v>
      </c>
      <c r="N133" s="50">
        <f>1-(M133/L133)</f>
        <v>0.24</v>
      </c>
      <c r="O133" s="51">
        <f>+'Trim Rwd'!H96</f>
        <v>260</v>
      </c>
      <c r="P133" s="52">
        <f>O133*(Q133-R133-S133)</f>
        <v>77740</v>
      </c>
      <c r="Q133" s="51">
        <v>329</v>
      </c>
      <c r="R133" s="420">
        <v>0</v>
      </c>
      <c r="S133" s="420">
        <v>30</v>
      </c>
      <c r="T133" s="41">
        <f>E133*M133*O133*Q133/100000000</f>
        <v>12.481996799999999</v>
      </c>
      <c r="U133" s="41">
        <f>E133*M133*O133*(Q133-R133-S133)/100000000</f>
        <v>11.3438208</v>
      </c>
      <c r="V133" s="41">
        <f>E133*G133*(1-N133)*O133/100*(R133+S133)/1000000</f>
        <v>1.2093119999999999</v>
      </c>
      <c r="W133" s="41">
        <f>+'28'!K13/1000</f>
        <v>15.896000000000001</v>
      </c>
      <c r="X133" s="417">
        <f>SUM(W133:W136)/SUM(K133:K136)</f>
        <v>0.8619820785531136</v>
      </c>
      <c r="Y133" s="222">
        <v>0</v>
      </c>
      <c r="Z133" s="41">
        <f>+'28'!D7/1000</f>
        <v>0.25</v>
      </c>
      <c r="AA133" s="53">
        <f>SUM(U133:U136)-SUM(W133:W136)-SUM(Z133:Z136)-SUM(Y133:Y136)</f>
        <v>0.48692349000000412</v>
      </c>
      <c r="AB133" s="53">
        <f>(SUM(K133:K136)-SUM(W133:W136)-SUM(Y133:Y136)-SUM(Z133:Z136)-SUM(AC133:AC136)-SUM(V133:V136))-AA133</f>
        <v>-0.21420739970552338</v>
      </c>
      <c r="AC133" s="41">
        <f>K133-T133</f>
        <v>0.78012480000000117</v>
      </c>
      <c r="AD133" s="41">
        <f>+AM133+BA133</f>
        <v>30</v>
      </c>
      <c r="AE133" s="241" t="s">
        <v>459</v>
      </c>
      <c r="AF133" s="41">
        <v>30</v>
      </c>
      <c r="AG133" s="41"/>
      <c r="AH133" s="41"/>
      <c r="AI133" s="459"/>
      <c r="AJ133" s="41"/>
      <c r="AK133" s="41"/>
      <c r="AL133" s="41"/>
      <c r="AM133" s="41">
        <f>SUM(AF133:AL133)+AT133+AV133+AX133</f>
        <v>30</v>
      </c>
      <c r="AN133" s="41"/>
      <c r="AO133" s="41"/>
      <c r="AP133" s="41"/>
      <c r="AQ133" s="41"/>
      <c r="AR133" s="41">
        <f>SUM(AN133:AQ133)</f>
        <v>0</v>
      </c>
      <c r="AS133" s="41"/>
      <c r="AT133" s="41"/>
      <c r="AU133" s="41"/>
      <c r="AV133" s="41"/>
      <c r="AW133" s="41"/>
      <c r="AX133" s="41"/>
      <c r="AY133" s="41"/>
      <c r="AZ133" s="41"/>
      <c r="BA133" s="41">
        <f>+AR133+AS133+AU133+AW133+AY133+AZ133</f>
        <v>0</v>
      </c>
      <c r="BB133" s="37">
        <v>6</v>
      </c>
      <c r="BC133" s="55"/>
      <c r="BD133" s="55"/>
      <c r="BE133" s="37"/>
      <c r="BF133" s="55"/>
    </row>
    <row r="134" spans="1:58" ht="12.95" customHeight="1">
      <c r="A134" s="346"/>
      <c r="B134" s="45" t="s">
        <v>607</v>
      </c>
      <c r="C134" s="450">
        <f t="shared" ref="C134:C135" si="4">(M134*E134*O134*Q134)/100000000</f>
        <v>16.67577408</v>
      </c>
      <c r="D134" s="45" t="s">
        <v>608</v>
      </c>
      <c r="E134" s="46">
        <v>10.5</v>
      </c>
      <c r="F134" s="46">
        <v>1</v>
      </c>
      <c r="G134" s="463">
        <v>1730</v>
      </c>
      <c r="H134" s="631">
        <v>0.24</v>
      </c>
      <c r="I134" s="49">
        <v>0.88</v>
      </c>
      <c r="J134" s="90">
        <f t="shared" ref="J134:J135" si="5">E134*G134*(1-H134)*1440/1000000*2.77</f>
        <v>55.066979519999997</v>
      </c>
      <c r="K134" s="90">
        <f t="shared" ref="K134:K135" si="6">(IF(G134&lt;L134,L134,G134)*(1-IF(H134&lt;N134,H134,N134))*E134*O134*Q134)/100000000</f>
        <v>18.030680724</v>
      </c>
      <c r="L134" s="39">
        <v>1600</v>
      </c>
      <c r="M134" s="39">
        <v>1216</v>
      </c>
      <c r="N134" s="50">
        <f t="shared" ref="N134:N135" si="7">1-(M134/L134)</f>
        <v>0.24</v>
      </c>
      <c r="O134" s="51">
        <f>+'Trim Rwd'!H97</f>
        <v>266</v>
      </c>
      <c r="P134" s="52">
        <f t="shared" ref="P134:P135" si="8">O134*(Q134-R134-S134)</f>
        <v>122360</v>
      </c>
      <c r="Q134" s="51">
        <v>491</v>
      </c>
      <c r="R134" s="420">
        <v>0</v>
      </c>
      <c r="S134" s="420">
        <f>17+14</f>
        <v>31</v>
      </c>
      <c r="T134" s="41">
        <f t="shared" ref="T134:T135" si="9">E134*M134*O134*Q134/100000000</f>
        <v>16.67577408</v>
      </c>
      <c r="U134" s="41">
        <f t="shared" ref="U134:U135" si="10">E134*M134*O134*(Q134-R134-S134)/100000000</f>
        <v>15.6229248</v>
      </c>
      <c r="V134" s="41">
        <f t="shared" ref="V134:V135" si="11">E134*G134*(1-N134)*O134/100*(R134+S134)/1000000</f>
        <v>1.1383932839999999</v>
      </c>
      <c r="W134" s="41">
        <f>+'28'!K15/1000</f>
        <v>14.125999999999999</v>
      </c>
      <c r="X134" s="42"/>
      <c r="Y134" s="222"/>
      <c r="Z134" s="41">
        <f>+'28'!D16/1000</f>
        <v>0.29499999999999998</v>
      </c>
      <c r="AA134" s="41"/>
      <c r="AB134" s="41"/>
      <c r="AC134" s="41">
        <f t="shared" ref="AC134:AC135" si="12">K134-T134</f>
        <v>1.3549066439999997</v>
      </c>
      <c r="AD134" s="41">
        <f>+AM134+BA134</f>
        <v>17</v>
      </c>
      <c r="AE134" s="241" t="s">
        <v>810</v>
      </c>
      <c r="AF134" s="41"/>
      <c r="AG134" s="41">
        <v>17</v>
      </c>
      <c r="AH134" s="41"/>
      <c r="AI134" s="459"/>
      <c r="AJ134" s="41"/>
      <c r="AK134" s="41"/>
      <c r="AL134" s="41"/>
      <c r="AM134" s="41">
        <f>SUM(AF134:AL134)+AT134+AV134+AX134</f>
        <v>17</v>
      </c>
      <c r="AN134" s="91"/>
      <c r="AO134" s="41"/>
      <c r="AP134" s="41"/>
      <c r="AQ134" s="41"/>
      <c r="AR134" s="41">
        <f>SUM(AN134:AQ134)</f>
        <v>0</v>
      </c>
      <c r="AS134" s="41"/>
      <c r="AT134" s="41"/>
      <c r="AU134" s="41"/>
      <c r="AV134" s="41"/>
      <c r="AW134" s="41"/>
      <c r="AX134" s="41"/>
      <c r="AY134" s="41"/>
      <c r="AZ134" s="41"/>
      <c r="BA134" s="41">
        <f>+AR134+AS134+AU134+AW134+AY134+AZ134</f>
        <v>0</v>
      </c>
      <c r="BB134" s="54"/>
      <c r="BC134" s="55">
        <v>19</v>
      </c>
      <c r="BD134" s="55"/>
      <c r="BE134" s="54"/>
      <c r="BF134" s="55"/>
    </row>
    <row r="135" spans="1:58" ht="12.95" customHeight="1">
      <c r="A135" s="44"/>
      <c r="B135" s="45" t="s">
        <v>607</v>
      </c>
      <c r="C135" s="450">
        <f t="shared" si="4"/>
        <v>23.254874439999998</v>
      </c>
      <c r="D135" s="45" t="s">
        <v>608</v>
      </c>
      <c r="E135" s="46">
        <v>10.3</v>
      </c>
      <c r="F135" s="46">
        <v>1</v>
      </c>
      <c r="G135" s="463">
        <v>1730</v>
      </c>
      <c r="H135" s="632">
        <v>0.16</v>
      </c>
      <c r="I135" s="49">
        <v>0.88</v>
      </c>
      <c r="J135" s="90">
        <f t="shared" si="5"/>
        <v>59.704198847999997</v>
      </c>
      <c r="K135" s="90">
        <f t="shared" si="6"/>
        <v>24.685159632000001</v>
      </c>
      <c r="L135" s="39">
        <v>1630</v>
      </c>
      <c r="M135" s="39">
        <v>1369</v>
      </c>
      <c r="N135" s="50">
        <f t="shared" si="7"/>
        <v>0.16012269938650303</v>
      </c>
      <c r="O135" s="51">
        <f>+'Trim Rwd'!H98</f>
        <v>266</v>
      </c>
      <c r="P135" s="52">
        <f t="shared" si="8"/>
        <v>158270</v>
      </c>
      <c r="Q135" s="51">
        <v>620</v>
      </c>
      <c r="R135" s="420">
        <v>0</v>
      </c>
      <c r="S135" s="420">
        <v>25</v>
      </c>
      <c r="T135" s="41">
        <f t="shared" si="9"/>
        <v>23.254874439999998</v>
      </c>
      <c r="U135" s="41">
        <f t="shared" si="10"/>
        <v>22.31717789</v>
      </c>
      <c r="V135" s="41">
        <f t="shared" si="11"/>
        <v>0.99522394570552153</v>
      </c>
      <c r="W135" s="41">
        <f>+'28'!K16/1000</f>
        <v>18.23</v>
      </c>
      <c r="X135" s="42"/>
      <c r="Y135" s="222"/>
      <c r="Z135" s="41"/>
      <c r="AA135" s="41"/>
      <c r="AB135" s="41"/>
      <c r="AC135" s="41">
        <f t="shared" si="12"/>
        <v>1.430285192000003</v>
      </c>
      <c r="AD135" s="41">
        <f>+AM135+BA135</f>
        <v>25</v>
      </c>
      <c r="AE135" s="241" t="s">
        <v>460</v>
      </c>
      <c r="AF135" s="37"/>
      <c r="AG135" s="37"/>
      <c r="AH135" s="37">
        <v>25</v>
      </c>
      <c r="AI135" s="459"/>
      <c r="AJ135" s="41"/>
      <c r="AK135" s="41"/>
      <c r="AL135" s="41"/>
      <c r="AM135" s="41">
        <f>SUM(AF135:AL135)+AT135+AV135+AX135</f>
        <v>25</v>
      </c>
      <c r="AN135" s="41"/>
      <c r="AO135" s="41"/>
      <c r="AP135" s="41"/>
      <c r="AQ135" s="41"/>
      <c r="AR135" s="41">
        <f>SUM(AN135:AQ135)</f>
        <v>0</v>
      </c>
      <c r="AS135" s="41"/>
      <c r="AT135" s="41"/>
      <c r="AU135" s="41"/>
      <c r="AV135" s="41"/>
      <c r="AW135" s="41"/>
      <c r="AX135" s="41"/>
      <c r="AY135" s="41"/>
      <c r="AZ135" s="41"/>
      <c r="BA135" s="41">
        <f>+AR135+AS135+AU135+AW135+AY135+AZ135</f>
        <v>0</v>
      </c>
      <c r="BB135" s="37"/>
      <c r="BC135" s="57"/>
      <c r="BD135" s="57"/>
      <c r="BE135" s="37"/>
      <c r="BF135" s="57"/>
    </row>
    <row r="136" spans="1:58" ht="12.95" customHeight="1">
      <c r="A136" s="346"/>
      <c r="B136" s="45"/>
      <c r="C136" s="450"/>
      <c r="D136" s="45"/>
      <c r="E136" s="46"/>
      <c r="F136" s="46"/>
      <c r="G136" s="463"/>
      <c r="H136" s="48"/>
      <c r="I136" s="49"/>
      <c r="J136" s="90"/>
      <c r="K136" s="90"/>
      <c r="L136" s="39"/>
      <c r="M136" s="39"/>
      <c r="N136" s="50"/>
      <c r="O136" s="51"/>
      <c r="P136" s="52"/>
      <c r="Q136" s="51"/>
      <c r="R136" s="420"/>
      <c r="S136" s="420"/>
      <c r="T136" s="41"/>
      <c r="U136" s="41"/>
      <c r="V136" s="41"/>
      <c r="W136" s="41"/>
      <c r="X136" s="417"/>
      <c r="Y136" s="222"/>
      <c r="Z136" s="41"/>
      <c r="AA136" s="53"/>
      <c r="AB136" s="53"/>
      <c r="AC136" s="41"/>
      <c r="AD136" s="41">
        <f>+AM136+BA136</f>
        <v>14</v>
      </c>
      <c r="AE136" s="241" t="s">
        <v>540</v>
      </c>
      <c r="AF136" s="41"/>
      <c r="AG136" s="41"/>
      <c r="AH136" s="41"/>
      <c r="AI136" s="459">
        <v>14</v>
      </c>
      <c r="AJ136" s="41"/>
      <c r="AK136" s="41"/>
      <c r="AL136" s="41"/>
      <c r="AM136" s="41">
        <f>SUM(AF136:AL136)+AT136+AV136+AX136</f>
        <v>14</v>
      </c>
      <c r="AN136" s="41"/>
      <c r="AO136" s="41"/>
      <c r="AP136" s="41"/>
      <c r="AQ136" s="41"/>
      <c r="AR136" s="41">
        <f>SUM(AN136:AQ136)</f>
        <v>0</v>
      </c>
      <c r="AS136" s="41"/>
      <c r="AT136" s="41"/>
      <c r="AU136" s="41"/>
      <c r="AV136" s="41"/>
      <c r="AW136" s="41"/>
      <c r="AX136" s="41"/>
      <c r="AY136" s="41"/>
      <c r="AZ136" s="41"/>
      <c r="BA136" s="41">
        <f>+AR136+AS136+AU136+AW136+AY136+AZ136</f>
        <v>0</v>
      </c>
      <c r="BB136" s="37"/>
      <c r="BC136" s="57"/>
      <c r="BD136" s="57"/>
      <c r="BE136" s="37"/>
      <c r="BF136" s="57"/>
    </row>
    <row r="137" spans="1:58" ht="12.95" customHeight="1">
      <c r="A137" s="346"/>
      <c r="B137" s="45"/>
      <c r="C137" s="450"/>
      <c r="D137" s="45"/>
      <c r="E137" s="46"/>
      <c r="F137" s="46"/>
      <c r="G137" s="463"/>
      <c r="H137" s="48"/>
      <c r="I137" s="49"/>
      <c r="J137" s="90"/>
      <c r="K137" s="90"/>
      <c r="L137" s="39"/>
      <c r="M137" s="39"/>
      <c r="N137" s="50"/>
      <c r="O137" s="51"/>
      <c r="P137" s="52"/>
      <c r="Q137" s="51"/>
      <c r="R137" s="420"/>
      <c r="S137" s="420"/>
      <c r="T137" s="41"/>
      <c r="U137" s="41"/>
      <c r="V137" s="41"/>
      <c r="W137" s="41"/>
      <c r="X137" s="417"/>
      <c r="Y137" s="222"/>
      <c r="Z137" s="41"/>
      <c r="AA137" s="53"/>
      <c r="AB137" s="53"/>
      <c r="AC137" s="41"/>
      <c r="AD137" s="41"/>
      <c r="AE137" s="241"/>
      <c r="AF137" s="41"/>
      <c r="AG137" s="41"/>
      <c r="AH137" s="41"/>
      <c r="AI137" s="459"/>
      <c r="AJ137" s="41"/>
      <c r="AK137" s="41"/>
      <c r="AL137" s="41"/>
      <c r="AM137" s="41"/>
      <c r="AN137" s="9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54"/>
      <c r="BC137" s="55"/>
      <c r="BD137" s="55"/>
      <c r="BE137" s="55"/>
      <c r="BF137" s="55"/>
    </row>
    <row r="138" spans="1:58" ht="12.75" customHeight="1">
      <c r="A138" s="346">
        <v>45867</v>
      </c>
      <c r="B138" s="45" t="s">
        <v>607</v>
      </c>
      <c r="C138" s="450">
        <f t="shared" ref="C138:C139" si="13">(M138*E138*O138*Q138)/100000000</f>
        <v>27.104293439999999</v>
      </c>
      <c r="D138" s="45" t="s">
        <v>608</v>
      </c>
      <c r="E138" s="46">
        <v>10.3</v>
      </c>
      <c r="F138" s="46">
        <v>1</v>
      </c>
      <c r="G138" s="463">
        <v>1730</v>
      </c>
      <c r="H138" s="632">
        <v>0.16</v>
      </c>
      <c r="I138" s="49">
        <v>0.88</v>
      </c>
      <c r="J138" s="90">
        <f t="shared" ref="J138:J139" si="14">E138*G138*(1-H138)*1440/1000000*2.77</f>
        <v>59.704198847999997</v>
      </c>
      <c r="K138" s="90">
        <f t="shared" ref="K138:K139" si="15">(IF(G138&lt;L138,L138,G138)*(1-IF(H138&lt;N138,H138,N138))*E138*O138*Q138)/100000000</f>
        <v>28.666636992000004</v>
      </c>
      <c r="L138" s="39">
        <v>1636</v>
      </c>
      <c r="M138" s="39">
        <v>1374</v>
      </c>
      <c r="N138" s="50">
        <f t="shared" ref="N138:N139" si="16">1-(M138/L138)</f>
        <v>0.16014669926650371</v>
      </c>
      <c r="O138" s="51">
        <f>+'Trim Rwd'!H100</f>
        <v>266</v>
      </c>
      <c r="P138" s="52">
        <f t="shared" ref="P138" si="17">O138*(Q138-R138-S138)</f>
        <v>185934</v>
      </c>
      <c r="Q138" s="51">
        <v>720</v>
      </c>
      <c r="R138" s="420">
        <v>0</v>
      </c>
      <c r="S138" s="420">
        <v>21</v>
      </c>
      <c r="T138" s="41">
        <f t="shared" ref="T138:T139" si="18">E138*M138*O138*Q138/100000000</f>
        <v>27.104293439999999</v>
      </c>
      <c r="U138" s="41">
        <f t="shared" ref="U138:U139" si="19">E138*M138*O138*(Q138-R138-S138)/100000000</f>
        <v>26.313751548000003</v>
      </c>
      <c r="V138" s="41">
        <f t="shared" ref="V138:V139" si="20">E138*G138*(1-N138)*O138/100*(R138+S138)/1000000</f>
        <v>0.83596422564792172</v>
      </c>
      <c r="W138" s="41">
        <f>+'29'!K16/1000</f>
        <v>31.498999999999999</v>
      </c>
      <c r="X138" s="417">
        <f>SUM(W138:W141)/SUM(K138:K141)</f>
        <v>0.90739687363668242</v>
      </c>
      <c r="Y138" s="222">
        <v>0</v>
      </c>
      <c r="Z138" s="41">
        <v>0</v>
      </c>
      <c r="AA138" s="53">
        <f>SUM(U138:U141)-SUM(W138:W141)-SUM(Z138:Z141)-SUM(Y138:Y141)</f>
        <v>-0.35956173199999597</v>
      </c>
      <c r="AB138" s="53">
        <f>(SUM(K138:K141)-SUM(W138:W141)-SUM(Y138:Y141)-SUM(Z138:Z141)-SUM(AC138:AC141)-SUM(V138:V141))-AA138</f>
        <v>1.6359955863520783</v>
      </c>
      <c r="AC138" s="41">
        <f>K138-T138</f>
        <v>1.5623435520000051</v>
      </c>
      <c r="AD138" s="41">
        <f>+AM138+BA138</f>
        <v>4</v>
      </c>
      <c r="AE138" s="241" t="s">
        <v>536</v>
      </c>
      <c r="AF138" s="41">
        <v>4</v>
      </c>
      <c r="AG138" s="41"/>
      <c r="AH138" s="41"/>
      <c r="AI138" s="459"/>
      <c r="AJ138" s="41"/>
      <c r="AK138" s="41"/>
      <c r="AL138" s="41"/>
      <c r="AM138" s="41">
        <f>SUM(AF138:AL138)+AT138+AV138+AX138</f>
        <v>4</v>
      </c>
      <c r="AN138" s="41"/>
      <c r="AO138" s="41"/>
      <c r="AP138" s="41"/>
      <c r="AQ138" s="41"/>
      <c r="AR138" s="41">
        <f>SUM(AN138:AQ138)</f>
        <v>0</v>
      </c>
      <c r="AS138" s="41"/>
      <c r="AT138" s="41"/>
      <c r="AU138" s="41"/>
      <c r="AV138" s="41"/>
      <c r="AW138" s="41"/>
      <c r="AX138" s="41"/>
      <c r="AY138" s="41"/>
      <c r="AZ138" s="41"/>
      <c r="BA138" s="41">
        <f>+AR138+AS138+AU138+AW138+AY138+AZ138</f>
        <v>0</v>
      </c>
      <c r="BB138" s="37">
        <v>1</v>
      </c>
      <c r="BC138" s="55"/>
      <c r="BD138" s="55"/>
      <c r="BE138" s="37"/>
      <c r="BF138" s="55"/>
    </row>
    <row r="139" spans="1:58" ht="12.95" customHeight="1">
      <c r="A139" s="346"/>
      <c r="B139" s="45" t="s">
        <v>607</v>
      </c>
      <c r="C139" s="450">
        <f t="shared" si="13"/>
        <v>11.353305600000001</v>
      </c>
      <c r="D139" s="45" t="s">
        <v>608</v>
      </c>
      <c r="E139" s="46">
        <v>13</v>
      </c>
      <c r="F139" s="46">
        <v>1</v>
      </c>
      <c r="G139" s="463">
        <v>1700</v>
      </c>
      <c r="H139" s="631">
        <v>0.24</v>
      </c>
      <c r="I139" s="49">
        <v>0.88</v>
      </c>
      <c r="J139" s="90">
        <f t="shared" si="14"/>
        <v>66.995884799999999</v>
      </c>
      <c r="K139" s="90">
        <f t="shared" si="15"/>
        <v>12.0628872</v>
      </c>
      <c r="L139" s="39">
        <v>1600</v>
      </c>
      <c r="M139" s="39">
        <v>1216</v>
      </c>
      <c r="N139" s="50">
        <f t="shared" si="16"/>
        <v>0.24</v>
      </c>
      <c r="O139" s="51">
        <f>+'Trim Rwd'!H101</f>
        <v>266</v>
      </c>
      <c r="P139" s="52">
        <f>O139*(Q139-R139-S139)</f>
        <v>66234</v>
      </c>
      <c r="Q139" s="51">
        <v>270</v>
      </c>
      <c r="R139" s="420">
        <v>0</v>
      </c>
      <c r="S139" s="420">
        <v>21</v>
      </c>
      <c r="T139" s="41">
        <f t="shared" si="18"/>
        <v>11.353305600000001</v>
      </c>
      <c r="U139" s="41">
        <f t="shared" si="19"/>
        <v>10.47027072</v>
      </c>
      <c r="V139" s="41">
        <f t="shared" si="20"/>
        <v>0.9382245600000001</v>
      </c>
      <c r="W139" s="41">
        <f>+'29'!K18/1000</f>
        <v>10.288</v>
      </c>
      <c r="X139" s="42"/>
      <c r="Y139" s="222"/>
      <c r="Z139" s="41"/>
      <c r="AA139" s="41"/>
      <c r="AB139" s="41"/>
      <c r="AC139" s="41"/>
      <c r="AD139" s="41">
        <f>+AM139+BA139</f>
        <v>26</v>
      </c>
      <c r="AE139" s="241" t="s">
        <v>797</v>
      </c>
      <c r="AF139" s="41"/>
      <c r="AG139" s="41">
        <v>26</v>
      </c>
      <c r="AH139" s="41"/>
      <c r="AI139" s="459"/>
      <c r="AJ139" s="41"/>
      <c r="AK139" s="41"/>
      <c r="AL139" s="41"/>
      <c r="AM139" s="41">
        <f>SUM(AF139:AL139)+AT139+AV139+AX139</f>
        <v>26</v>
      </c>
      <c r="AN139" s="91"/>
      <c r="AO139" s="41"/>
      <c r="AP139" s="41"/>
      <c r="AQ139" s="41"/>
      <c r="AR139" s="41">
        <f>SUM(AN139:AQ139)</f>
        <v>0</v>
      </c>
      <c r="AS139" s="41"/>
      <c r="AT139" s="41"/>
      <c r="AU139" s="41"/>
      <c r="AV139" s="41"/>
      <c r="AW139" s="41"/>
      <c r="AX139" s="41"/>
      <c r="AY139" s="41"/>
      <c r="AZ139" s="41"/>
      <c r="BA139" s="41">
        <f>+AR139+AS139+AU139+AW139+AY139+AZ139</f>
        <v>0</v>
      </c>
      <c r="BB139" s="54"/>
      <c r="BC139" s="55">
        <v>23</v>
      </c>
      <c r="BD139" s="55"/>
      <c r="BE139" s="54"/>
      <c r="BF139" s="55"/>
    </row>
    <row r="140" spans="1:58" ht="12.95" customHeight="1">
      <c r="A140" s="44"/>
      <c r="B140" s="45" t="s">
        <v>607</v>
      </c>
      <c r="C140" s="450">
        <f>(M140*E140*O140*Q140)/100000000</f>
        <v>17.236799999999999</v>
      </c>
      <c r="D140" s="45" t="s">
        <v>608</v>
      </c>
      <c r="E140" s="46">
        <v>12</v>
      </c>
      <c r="F140" s="46">
        <v>1</v>
      </c>
      <c r="G140" s="463">
        <v>1700</v>
      </c>
      <c r="H140" s="631">
        <v>0.24</v>
      </c>
      <c r="I140" s="49">
        <v>0.88</v>
      </c>
      <c r="J140" s="90">
        <f>E140*G140*(1-H140)*1440/1000000*2.77</f>
        <v>61.8423552</v>
      </c>
      <c r="K140" s="90">
        <f>(IF(G140&lt;L140,L140,G140)*(1-IF(H140&lt;N140,H140,N140))*E140*O140*Q140)/100000000</f>
        <v>18.3141</v>
      </c>
      <c r="L140" s="39">
        <v>1600</v>
      </c>
      <c r="M140" s="39">
        <v>1216</v>
      </c>
      <c r="N140" s="50">
        <f>1-(M140/L140)</f>
        <v>0.24</v>
      </c>
      <c r="O140" s="51">
        <f>+'Trim Rwd'!H102</f>
        <v>262.5</v>
      </c>
      <c r="P140" s="52">
        <f>O140*(Q140-R140-S140)</f>
        <v>112612.5</v>
      </c>
      <c r="Q140" s="51">
        <v>450</v>
      </c>
      <c r="R140" s="420">
        <v>0</v>
      </c>
      <c r="S140" s="420">
        <v>21</v>
      </c>
      <c r="T140" s="41">
        <f>E140*M140*O140*Q140/100000000</f>
        <v>17.236799999999999</v>
      </c>
      <c r="U140" s="41">
        <f>E140*M140*O140*(Q140-R140-S140)/100000000</f>
        <v>16.432416</v>
      </c>
      <c r="V140" s="41">
        <f>E140*G140*(1-N140)*O140/100*(R140+S140)/1000000</f>
        <v>0.85465800000000003</v>
      </c>
      <c r="W140" s="41">
        <f>+'29'!K13/1000</f>
        <v>11.789</v>
      </c>
      <c r="X140" s="42"/>
      <c r="Y140" s="222"/>
      <c r="Z140" s="41"/>
      <c r="AA140" s="41"/>
      <c r="AB140" s="41"/>
      <c r="AC140" s="41"/>
      <c r="AD140" s="41">
        <f>+AM140+BA140</f>
        <v>25</v>
      </c>
      <c r="AE140" s="241" t="s">
        <v>490</v>
      </c>
      <c r="AF140" s="37"/>
      <c r="AG140" s="37"/>
      <c r="AH140" s="37">
        <v>25</v>
      </c>
      <c r="AI140" s="459"/>
      <c r="AJ140" s="41"/>
      <c r="AK140" s="41"/>
      <c r="AL140" s="41"/>
      <c r="AM140" s="41">
        <f>SUM(AF140:AL140)+AT140+AV140+AX140</f>
        <v>25</v>
      </c>
      <c r="AN140" s="41"/>
      <c r="AO140" s="41"/>
      <c r="AP140" s="41"/>
      <c r="AQ140" s="41"/>
      <c r="AR140" s="41">
        <f>SUM(AN140:AQ140)</f>
        <v>0</v>
      </c>
      <c r="AS140" s="41"/>
      <c r="AT140" s="41"/>
      <c r="AU140" s="41"/>
      <c r="AV140" s="41"/>
      <c r="AW140" s="41"/>
      <c r="AX140" s="41"/>
      <c r="AY140" s="41"/>
      <c r="AZ140" s="41"/>
      <c r="BA140" s="41">
        <f>+AR140+AS140+AU140+AW140+AY140+AZ140</f>
        <v>0</v>
      </c>
      <c r="BB140" s="37"/>
      <c r="BC140" s="57"/>
      <c r="BD140" s="57"/>
      <c r="BE140" s="37"/>
      <c r="BF140" s="57"/>
    </row>
    <row r="141" spans="1:58" ht="12.95" customHeight="1">
      <c r="A141" s="346"/>
      <c r="B141" s="45"/>
      <c r="C141" s="450"/>
      <c r="D141" s="45"/>
      <c r="E141" s="46"/>
      <c r="F141" s="46"/>
      <c r="G141" s="463"/>
      <c r="H141" s="48"/>
      <c r="I141" s="49"/>
      <c r="J141" s="90"/>
      <c r="K141" s="90"/>
      <c r="L141" s="39"/>
      <c r="M141" s="39"/>
      <c r="N141" s="50"/>
      <c r="O141" s="51"/>
      <c r="P141" s="52"/>
      <c r="Q141" s="51"/>
      <c r="R141" s="420"/>
      <c r="S141" s="420"/>
      <c r="T141" s="41"/>
      <c r="U141" s="41"/>
      <c r="V141" s="41"/>
      <c r="W141" s="41"/>
      <c r="X141" s="417"/>
      <c r="Y141" s="222"/>
      <c r="Z141" s="41"/>
      <c r="AA141" s="53"/>
      <c r="AB141" s="53"/>
      <c r="AC141" s="41"/>
      <c r="AD141" s="41">
        <f>+AM141+BA141</f>
        <v>8</v>
      </c>
      <c r="AE141" s="241" t="s">
        <v>540</v>
      </c>
      <c r="AF141" s="41"/>
      <c r="AG141" s="41"/>
      <c r="AH141" s="41"/>
      <c r="AI141" s="459">
        <v>8</v>
      </c>
      <c r="AJ141" s="41"/>
      <c r="AK141" s="41"/>
      <c r="AL141" s="41"/>
      <c r="AM141" s="41">
        <f>SUM(AF141:AL141)+AT141+AV141+AX141</f>
        <v>8</v>
      </c>
      <c r="AN141" s="41"/>
      <c r="AO141" s="41"/>
      <c r="AP141" s="41"/>
      <c r="AQ141" s="41"/>
      <c r="AR141" s="41">
        <f>SUM(AN141:AQ141)</f>
        <v>0</v>
      </c>
      <c r="AS141" s="41"/>
      <c r="AT141" s="41"/>
      <c r="AU141" s="41"/>
      <c r="AV141" s="41"/>
      <c r="AW141" s="41"/>
      <c r="AX141" s="41"/>
      <c r="AY141" s="41"/>
      <c r="AZ141" s="41"/>
      <c r="BA141" s="41">
        <f>+AR141+AS141+AU141+AW141+AY141+AZ141</f>
        <v>0</v>
      </c>
      <c r="BB141" s="37"/>
      <c r="BC141" s="57"/>
      <c r="BD141" s="57"/>
      <c r="BE141" s="37"/>
      <c r="BF141" s="57"/>
    </row>
    <row r="142" spans="1:58" ht="12.95" customHeight="1">
      <c r="A142" s="44"/>
      <c r="B142" s="585"/>
      <c r="C142" s="450"/>
      <c r="D142" s="45"/>
      <c r="E142" s="258"/>
      <c r="F142" s="46"/>
      <c r="G142" s="47"/>
      <c r="H142" s="48"/>
      <c r="I142" s="49"/>
      <c r="J142" s="90"/>
      <c r="K142" s="90"/>
      <c r="L142" s="39"/>
      <c r="M142" s="39"/>
      <c r="N142" s="50"/>
      <c r="O142" s="51"/>
      <c r="P142" s="52"/>
      <c r="Q142" s="351"/>
      <c r="R142" s="54"/>
      <c r="S142" s="54"/>
      <c r="T142" s="41"/>
      <c r="U142" s="41"/>
      <c r="V142" s="41"/>
      <c r="W142" s="37"/>
      <c r="X142" s="42"/>
      <c r="Y142" s="42"/>
      <c r="Z142" s="633"/>
      <c r="AA142" s="53"/>
      <c r="AB142" s="53"/>
      <c r="AC142" s="41"/>
      <c r="AD142" s="41"/>
      <c r="AE142" s="22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37"/>
      <c r="BC142" s="55"/>
      <c r="BD142" s="55"/>
      <c r="BE142" s="55"/>
      <c r="BF142" s="55"/>
    </row>
    <row r="143" spans="1:58" ht="12.75" customHeight="1">
      <c r="A143" s="346">
        <v>45868</v>
      </c>
      <c r="B143" s="45" t="s">
        <v>607</v>
      </c>
      <c r="C143" s="450">
        <f>(M143*E143*O143*Q143)/100000000</f>
        <v>55.38456</v>
      </c>
      <c r="D143" s="45" t="s">
        <v>608</v>
      </c>
      <c r="E143" s="46">
        <v>12</v>
      </c>
      <c r="F143" s="46">
        <v>1</v>
      </c>
      <c r="G143" s="463">
        <v>1700</v>
      </c>
      <c r="H143" s="631">
        <v>0.24</v>
      </c>
      <c r="I143" s="49">
        <v>0.88</v>
      </c>
      <c r="J143" s="90">
        <f>E143*G143*(1-H143)*1440/1000000*2.77</f>
        <v>61.8423552</v>
      </c>
      <c r="K143" s="90">
        <f>(IF(G143&lt;L143,L143,G143)*(1-IF(H143&lt;N143,H143,N143))*E143*O143*Q143)/100000000</f>
        <v>58.626246575342464</v>
      </c>
      <c r="L143" s="39">
        <v>1606</v>
      </c>
      <c r="M143" s="39">
        <v>1221</v>
      </c>
      <c r="N143" s="50">
        <f>1-(M143/L143)</f>
        <v>0.23972602739726023</v>
      </c>
      <c r="O143" s="51">
        <f>+'Trim Rwd'!H104</f>
        <v>262.5</v>
      </c>
      <c r="P143" s="52">
        <f>O143*(Q143-R143-S143)</f>
        <v>357000</v>
      </c>
      <c r="Q143" s="51">
        <v>1440</v>
      </c>
      <c r="R143" s="420">
        <v>0</v>
      </c>
      <c r="S143" s="420">
        <v>80</v>
      </c>
      <c r="T143" s="41">
        <f>E143*M143*O143*Q143/100000000</f>
        <v>55.38456</v>
      </c>
      <c r="U143" s="41">
        <f>E143*M143*O143*(Q143-R143-S143)/100000000</f>
        <v>52.307639999999999</v>
      </c>
      <c r="V143" s="41">
        <f>E143*G143*(1-N143)*O143/100*(R143+S143)/1000000</f>
        <v>3.257013698630137</v>
      </c>
      <c r="W143" s="41">
        <f>+'30'!K34/1000</f>
        <v>52.741999999999997</v>
      </c>
      <c r="X143" s="417">
        <f>SUM(W143:W146)/SUM(K143:K146)</f>
        <v>0.89963119048086371</v>
      </c>
      <c r="Y143" s="222">
        <v>0</v>
      </c>
      <c r="Z143" s="41">
        <f>+'30'!D7/1000</f>
        <v>0.20699999999999999</v>
      </c>
      <c r="AA143" s="53">
        <f>SUM(U143:U146)-SUM(W143:W146)-SUM(Z143:Z146)-SUM(Y143:Y146)</f>
        <v>-0.64135999999999804</v>
      </c>
      <c r="AB143" s="53">
        <f>(SUM(K143:K146)-SUM(W143:W146)-SUM(Y143:Y146)-SUM(Z143:Z146)-SUM(AC143:AC146)-SUM(V143:V146))-AA143</f>
        <v>-0.18009369863013569</v>
      </c>
      <c r="AC143" s="41">
        <f>K143-T143</f>
        <v>3.2416865753424631</v>
      </c>
      <c r="AD143" s="41">
        <f>+AM143+BA143</f>
        <v>30</v>
      </c>
      <c r="AE143" s="241" t="s">
        <v>459</v>
      </c>
      <c r="AF143" s="41">
        <v>30</v>
      </c>
      <c r="AG143" s="41"/>
      <c r="AH143" s="41"/>
      <c r="AI143" s="459"/>
      <c r="AJ143" s="41"/>
      <c r="AK143" s="41"/>
      <c r="AL143" s="41"/>
      <c r="AM143" s="41">
        <f>SUM(AF143:AL143)+AT143+AV143+AX143</f>
        <v>30</v>
      </c>
      <c r="AN143" s="41"/>
      <c r="AO143" s="41"/>
      <c r="AP143" s="41"/>
      <c r="AQ143" s="41"/>
      <c r="AR143" s="41">
        <f>SUM(AN143:AQ143)</f>
        <v>0</v>
      </c>
      <c r="AS143" s="41"/>
      <c r="AT143" s="41"/>
      <c r="AU143" s="41"/>
      <c r="AV143" s="41"/>
      <c r="AW143" s="41"/>
      <c r="AX143" s="41"/>
      <c r="AY143" s="41"/>
      <c r="AZ143" s="41"/>
      <c r="BA143" s="41">
        <f>+AR143+AS143+AU143+AW143+AY143+AZ143</f>
        <v>0</v>
      </c>
      <c r="BB143" s="37">
        <v>6</v>
      </c>
      <c r="BC143" s="55"/>
      <c r="BD143" s="55"/>
      <c r="BE143" s="37"/>
      <c r="BF143" s="55"/>
    </row>
    <row r="144" spans="1:58" ht="12.95" customHeight="1">
      <c r="A144" s="346"/>
      <c r="B144" s="45"/>
      <c r="C144" s="450"/>
      <c r="D144" s="45"/>
      <c r="E144" s="46"/>
      <c r="F144" s="46"/>
      <c r="G144" s="463"/>
      <c r="H144" s="48"/>
      <c r="I144" s="49"/>
      <c r="J144" s="90"/>
      <c r="K144" s="90"/>
      <c r="L144" s="39"/>
      <c r="M144" s="39"/>
      <c r="N144" s="50"/>
      <c r="O144" s="51"/>
      <c r="P144" s="52"/>
      <c r="Q144" s="51"/>
      <c r="R144" s="420"/>
      <c r="S144" s="420"/>
      <c r="T144" s="41"/>
      <c r="U144" s="41"/>
      <c r="V144" s="41"/>
      <c r="W144" s="41"/>
      <c r="X144" s="42"/>
      <c r="Y144" s="222"/>
      <c r="Z144" s="41"/>
      <c r="AA144" s="41"/>
      <c r="AB144" s="41"/>
      <c r="AC144" s="41"/>
      <c r="AD144" s="41">
        <f>+AM144+BA144</f>
        <v>22</v>
      </c>
      <c r="AE144" s="241" t="s">
        <v>796</v>
      </c>
      <c r="AF144" s="41"/>
      <c r="AG144" s="41">
        <v>22</v>
      </c>
      <c r="AH144" s="41"/>
      <c r="AI144" s="459"/>
      <c r="AJ144" s="41"/>
      <c r="AK144" s="41"/>
      <c r="AL144" s="41"/>
      <c r="AM144" s="41">
        <f>SUM(AF144:AL144)+AT144+AV144+AX144</f>
        <v>22</v>
      </c>
      <c r="AN144" s="91"/>
      <c r="AO144" s="41"/>
      <c r="AP144" s="41"/>
      <c r="AQ144" s="41"/>
      <c r="AR144" s="41">
        <f>SUM(AN144:AQ144)</f>
        <v>0</v>
      </c>
      <c r="AS144" s="41"/>
      <c r="AT144" s="41"/>
      <c r="AU144" s="41"/>
      <c r="AV144" s="41"/>
      <c r="AW144" s="41"/>
      <c r="AX144" s="41"/>
      <c r="AY144" s="41"/>
      <c r="AZ144" s="41"/>
      <c r="BA144" s="41">
        <f>+AR144+AS144+AU144+AW144+AY144+AZ144</f>
        <v>0</v>
      </c>
      <c r="BB144" s="54"/>
      <c r="BC144" s="55">
        <v>22</v>
      </c>
      <c r="BD144" s="55"/>
      <c r="BE144" s="54"/>
      <c r="BF144" s="55"/>
    </row>
    <row r="145" spans="1:58" ht="12.95" customHeight="1">
      <c r="A145" s="44"/>
      <c r="B145" s="45"/>
      <c r="C145" s="450"/>
      <c r="D145" s="45"/>
      <c r="E145" s="46"/>
      <c r="F145" s="46"/>
      <c r="G145" s="463"/>
      <c r="H145" s="48"/>
      <c r="I145" s="49"/>
      <c r="J145" s="90"/>
      <c r="K145" s="90"/>
      <c r="L145" s="39"/>
      <c r="M145" s="39"/>
      <c r="N145" s="50"/>
      <c r="O145" s="51"/>
      <c r="P145" s="52"/>
      <c r="Q145" s="51"/>
      <c r="R145" s="420"/>
      <c r="S145" s="420"/>
      <c r="T145" s="41"/>
      <c r="U145" s="41"/>
      <c r="V145" s="41"/>
      <c r="W145" s="41"/>
      <c r="X145" s="42"/>
      <c r="Y145" s="222"/>
      <c r="Z145" s="41"/>
      <c r="AA145" s="41"/>
      <c r="AB145" s="41"/>
      <c r="AC145" s="41"/>
      <c r="AD145" s="41">
        <f>+AM145+BA145</f>
        <v>28</v>
      </c>
      <c r="AE145" s="241" t="s">
        <v>626</v>
      </c>
      <c r="AF145" s="37"/>
      <c r="AG145" s="37"/>
      <c r="AH145" s="37">
        <v>28</v>
      </c>
      <c r="AI145" s="459"/>
      <c r="AJ145" s="41"/>
      <c r="AK145" s="41"/>
      <c r="AL145" s="41"/>
      <c r="AM145" s="41">
        <f>SUM(AF145:AL145)+AT145+AV145+AX145</f>
        <v>28</v>
      </c>
      <c r="AN145" s="41"/>
      <c r="AO145" s="41"/>
      <c r="AP145" s="41"/>
      <c r="AQ145" s="41"/>
      <c r="AR145" s="41">
        <f>SUM(AN145:AQ145)</f>
        <v>0</v>
      </c>
      <c r="AS145" s="41"/>
      <c r="AT145" s="41"/>
      <c r="AU145" s="41"/>
      <c r="AV145" s="41"/>
      <c r="AW145" s="41"/>
      <c r="AX145" s="41"/>
      <c r="AY145" s="41"/>
      <c r="AZ145" s="41"/>
      <c r="BA145" s="41">
        <f>+AR145+AS145+AU145+AW145+AY145+AZ145</f>
        <v>0</v>
      </c>
      <c r="BB145" s="37"/>
      <c r="BC145" s="57"/>
      <c r="BD145" s="57"/>
      <c r="BE145" s="37"/>
      <c r="BF145" s="57"/>
    </row>
    <row r="146" spans="1:58" ht="12.95" customHeight="1">
      <c r="A146" s="346"/>
      <c r="B146" s="585"/>
      <c r="C146" s="450"/>
      <c r="D146" s="45"/>
      <c r="E146" s="258"/>
      <c r="F146" s="46"/>
      <c r="G146" s="47"/>
      <c r="H146" s="48"/>
      <c r="I146" s="49"/>
      <c r="J146" s="90"/>
      <c r="K146" s="90"/>
      <c r="L146" s="39"/>
      <c r="M146" s="39"/>
      <c r="N146" s="50"/>
      <c r="O146" s="51"/>
      <c r="P146" s="52"/>
      <c r="Q146" s="51"/>
      <c r="R146" s="420"/>
      <c r="S146" s="420"/>
      <c r="T146" s="41"/>
      <c r="U146" s="41"/>
      <c r="V146" s="41"/>
      <c r="W146" s="41"/>
      <c r="X146" s="417"/>
      <c r="Y146" s="222"/>
      <c r="Z146" s="41"/>
      <c r="AA146" s="53"/>
      <c r="AB146" s="53"/>
      <c r="AC146" s="41"/>
      <c r="AD146" s="41"/>
      <c r="AE146" s="584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37"/>
      <c r="BC146" s="55"/>
      <c r="BD146" s="55"/>
      <c r="BE146" s="55"/>
      <c r="BF146" s="55"/>
    </row>
    <row r="147" spans="1:58" ht="12.75" customHeight="1">
      <c r="A147" s="346">
        <v>45869</v>
      </c>
      <c r="B147" s="45" t="s">
        <v>607</v>
      </c>
      <c r="C147" s="450">
        <f>(M147*E147*O147*Q147)/100000000</f>
        <v>44.688420000000001</v>
      </c>
      <c r="D147" s="45" t="s">
        <v>608</v>
      </c>
      <c r="E147" s="46">
        <v>12</v>
      </c>
      <c r="F147" s="46">
        <v>1</v>
      </c>
      <c r="G147" s="463">
        <v>1700</v>
      </c>
      <c r="H147" s="631">
        <v>0.24</v>
      </c>
      <c r="I147" s="49">
        <v>0.88</v>
      </c>
      <c r="J147" s="90">
        <f>E147*G147*(1-H147)*1440/1000000*2.77</f>
        <v>61.8423552</v>
      </c>
      <c r="K147" s="90">
        <f>(IF(G147&lt;L147,L147,G147)*(1-IF(H147&lt;N147,H147,N147))*E147*O147*Q147)/100000000</f>
        <v>47.209679999999999</v>
      </c>
      <c r="L147" s="39">
        <v>1610</v>
      </c>
      <c r="M147" s="39">
        <v>1223</v>
      </c>
      <c r="N147" s="50">
        <f>1-(M147/L147)</f>
        <v>0.24037267080745339</v>
      </c>
      <c r="O147" s="51">
        <f>+'Trim Rwd'!H106</f>
        <v>262.5</v>
      </c>
      <c r="P147" s="52">
        <f>O147*(Q147-R147-S147)</f>
        <v>279562.5</v>
      </c>
      <c r="Q147" s="51">
        <v>1160</v>
      </c>
      <c r="R147" s="420">
        <v>35</v>
      </c>
      <c r="S147" s="420">
        <v>60</v>
      </c>
      <c r="T147" s="41">
        <f>E147*M147*O147*Q147/100000000</f>
        <v>44.688420000000001</v>
      </c>
      <c r="U147" s="41">
        <f>E147*M147*O147*(Q147-R147-S147)/100000000</f>
        <v>41.028592500000002</v>
      </c>
      <c r="V147" s="41">
        <f>E147*G147*(1-N147)*O147/100*(R147+S147)/1000000</f>
        <v>3.8644141304347825</v>
      </c>
      <c r="W147" s="41">
        <f>+'31'!K13/1000</f>
        <v>43.774999999999999</v>
      </c>
      <c r="X147" s="417">
        <f>SUM(W147:W150)/SUM(K147:K150)</f>
        <v>0.84132217307710044</v>
      </c>
      <c r="Y147" s="222">
        <f>+SUM(RBP!$AG$3:$AG$4)</f>
        <v>5.9499999999999993</v>
      </c>
      <c r="Z147" s="41">
        <f>+'31'!D25/1000</f>
        <v>0.34799999999999998</v>
      </c>
      <c r="AA147" s="53">
        <f>SUM(U147:U150)-SUM(W147:W150)-SUM(Z147:Z150)-SUM(Y147:Y150)</f>
        <v>-4.2843629999999964</v>
      </c>
      <c r="AB147" s="53">
        <f>(SUM(K147:K150)-SUM(W147:W150)-SUM(Y147:Y150)-SUM(Z147:Z150)-SUM(AC147:AC150)-SUM(V147:V150))-AA147</f>
        <v>-0.22505533043478287</v>
      </c>
      <c r="AC147" s="41">
        <f>K147-T147</f>
        <v>2.5212599999999981</v>
      </c>
      <c r="AD147" s="41">
        <f>+AM147+BA147</f>
        <v>5</v>
      </c>
      <c r="AE147" s="241" t="s">
        <v>536</v>
      </c>
      <c r="AF147" s="41">
        <v>5</v>
      </c>
      <c r="AG147" s="41"/>
      <c r="AH147" s="41"/>
      <c r="AI147" s="459"/>
      <c r="AJ147" s="41"/>
      <c r="AK147" s="41"/>
      <c r="AL147" s="41"/>
      <c r="AM147" s="41">
        <f>SUM(AF147:AL147)+AT147+AV147+AX147</f>
        <v>5</v>
      </c>
      <c r="AN147" s="41"/>
      <c r="AO147" s="41"/>
      <c r="AP147" s="41"/>
      <c r="AQ147" s="41"/>
      <c r="AR147" s="41">
        <f>SUM(AN147:AQ147)</f>
        <v>0</v>
      </c>
      <c r="AS147" s="41"/>
      <c r="AT147" s="41"/>
      <c r="AU147" s="41"/>
      <c r="AV147" s="41"/>
      <c r="AW147" s="41"/>
      <c r="AX147" s="41"/>
      <c r="AY147" s="41"/>
      <c r="AZ147" s="41"/>
      <c r="BA147" s="41">
        <f>+AR147+AS147+AU147+AW147+AY147+AZ147</f>
        <v>0</v>
      </c>
      <c r="BB147" s="37">
        <v>1</v>
      </c>
      <c r="BC147" s="55"/>
      <c r="BD147" s="55"/>
      <c r="BE147" s="37"/>
      <c r="BF147" s="55"/>
    </row>
    <row r="148" spans="1:58" ht="12.95" customHeight="1">
      <c r="A148" s="346"/>
      <c r="B148" s="45" t="s">
        <v>607</v>
      </c>
      <c r="C148" s="450">
        <f>(M148*E148*O148*Q148)/100000000</f>
        <v>11.8445544</v>
      </c>
      <c r="D148" s="45" t="s">
        <v>608</v>
      </c>
      <c r="E148" s="46">
        <v>13.5</v>
      </c>
      <c r="F148" s="46">
        <v>1</v>
      </c>
      <c r="G148" s="463">
        <v>1700</v>
      </c>
      <c r="H148" s="631">
        <v>0.24</v>
      </c>
      <c r="I148" s="49">
        <v>0.88</v>
      </c>
      <c r="J148" s="90">
        <f>E148*G148*(1-H148)*1440/1000000*2.77</f>
        <v>69.572649600000005</v>
      </c>
      <c r="K148" s="90">
        <f>(IF(G148&lt;L148,L148,G148)*(1-IF(H148&lt;N148,H148,N148))*E148*O148*Q148)/100000000</f>
        <v>12.990801599999999</v>
      </c>
      <c r="L148" s="39">
        <v>1550</v>
      </c>
      <c r="M148" s="39">
        <v>1178</v>
      </c>
      <c r="N148" s="50">
        <f>1-(M148/L148)</f>
        <v>0.24</v>
      </c>
      <c r="O148" s="51">
        <f>+'Trim Rwd'!H107</f>
        <v>266</v>
      </c>
      <c r="P148" s="52">
        <f>O148*(Q148-R148-S148)</f>
        <v>73150</v>
      </c>
      <c r="Q148" s="51">
        <v>280</v>
      </c>
      <c r="R148" s="420">
        <v>5</v>
      </c>
      <c r="S148" s="420">
        <v>0</v>
      </c>
      <c r="T148" s="41">
        <f>E148*M148*O148*Q148/100000000</f>
        <v>11.8445544</v>
      </c>
      <c r="U148" s="41">
        <f>E148*M148*O148*(Q148-R148-S148)/100000000</f>
        <v>11.6330445</v>
      </c>
      <c r="V148" s="41">
        <f>E148*G148*(1-N148)*O148/100*(R148+S148)/1000000</f>
        <v>0.23197860000000001</v>
      </c>
      <c r="W148" s="41">
        <f>+'31'!K19/1000</f>
        <v>6.8730000000000002</v>
      </c>
      <c r="X148" s="42"/>
      <c r="Y148" s="222"/>
      <c r="Z148" s="41"/>
      <c r="AA148" s="41"/>
      <c r="AB148" s="41"/>
      <c r="AC148" s="41">
        <f>K148-T148</f>
        <v>1.1462471999999995</v>
      </c>
      <c r="AD148" s="41">
        <f>+AM148+BA148</f>
        <v>23</v>
      </c>
      <c r="AE148" s="241" t="s">
        <v>625</v>
      </c>
      <c r="AF148" s="41"/>
      <c r="AG148" s="41">
        <v>23</v>
      </c>
      <c r="AH148" s="41"/>
      <c r="AI148" s="459"/>
      <c r="AJ148" s="41"/>
      <c r="AK148" s="41"/>
      <c r="AL148" s="41"/>
      <c r="AM148" s="41">
        <f>SUM(AF148:AL148)+AT148+AV148+AX148</f>
        <v>23</v>
      </c>
      <c r="AN148" s="91"/>
      <c r="AO148" s="41"/>
      <c r="AP148" s="41"/>
      <c r="AQ148" s="41"/>
      <c r="AR148" s="41">
        <f>SUM(AN148:AQ148)</f>
        <v>0</v>
      </c>
      <c r="AS148" s="41"/>
      <c r="AT148" s="41"/>
      <c r="AU148" s="41"/>
      <c r="AV148" s="41"/>
      <c r="AW148" s="41"/>
      <c r="AX148" s="41"/>
      <c r="AY148" s="41"/>
      <c r="AZ148" s="41"/>
      <c r="BA148" s="41">
        <f>+AR148+AS148+AU148+AW148+AY148+AZ148</f>
        <v>0</v>
      </c>
      <c r="BB148" s="54"/>
      <c r="BC148" s="55">
        <v>18</v>
      </c>
      <c r="BD148" s="55"/>
      <c r="BE148" s="54"/>
      <c r="BF148" s="55"/>
    </row>
    <row r="149" spans="1:58" ht="12.95" customHeight="1">
      <c r="A149" s="44"/>
      <c r="B149" s="45"/>
      <c r="C149" s="450"/>
      <c r="D149" s="45"/>
      <c r="E149" s="46"/>
      <c r="F149" s="46"/>
      <c r="G149" s="463"/>
      <c r="H149" s="48"/>
      <c r="I149" s="49"/>
      <c r="J149" s="90"/>
      <c r="K149" s="90"/>
      <c r="L149" s="39"/>
      <c r="M149" s="39"/>
      <c r="N149" s="50"/>
      <c r="O149" s="51"/>
      <c r="P149" s="52"/>
      <c r="Q149" s="51"/>
      <c r="R149" s="420"/>
      <c r="S149" s="420"/>
      <c r="T149" s="41"/>
      <c r="U149" s="41"/>
      <c r="V149" s="41"/>
      <c r="W149" s="41"/>
      <c r="X149" s="42"/>
      <c r="Y149" s="222"/>
      <c r="Z149" s="41"/>
      <c r="AA149" s="41"/>
      <c r="AB149" s="41"/>
      <c r="AC149" s="41"/>
      <c r="AD149" s="41">
        <f>+AM149+BA149</f>
        <v>32</v>
      </c>
      <c r="AE149" s="241" t="s">
        <v>742</v>
      </c>
      <c r="AF149" s="37"/>
      <c r="AG149" s="37"/>
      <c r="AH149" s="37">
        <v>32</v>
      </c>
      <c r="AI149" s="459"/>
      <c r="AJ149" s="41"/>
      <c r="AK149" s="41"/>
      <c r="AL149" s="41"/>
      <c r="AM149" s="41">
        <f>SUM(AF149:AL149)+AT149+AV149+AX149</f>
        <v>32</v>
      </c>
      <c r="AN149" s="41"/>
      <c r="AO149" s="41"/>
      <c r="AP149" s="41"/>
      <c r="AQ149" s="41"/>
      <c r="AR149" s="41">
        <f>SUM(AN149:AQ149)</f>
        <v>0</v>
      </c>
      <c r="AS149" s="41"/>
      <c r="AT149" s="41"/>
      <c r="AU149" s="41"/>
      <c r="AV149" s="41"/>
      <c r="AW149" s="41"/>
      <c r="AX149" s="41"/>
      <c r="AY149" s="41"/>
      <c r="AZ149" s="41"/>
      <c r="BA149" s="41">
        <f>+AR149+AS149+AU149+AW149+AY149+AZ149</f>
        <v>0</v>
      </c>
      <c r="BB149" s="37"/>
      <c r="BC149" s="57"/>
      <c r="BD149" s="57"/>
      <c r="BE149" s="37"/>
      <c r="BF149" s="57"/>
    </row>
    <row r="150" spans="1:58" ht="12.95" customHeight="1">
      <c r="A150" s="44"/>
      <c r="B150" s="585"/>
      <c r="C150" s="450"/>
      <c r="D150" s="45"/>
      <c r="E150" s="46"/>
      <c r="F150" s="46"/>
      <c r="G150" s="47"/>
      <c r="H150" s="48"/>
      <c r="I150" s="49"/>
      <c r="J150" s="90"/>
      <c r="K150" s="90"/>
      <c r="L150" s="39"/>
      <c r="M150" s="39"/>
      <c r="N150" s="50"/>
      <c r="O150" s="51"/>
      <c r="P150" s="52"/>
      <c r="Q150" s="38"/>
      <c r="R150" s="420"/>
      <c r="S150" s="420"/>
      <c r="T150" s="41"/>
      <c r="U150" s="41"/>
      <c r="V150" s="41"/>
      <c r="W150" s="41"/>
      <c r="X150" s="42"/>
      <c r="Y150" s="42"/>
      <c r="Z150" s="41"/>
      <c r="AA150" s="53"/>
      <c r="AB150" s="53"/>
      <c r="AC150" s="41"/>
      <c r="AD150" s="41">
        <f>+AM150+BA150</f>
        <v>35</v>
      </c>
      <c r="AE150" s="244" t="s">
        <v>830</v>
      </c>
      <c r="AF150" s="41"/>
      <c r="AG150" s="41"/>
      <c r="AH150" s="41"/>
      <c r="AI150" s="41"/>
      <c r="AJ150" s="41"/>
      <c r="AK150" s="41"/>
      <c r="AL150" s="41"/>
      <c r="AM150" s="41">
        <f t="shared" ref="AM150:AM151" si="21">SUM(AF150:AL150)+AT150+AV150+AX150</f>
        <v>0</v>
      </c>
      <c r="AN150" s="41"/>
      <c r="AO150" s="41"/>
      <c r="AP150" s="41">
        <v>35</v>
      </c>
      <c r="AQ150" s="41"/>
      <c r="AR150" s="41">
        <f t="shared" ref="AR150:AR151" si="22">SUM(AN150:AQ150)</f>
        <v>35</v>
      </c>
      <c r="AS150" s="41"/>
      <c r="AT150" s="41"/>
      <c r="AU150" s="41"/>
      <c r="AV150" s="41"/>
      <c r="AW150" s="41"/>
      <c r="AX150" s="41"/>
      <c r="AY150" s="41"/>
      <c r="AZ150" s="41"/>
      <c r="BA150" s="41">
        <f t="shared" ref="BA150:BA151" si="23">+AR150+AS150+AU150+AW150+AY150+AZ150</f>
        <v>35</v>
      </c>
      <c r="BB150" s="37"/>
      <c r="BC150" s="57"/>
      <c r="BD150" s="57"/>
      <c r="BE150" s="37"/>
      <c r="BF150" s="57"/>
    </row>
    <row r="151" spans="1:58" ht="12.95" customHeight="1">
      <c r="A151" s="44"/>
      <c r="B151" s="45"/>
      <c r="C151" s="450"/>
      <c r="D151" s="45"/>
      <c r="E151" s="46"/>
      <c r="F151" s="46"/>
      <c r="G151" s="58"/>
      <c r="H151" s="59"/>
      <c r="I151" s="49"/>
      <c r="J151" s="90"/>
      <c r="K151" s="90"/>
      <c r="L151" s="39"/>
      <c r="M151" s="39"/>
      <c r="N151" s="50"/>
      <c r="O151" s="51"/>
      <c r="P151" s="52"/>
      <c r="Q151" s="351"/>
      <c r="R151" s="54"/>
      <c r="S151" s="54"/>
      <c r="T151" s="41"/>
      <c r="U151" s="41"/>
      <c r="V151" s="41"/>
      <c r="W151" s="37"/>
      <c r="X151" s="42"/>
      <c r="Y151" s="42"/>
      <c r="Z151" s="633"/>
      <c r="AA151" s="53"/>
      <c r="AB151" s="53"/>
      <c r="AC151" s="41"/>
      <c r="AD151" s="41">
        <f>+AM151+BA151</f>
        <v>5</v>
      </c>
      <c r="AE151" s="244" t="s">
        <v>837</v>
      </c>
      <c r="AF151" s="41"/>
      <c r="AG151" s="41"/>
      <c r="AH151" s="41"/>
      <c r="AI151" s="41"/>
      <c r="AJ151" s="41"/>
      <c r="AK151" s="41"/>
      <c r="AL151" s="41"/>
      <c r="AM151" s="41">
        <f t="shared" si="21"/>
        <v>0</v>
      </c>
      <c r="AN151" s="41"/>
      <c r="AO151" s="41"/>
      <c r="AP151" s="41"/>
      <c r="AQ151" s="41"/>
      <c r="AR151" s="41">
        <f t="shared" si="22"/>
        <v>0</v>
      </c>
      <c r="AS151" s="41">
        <v>5</v>
      </c>
      <c r="AT151" s="41"/>
      <c r="AU151" s="41"/>
      <c r="AV151" s="41"/>
      <c r="AW151" s="41"/>
      <c r="AX151" s="41"/>
      <c r="AY151" s="41"/>
      <c r="AZ151" s="41"/>
      <c r="BA151" s="41">
        <f t="shared" si="23"/>
        <v>5</v>
      </c>
      <c r="BB151" s="37"/>
      <c r="BC151" s="57"/>
      <c r="BD151" s="57"/>
      <c r="BE151" s="37"/>
      <c r="BF151" s="57"/>
    </row>
    <row r="152" spans="1:58" ht="12.95" customHeight="1">
      <c r="A152" s="346"/>
      <c r="B152" s="45"/>
      <c r="C152" s="450"/>
      <c r="D152" s="45"/>
      <c r="E152" s="46"/>
      <c r="F152" s="46"/>
      <c r="G152" s="47"/>
      <c r="H152" s="48"/>
      <c r="I152" s="49"/>
      <c r="J152" s="90"/>
      <c r="K152" s="90"/>
      <c r="L152" s="39"/>
      <c r="M152" s="39"/>
      <c r="N152" s="50"/>
      <c r="O152" s="51"/>
      <c r="P152" s="52"/>
      <c r="Q152" s="51"/>
      <c r="R152" s="420"/>
      <c r="S152" s="420"/>
      <c r="T152" s="41"/>
      <c r="U152" s="41"/>
      <c r="V152" s="41"/>
      <c r="W152" s="37"/>
      <c r="X152" s="42"/>
      <c r="Y152" s="42"/>
      <c r="Z152" s="633"/>
      <c r="AA152" s="41"/>
      <c r="AB152" s="41"/>
      <c r="AC152" s="41"/>
      <c r="AD152" s="41"/>
      <c r="AE152" s="584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37"/>
      <c r="BC152" s="55"/>
      <c r="BD152" s="55"/>
      <c r="BE152" s="55"/>
      <c r="BF152" s="55"/>
    </row>
    <row r="153" spans="1:58">
      <c r="R153" s="421"/>
      <c r="S153" s="421"/>
      <c r="Z153" s="634"/>
      <c r="AA153" s="259">
        <f>U153-W153-Z153</f>
        <v>0</v>
      </c>
      <c r="AB153" s="259"/>
      <c r="AC153" s="260">
        <f>K153-T153</f>
        <v>0</v>
      </c>
      <c r="AD153" s="41"/>
      <c r="AF153" s="56"/>
      <c r="AG153" s="56"/>
      <c r="AH153" s="56"/>
      <c r="AI153" s="56"/>
      <c r="AJ153" s="56"/>
      <c r="AK153" s="56"/>
      <c r="AL153" s="56"/>
      <c r="AM153" s="41">
        <f t="shared" ref="AM153" si="24">SUM(AF153:AL153)</f>
        <v>0</v>
      </c>
      <c r="AN153" s="56"/>
      <c r="AO153" s="56"/>
      <c r="AP153" s="56"/>
      <c r="AQ153" s="56"/>
      <c r="AR153" s="41">
        <f t="shared" ref="AR153" si="25">SUM(AN153:AQ153)</f>
        <v>0</v>
      </c>
      <c r="AS153" s="56"/>
      <c r="AT153" s="56"/>
      <c r="AU153" s="56"/>
      <c r="AV153" s="56"/>
      <c r="AW153" s="56"/>
      <c r="AX153" s="56"/>
      <c r="AY153" s="56"/>
      <c r="AZ153" s="56"/>
      <c r="BA153" s="41"/>
      <c r="BB153" s="71"/>
      <c r="BC153" s="71"/>
      <c r="BD153" s="55"/>
      <c r="BE153" s="55"/>
      <c r="BF153" s="55"/>
    </row>
    <row r="154" spans="1:58" s="29" customFormat="1" ht="12.95" customHeight="1">
      <c r="A154" s="64"/>
      <c r="B154" s="65"/>
      <c r="C154" s="451">
        <f>SUM(C6:C152)</f>
        <v>1905.1739247607961</v>
      </c>
      <c r="D154" s="65"/>
      <c r="E154" s="66"/>
      <c r="F154" s="66"/>
      <c r="G154" s="67"/>
      <c r="H154" s="67"/>
      <c r="I154" s="68">
        <v>0.85</v>
      </c>
      <c r="J154" s="90"/>
      <c r="K154" s="92">
        <f>SUM(K6:K152)</f>
        <v>1985.6840432635424</v>
      </c>
      <c r="L154" s="70"/>
      <c r="M154" s="70"/>
      <c r="N154" s="71"/>
      <c r="O154" s="72">
        <f>P154/(Q154-R154-S154)</f>
        <v>265.64121513097228</v>
      </c>
      <c r="P154" s="69">
        <f>SUM(P6:P152)</f>
        <v>10857553.386048231</v>
      </c>
      <c r="Q154" s="353">
        <f>SUM(Q6:Q153)</f>
        <v>44592</v>
      </c>
      <c r="R154" s="69">
        <f t="shared" ref="R154:W154" si="26">SUM(R6:R152)</f>
        <v>787</v>
      </c>
      <c r="S154" s="69">
        <f t="shared" si="26"/>
        <v>2932</v>
      </c>
      <c r="T154" s="69">
        <f t="shared" si="26"/>
        <v>1905.1739247607961</v>
      </c>
      <c r="U154" s="69">
        <f t="shared" si="26"/>
        <v>1745.8616301821753</v>
      </c>
      <c r="V154" s="378">
        <f t="shared" si="26"/>
        <v>167.17317979708949</v>
      </c>
      <c r="W154" s="462">
        <f t="shared" si="26"/>
        <v>1669.0299999999995</v>
      </c>
      <c r="X154" s="382">
        <f>W154/K154</f>
        <v>0.84053150634019769</v>
      </c>
      <c r="Y154" s="379">
        <f>SUM(Y6:Y152)</f>
        <v>5.9499999999999993</v>
      </c>
      <c r="Z154" s="69">
        <f>SUM(Z6:Z152)</f>
        <v>22.895</v>
      </c>
      <c r="AA154" s="69">
        <f>SUM(AA6:AA152)</f>
        <v>47.986630182175425</v>
      </c>
      <c r="AB154" s="69">
        <f>SUM(AB6:AB152)</f>
        <v>-4.6400794584691614</v>
      </c>
      <c r="AC154" s="69">
        <f>SUM(AC6:AC152)</f>
        <v>77.289312742747242</v>
      </c>
      <c r="AD154" s="41">
        <f>SUM(AD6:AD153)</f>
        <v>3719</v>
      </c>
      <c r="AE154" s="73"/>
      <c r="AF154" s="69">
        <f t="shared" ref="AF154:BF154" si="27">SUM(AF6:AF153)</f>
        <v>1164</v>
      </c>
      <c r="AG154" s="69">
        <f t="shared" si="27"/>
        <v>427</v>
      </c>
      <c r="AH154" s="69">
        <f t="shared" si="27"/>
        <v>855</v>
      </c>
      <c r="AI154" s="69">
        <f t="shared" si="27"/>
        <v>145</v>
      </c>
      <c r="AJ154" s="69">
        <f t="shared" si="27"/>
        <v>0</v>
      </c>
      <c r="AK154" s="69">
        <f t="shared" si="27"/>
        <v>223</v>
      </c>
      <c r="AL154" s="69">
        <f t="shared" si="27"/>
        <v>0</v>
      </c>
      <c r="AM154" s="69">
        <f t="shared" si="27"/>
        <v>2932</v>
      </c>
      <c r="AN154" s="56">
        <f t="shared" si="27"/>
        <v>428</v>
      </c>
      <c r="AO154" s="56">
        <f t="shared" si="27"/>
        <v>0</v>
      </c>
      <c r="AP154" s="56">
        <f t="shared" si="27"/>
        <v>249</v>
      </c>
      <c r="AQ154" s="56">
        <f t="shared" si="27"/>
        <v>0</v>
      </c>
      <c r="AR154" s="69">
        <f t="shared" si="27"/>
        <v>677</v>
      </c>
      <c r="AS154" s="69">
        <f t="shared" si="27"/>
        <v>5</v>
      </c>
      <c r="AT154" s="69">
        <f t="shared" si="27"/>
        <v>0</v>
      </c>
      <c r="AU154" s="69">
        <f t="shared" si="27"/>
        <v>0</v>
      </c>
      <c r="AV154" s="69">
        <f t="shared" si="27"/>
        <v>118</v>
      </c>
      <c r="AW154" s="69">
        <f t="shared" si="27"/>
        <v>105</v>
      </c>
      <c r="AX154" s="69">
        <f t="shared" si="27"/>
        <v>0</v>
      </c>
      <c r="AY154" s="69">
        <f t="shared" si="27"/>
        <v>0</v>
      </c>
      <c r="AZ154" s="69">
        <f t="shared" si="27"/>
        <v>0</v>
      </c>
      <c r="BA154" s="69">
        <f t="shared" si="27"/>
        <v>787</v>
      </c>
      <c r="BB154" s="56">
        <f t="shared" si="27"/>
        <v>235</v>
      </c>
      <c r="BC154" s="56">
        <f t="shared" si="27"/>
        <v>376</v>
      </c>
      <c r="BD154" s="56">
        <f t="shared" si="27"/>
        <v>5</v>
      </c>
      <c r="BE154" s="56">
        <f t="shared" si="27"/>
        <v>1</v>
      </c>
      <c r="BF154" s="56">
        <f t="shared" si="27"/>
        <v>5</v>
      </c>
    </row>
    <row r="155" spans="1:58" s="29" customFormat="1" ht="12.95" customHeight="1">
      <c r="A155" s="64"/>
      <c r="B155" s="65"/>
      <c r="C155" s="65"/>
      <c r="D155" s="65"/>
      <c r="E155" s="66"/>
      <c r="F155" s="66"/>
      <c r="G155" s="67"/>
      <c r="H155" s="67"/>
      <c r="I155" s="67"/>
      <c r="J155" s="93"/>
      <c r="K155" s="93"/>
      <c r="L155" s="70"/>
      <c r="M155" s="70"/>
      <c r="N155" s="71"/>
      <c r="O155" s="934"/>
      <c r="P155" s="935"/>
      <c r="Q155" s="67">
        <f>31*1440-Q154</f>
        <v>48</v>
      </c>
      <c r="R155" s="74">
        <f>R154/Q154</f>
        <v>1.7648905633297452E-2</v>
      </c>
      <c r="S155" s="74">
        <f>S154/Q154</f>
        <v>6.5751704341585934E-2</v>
      </c>
      <c r="T155" s="364"/>
      <c r="U155" s="364"/>
      <c r="V155" s="366">
        <f>V154/K154</f>
        <v>8.4189214474592045E-2</v>
      </c>
      <c r="W155" s="383" t="s">
        <v>173</v>
      </c>
      <c r="X155" s="384">
        <v>0.85</v>
      </c>
      <c r="Y155" s="380">
        <f>Y154/K154</f>
        <v>2.9964485136421614E-3</v>
      </c>
      <c r="Z155" s="635">
        <f>Z154/K154</f>
        <v>1.1530031717619713E-2</v>
      </c>
      <c r="AA155" s="75">
        <f>AA154/K154</f>
        <v>2.4166296921693389E-2</v>
      </c>
      <c r="AB155" s="75">
        <f>AB154/K154</f>
        <v>-2.3367662515145289E-3</v>
      </c>
      <c r="AC155" s="98">
        <f>AC154/K154</f>
        <v>3.8923268283769609E-2</v>
      </c>
      <c r="AD155" s="367"/>
      <c r="AE155" s="43"/>
      <c r="AF155" s="75">
        <f>AF154/$AD$154*$V$155</f>
        <v>2.6350160163599121E-2</v>
      </c>
      <c r="AG155" s="75">
        <f>AG154/$AD$154*$V$155</f>
        <v>9.6662529122481331E-3</v>
      </c>
      <c r="AH155" s="75">
        <f>AH154/$AD$154*$V$155</f>
        <v>1.9355143419138531E-2</v>
      </c>
      <c r="AI155" s="75">
        <f>AI154/$AD$154*$V$155</f>
        <v>3.2824512231287568E-3</v>
      </c>
      <c r="AJ155" s="75">
        <f t="shared" ref="AJ155:BA155" si="28">AJ154/$AD$154*$V$155</f>
        <v>0</v>
      </c>
      <c r="AK155" s="75">
        <f t="shared" si="28"/>
        <v>5.0481836052256052E-3</v>
      </c>
      <c r="AL155" s="75">
        <f t="shared" si="28"/>
        <v>0</v>
      </c>
      <c r="AM155" s="75">
        <f t="shared" si="28"/>
        <v>6.6373427491127693E-2</v>
      </c>
      <c r="AN155" s="75">
        <f t="shared" si="28"/>
        <v>9.6888905068903998E-3</v>
      </c>
      <c r="AO155" s="75">
        <f t="shared" si="28"/>
        <v>0</v>
      </c>
      <c r="AP155" s="75">
        <f t="shared" si="28"/>
        <v>5.6367610659245546E-3</v>
      </c>
      <c r="AQ155" s="75">
        <f t="shared" si="28"/>
        <v>0</v>
      </c>
      <c r="AR155" s="75">
        <f t="shared" si="28"/>
        <v>1.5325651572814954E-2</v>
      </c>
      <c r="AS155" s="75">
        <f t="shared" si="28"/>
        <v>1.1318797321133644E-4</v>
      </c>
      <c r="AT155" s="75">
        <f t="shared" si="28"/>
        <v>0</v>
      </c>
      <c r="AU155" s="75">
        <f t="shared" si="28"/>
        <v>0</v>
      </c>
      <c r="AV155" s="75">
        <f>AV154/$AD$154*$V$155</f>
        <v>2.6712361677875399E-3</v>
      </c>
      <c r="AW155" s="75">
        <f>AW154/$AD$154*$V$155</f>
        <v>2.3769474374380653E-3</v>
      </c>
      <c r="AX155" s="75">
        <f>AX154/$AD$154*$V$155</f>
        <v>0</v>
      </c>
      <c r="AY155" s="75">
        <f>AY154/$AD$154*$V$155</f>
        <v>0</v>
      </c>
      <c r="AZ155" s="75">
        <f>AZ154/$AD$154*$V$155</f>
        <v>0</v>
      </c>
      <c r="BA155" s="75">
        <f t="shared" si="28"/>
        <v>1.7815786983464355E-2</v>
      </c>
      <c r="BB155" s="38" t="s">
        <v>172</v>
      </c>
      <c r="BC155" s="38" t="s">
        <v>172</v>
      </c>
      <c r="BD155" s="38" t="s">
        <v>413</v>
      </c>
      <c r="BE155" s="38" t="s">
        <v>413</v>
      </c>
      <c r="BF155" s="38" t="s">
        <v>413</v>
      </c>
    </row>
    <row r="156" spans="1:58" ht="12.95" customHeight="1">
      <c r="A156" s="64"/>
      <c r="B156" s="65"/>
      <c r="C156" s="65"/>
      <c r="D156" s="65"/>
      <c r="E156" s="66"/>
      <c r="F156" s="66"/>
      <c r="G156" s="38"/>
      <c r="H156" s="38"/>
      <c r="I156" s="38"/>
      <c r="J156" s="90"/>
      <c r="K156" s="90"/>
      <c r="L156" s="39"/>
      <c r="M156" s="39"/>
      <c r="N156" s="37"/>
      <c r="O156" s="40"/>
      <c r="P156" s="32"/>
      <c r="Q156" s="38"/>
      <c r="R156" s="97">
        <f>R154-(BA154)</f>
        <v>0</v>
      </c>
      <c r="S156" s="97">
        <f>+S154-AM154</f>
        <v>0</v>
      </c>
      <c r="T156" s="37"/>
      <c r="U156" s="37"/>
      <c r="V156" s="37"/>
      <c r="W156" s="41">
        <f>+W154-'31'!$M$34/1000</f>
        <v>0</v>
      </c>
      <c r="X156" s="381"/>
      <c r="Y156" s="76">
        <f>+Y154-SUM(RBP!AG3:AG4)</f>
        <v>0</v>
      </c>
      <c r="Z156" s="41">
        <f>+Z154-'31'!J56/1000</f>
        <v>0</v>
      </c>
      <c r="AA156" s="37"/>
      <c r="AB156" s="37"/>
      <c r="AC156" s="37"/>
      <c r="AD156" s="37"/>
      <c r="AE156" s="43"/>
      <c r="AF156" s="354"/>
      <c r="AG156" s="354"/>
      <c r="AH156" s="354"/>
      <c r="AI156" s="354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581">
        <v>128</v>
      </c>
      <c r="AW156" s="581">
        <v>105</v>
      </c>
      <c r="AX156" s="581">
        <v>0</v>
      </c>
      <c r="AY156" s="581">
        <v>38</v>
      </c>
      <c r="AZ156" s="85"/>
      <c r="BA156" s="85"/>
      <c r="BB156" s="95">
        <f>BB154/($Q$154/1440)/2</f>
        <v>3.7944025834230359</v>
      </c>
      <c r="BC156" s="95">
        <f>BC154/($Q$154/1440)/2</f>
        <v>6.0710441334768568</v>
      </c>
      <c r="BD156" s="95">
        <f>BD154/($Q$154/1440)</f>
        <v>0.16146393972012918</v>
      </c>
      <c r="BE156" s="95">
        <f>BE154/($Q$154/1440)</f>
        <v>3.2292787944025833E-2</v>
      </c>
      <c r="BF156" s="95">
        <f>BF154/($Q$154/1440)</f>
        <v>0.16146393972012918</v>
      </c>
    </row>
    <row r="157" spans="1:58">
      <c r="A157" s="77"/>
      <c r="B157" s="78"/>
      <c r="C157" s="78"/>
      <c r="D157" s="78"/>
      <c r="E157" s="79"/>
      <c r="F157" s="79"/>
      <c r="G157" s="80"/>
      <c r="H157" s="80"/>
      <c r="I157" s="80"/>
      <c r="J157" s="94"/>
      <c r="K157" s="94"/>
      <c r="O157" s="81"/>
      <c r="P157" s="82"/>
      <c r="Q157" s="80"/>
      <c r="R157" s="61"/>
      <c r="S157" s="61"/>
      <c r="U157" s="83"/>
      <c r="V157" s="83"/>
      <c r="W157" s="84" t="s">
        <v>119</v>
      </c>
      <c r="X157" s="96">
        <f>W154/U154</f>
        <v>0.95599214230158747</v>
      </c>
      <c r="Y157" s="96"/>
      <c r="Z157" s="61"/>
      <c r="AD157" s="91"/>
      <c r="AE157" s="86"/>
      <c r="AF157" s="87"/>
      <c r="AG157" s="87"/>
      <c r="AH157" s="87"/>
      <c r="AI157" s="87"/>
      <c r="AJ157" s="87"/>
      <c r="AK157" s="87"/>
      <c r="AL157" s="87"/>
      <c r="AM157" s="87"/>
      <c r="AN157" s="85"/>
      <c r="AO157" s="85"/>
      <c r="AP157" s="85"/>
      <c r="AQ157" s="85"/>
      <c r="AR157" s="85"/>
      <c r="AS157" s="87"/>
      <c r="AT157" s="87"/>
      <c r="AU157" s="87"/>
      <c r="AV157" s="87"/>
      <c r="AW157" s="581"/>
      <c r="AX157" s="87">
        <v>223</v>
      </c>
      <c r="AY157" s="87"/>
      <c r="AZ157" s="87"/>
      <c r="BA157" s="85"/>
      <c r="BB157" s="29"/>
      <c r="BC157" s="85"/>
      <c r="BD157" s="85"/>
      <c r="BE157" s="29"/>
      <c r="BF157" s="85"/>
    </row>
    <row r="158" spans="1:58">
      <c r="A158" s="77"/>
      <c r="B158" s="78"/>
      <c r="C158" s="78"/>
      <c r="D158" s="78"/>
      <c r="E158" s="79"/>
      <c r="F158" s="79"/>
      <c r="G158" s="80"/>
      <c r="H158" s="80"/>
      <c r="I158" s="80"/>
      <c r="J158" s="94"/>
      <c r="K158" s="94"/>
      <c r="O158" s="81"/>
      <c r="P158" s="82"/>
      <c r="Q158" s="80"/>
      <c r="R158" s="61"/>
      <c r="S158" s="61"/>
      <c r="U158" s="83"/>
      <c r="V158" s="83"/>
      <c r="W158" s="84"/>
      <c r="X158" s="85"/>
      <c r="Y158" s="85"/>
      <c r="Z158" s="61"/>
      <c r="AA158" s="101"/>
      <c r="AB158" s="101"/>
      <c r="AD158" s="91"/>
      <c r="AE158" s="86"/>
      <c r="AF158" s="87"/>
      <c r="AG158" s="87"/>
      <c r="AH158" s="87"/>
      <c r="AI158" s="87"/>
      <c r="AJ158" s="87"/>
      <c r="AK158" s="87"/>
      <c r="AL158" s="87"/>
      <c r="AM158" s="87"/>
      <c r="AN158" s="87"/>
      <c r="AO158" s="85"/>
      <c r="AP158" s="85"/>
      <c r="AQ158" s="85"/>
      <c r="AR158" s="87"/>
      <c r="AS158" s="85"/>
      <c r="AT158" s="85"/>
      <c r="AU158" s="85"/>
      <c r="AV158" s="85"/>
      <c r="AW158" s="85"/>
      <c r="AX158" s="87"/>
      <c r="AY158" s="85"/>
      <c r="AZ158" s="85"/>
      <c r="BA158" s="85"/>
      <c r="BB158" s="29"/>
      <c r="BC158" s="85"/>
      <c r="BD158" s="85"/>
      <c r="BE158" s="29"/>
      <c r="BF158" s="85"/>
    </row>
    <row r="159" spans="1:58">
      <c r="A159" s="77"/>
      <c r="B159" s="78"/>
      <c r="C159" s="78"/>
      <c r="D159" s="78"/>
      <c r="E159" s="79"/>
      <c r="F159" s="79"/>
      <c r="G159" s="80"/>
      <c r="H159" s="80"/>
      <c r="I159" s="80"/>
      <c r="J159" s="94"/>
      <c r="K159" s="94"/>
      <c r="O159" s="81"/>
      <c r="P159" s="82"/>
      <c r="Q159" s="80"/>
      <c r="R159" s="365"/>
      <c r="S159" s="61"/>
      <c r="U159" s="83"/>
      <c r="V159" s="83"/>
      <c r="W159" s="84" t="s">
        <v>142</v>
      </c>
      <c r="X159" s="354">
        <f>+W154+Y154</f>
        <v>1674.9799999999996</v>
      </c>
      <c r="Y159" s="85"/>
      <c r="Z159" s="61"/>
      <c r="AD159" s="91"/>
      <c r="AE159" s="86"/>
      <c r="AF159" s="91"/>
      <c r="AG159" s="91"/>
      <c r="AH159" s="91"/>
      <c r="AI159" s="91"/>
      <c r="AJ159" s="85"/>
      <c r="AK159" s="85"/>
      <c r="AL159" s="85"/>
      <c r="AM159" s="87"/>
      <c r="AN159" s="85"/>
      <c r="AO159" s="85"/>
      <c r="AP159" s="85"/>
      <c r="AQ159" s="85"/>
      <c r="AR159" s="87"/>
      <c r="AS159" s="85"/>
      <c r="AT159" s="85"/>
      <c r="AU159" s="85"/>
      <c r="AV159" s="85"/>
      <c r="AW159" s="85"/>
      <c r="AX159" s="85"/>
      <c r="AY159" s="85"/>
      <c r="AZ159" s="85"/>
      <c r="BA159" s="85"/>
      <c r="BB159" s="29"/>
      <c r="BC159" s="85"/>
      <c r="BD159" s="85"/>
      <c r="BE159" s="29"/>
      <c r="BF159" s="85"/>
    </row>
    <row r="160" spans="1:58">
      <c r="A160" s="77"/>
      <c r="C160" s="78" t="s">
        <v>232</v>
      </c>
      <c r="D160" s="78"/>
      <c r="E160" s="79"/>
      <c r="F160" s="79"/>
      <c r="G160" s="80"/>
      <c r="H160" s="80"/>
      <c r="I160" s="80"/>
      <c r="J160" s="94"/>
      <c r="K160" s="94"/>
      <c r="O160" s="81"/>
      <c r="P160" s="82"/>
      <c r="Q160" s="80"/>
      <c r="R160" s="365"/>
      <c r="S160" s="61"/>
      <c r="U160" s="83"/>
      <c r="V160" s="376"/>
      <c r="W160" s="377"/>
      <c r="X160" s="370"/>
      <c r="Y160" s="377"/>
      <c r="Z160" s="370"/>
      <c r="AD160" s="363"/>
      <c r="AE160" s="86"/>
      <c r="AF160" s="363"/>
      <c r="AG160" s="363"/>
      <c r="AH160" s="363"/>
      <c r="AI160" s="363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29"/>
      <c r="BC160" s="85"/>
      <c r="BD160" s="85"/>
      <c r="BE160" s="29"/>
      <c r="BF160" s="85"/>
    </row>
    <row r="161" spans="1:57">
      <c r="A161" s="77"/>
      <c r="B161" s="78"/>
      <c r="C161" s="78" t="s">
        <v>235</v>
      </c>
      <c r="D161" s="78"/>
      <c r="E161" s="79"/>
      <c r="F161" s="79"/>
      <c r="G161" s="80"/>
      <c r="H161" s="80"/>
      <c r="I161" s="80"/>
      <c r="J161" s="94"/>
      <c r="K161" s="94"/>
      <c r="O161" s="81"/>
      <c r="P161" s="82"/>
      <c r="Q161" s="80"/>
      <c r="R161" s="365"/>
      <c r="S161" s="61"/>
      <c r="V161" s="368"/>
      <c r="W161" s="369" t="s">
        <v>230</v>
      </c>
      <c r="X161" s="368"/>
      <c r="Y161" s="368"/>
      <c r="Z161" s="370"/>
      <c r="AE161" s="86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29"/>
      <c r="BC161" s="33" t="s">
        <v>428</v>
      </c>
      <c r="BE161" s="29"/>
    </row>
    <row r="162" spans="1:57">
      <c r="A162" s="77"/>
      <c r="B162" s="78"/>
      <c r="C162" s="78"/>
      <c r="D162" s="78"/>
      <c r="E162" s="79"/>
      <c r="F162" s="79"/>
      <c r="G162" s="80"/>
      <c r="H162" s="80"/>
      <c r="I162" s="80"/>
      <c r="J162" s="94"/>
      <c r="K162" s="94"/>
      <c r="O162" s="81"/>
      <c r="P162" s="82"/>
      <c r="Q162" s="80"/>
      <c r="R162" s="365"/>
      <c r="S162" s="61"/>
      <c r="V162" s="368"/>
      <c r="W162" s="371" t="s">
        <v>328</v>
      </c>
      <c r="X162" s="375">
        <f>Y155</f>
        <v>2.9964485136421614E-3</v>
      </c>
      <c r="Y162" s="372"/>
      <c r="Z162" s="370"/>
      <c r="AE162" s="86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29"/>
      <c r="BE162" s="29"/>
    </row>
    <row r="163" spans="1:57">
      <c r="R163" s="101"/>
      <c r="V163" s="368"/>
      <c r="W163" s="371" t="s">
        <v>152</v>
      </c>
      <c r="X163" s="374">
        <f>Z155</f>
        <v>1.1530031717619713E-2</v>
      </c>
      <c r="Y163" s="373"/>
      <c r="Z163" s="368"/>
    </row>
    <row r="164" spans="1:57">
      <c r="R164" s="101"/>
      <c r="V164" s="368"/>
      <c r="W164" s="371" t="s">
        <v>153</v>
      </c>
      <c r="X164" s="374">
        <f>AC155</f>
        <v>3.8923268283769609E-2</v>
      </c>
      <c r="Y164" s="374"/>
      <c r="Z164" s="368"/>
    </row>
    <row r="165" spans="1:57">
      <c r="R165" s="101"/>
      <c r="V165" s="368"/>
      <c r="W165" s="371" t="s">
        <v>154</v>
      </c>
      <c r="X165" s="374">
        <f>AA155</f>
        <v>2.4166296921693389E-2</v>
      </c>
      <c r="Y165" s="373"/>
      <c r="Z165" s="368"/>
    </row>
    <row r="166" spans="1:57">
      <c r="V166" s="368"/>
      <c r="W166" s="371" t="s">
        <v>170</v>
      </c>
      <c r="X166" s="374">
        <f>AB155</f>
        <v>-2.3367662515145289E-3</v>
      </c>
      <c r="Y166" s="373" t="s">
        <v>168</v>
      </c>
      <c r="Z166" s="368"/>
    </row>
    <row r="167" spans="1:57">
      <c r="V167" s="368"/>
      <c r="W167" s="371" t="s">
        <v>206</v>
      </c>
      <c r="X167" s="374">
        <f>AF155</f>
        <v>2.6350160163599121E-2</v>
      </c>
      <c r="Y167" s="373"/>
      <c r="Z167" s="368"/>
    </row>
    <row r="168" spans="1:57">
      <c r="V168" s="368"/>
      <c r="W168" s="371" t="s">
        <v>207</v>
      </c>
      <c r="X168" s="374">
        <f>+AG155</f>
        <v>9.6662529122481331E-3</v>
      </c>
      <c r="Y168" s="373"/>
      <c r="Z168" s="368"/>
    </row>
    <row r="169" spans="1:57">
      <c r="V169" s="368"/>
      <c r="W169" s="371" t="s">
        <v>208</v>
      </c>
      <c r="X169" s="374">
        <f>+AH155</f>
        <v>1.9355143419138531E-2</v>
      </c>
      <c r="Y169" s="373"/>
      <c r="Z169" s="368"/>
    </row>
    <row r="170" spans="1:57">
      <c r="V170" s="368"/>
      <c r="W170" s="371" t="s">
        <v>209</v>
      </c>
      <c r="X170" s="374">
        <f>+AI155</f>
        <v>3.2824512231287568E-3</v>
      </c>
      <c r="Y170" s="373"/>
      <c r="Z170" s="368"/>
    </row>
    <row r="171" spans="1:57">
      <c r="V171" s="368"/>
      <c r="W171" s="371" t="s">
        <v>161</v>
      </c>
      <c r="X171" s="374">
        <f>+AJ155</f>
        <v>0</v>
      </c>
      <c r="Y171" s="373"/>
      <c r="Z171" s="368"/>
    </row>
    <row r="172" spans="1:57">
      <c r="V172" s="368"/>
      <c r="W172" s="371" t="s">
        <v>163</v>
      </c>
      <c r="X172" s="374">
        <f>+AK155</f>
        <v>5.0481836052256052E-3</v>
      </c>
      <c r="Y172" s="373"/>
      <c r="Z172" s="368"/>
    </row>
    <row r="173" spans="1:57">
      <c r="V173" s="368"/>
      <c r="W173" s="371" t="s">
        <v>162</v>
      </c>
      <c r="X173" s="374">
        <f>+AL155</f>
        <v>0</v>
      </c>
      <c r="Y173" s="373"/>
      <c r="Z173" s="368"/>
    </row>
    <row r="174" spans="1:57">
      <c r="V174" s="368"/>
      <c r="W174" s="371" t="s">
        <v>155</v>
      </c>
      <c r="X174" s="374">
        <f>+AN155</f>
        <v>9.6888905068903998E-3</v>
      </c>
      <c r="Y174" s="373"/>
      <c r="Z174" s="368"/>
    </row>
    <row r="175" spans="1:57">
      <c r="V175" s="368"/>
      <c r="W175" s="371" t="s">
        <v>165</v>
      </c>
      <c r="X175" s="374">
        <f>+AO155</f>
        <v>0</v>
      </c>
      <c r="Y175" s="373"/>
      <c r="Z175" s="368"/>
    </row>
    <row r="176" spans="1:57">
      <c r="V176" s="368"/>
      <c r="W176" s="371" t="s">
        <v>156</v>
      </c>
      <c r="X176" s="374">
        <f>+AP155</f>
        <v>5.6367610659245546E-3</v>
      </c>
      <c r="Y176" s="373"/>
      <c r="Z176" s="368"/>
    </row>
    <row r="177" spans="22:26">
      <c r="V177" s="368"/>
      <c r="W177" s="371" t="s">
        <v>164</v>
      </c>
      <c r="X177" s="374">
        <f>+AQ155</f>
        <v>0</v>
      </c>
      <c r="Y177" s="373"/>
      <c r="Z177" s="368"/>
    </row>
    <row r="178" spans="22:26">
      <c r="V178" s="368"/>
      <c r="W178" s="371" t="s">
        <v>167</v>
      </c>
      <c r="X178" s="374">
        <f>+AS155</f>
        <v>1.1318797321133644E-4</v>
      </c>
      <c r="Y178" s="373"/>
      <c r="Z178" s="368"/>
    </row>
    <row r="179" spans="22:26">
      <c r="V179" s="368"/>
      <c r="W179" s="371" t="s">
        <v>329</v>
      </c>
      <c r="X179" s="374">
        <f>+AT155</f>
        <v>0</v>
      </c>
      <c r="Y179" s="373"/>
      <c r="Z179" s="368"/>
    </row>
    <row r="180" spans="22:26">
      <c r="V180" s="368"/>
      <c r="W180" s="371" t="s">
        <v>247</v>
      </c>
      <c r="X180" s="374">
        <f>+AU155</f>
        <v>0</v>
      </c>
      <c r="Y180" s="373"/>
      <c r="Z180" s="368"/>
    </row>
    <row r="181" spans="22:26">
      <c r="V181" s="368"/>
      <c r="W181" s="371" t="s">
        <v>335</v>
      </c>
      <c r="X181" s="374">
        <f>AV155</f>
        <v>2.6712361677875399E-3</v>
      </c>
      <c r="Y181" s="373"/>
      <c r="Z181" s="368"/>
    </row>
    <row r="182" spans="22:26">
      <c r="V182" s="368"/>
      <c r="W182" s="371" t="s">
        <v>336</v>
      </c>
      <c r="X182" s="374">
        <f>AW155</f>
        <v>2.3769474374380653E-3</v>
      </c>
      <c r="Y182" s="373"/>
      <c r="Z182" s="368"/>
    </row>
    <row r="183" spans="22:26">
      <c r="V183" s="368"/>
      <c r="W183" s="368" t="s">
        <v>166</v>
      </c>
      <c r="X183" s="374">
        <f>AX155+AY155</f>
        <v>0</v>
      </c>
      <c r="Y183" s="374"/>
      <c r="Z183" s="368"/>
    </row>
    <row r="184" spans="22:26">
      <c r="V184" s="368"/>
      <c r="W184" s="368" t="s">
        <v>334</v>
      </c>
      <c r="X184" s="374">
        <f>AZ155</f>
        <v>0</v>
      </c>
      <c r="Y184" s="368"/>
      <c r="Z184" s="368"/>
    </row>
    <row r="185" spans="22:26">
      <c r="V185" s="368"/>
      <c r="W185" s="368"/>
      <c r="X185" s="531">
        <f>SUM(X162:X184)</f>
        <v>0.15946849365980237</v>
      </c>
      <c r="Y185" s="368"/>
      <c r="Z185" s="368"/>
    </row>
    <row r="187" spans="22:26">
      <c r="X187" s="101">
        <f>+X185+X154</f>
        <v>1</v>
      </c>
    </row>
  </sheetData>
  <mergeCells count="50">
    <mergeCell ref="O155:P155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  <mergeCell ref="AM3:AM5"/>
    <mergeCell ref="AN3:AR3"/>
    <mergeCell ref="AS3:AS5"/>
    <mergeCell ref="AF4:AH4"/>
    <mergeCell ref="AI4:AI5"/>
    <mergeCell ref="AJ4:AJ5"/>
    <mergeCell ref="AK4:AK5"/>
    <mergeCell ref="AQ4:AQ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F3:F5"/>
    <mergeCell ref="A3:A5"/>
    <mergeCell ref="B3:B5"/>
    <mergeCell ref="C3:C5"/>
    <mergeCell ref="D3:D5"/>
    <mergeCell ref="E3:E5"/>
    <mergeCell ref="X3:X5"/>
    <mergeCell ref="G3:K4"/>
    <mergeCell ref="L3:N4"/>
    <mergeCell ref="O3:O5"/>
    <mergeCell ref="P3:P5"/>
    <mergeCell ref="Q3:Q5"/>
    <mergeCell ref="R3:R5"/>
    <mergeCell ref="T3:T5"/>
    <mergeCell ref="U3:U5"/>
  </mergeCells>
  <conditionalFormatting sqref="C155 C153 B153:B155">
    <cfRule type="cellIs" dxfId="9479" priority="17664" stopIfTrue="1" operator="equal">
      <formula>"Napkin Hs"</formula>
    </cfRule>
  </conditionalFormatting>
  <conditionalFormatting sqref="C155 C153 B153:B155">
    <cfRule type="cellIs" dxfId="9478" priority="17663" stopIfTrue="1" operator="equal">
      <formula>"Towel"</formula>
    </cfRule>
  </conditionalFormatting>
  <conditionalFormatting sqref="B47:C47">
    <cfRule type="cellIs" dxfId="9477" priority="17037" stopIfTrue="1" operator="equal">
      <formula>"Towel"</formula>
    </cfRule>
    <cfRule type="cellIs" dxfId="9476" priority="17038" stopIfTrue="1" operator="equal">
      <formula>"Napkin Hs"</formula>
    </cfRule>
  </conditionalFormatting>
  <conditionalFormatting sqref="C41">
    <cfRule type="cellIs" dxfId="9475" priority="17041" stopIfTrue="1" operator="equal">
      <formula>"Towel"</formula>
    </cfRule>
    <cfRule type="cellIs" dxfId="9474" priority="17042" stopIfTrue="1" operator="equal">
      <formula>"Napkin Hs"</formula>
    </cfRule>
  </conditionalFormatting>
  <conditionalFormatting sqref="C47">
    <cfRule type="cellIs" dxfId="9473" priority="17035" stopIfTrue="1" operator="equal">
      <formula>"Towel"</formula>
    </cfRule>
    <cfRule type="cellIs" dxfId="9472" priority="17036" stopIfTrue="1" operator="equal">
      <formula>"Napkin Hs"</formula>
    </cfRule>
  </conditionalFormatting>
  <conditionalFormatting sqref="C47">
    <cfRule type="cellIs" dxfId="9471" priority="17031" stopIfTrue="1" operator="equal">
      <formula>"Towel"</formula>
    </cfRule>
    <cfRule type="cellIs" dxfId="9470" priority="17032" stopIfTrue="1" operator="equal">
      <formula>"Napkin Hs"</formula>
    </cfRule>
  </conditionalFormatting>
  <conditionalFormatting sqref="C41">
    <cfRule type="cellIs" dxfId="9469" priority="17039" stopIfTrue="1" operator="equal">
      <formula>"Towel"</formula>
    </cfRule>
    <cfRule type="cellIs" dxfId="9468" priority="17040" stopIfTrue="1" operator="equal">
      <formula>"Napkin Hs"</formula>
    </cfRule>
  </conditionalFormatting>
  <conditionalFormatting sqref="B41:C41">
    <cfRule type="cellIs" dxfId="9467" priority="17043" stopIfTrue="1" operator="equal">
      <formula>"Towel"</formula>
    </cfRule>
    <cfRule type="cellIs" dxfId="9466" priority="17044" stopIfTrue="1" operator="equal">
      <formula>"Napkin Hs"</formula>
    </cfRule>
  </conditionalFormatting>
  <conditionalFormatting sqref="B47:C47">
    <cfRule type="cellIs" dxfId="9465" priority="17054" stopIfTrue="1" operator="equal">
      <formula>"Napkin Hs"</formula>
    </cfRule>
  </conditionalFormatting>
  <conditionalFormatting sqref="B47:C47">
    <cfRule type="cellIs" dxfId="9464" priority="17053" stopIfTrue="1" operator="equal">
      <formula>"Towel"</formula>
    </cfRule>
  </conditionalFormatting>
  <conditionalFormatting sqref="C47">
    <cfRule type="cellIs" dxfId="9463" priority="17052" stopIfTrue="1" operator="equal">
      <formula>"Napkin Hs"</formula>
    </cfRule>
  </conditionalFormatting>
  <conditionalFormatting sqref="C47">
    <cfRule type="cellIs" dxfId="9462" priority="17051" stopIfTrue="1" operator="equal">
      <formula>"Towel"</formula>
    </cfRule>
  </conditionalFormatting>
  <conditionalFormatting sqref="B41:C41">
    <cfRule type="cellIs" dxfId="9461" priority="17009" stopIfTrue="1" operator="equal">
      <formula>"Towel"</formula>
    </cfRule>
    <cfRule type="cellIs" dxfId="9460" priority="17010" stopIfTrue="1" operator="equal">
      <formula>"Napkin Hs"</formula>
    </cfRule>
  </conditionalFormatting>
  <conditionalFormatting sqref="C41">
    <cfRule type="cellIs" dxfId="9459" priority="17007" stopIfTrue="1" operator="equal">
      <formula>"Towel"</formula>
    </cfRule>
    <cfRule type="cellIs" dxfId="9458" priority="17008" stopIfTrue="1" operator="equal">
      <formula>"Napkin Hs"</formula>
    </cfRule>
  </conditionalFormatting>
  <conditionalFormatting sqref="C41">
    <cfRule type="cellIs" dxfId="9457" priority="17003" stopIfTrue="1" operator="equal">
      <formula>"Towel"</formula>
    </cfRule>
    <cfRule type="cellIs" dxfId="9456" priority="17004" stopIfTrue="1" operator="equal">
      <formula>"Napkin Hs"</formula>
    </cfRule>
  </conditionalFormatting>
  <conditionalFormatting sqref="B41:C41">
    <cfRule type="cellIs" dxfId="9455" priority="16983" stopIfTrue="1" operator="equal">
      <formula>"Towel"</formula>
    </cfRule>
    <cfRule type="cellIs" dxfId="9454" priority="16984" stopIfTrue="1" operator="equal">
      <formula>"Napkin Hs"</formula>
    </cfRule>
  </conditionalFormatting>
  <conditionalFormatting sqref="C41">
    <cfRule type="cellIs" dxfId="9453" priority="16981" stopIfTrue="1" operator="equal">
      <formula>"Towel"</formula>
    </cfRule>
    <cfRule type="cellIs" dxfId="9452" priority="16982" stopIfTrue="1" operator="equal">
      <formula>"Napkin Hs"</formula>
    </cfRule>
  </conditionalFormatting>
  <conditionalFormatting sqref="C41">
    <cfRule type="cellIs" dxfId="9451" priority="16979" stopIfTrue="1" operator="equal">
      <formula>"Towel"</formula>
    </cfRule>
    <cfRule type="cellIs" dxfId="9450" priority="16980" stopIfTrue="1" operator="equal">
      <formula>"Napkin Hs"</formula>
    </cfRule>
  </conditionalFormatting>
  <conditionalFormatting sqref="B41:C41">
    <cfRule type="cellIs" dxfId="9449" priority="16976" stopIfTrue="1" operator="equal">
      <formula>"Napkin Hs"</formula>
    </cfRule>
  </conditionalFormatting>
  <conditionalFormatting sqref="B41:C41">
    <cfRule type="cellIs" dxfId="9448" priority="16975" stopIfTrue="1" operator="equal">
      <formula>"Towel"</formula>
    </cfRule>
  </conditionalFormatting>
  <conditionalFormatting sqref="C41">
    <cfRule type="cellIs" dxfId="9447" priority="16974" stopIfTrue="1" operator="equal">
      <formula>"Napkin Hs"</formula>
    </cfRule>
  </conditionalFormatting>
  <conditionalFormatting sqref="C41">
    <cfRule type="cellIs" dxfId="9446" priority="16971" stopIfTrue="1" operator="equal">
      <formula>"Towel"</formula>
    </cfRule>
    <cfRule type="cellIs" dxfId="9445" priority="16972" stopIfTrue="1" operator="equal">
      <formula>"Napkin Hs"</formula>
    </cfRule>
  </conditionalFormatting>
  <conditionalFormatting sqref="C41">
    <cfRule type="cellIs" dxfId="9444" priority="16973" stopIfTrue="1" operator="equal">
      <formula>"Towel"</formula>
    </cfRule>
  </conditionalFormatting>
  <conditionalFormatting sqref="C47">
    <cfRule type="cellIs" dxfId="9443" priority="16961" stopIfTrue="1" operator="equal">
      <formula>"Towel"</formula>
    </cfRule>
    <cfRule type="cellIs" dxfId="9442" priority="16962" stopIfTrue="1" operator="equal">
      <formula>"Napkin Hs"</formula>
    </cfRule>
  </conditionalFormatting>
  <conditionalFormatting sqref="C47">
    <cfRule type="cellIs" dxfId="9441" priority="16947" stopIfTrue="1" operator="equal">
      <formula>"Towel"</formula>
    </cfRule>
    <cfRule type="cellIs" dxfId="9440" priority="16948" stopIfTrue="1" operator="equal">
      <formula>"Napkin Hs"</formula>
    </cfRule>
  </conditionalFormatting>
  <conditionalFormatting sqref="B47:C47">
    <cfRule type="cellIs" dxfId="9439" priority="16933" stopIfTrue="1" operator="equal">
      <formula>"Towel"</formula>
    </cfRule>
    <cfRule type="cellIs" dxfId="9438" priority="16934" stopIfTrue="1" operator="equal">
      <formula>"Napkin Hs"</formula>
    </cfRule>
  </conditionalFormatting>
  <conditionalFormatting sqref="C47">
    <cfRule type="cellIs" dxfId="9437" priority="16931" stopIfTrue="1" operator="equal">
      <formula>"Towel"</formula>
    </cfRule>
    <cfRule type="cellIs" dxfId="9436" priority="16932" stopIfTrue="1" operator="equal">
      <formula>"Napkin Hs"</formula>
    </cfRule>
  </conditionalFormatting>
  <conditionalFormatting sqref="C47">
    <cfRule type="cellIs" dxfId="9435" priority="16929" stopIfTrue="1" operator="equal">
      <formula>"Towel"</formula>
    </cfRule>
    <cfRule type="cellIs" dxfId="9434" priority="16930" stopIfTrue="1" operator="equal">
      <formula>"Napkin Hs"</formula>
    </cfRule>
  </conditionalFormatting>
  <conditionalFormatting sqref="B47:C47">
    <cfRule type="cellIs" dxfId="9433" priority="16925" stopIfTrue="1" operator="equal">
      <formula>"Towel"</formula>
    </cfRule>
    <cfRule type="cellIs" dxfId="9432" priority="16926" stopIfTrue="1" operator="equal">
      <formula>"Napkin Hs"</formula>
    </cfRule>
  </conditionalFormatting>
  <conditionalFormatting sqref="C47">
    <cfRule type="cellIs" dxfId="9431" priority="16923" stopIfTrue="1" operator="equal">
      <formula>"Towel"</formula>
    </cfRule>
    <cfRule type="cellIs" dxfId="9430" priority="16924" stopIfTrue="1" operator="equal">
      <formula>"Napkin Hs"</formula>
    </cfRule>
  </conditionalFormatting>
  <conditionalFormatting sqref="C47">
    <cfRule type="cellIs" dxfId="9429" priority="16921" stopIfTrue="1" operator="equal">
      <formula>"Towel"</formula>
    </cfRule>
    <cfRule type="cellIs" dxfId="9428" priority="16922" stopIfTrue="1" operator="equal">
      <formula>"Napkin Hs"</formula>
    </cfRule>
  </conditionalFormatting>
  <conditionalFormatting sqref="C114:C115">
    <cfRule type="cellIs" dxfId="9427" priority="14157" stopIfTrue="1" operator="equal">
      <formula>"Towel"</formula>
    </cfRule>
    <cfRule type="cellIs" dxfId="9426" priority="14158" stopIfTrue="1" operator="equal">
      <formula>"Napkin Hs"</formula>
    </cfRule>
  </conditionalFormatting>
  <conditionalFormatting sqref="B114:C114">
    <cfRule type="cellIs" dxfId="9425" priority="14163" stopIfTrue="1" operator="equal">
      <formula>"Towel"</formula>
    </cfRule>
    <cfRule type="cellIs" dxfId="9424" priority="14164" stopIfTrue="1" operator="equal">
      <formula>"Napkin Hs"</formula>
    </cfRule>
  </conditionalFormatting>
  <conditionalFormatting sqref="B115:C115">
    <cfRule type="cellIs" dxfId="9423" priority="14159" stopIfTrue="1" operator="equal">
      <formula>"Towel"</formula>
    </cfRule>
    <cfRule type="cellIs" dxfId="9422" priority="14160" stopIfTrue="1" operator="equal">
      <formula>"Napkin Hs"</formula>
    </cfRule>
  </conditionalFormatting>
  <conditionalFormatting sqref="C114">
    <cfRule type="cellIs" dxfId="9421" priority="14161" stopIfTrue="1" operator="equal">
      <formula>"Towel"</formula>
    </cfRule>
    <cfRule type="cellIs" dxfId="9420" priority="14162" stopIfTrue="1" operator="equal">
      <formula>"Napkin Hs"</formula>
    </cfRule>
  </conditionalFormatting>
  <conditionalFormatting sqref="C115">
    <cfRule type="cellIs" dxfId="9419" priority="14155" stopIfTrue="1" operator="equal">
      <formula>"Towel"</formula>
    </cfRule>
    <cfRule type="cellIs" dxfId="9418" priority="14156" stopIfTrue="1" operator="equal">
      <formula>"Napkin Hs"</formula>
    </cfRule>
  </conditionalFormatting>
  <conditionalFormatting sqref="B115:C115">
    <cfRule type="cellIs" dxfId="9417" priority="14153" stopIfTrue="1" operator="equal">
      <formula>"Towel"</formula>
    </cfRule>
    <cfRule type="cellIs" dxfId="9416" priority="14154" stopIfTrue="1" operator="equal">
      <formula>"Napkin Hs"</formula>
    </cfRule>
  </conditionalFormatting>
  <conditionalFormatting sqref="C115">
    <cfRule type="cellIs" dxfId="9415" priority="14151" stopIfTrue="1" operator="equal">
      <formula>"Towel"</formula>
    </cfRule>
    <cfRule type="cellIs" dxfId="9414" priority="14152" stopIfTrue="1" operator="equal">
      <formula>"Napkin Hs"</formula>
    </cfRule>
  </conditionalFormatting>
  <conditionalFormatting sqref="C115">
    <cfRule type="cellIs" dxfId="9413" priority="14149" stopIfTrue="1" operator="equal">
      <formula>"Towel"</formula>
    </cfRule>
    <cfRule type="cellIs" dxfId="9412" priority="14150" stopIfTrue="1" operator="equal">
      <formula>"Napkin Hs"</formula>
    </cfRule>
  </conditionalFormatting>
  <conditionalFormatting sqref="B114:C114">
    <cfRule type="cellIs" dxfId="9411" priority="14148" stopIfTrue="1" operator="equal">
      <formula>"Napkin Hs"</formula>
    </cfRule>
  </conditionalFormatting>
  <conditionalFormatting sqref="B114:C114">
    <cfRule type="cellIs" dxfId="9410" priority="14147" stopIfTrue="1" operator="equal">
      <formula>"Towel"</formula>
    </cfRule>
  </conditionalFormatting>
  <conditionalFormatting sqref="C114">
    <cfRule type="cellIs" dxfId="9409" priority="14146" stopIfTrue="1" operator="equal">
      <formula>"Napkin Hs"</formula>
    </cfRule>
  </conditionalFormatting>
  <conditionalFormatting sqref="C114">
    <cfRule type="cellIs" dxfId="9408" priority="14145" stopIfTrue="1" operator="equal">
      <formula>"Towel"</formula>
    </cfRule>
  </conditionalFormatting>
  <conditionalFormatting sqref="C114">
    <cfRule type="cellIs" dxfId="9407" priority="14143" stopIfTrue="1" operator="equal">
      <formula>"Towel"</formula>
    </cfRule>
    <cfRule type="cellIs" dxfId="9406" priority="14144" stopIfTrue="1" operator="equal">
      <formula>"Napkin Hs"</formula>
    </cfRule>
  </conditionalFormatting>
  <conditionalFormatting sqref="B114:C114">
    <cfRule type="cellIs" dxfId="9405" priority="14141" stopIfTrue="1" operator="equal">
      <formula>"Towel"</formula>
    </cfRule>
    <cfRule type="cellIs" dxfId="9404" priority="14142" stopIfTrue="1" operator="equal">
      <formula>"Napkin Hs"</formula>
    </cfRule>
  </conditionalFormatting>
  <conditionalFormatting sqref="C114">
    <cfRule type="cellIs" dxfId="9403" priority="14137" stopIfTrue="1" operator="equal">
      <formula>"Towel"</formula>
    </cfRule>
    <cfRule type="cellIs" dxfId="9402" priority="14138" stopIfTrue="1" operator="equal">
      <formula>"Napkin Hs"</formula>
    </cfRule>
  </conditionalFormatting>
  <conditionalFormatting sqref="C114">
    <cfRule type="cellIs" dxfId="9401" priority="14139" stopIfTrue="1" operator="equal">
      <formula>"Towel"</formula>
    </cfRule>
    <cfRule type="cellIs" dxfId="9400" priority="14140" stopIfTrue="1" operator="equal">
      <formula>"Napkin Hs"</formula>
    </cfRule>
  </conditionalFormatting>
  <conditionalFormatting sqref="B114:C114">
    <cfRule type="cellIs" dxfId="9399" priority="14136" stopIfTrue="1" operator="equal">
      <formula>"Napkin Hs"</formula>
    </cfRule>
  </conditionalFormatting>
  <conditionalFormatting sqref="B114:C114">
    <cfRule type="cellIs" dxfId="9398" priority="14135" stopIfTrue="1" operator="equal">
      <formula>"Towel"</formula>
    </cfRule>
  </conditionalFormatting>
  <conditionalFormatting sqref="C114">
    <cfRule type="cellIs" dxfId="9397" priority="14134" stopIfTrue="1" operator="equal">
      <formula>"Napkin Hs"</formula>
    </cfRule>
  </conditionalFormatting>
  <conditionalFormatting sqref="C114">
    <cfRule type="cellIs" dxfId="9396" priority="14133" stopIfTrue="1" operator="equal">
      <formula>"Towel"</formula>
    </cfRule>
  </conditionalFormatting>
  <conditionalFormatting sqref="C114">
    <cfRule type="cellIs" dxfId="9395" priority="14131" stopIfTrue="1" operator="equal">
      <formula>"Towel"</formula>
    </cfRule>
    <cfRule type="cellIs" dxfId="9394" priority="14132" stopIfTrue="1" operator="equal">
      <formula>"Napkin Hs"</formula>
    </cfRule>
  </conditionalFormatting>
  <conditionalFormatting sqref="B114:C114">
    <cfRule type="cellIs" dxfId="9393" priority="14129" stopIfTrue="1" operator="equal">
      <formula>"Towel"</formula>
    </cfRule>
    <cfRule type="cellIs" dxfId="9392" priority="14130" stopIfTrue="1" operator="equal">
      <formula>"Napkin Hs"</formula>
    </cfRule>
  </conditionalFormatting>
  <conditionalFormatting sqref="C114">
    <cfRule type="cellIs" dxfId="9391" priority="14127" stopIfTrue="1" operator="equal">
      <formula>"Towel"</formula>
    </cfRule>
    <cfRule type="cellIs" dxfId="9390" priority="14128" stopIfTrue="1" operator="equal">
      <formula>"Napkin Hs"</formula>
    </cfRule>
  </conditionalFormatting>
  <conditionalFormatting sqref="C114">
    <cfRule type="cellIs" dxfId="9389" priority="14125" stopIfTrue="1" operator="equal">
      <formula>"Towel"</formula>
    </cfRule>
    <cfRule type="cellIs" dxfId="9388" priority="14126" stopIfTrue="1" operator="equal">
      <formula>"Napkin Hs"</formula>
    </cfRule>
  </conditionalFormatting>
  <conditionalFormatting sqref="B114:C114">
    <cfRule type="cellIs" dxfId="9387" priority="14123" stopIfTrue="1" operator="equal">
      <formula>"Towel"</formula>
    </cfRule>
    <cfRule type="cellIs" dxfId="9386" priority="14124" stopIfTrue="1" operator="equal">
      <formula>"Napkin Hs"</formula>
    </cfRule>
  </conditionalFormatting>
  <conditionalFormatting sqref="C114">
    <cfRule type="cellIs" dxfId="9385" priority="14121" stopIfTrue="1" operator="equal">
      <formula>"Towel"</formula>
    </cfRule>
    <cfRule type="cellIs" dxfId="9384" priority="14122" stopIfTrue="1" operator="equal">
      <formula>"Napkin Hs"</formula>
    </cfRule>
  </conditionalFormatting>
  <conditionalFormatting sqref="C114">
    <cfRule type="cellIs" dxfId="9383" priority="14119" stopIfTrue="1" operator="equal">
      <formula>"Towel"</formula>
    </cfRule>
    <cfRule type="cellIs" dxfId="9382" priority="14120" stopIfTrue="1" operator="equal">
      <formula>"Napkin Hs"</formula>
    </cfRule>
  </conditionalFormatting>
  <conditionalFormatting sqref="B114:C114">
    <cfRule type="cellIs" dxfId="9381" priority="14117" stopIfTrue="1" operator="equal">
      <formula>"Towel"</formula>
    </cfRule>
    <cfRule type="cellIs" dxfId="9380" priority="14118" stopIfTrue="1" operator="equal">
      <formula>"Napkin Hs"</formula>
    </cfRule>
  </conditionalFormatting>
  <conditionalFormatting sqref="C114">
    <cfRule type="cellIs" dxfId="9379" priority="14115" stopIfTrue="1" operator="equal">
      <formula>"Towel"</formula>
    </cfRule>
    <cfRule type="cellIs" dxfId="9378" priority="14116" stopIfTrue="1" operator="equal">
      <formula>"Napkin Hs"</formula>
    </cfRule>
  </conditionalFormatting>
  <conditionalFormatting sqref="C114">
    <cfRule type="cellIs" dxfId="9377" priority="14113" stopIfTrue="1" operator="equal">
      <formula>"Towel"</formula>
    </cfRule>
    <cfRule type="cellIs" dxfId="9376" priority="14114" stopIfTrue="1" operator="equal">
      <formula>"Napkin Hs"</formula>
    </cfRule>
  </conditionalFormatting>
  <conditionalFormatting sqref="B114:C114">
    <cfRule type="cellIs" dxfId="9375" priority="14111" stopIfTrue="1" operator="equal">
      <formula>"Towel"</formula>
    </cfRule>
    <cfRule type="cellIs" dxfId="9374" priority="14112" stopIfTrue="1" operator="equal">
      <formula>"Napkin Hs"</formula>
    </cfRule>
  </conditionalFormatting>
  <conditionalFormatting sqref="C114">
    <cfRule type="cellIs" dxfId="9373" priority="14109" stopIfTrue="1" operator="equal">
      <formula>"Towel"</formula>
    </cfRule>
    <cfRule type="cellIs" dxfId="9372" priority="14110" stopIfTrue="1" operator="equal">
      <formula>"Napkin Hs"</formula>
    </cfRule>
  </conditionalFormatting>
  <conditionalFormatting sqref="C114">
    <cfRule type="cellIs" dxfId="9371" priority="14107" stopIfTrue="1" operator="equal">
      <formula>"Towel"</formula>
    </cfRule>
    <cfRule type="cellIs" dxfId="9370" priority="14108" stopIfTrue="1" operator="equal">
      <formula>"Napkin Hs"</formula>
    </cfRule>
  </conditionalFormatting>
  <conditionalFormatting sqref="B114:C114">
    <cfRule type="cellIs" dxfId="9369" priority="14105" stopIfTrue="1" operator="equal">
      <formula>"Towel"</formula>
    </cfRule>
    <cfRule type="cellIs" dxfId="9368" priority="14106" stopIfTrue="1" operator="equal">
      <formula>"Napkin Hs"</formula>
    </cfRule>
  </conditionalFormatting>
  <conditionalFormatting sqref="C114">
    <cfRule type="cellIs" dxfId="9367" priority="14103" stopIfTrue="1" operator="equal">
      <formula>"Towel"</formula>
    </cfRule>
    <cfRule type="cellIs" dxfId="9366" priority="14104" stopIfTrue="1" operator="equal">
      <formula>"Napkin Hs"</formula>
    </cfRule>
  </conditionalFormatting>
  <conditionalFormatting sqref="C114">
    <cfRule type="cellIs" dxfId="9365" priority="14101" stopIfTrue="1" operator="equal">
      <formula>"Towel"</formula>
    </cfRule>
    <cfRule type="cellIs" dxfId="9364" priority="14102" stopIfTrue="1" operator="equal">
      <formula>"Napkin Hs"</formula>
    </cfRule>
  </conditionalFormatting>
  <conditionalFormatting sqref="B114:C114">
    <cfRule type="cellIs" dxfId="9363" priority="14100" stopIfTrue="1" operator="equal">
      <formula>"Napkin Hs"</formula>
    </cfRule>
  </conditionalFormatting>
  <conditionalFormatting sqref="B114:C114">
    <cfRule type="cellIs" dxfId="9362" priority="14099" stopIfTrue="1" operator="equal">
      <formula>"Towel"</formula>
    </cfRule>
  </conditionalFormatting>
  <conditionalFormatting sqref="C114">
    <cfRule type="cellIs" dxfId="9361" priority="14098" stopIfTrue="1" operator="equal">
      <formula>"Napkin Hs"</formula>
    </cfRule>
  </conditionalFormatting>
  <conditionalFormatting sqref="C114">
    <cfRule type="cellIs" dxfId="9360" priority="14095" stopIfTrue="1" operator="equal">
      <formula>"Towel"</formula>
    </cfRule>
    <cfRule type="cellIs" dxfId="9359" priority="14096" stopIfTrue="1" operator="equal">
      <formula>"Napkin Hs"</formula>
    </cfRule>
  </conditionalFormatting>
  <conditionalFormatting sqref="C114">
    <cfRule type="cellIs" dxfId="9358" priority="14097" stopIfTrue="1" operator="equal">
      <formula>"Towel"</formula>
    </cfRule>
  </conditionalFormatting>
  <conditionalFormatting sqref="B120:C120">
    <cfRule type="cellIs" dxfId="9357" priority="13830" stopIfTrue="1" operator="equal">
      <formula>"Napkin Hs"</formula>
    </cfRule>
  </conditionalFormatting>
  <conditionalFormatting sqref="B120:C120">
    <cfRule type="cellIs" dxfId="9356" priority="13829" stopIfTrue="1" operator="equal">
      <formula>"Towel"</formula>
    </cfRule>
  </conditionalFormatting>
  <conditionalFormatting sqref="C120">
    <cfRule type="cellIs" dxfId="9355" priority="13828" stopIfTrue="1" operator="equal">
      <formula>"Napkin Hs"</formula>
    </cfRule>
  </conditionalFormatting>
  <conditionalFormatting sqref="C120">
    <cfRule type="cellIs" dxfId="9354" priority="13827" stopIfTrue="1" operator="equal">
      <formula>"Towel"</formula>
    </cfRule>
  </conditionalFormatting>
  <conditionalFormatting sqref="C120">
    <cfRule type="cellIs" dxfId="9353" priority="13825" stopIfTrue="1" operator="equal">
      <formula>"Towel"</formula>
    </cfRule>
    <cfRule type="cellIs" dxfId="9352" priority="13826" stopIfTrue="1" operator="equal">
      <formula>"Napkin Hs"</formula>
    </cfRule>
  </conditionalFormatting>
  <conditionalFormatting sqref="B120:C120">
    <cfRule type="cellIs" dxfId="9351" priority="13824" stopIfTrue="1" operator="equal">
      <formula>"Napkin Hs"</formula>
    </cfRule>
  </conditionalFormatting>
  <conditionalFormatting sqref="B120:C120">
    <cfRule type="cellIs" dxfId="9350" priority="13823" stopIfTrue="1" operator="equal">
      <formula>"Towel"</formula>
    </cfRule>
  </conditionalFormatting>
  <conditionalFormatting sqref="C120">
    <cfRule type="cellIs" dxfId="9349" priority="13822" stopIfTrue="1" operator="equal">
      <formula>"Napkin Hs"</formula>
    </cfRule>
  </conditionalFormatting>
  <conditionalFormatting sqref="C120">
    <cfRule type="cellIs" dxfId="9348" priority="13821" stopIfTrue="1" operator="equal">
      <formula>"Towel"</formula>
    </cfRule>
  </conditionalFormatting>
  <conditionalFormatting sqref="C120">
    <cfRule type="cellIs" dxfId="9347" priority="13819" stopIfTrue="1" operator="equal">
      <formula>"Towel"</formula>
    </cfRule>
    <cfRule type="cellIs" dxfId="9346" priority="13820" stopIfTrue="1" operator="equal">
      <formula>"Napkin Hs"</formula>
    </cfRule>
  </conditionalFormatting>
  <conditionalFormatting sqref="B120:C120">
    <cfRule type="cellIs" dxfId="9345" priority="13817" stopIfTrue="1" operator="equal">
      <formula>"Towel"</formula>
    </cfRule>
    <cfRule type="cellIs" dxfId="9344" priority="13818" stopIfTrue="1" operator="equal">
      <formula>"Napkin Hs"</formula>
    </cfRule>
  </conditionalFormatting>
  <conditionalFormatting sqref="C120">
    <cfRule type="cellIs" dxfId="9343" priority="13813" stopIfTrue="1" operator="equal">
      <formula>"Towel"</formula>
    </cfRule>
    <cfRule type="cellIs" dxfId="9342" priority="13814" stopIfTrue="1" operator="equal">
      <formula>"Napkin Hs"</formula>
    </cfRule>
  </conditionalFormatting>
  <conditionalFormatting sqref="C120">
    <cfRule type="cellIs" dxfId="9341" priority="13815" stopIfTrue="1" operator="equal">
      <formula>"Towel"</formula>
    </cfRule>
    <cfRule type="cellIs" dxfId="9340" priority="13816" stopIfTrue="1" operator="equal">
      <formula>"Napkin Hs"</formula>
    </cfRule>
  </conditionalFormatting>
  <conditionalFormatting sqref="B120:C120">
    <cfRule type="cellIs" dxfId="9339" priority="13812" stopIfTrue="1" operator="equal">
      <formula>"Napkin Hs"</formula>
    </cfRule>
  </conditionalFormatting>
  <conditionalFormatting sqref="B120:C120">
    <cfRule type="cellIs" dxfId="9338" priority="13811" stopIfTrue="1" operator="equal">
      <formula>"Towel"</formula>
    </cfRule>
  </conditionalFormatting>
  <conditionalFormatting sqref="C120">
    <cfRule type="cellIs" dxfId="9337" priority="13810" stopIfTrue="1" operator="equal">
      <formula>"Napkin Hs"</formula>
    </cfRule>
  </conditionalFormatting>
  <conditionalFormatting sqref="C120">
    <cfRule type="cellIs" dxfId="9336" priority="13809" stopIfTrue="1" operator="equal">
      <formula>"Towel"</formula>
    </cfRule>
  </conditionalFormatting>
  <conditionalFormatting sqref="C120">
    <cfRule type="cellIs" dxfId="9335" priority="13807" stopIfTrue="1" operator="equal">
      <formula>"Towel"</formula>
    </cfRule>
    <cfRule type="cellIs" dxfId="9334" priority="13808" stopIfTrue="1" operator="equal">
      <formula>"Napkin Hs"</formula>
    </cfRule>
  </conditionalFormatting>
  <conditionalFormatting sqref="B120:C120">
    <cfRule type="cellIs" dxfId="9333" priority="13805" stopIfTrue="1" operator="equal">
      <formula>"Towel"</formula>
    </cfRule>
    <cfRule type="cellIs" dxfId="9332" priority="13806" stopIfTrue="1" operator="equal">
      <formula>"Napkin Hs"</formula>
    </cfRule>
  </conditionalFormatting>
  <conditionalFormatting sqref="C120">
    <cfRule type="cellIs" dxfId="9331" priority="13803" stopIfTrue="1" operator="equal">
      <formula>"Towel"</formula>
    </cfRule>
    <cfRule type="cellIs" dxfId="9330" priority="13804" stopIfTrue="1" operator="equal">
      <formula>"Napkin Hs"</formula>
    </cfRule>
  </conditionalFormatting>
  <conditionalFormatting sqref="C120">
    <cfRule type="cellIs" dxfId="9329" priority="13801" stopIfTrue="1" operator="equal">
      <formula>"Towel"</formula>
    </cfRule>
    <cfRule type="cellIs" dxfId="9328" priority="13802" stopIfTrue="1" operator="equal">
      <formula>"Napkin Hs"</formula>
    </cfRule>
  </conditionalFormatting>
  <conditionalFormatting sqref="B120:C120">
    <cfRule type="cellIs" dxfId="9327" priority="13799" stopIfTrue="1" operator="equal">
      <formula>"Towel"</formula>
    </cfRule>
    <cfRule type="cellIs" dxfId="9326" priority="13800" stopIfTrue="1" operator="equal">
      <formula>"Napkin Hs"</formula>
    </cfRule>
  </conditionalFormatting>
  <conditionalFormatting sqref="C120">
    <cfRule type="cellIs" dxfId="9325" priority="13797" stopIfTrue="1" operator="equal">
      <formula>"Towel"</formula>
    </cfRule>
    <cfRule type="cellIs" dxfId="9324" priority="13798" stopIfTrue="1" operator="equal">
      <formula>"Napkin Hs"</formula>
    </cfRule>
  </conditionalFormatting>
  <conditionalFormatting sqref="C120">
    <cfRule type="cellIs" dxfId="9323" priority="13795" stopIfTrue="1" operator="equal">
      <formula>"Towel"</formula>
    </cfRule>
    <cfRule type="cellIs" dxfId="9322" priority="13796" stopIfTrue="1" operator="equal">
      <formula>"Napkin Hs"</formula>
    </cfRule>
  </conditionalFormatting>
  <conditionalFormatting sqref="B120:C120">
    <cfRule type="cellIs" dxfId="9321" priority="13793" stopIfTrue="1" operator="equal">
      <formula>"Towel"</formula>
    </cfRule>
    <cfRule type="cellIs" dxfId="9320" priority="13794" stopIfTrue="1" operator="equal">
      <formula>"Napkin Hs"</formula>
    </cfRule>
  </conditionalFormatting>
  <conditionalFormatting sqref="C120">
    <cfRule type="cellIs" dxfId="9319" priority="13791" stopIfTrue="1" operator="equal">
      <formula>"Towel"</formula>
    </cfRule>
    <cfRule type="cellIs" dxfId="9318" priority="13792" stopIfTrue="1" operator="equal">
      <formula>"Napkin Hs"</formula>
    </cfRule>
  </conditionalFormatting>
  <conditionalFormatting sqref="C120">
    <cfRule type="cellIs" dxfId="9317" priority="13789" stopIfTrue="1" operator="equal">
      <formula>"Towel"</formula>
    </cfRule>
    <cfRule type="cellIs" dxfId="9316" priority="13790" stopIfTrue="1" operator="equal">
      <formula>"Napkin Hs"</formula>
    </cfRule>
  </conditionalFormatting>
  <conditionalFormatting sqref="B120:C120">
    <cfRule type="cellIs" dxfId="9315" priority="13787" stopIfTrue="1" operator="equal">
      <formula>"Towel"</formula>
    </cfRule>
    <cfRule type="cellIs" dxfId="9314" priority="13788" stopIfTrue="1" operator="equal">
      <formula>"Napkin Hs"</formula>
    </cfRule>
  </conditionalFormatting>
  <conditionalFormatting sqref="C120">
    <cfRule type="cellIs" dxfId="9313" priority="13785" stopIfTrue="1" operator="equal">
      <formula>"Towel"</formula>
    </cfRule>
    <cfRule type="cellIs" dxfId="9312" priority="13786" stopIfTrue="1" operator="equal">
      <formula>"Napkin Hs"</formula>
    </cfRule>
  </conditionalFormatting>
  <conditionalFormatting sqref="C120">
    <cfRule type="cellIs" dxfId="9311" priority="13783" stopIfTrue="1" operator="equal">
      <formula>"Towel"</formula>
    </cfRule>
    <cfRule type="cellIs" dxfId="9310" priority="13784" stopIfTrue="1" operator="equal">
      <formula>"Napkin Hs"</formula>
    </cfRule>
  </conditionalFormatting>
  <conditionalFormatting sqref="B120:C120">
    <cfRule type="cellIs" dxfId="9309" priority="13781" stopIfTrue="1" operator="equal">
      <formula>"Towel"</formula>
    </cfRule>
    <cfRule type="cellIs" dxfId="9308" priority="13782" stopIfTrue="1" operator="equal">
      <formula>"Napkin Hs"</formula>
    </cfRule>
  </conditionalFormatting>
  <conditionalFormatting sqref="C120">
    <cfRule type="cellIs" dxfId="9307" priority="13779" stopIfTrue="1" operator="equal">
      <formula>"Towel"</formula>
    </cfRule>
    <cfRule type="cellIs" dxfId="9306" priority="13780" stopIfTrue="1" operator="equal">
      <formula>"Napkin Hs"</formula>
    </cfRule>
  </conditionalFormatting>
  <conditionalFormatting sqref="C120">
    <cfRule type="cellIs" dxfId="9305" priority="13777" stopIfTrue="1" operator="equal">
      <formula>"Towel"</formula>
    </cfRule>
    <cfRule type="cellIs" dxfId="9304" priority="13778" stopIfTrue="1" operator="equal">
      <formula>"Napkin Hs"</formula>
    </cfRule>
  </conditionalFormatting>
  <conditionalFormatting sqref="B120:C120">
    <cfRule type="cellIs" dxfId="9303" priority="13776" stopIfTrue="1" operator="equal">
      <formula>"Napkin Hs"</formula>
    </cfRule>
  </conditionalFormatting>
  <conditionalFormatting sqref="B120:C120">
    <cfRule type="cellIs" dxfId="9302" priority="13775" stopIfTrue="1" operator="equal">
      <formula>"Towel"</formula>
    </cfRule>
  </conditionalFormatting>
  <conditionalFormatting sqref="C120">
    <cfRule type="cellIs" dxfId="9301" priority="13774" stopIfTrue="1" operator="equal">
      <formula>"Napkin Hs"</formula>
    </cfRule>
  </conditionalFormatting>
  <conditionalFormatting sqref="C120">
    <cfRule type="cellIs" dxfId="9300" priority="13771" stopIfTrue="1" operator="equal">
      <formula>"Towel"</formula>
    </cfRule>
    <cfRule type="cellIs" dxfId="9299" priority="13772" stopIfTrue="1" operator="equal">
      <formula>"Napkin Hs"</formula>
    </cfRule>
  </conditionalFormatting>
  <conditionalFormatting sqref="C120">
    <cfRule type="cellIs" dxfId="9298" priority="13773" stopIfTrue="1" operator="equal">
      <formula>"Towel"</formula>
    </cfRule>
  </conditionalFormatting>
  <conditionalFormatting sqref="B152:C152">
    <cfRule type="cellIs" dxfId="9297" priority="13710" stopIfTrue="1" operator="equal">
      <formula>"Napkin Hs"</formula>
    </cfRule>
  </conditionalFormatting>
  <conditionalFormatting sqref="B152:C152">
    <cfRule type="cellIs" dxfId="9296" priority="13709" stopIfTrue="1" operator="equal">
      <formula>"Towel"</formula>
    </cfRule>
  </conditionalFormatting>
  <conditionalFormatting sqref="C152">
    <cfRule type="cellIs" dxfId="9295" priority="13708" stopIfTrue="1" operator="equal">
      <formula>"Napkin Hs"</formula>
    </cfRule>
  </conditionalFormatting>
  <conditionalFormatting sqref="C152">
    <cfRule type="cellIs" dxfId="9294" priority="13707" stopIfTrue="1" operator="equal">
      <formula>"Towel"</formula>
    </cfRule>
  </conditionalFormatting>
  <conditionalFormatting sqref="C152">
    <cfRule type="cellIs" dxfId="9293" priority="13705" stopIfTrue="1" operator="equal">
      <formula>"Towel"</formula>
    </cfRule>
    <cfRule type="cellIs" dxfId="9292" priority="13706" stopIfTrue="1" operator="equal">
      <formula>"Napkin Hs"</formula>
    </cfRule>
  </conditionalFormatting>
  <conditionalFormatting sqref="B137:C137">
    <cfRule type="cellIs" dxfId="9291" priority="13224" stopIfTrue="1" operator="equal">
      <formula>"Napkin Hs"</formula>
    </cfRule>
  </conditionalFormatting>
  <conditionalFormatting sqref="B137:C137">
    <cfRule type="cellIs" dxfId="9290" priority="13223" stopIfTrue="1" operator="equal">
      <formula>"Towel"</formula>
    </cfRule>
  </conditionalFormatting>
  <conditionalFormatting sqref="C137">
    <cfRule type="cellIs" dxfId="9289" priority="13222" stopIfTrue="1" operator="equal">
      <formula>"Napkin Hs"</formula>
    </cfRule>
  </conditionalFormatting>
  <conditionalFormatting sqref="C137">
    <cfRule type="cellIs" dxfId="9288" priority="13219" stopIfTrue="1" operator="equal">
      <formula>"Towel"</formula>
    </cfRule>
    <cfRule type="cellIs" dxfId="9287" priority="13220" stopIfTrue="1" operator="equal">
      <formula>"Napkin Hs"</formula>
    </cfRule>
  </conditionalFormatting>
  <conditionalFormatting sqref="C137">
    <cfRule type="cellIs" dxfId="9286" priority="13221" stopIfTrue="1" operator="equal">
      <formula>"Towel"</formula>
    </cfRule>
  </conditionalFormatting>
  <conditionalFormatting sqref="B8:C9">
    <cfRule type="cellIs" dxfId="9285" priority="12952" stopIfTrue="1" operator="equal">
      <formula>"Napkin Hs"</formula>
    </cfRule>
  </conditionalFormatting>
  <conditionalFormatting sqref="B8:C9">
    <cfRule type="cellIs" dxfId="9284" priority="12951" stopIfTrue="1" operator="equal">
      <formula>"Towel"</formula>
    </cfRule>
  </conditionalFormatting>
  <conditionalFormatting sqref="C8:C9">
    <cfRule type="cellIs" dxfId="9283" priority="12950" stopIfTrue="1" operator="equal">
      <formula>"Napkin Hs"</formula>
    </cfRule>
  </conditionalFormatting>
  <conditionalFormatting sqref="C8:C9">
    <cfRule type="cellIs" dxfId="9282" priority="12947" stopIfTrue="1" operator="equal">
      <formula>"Towel"</formula>
    </cfRule>
    <cfRule type="cellIs" dxfId="9281" priority="12948" stopIfTrue="1" operator="equal">
      <formula>"Napkin Hs"</formula>
    </cfRule>
  </conditionalFormatting>
  <conditionalFormatting sqref="C8:C9">
    <cfRule type="cellIs" dxfId="9280" priority="12949" stopIfTrue="1" operator="equal">
      <formula>"Towel"</formula>
    </cfRule>
  </conditionalFormatting>
  <conditionalFormatting sqref="B10:C10">
    <cfRule type="cellIs" dxfId="9279" priority="12946" stopIfTrue="1" operator="equal">
      <formula>"Napkin Hs"</formula>
    </cfRule>
  </conditionalFormatting>
  <conditionalFormatting sqref="B10:C10">
    <cfRule type="cellIs" dxfId="9278" priority="12945" stopIfTrue="1" operator="equal">
      <formula>"Towel"</formula>
    </cfRule>
  </conditionalFormatting>
  <conditionalFormatting sqref="C10">
    <cfRule type="cellIs" dxfId="9277" priority="12944" stopIfTrue="1" operator="equal">
      <formula>"Napkin Hs"</formula>
    </cfRule>
  </conditionalFormatting>
  <conditionalFormatting sqref="C10">
    <cfRule type="cellIs" dxfId="9276" priority="12941" stopIfTrue="1" operator="equal">
      <formula>"Towel"</formula>
    </cfRule>
    <cfRule type="cellIs" dxfId="9275" priority="12942" stopIfTrue="1" operator="equal">
      <formula>"Napkin Hs"</formula>
    </cfRule>
  </conditionalFormatting>
  <conditionalFormatting sqref="C10">
    <cfRule type="cellIs" dxfId="9274" priority="12943" stopIfTrue="1" operator="equal">
      <formula>"Towel"</formula>
    </cfRule>
  </conditionalFormatting>
  <conditionalFormatting sqref="B7:C7">
    <cfRule type="cellIs" dxfId="9273" priority="12940" stopIfTrue="1" operator="equal">
      <formula>"Napkin Hs"</formula>
    </cfRule>
  </conditionalFormatting>
  <conditionalFormatting sqref="B7:C7">
    <cfRule type="cellIs" dxfId="9272" priority="12939" stopIfTrue="1" operator="equal">
      <formula>"Towel"</formula>
    </cfRule>
  </conditionalFormatting>
  <conditionalFormatting sqref="C7">
    <cfRule type="cellIs" dxfId="9271" priority="12938" stopIfTrue="1" operator="equal">
      <formula>"Napkin Hs"</formula>
    </cfRule>
  </conditionalFormatting>
  <conditionalFormatting sqref="C7">
    <cfRule type="cellIs" dxfId="9270" priority="12935" stopIfTrue="1" operator="equal">
      <formula>"Towel"</formula>
    </cfRule>
    <cfRule type="cellIs" dxfId="9269" priority="12936" stopIfTrue="1" operator="equal">
      <formula>"Napkin Hs"</formula>
    </cfRule>
  </conditionalFormatting>
  <conditionalFormatting sqref="C7">
    <cfRule type="cellIs" dxfId="9268" priority="12937" stopIfTrue="1" operator="equal">
      <formula>"Towel"</formula>
    </cfRule>
  </conditionalFormatting>
  <conditionalFormatting sqref="B11:C11">
    <cfRule type="cellIs" dxfId="9267" priority="12928" stopIfTrue="1" operator="equal">
      <formula>"Napkin Hs"</formula>
    </cfRule>
  </conditionalFormatting>
  <conditionalFormatting sqref="B11:C11">
    <cfRule type="cellIs" dxfId="9266" priority="12927" stopIfTrue="1" operator="equal">
      <formula>"Towel"</formula>
    </cfRule>
  </conditionalFormatting>
  <conditionalFormatting sqref="C11">
    <cfRule type="cellIs" dxfId="9265" priority="12926" stopIfTrue="1" operator="equal">
      <formula>"Napkin Hs"</formula>
    </cfRule>
  </conditionalFormatting>
  <conditionalFormatting sqref="C11">
    <cfRule type="cellIs" dxfId="9264" priority="12923" stopIfTrue="1" operator="equal">
      <formula>"Towel"</formula>
    </cfRule>
    <cfRule type="cellIs" dxfId="9263" priority="12924" stopIfTrue="1" operator="equal">
      <formula>"Napkin Hs"</formula>
    </cfRule>
  </conditionalFormatting>
  <conditionalFormatting sqref="C11">
    <cfRule type="cellIs" dxfId="9262" priority="12925" stopIfTrue="1" operator="equal">
      <formula>"Towel"</formula>
    </cfRule>
  </conditionalFormatting>
  <conditionalFormatting sqref="B6:C6">
    <cfRule type="cellIs" dxfId="9261" priority="12922" stopIfTrue="1" operator="equal">
      <formula>"Napkin Hs"</formula>
    </cfRule>
  </conditionalFormatting>
  <conditionalFormatting sqref="B6:C6">
    <cfRule type="cellIs" dxfId="9260" priority="12921" stopIfTrue="1" operator="equal">
      <formula>"Towel"</formula>
    </cfRule>
  </conditionalFormatting>
  <conditionalFormatting sqref="C6">
    <cfRule type="cellIs" dxfId="9259" priority="12920" stopIfTrue="1" operator="equal">
      <formula>"Napkin Hs"</formula>
    </cfRule>
  </conditionalFormatting>
  <conditionalFormatting sqref="C6">
    <cfRule type="cellIs" dxfId="9258" priority="12919" stopIfTrue="1" operator="equal">
      <formula>"Towel"</formula>
    </cfRule>
  </conditionalFormatting>
  <conditionalFormatting sqref="C6">
    <cfRule type="cellIs" dxfId="9257" priority="12917" stopIfTrue="1" operator="equal">
      <formula>"Towel"</formula>
    </cfRule>
    <cfRule type="cellIs" dxfId="9256" priority="12918" stopIfTrue="1" operator="equal">
      <formula>"Napkin Hs"</formula>
    </cfRule>
  </conditionalFormatting>
  <conditionalFormatting sqref="B6:C6">
    <cfRule type="cellIs" dxfId="9255" priority="12916" stopIfTrue="1" operator="equal">
      <formula>"Napkin Hs"</formula>
    </cfRule>
  </conditionalFormatting>
  <conditionalFormatting sqref="B6:C6">
    <cfRule type="cellIs" dxfId="9254" priority="12915" stopIfTrue="1" operator="equal">
      <formula>"Towel"</formula>
    </cfRule>
  </conditionalFormatting>
  <conditionalFormatting sqref="C6">
    <cfRule type="cellIs" dxfId="9253" priority="12914" stopIfTrue="1" operator="equal">
      <formula>"Napkin Hs"</formula>
    </cfRule>
  </conditionalFormatting>
  <conditionalFormatting sqref="C6">
    <cfRule type="cellIs" dxfId="9252" priority="12911" stopIfTrue="1" operator="equal">
      <formula>"Towel"</formula>
    </cfRule>
    <cfRule type="cellIs" dxfId="9251" priority="12912" stopIfTrue="1" operator="equal">
      <formula>"Napkin Hs"</formula>
    </cfRule>
  </conditionalFormatting>
  <conditionalFormatting sqref="C6">
    <cfRule type="cellIs" dxfId="9250" priority="12913" stopIfTrue="1" operator="equal">
      <formula>"Towel"</formula>
    </cfRule>
  </conditionalFormatting>
  <conditionalFormatting sqref="B6:C6">
    <cfRule type="cellIs" dxfId="9249" priority="12910" stopIfTrue="1" operator="equal">
      <formula>"Napkin Hs"</formula>
    </cfRule>
  </conditionalFormatting>
  <conditionalFormatting sqref="B6:C6">
    <cfRule type="cellIs" dxfId="9248" priority="12909" stopIfTrue="1" operator="equal">
      <formula>"Towel"</formula>
    </cfRule>
  </conditionalFormatting>
  <conditionalFormatting sqref="C6">
    <cfRule type="cellIs" dxfId="9247" priority="12908" stopIfTrue="1" operator="equal">
      <formula>"Napkin Hs"</formula>
    </cfRule>
  </conditionalFormatting>
  <conditionalFormatting sqref="C6">
    <cfRule type="cellIs" dxfId="9246" priority="12905" stopIfTrue="1" operator="equal">
      <formula>"Towel"</formula>
    </cfRule>
    <cfRule type="cellIs" dxfId="9245" priority="12906" stopIfTrue="1" operator="equal">
      <formula>"Napkin Hs"</formula>
    </cfRule>
  </conditionalFormatting>
  <conditionalFormatting sqref="C6">
    <cfRule type="cellIs" dxfId="9244" priority="12907" stopIfTrue="1" operator="equal">
      <formula>"Towel"</formula>
    </cfRule>
  </conditionalFormatting>
  <conditionalFormatting sqref="B6:C6">
    <cfRule type="cellIs" dxfId="9243" priority="12904" stopIfTrue="1" operator="equal">
      <formula>"Napkin Hs"</formula>
    </cfRule>
  </conditionalFormatting>
  <conditionalFormatting sqref="B6:C6">
    <cfRule type="cellIs" dxfId="9242" priority="12903" stopIfTrue="1" operator="equal">
      <formula>"Towel"</formula>
    </cfRule>
  </conditionalFormatting>
  <conditionalFormatting sqref="C6">
    <cfRule type="cellIs" dxfId="9241" priority="12902" stopIfTrue="1" operator="equal">
      <formula>"Napkin Hs"</formula>
    </cfRule>
  </conditionalFormatting>
  <conditionalFormatting sqref="C6">
    <cfRule type="cellIs" dxfId="9240" priority="12899" stopIfTrue="1" operator="equal">
      <formula>"Towel"</formula>
    </cfRule>
    <cfRule type="cellIs" dxfId="9239" priority="12900" stopIfTrue="1" operator="equal">
      <formula>"Napkin Hs"</formula>
    </cfRule>
  </conditionalFormatting>
  <conditionalFormatting sqref="C6">
    <cfRule type="cellIs" dxfId="9238" priority="12901" stopIfTrue="1" operator="equal">
      <formula>"Towel"</formula>
    </cfRule>
  </conditionalFormatting>
  <conditionalFormatting sqref="B6:C6">
    <cfRule type="cellIs" dxfId="9237" priority="12898" stopIfTrue="1" operator="equal">
      <formula>"Napkin Hs"</formula>
    </cfRule>
  </conditionalFormatting>
  <conditionalFormatting sqref="B6:C6">
    <cfRule type="cellIs" dxfId="9236" priority="12897" stopIfTrue="1" operator="equal">
      <formula>"Towel"</formula>
    </cfRule>
  </conditionalFormatting>
  <conditionalFormatting sqref="C6">
    <cfRule type="cellIs" dxfId="9235" priority="12896" stopIfTrue="1" operator="equal">
      <formula>"Napkin Hs"</formula>
    </cfRule>
  </conditionalFormatting>
  <conditionalFormatting sqref="C6">
    <cfRule type="cellIs" dxfId="9234" priority="12893" stopIfTrue="1" operator="equal">
      <formula>"Towel"</formula>
    </cfRule>
    <cfRule type="cellIs" dxfId="9233" priority="12894" stopIfTrue="1" operator="equal">
      <formula>"Napkin Hs"</formula>
    </cfRule>
  </conditionalFormatting>
  <conditionalFormatting sqref="C6">
    <cfRule type="cellIs" dxfId="9232" priority="12895" stopIfTrue="1" operator="equal">
      <formula>"Towel"</formula>
    </cfRule>
  </conditionalFormatting>
  <conditionalFormatting sqref="B14:C15">
    <cfRule type="cellIs" dxfId="9231" priority="12874" stopIfTrue="1" operator="equal">
      <formula>"Napkin Hs"</formula>
    </cfRule>
  </conditionalFormatting>
  <conditionalFormatting sqref="B14:C15">
    <cfRule type="cellIs" dxfId="9230" priority="12873" stopIfTrue="1" operator="equal">
      <formula>"Towel"</formula>
    </cfRule>
  </conditionalFormatting>
  <conditionalFormatting sqref="C14:C15">
    <cfRule type="cellIs" dxfId="9229" priority="12872" stopIfTrue="1" operator="equal">
      <formula>"Napkin Hs"</formula>
    </cfRule>
  </conditionalFormatting>
  <conditionalFormatting sqref="C14:C15">
    <cfRule type="cellIs" dxfId="9228" priority="12869" stopIfTrue="1" operator="equal">
      <formula>"Towel"</formula>
    </cfRule>
    <cfRule type="cellIs" dxfId="9227" priority="12870" stopIfTrue="1" operator="equal">
      <formula>"Napkin Hs"</formula>
    </cfRule>
  </conditionalFormatting>
  <conditionalFormatting sqref="C14:C15">
    <cfRule type="cellIs" dxfId="9226" priority="12871" stopIfTrue="1" operator="equal">
      <formula>"Towel"</formula>
    </cfRule>
  </conditionalFormatting>
  <conditionalFormatting sqref="B16:C16">
    <cfRule type="cellIs" dxfId="9225" priority="12868" stopIfTrue="1" operator="equal">
      <formula>"Napkin Hs"</formula>
    </cfRule>
  </conditionalFormatting>
  <conditionalFormatting sqref="B16:C16">
    <cfRule type="cellIs" dxfId="9224" priority="12867" stopIfTrue="1" operator="equal">
      <formula>"Towel"</formula>
    </cfRule>
  </conditionalFormatting>
  <conditionalFormatting sqref="C16">
    <cfRule type="cellIs" dxfId="9223" priority="12866" stopIfTrue="1" operator="equal">
      <formula>"Napkin Hs"</formula>
    </cfRule>
  </conditionalFormatting>
  <conditionalFormatting sqref="C16">
    <cfRule type="cellIs" dxfId="9222" priority="12863" stopIfTrue="1" operator="equal">
      <formula>"Towel"</formula>
    </cfRule>
    <cfRule type="cellIs" dxfId="9221" priority="12864" stopIfTrue="1" operator="equal">
      <formula>"Napkin Hs"</formula>
    </cfRule>
  </conditionalFormatting>
  <conditionalFormatting sqref="C16">
    <cfRule type="cellIs" dxfId="9220" priority="12865" stopIfTrue="1" operator="equal">
      <formula>"Towel"</formula>
    </cfRule>
  </conditionalFormatting>
  <conditionalFormatting sqref="B13:C13">
    <cfRule type="cellIs" dxfId="9219" priority="12862" stopIfTrue="1" operator="equal">
      <formula>"Napkin Hs"</formula>
    </cfRule>
  </conditionalFormatting>
  <conditionalFormatting sqref="B13:C13">
    <cfRule type="cellIs" dxfId="9218" priority="12861" stopIfTrue="1" operator="equal">
      <formula>"Towel"</formula>
    </cfRule>
  </conditionalFormatting>
  <conditionalFormatting sqref="C13">
    <cfRule type="cellIs" dxfId="9217" priority="12860" stopIfTrue="1" operator="equal">
      <formula>"Napkin Hs"</formula>
    </cfRule>
  </conditionalFormatting>
  <conditionalFormatting sqref="C13">
    <cfRule type="cellIs" dxfId="9216" priority="12857" stopIfTrue="1" operator="equal">
      <formula>"Towel"</formula>
    </cfRule>
    <cfRule type="cellIs" dxfId="9215" priority="12858" stopIfTrue="1" operator="equal">
      <formula>"Napkin Hs"</formula>
    </cfRule>
  </conditionalFormatting>
  <conditionalFormatting sqref="C13">
    <cfRule type="cellIs" dxfId="9214" priority="12859" stopIfTrue="1" operator="equal">
      <formula>"Towel"</formula>
    </cfRule>
  </conditionalFormatting>
  <conditionalFormatting sqref="B12:C12">
    <cfRule type="cellIs" dxfId="9213" priority="12856" stopIfTrue="1" operator="equal">
      <formula>"Napkin Hs"</formula>
    </cfRule>
  </conditionalFormatting>
  <conditionalFormatting sqref="B12:C12">
    <cfRule type="cellIs" dxfId="9212" priority="12855" stopIfTrue="1" operator="equal">
      <formula>"Towel"</formula>
    </cfRule>
  </conditionalFormatting>
  <conditionalFormatting sqref="C12">
    <cfRule type="cellIs" dxfId="9211" priority="12854" stopIfTrue="1" operator="equal">
      <formula>"Napkin Hs"</formula>
    </cfRule>
  </conditionalFormatting>
  <conditionalFormatting sqref="C12">
    <cfRule type="cellIs" dxfId="9210" priority="12853" stopIfTrue="1" operator="equal">
      <formula>"Towel"</formula>
    </cfRule>
  </conditionalFormatting>
  <conditionalFormatting sqref="C12">
    <cfRule type="cellIs" dxfId="9209" priority="12851" stopIfTrue="1" operator="equal">
      <formula>"Towel"</formula>
    </cfRule>
    <cfRule type="cellIs" dxfId="9208" priority="12852" stopIfTrue="1" operator="equal">
      <formula>"Napkin Hs"</formula>
    </cfRule>
  </conditionalFormatting>
  <conditionalFormatting sqref="B12:C12">
    <cfRule type="cellIs" dxfId="9207" priority="12850" stopIfTrue="1" operator="equal">
      <formula>"Napkin Hs"</formula>
    </cfRule>
  </conditionalFormatting>
  <conditionalFormatting sqref="B12:C12">
    <cfRule type="cellIs" dxfId="9206" priority="12849" stopIfTrue="1" operator="equal">
      <formula>"Towel"</formula>
    </cfRule>
  </conditionalFormatting>
  <conditionalFormatting sqref="C12">
    <cfRule type="cellIs" dxfId="9205" priority="12848" stopIfTrue="1" operator="equal">
      <formula>"Napkin Hs"</formula>
    </cfRule>
  </conditionalFormatting>
  <conditionalFormatting sqref="C12">
    <cfRule type="cellIs" dxfId="9204" priority="12845" stopIfTrue="1" operator="equal">
      <formula>"Towel"</formula>
    </cfRule>
    <cfRule type="cellIs" dxfId="9203" priority="12846" stopIfTrue="1" operator="equal">
      <formula>"Napkin Hs"</formula>
    </cfRule>
  </conditionalFormatting>
  <conditionalFormatting sqref="C12">
    <cfRule type="cellIs" dxfId="9202" priority="12847" stopIfTrue="1" operator="equal">
      <formula>"Towel"</formula>
    </cfRule>
  </conditionalFormatting>
  <conditionalFormatting sqref="B12:C12">
    <cfRule type="cellIs" dxfId="9201" priority="12844" stopIfTrue="1" operator="equal">
      <formula>"Napkin Hs"</formula>
    </cfRule>
  </conditionalFormatting>
  <conditionalFormatting sqref="B12:C12">
    <cfRule type="cellIs" dxfId="9200" priority="12843" stopIfTrue="1" operator="equal">
      <formula>"Towel"</formula>
    </cfRule>
  </conditionalFormatting>
  <conditionalFormatting sqref="C12">
    <cfRule type="cellIs" dxfId="9199" priority="12842" stopIfTrue="1" operator="equal">
      <formula>"Napkin Hs"</formula>
    </cfRule>
  </conditionalFormatting>
  <conditionalFormatting sqref="C12">
    <cfRule type="cellIs" dxfId="9198" priority="12839" stopIfTrue="1" operator="equal">
      <formula>"Towel"</formula>
    </cfRule>
    <cfRule type="cellIs" dxfId="9197" priority="12840" stopIfTrue="1" operator="equal">
      <formula>"Napkin Hs"</formula>
    </cfRule>
  </conditionalFormatting>
  <conditionalFormatting sqref="C12">
    <cfRule type="cellIs" dxfId="9196" priority="12841" stopIfTrue="1" operator="equal">
      <formula>"Towel"</formula>
    </cfRule>
  </conditionalFormatting>
  <conditionalFormatting sqref="B12:C12">
    <cfRule type="cellIs" dxfId="9195" priority="12838" stopIfTrue="1" operator="equal">
      <formula>"Napkin Hs"</formula>
    </cfRule>
  </conditionalFormatting>
  <conditionalFormatting sqref="B12:C12">
    <cfRule type="cellIs" dxfId="9194" priority="12837" stopIfTrue="1" operator="equal">
      <formula>"Towel"</formula>
    </cfRule>
  </conditionalFormatting>
  <conditionalFormatting sqref="C12">
    <cfRule type="cellIs" dxfId="9193" priority="12836" stopIfTrue="1" operator="equal">
      <formula>"Napkin Hs"</formula>
    </cfRule>
  </conditionalFormatting>
  <conditionalFormatting sqref="C12">
    <cfRule type="cellIs" dxfId="9192" priority="12833" stopIfTrue="1" operator="equal">
      <formula>"Towel"</formula>
    </cfRule>
    <cfRule type="cellIs" dxfId="9191" priority="12834" stopIfTrue="1" operator="equal">
      <formula>"Napkin Hs"</formula>
    </cfRule>
  </conditionalFormatting>
  <conditionalFormatting sqref="C12">
    <cfRule type="cellIs" dxfId="9190" priority="12835" stopIfTrue="1" operator="equal">
      <formula>"Towel"</formula>
    </cfRule>
  </conditionalFormatting>
  <conditionalFormatting sqref="B12:C12">
    <cfRule type="cellIs" dxfId="9189" priority="12832" stopIfTrue="1" operator="equal">
      <formula>"Napkin Hs"</formula>
    </cfRule>
  </conditionalFormatting>
  <conditionalFormatting sqref="B12:C12">
    <cfRule type="cellIs" dxfId="9188" priority="12831" stopIfTrue="1" operator="equal">
      <formula>"Towel"</formula>
    </cfRule>
  </conditionalFormatting>
  <conditionalFormatting sqref="C12">
    <cfRule type="cellIs" dxfId="9187" priority="12830" stopIfTrue="1" operator="equal">
      <formula>"Napkin Hs"</formula>
    </cfRule>
  </conditionalFormatting>
  <conditionalFormatting sqref="C12">
    <cfRule type="cellIs" dxfId="9186" priority="12827" stopIfTrue="1" operator="equal">
      <formula>"Towel"</formula>
    </cfRule>
    <cfRule type="cellIs" dxfId="9185" priority="12828" stopIfTrue="1" operator="equal">
      <formula>"Napkin Hs"</formula>
    </cfRule>
  </conditionalFormatting>
  <conditionalFormatting sqref="C12">
    <cfRule type="cellIs" dxfId="9184" priority="12829" stopIfTrue="1" operator="equal">
      <formula>"Towel"</formula>
    </cfRule>
  </conditionalFormatting>
  <conditionalFormatting sqref="B25:C25">
    <cfRule type="cellIs" dxfId="9183" priority="12826" stopIfTrue="1" operator="equal">
      <formula>"Napkin Hs"</formula>
    </cfRule>
  </conditionalFormatting>
  <conditionalFormatting sqref="B25:C25">
    <cfRule type="cellIs" dxfId="9182" priority="12825" stopIfTrue="1" operator="equal">
      <formula>"Towel"</formula>
    </cfRule>
  </conditionalFormatting>
  <conditionalFormatting sqref="C25">
    <cfRule type="cellIs" dxfId="9181" priority="12824" stopIfTrue="1" operator="equal">
      <formula>"Napkin Hs"</formula>
    </cfRule>
  </conditionalFormatting>
  <conditionalFormatting sqref="C25">
    <cfRule type="cellIs" dxfId="9180" priority="12823" stopIfTrue="1" operator="equal">
      <formula>"Towel"</formula>
    </cfRule>
  </conditionalFormatting>
  <conditionalFormatting sqref="C25">
    <cfRule type="cellIs" dxfId="9179" priority="12821" stopIfTrue="1" operator="equal">
      <formula>"Towel"</formula>
    </cfRule>
    <cfRule type="cellIs" dxfId="9178" priority="12822" stopIfTrue="1" operator="equal">
      <formula>"Napkin Hs"</formula>
    </cfRule>
  </conditionalFormatting>
  <conditionalFormatting sqref="B21:C21">
    <cfRule type="cellIs" dxfId="9177" priority="12802" stopIfTrue="1" operator="equal">
      <formula>"Napkin Hs"</formula>
    </cfRule>
  </conditionalFormatting>
  <conditionalFormatting sqref="B21:C21">
    <cfRule type="cellIs" dxfId="9176" priority="12801" stopIfTrue="1" operator="equal">
      <formula>"Towel"</formula>
    </cfRule>
  </conditionalFormatting>
  <conditionalFormatting sqref="C21">
    <cfRule type="cellIs" dxfId="9175" priority="12800" stopIfTrue="1" operator="equal">
      <formula>"Napkin Hs"</formula>
    </cfRule>
  </conditionalFormatting>
  <conditionalFormatting sqref="C21">
    <cfRule type="cellIs" dxfId="9174" priority="12797" stopIfTrue="1" operator="equal">
      <formula>"Towel"</formula>
    </cfRule>
    <cfRule type="cellIs" dxfId="9173" priority="12798" stopIfTrue="1" operator="equal">
      <formula>"Napkin Hs"</formula>
    </cfRule>
  </conditionalFormatting>
  <conditionalFormatting sqref="C21">
    <cfRule type="cellIs" dxfId="9172" priority="12799" stopIfTrue="1" operator="equal">
      <formula>"Towel"</formula>
    </cfRule>
  </conditionalFormatting>
  <conditionalFormatting sqref="B25:C25">
    <cfRule type="cellIs" dxfId="9171" priority="12790" stopIfTrue="1" operator="equal">
      <formula>"Napkin Hs"</formula>
    </cfRule>
  </conditionalFormatting>
  <conditionalFormatting sqref="B25:C25">
    <cfRule type="cellIs" dxfId="9170" priority="12789" stopIfTrue="1" operator="equal">
      <formula>"Towel"</formula>
    </cfRule>
  </conditionalFormatting>
  <conditionalFormatting sqref="C25">
    <cfRule type="cellIs" dxfId="9169" priority="12788" stopIfTrue="1" operator="equal">
      <formula>"Napkin Hs"</formula>
    </cfRule>
  </conditionalFormatting>
  <conditionalFormatting sqref="C25">
    <cfRule type="cellIs" dxfId="9168" priority="12785" stopIfTrue="1" operator="equal">
      <formula>"Towel"</formula>
    </cfRule>
    <cfRule type="cellIs" dxfId="9167" priority="12786" stopIfTrue="1" operator="equal">
      <formula>"Napkin Hs"</formula>
    </cfRule>
  </conditionalFormatting>
  <conditionalFormatting sqref="C25">
    <cfRule type="cellIs" dxfId="9166" priority="12787" stopIfTrue="1" operator="equal">
      <formula>"Towel"</formula>
    </cfRule>
  </conditionalFormatting>
  <conditionalFormatting sqref="B19:C20">
    <cfRule type="cellIs" dxfId="9165" priority="12784" stopIfTrue="1" operator="equal">
      <formula>"Napkin Hs"</formula>
    </cfRule>
  </conditionalFormatting>
  <conditionalFormatting sqref="B19:C20">
    <cfRule type="cellIs" dxfId="9164" priority="12783" stopIfTrue="1" operator="equal">
      <formula>"Towel"</formula>
    </cfRule>
  </conditionalFormatting>
  <conditionalFormatting sqref="C19:C20">
    <cfRule type="cellIs" dxfId="9163" priority="12782" stopIfTrue="1" operator="equal">
      <formula>"Napkin Hs"</formula>
    </cfRule>
  </conditionalFormatting>
  <conditionalFormatting sqref="C19:C20">
    <cfRule type="cellIs" dxfId="9162" priority="12779" stopIfTrue="1" operator="equal">
      <formula>"Towel"</formula>
    </cfRule>
    <cfRule type="cellIs" dxfId="9161" priority="12780" stopIfTrue="1" operator="equal">
      <formula>"Napkin Hs"</formula>
    </cfRule>
  </conditionalFormatting>
  <conditionalFormatting sqref="C19:C20">
    <cfRule type="cellIs" dxfId="9160" priority="12781" stopIfTrue="1" operator="equal">
      <formula>"Towel"</formula>
    </cfRule>
  </conditionalFormatting>
  <conditionalFormatting sqref="B17:C17">
    <cfRule type="cellIs" dxfId="9159" priority="12778" stopIfTrue="1" operator="equal">
      <formula>"Napkin Hs"</formula>
    </cfRule>
  </conditionalFormatting>
  <conditionalFormatting sqref="B17:C17">
    <cfRule type="cellIs" dxfId="9158" priority="12777" stopIfTrue="1" operator="equal">
      <formula>"Towel"</formula>
    </cfRule>
  </conditionalFormatting>
  <conditionalFormatting sqref="C17">
    <cfRule type="cellIs" dxfId="9157" priority="12776" stopIfTrue="1" operator="equal">
      <formula>"Napkin Hs"</formula>
    </cfRule>
  </conditionalFormatting>
  <conditionalFormatting sqref="C17">
    <cfRule type="cellIs" dxfId="9156" priority="12775" stopIfTrue="1" operator="equal">
      <formula>"Towel"</formula>
    </cfRule>
  </conditionalFormatting>
  <conditionalFormatting sqref="C17">
    <cfRule type="cellIs" dxfId="9155" priority="12773" stopIfTrue="1" operator="equal">
      <formula>"Towel"</formula>
    </cfRule>
    <cfRule type="cellIs" dxfId="9154" priority="12774" stopIfTrue="1" operator="equal">
      <formula>"Napkin Hs"</formula>
    </cfRule>
  </conditionalFormatting>
  <conditionalFormatting sqref="B17:C17">
    <cfRule type="cellIs" dxfId="9153" priority="12772" stopIfTrue="1" operator="equal">
      <formula>"Napkin Hs"</formula>
    </cfRule>
  </conditionalFormatting>
  <conditionalFormatting sqref="B17:C17">
    <cfRule type="cellIs" dxfId="9152" priority="12771" stopIfTrue="1" operator="equal">
      <formula>"Towel"</formula>
    </cfRule>
  </conditionalFormatting>
  <conditionalFormatting sqref="C17">
    <cfRule type="cellIs" dxfId="9151" priority="12770" stopIfTrue="1" operator="equal">
      <formula>"Napkin Hs"</formula>
    </cfRule>
  </conditionalFormatting>
  <conditionalFormatting sqref="C17">
    <cfRule type="cellIs" dxfId="9150" priority="12767" stopIfTrue="1" operator="equal">
      <formula>"Towel"</formula>
    </cfRule>
    <cfRule type="cellIs" dxfId="9149" priority="12768" stopIfTrue="1" operator="equal">
      <formula>"Napkin Hs"</formula>
    </cfRule>
  </conditionalFormatting>
  <conditionalFormatting sqref="C17">
    <cfRule type="cellIs" dxfId="9148" priority="12769" stopIfTrue="1" operator="equal">
      <formula>"Towel"</formula>
    </cfRule>
  </conditionalFormatting>
  <conditionalFormatting sqref="B17:C17">
    <cfRule type="cellIs" dxfId="9147" priority="12766" stopIfTrue="1" operator="equal">
      <formula>"Napkin Hs"</formula>
    </cfRule>
  </conditionalFormatting>
  <conditionalFormatting sqref="B17:C17">
    <cfRule type="cellIs" dxfId="9146" priority="12765" stopIfTrue="1" operator="equal">
      <formula>"Towel"</formula>
    </cfRule>
  </conditionalFormatting>
  <conditionalFormatting sqref="C17">
    <cfRule type="cellIs" dxfId="9145" priority="12764" stopIfTrue="1" operator="equal">
      <formula>"Napkin Hs"</formula>
    </cfRule>
  </conditionalFormatting>
  <conditionalFormatting sqref="C17">
    <cfRule type="cellIs" dxfId="9144" priority="12761" stopIfTrue="1" operator="equal">
      <formula>"Towel"</formula>
    </cfRule>
    <cfRule type="cellIs" dxfId="9143" priority="12762" stopIfTrue="1" operator="equal">
      <formula>"Napkin Hs"</formula>
    </cfRule>
  </conditionalFormatting>
  <conditionalFormatting sqref="C17">
    <cfRule type="cellIs" dxfId="9142" priority="12763" stopIfTrue="1" operator="equal">
      <formula>"Towel"</formula>
    </cfRule>
  </conditionalFormatting>
  <conditionalFormatting sqref="B17:C17">
    <cfRule type="cellIs" dxfId="9141" priority="12760" stopIfTrue="1" operator="equal">
      <formula>"Napkin Hs"</formula>
    </cfRule>
  </conditionalFormatting>
  <conditionalFormatting sqref="B17:C17">
    <cfRule type="cellIs" dxfId="9140" priority="12759" stopIfTrue="1" operator="equal">
      <formula>"Towel"</formula>
    </cfRule>
  </conditionalFormatting>
  <conditionalFormatting sqref="C17">
    <cfRule type="cellIs" dxfId="9139" priority="12758" stopIfTrue="1" operator="equal">
      <formula>"Napkin Hs"</formula>
    </cfRule>
  </conditionalFormatting>
  <conditionalFormatting sqref="C17">
    <cfRule type="cellIs" dxfId="9138" priority="12755" stopIfTrue="1" operator="equal">
      <formula>"Towel"</formula>
    </cfRule>
    <cfRule type="cellIs" dxfId="9137" priority="12756" stopIfTrue="1" operator="equal">
      <formula>"Napkin Hs"</formula>
    </cfRule>
  </conditionalFormatting>
  <conditionalFormatting sqref="C17">
    <cfRule type="cellIs" dxfId="9136" priority="12757" stopIfTrue="1" operator="equal">
      <formula>"Towel"</formula>
    </cfRule>
  </conditionalFormatting>
  <conditionalFormatting sqref="B17:C17">
    <cfRule type="cellIs" dxfId="9135" priority="12754" stopIfTrue="1" operator="equal">
      <formula>"Napkin Hs"</formula>
    </cfRule>
  </conditionalFormatting>
  <conditionalFormatting sqref="B17:C17">
    <cfRule type="cellIs" dxfId="9134" priority="12753" stopIfTrue="1" operator="equal">
      <formula>"Towel"</formula>
    </cfRule>
  </conditionalFormatting>
  <conditionalFormatting sqref="C17">
    <cfRule type="cellIs" dxfId="9133" priority="12752" stopIfTrue="1" operator="equal">
      <formula>"Napkin Hs"</formula>
    </cfRule>
  </conditionalFormatting>
  <conditionalFormatting sqref="C17">
    <cfRule type="cellIs" dxfId="9132" priority="12749" stopIfTrue="1" operator="equal">
      <formula>"Towel"</formula>
    </cfRule>
    <cfRule type="cellIs" dxfId="9131" priority="12750" stopIfTrue="1" operator="equal">
      <formula>"Napkin Hs"</formula>
    </cfRule>
  </conditionalFormatting>
  <conditionalFormatting sqref="C17">
    <cfRule type="cellIs" dxfId="9130" priority="12751" stopIfTrue="1" operator="equal">
      <formula>"Towel"</formula>
    </cfRule>
  </conditionalFormatting>
  <conditionalFormatting sqref="B18:C18">
    <cfRule type="cellIs" dxfId="9129" priority="12748" stopIfTrue="1" operator="equal">
      <formula>"Napkin Hs"</formula>
    </cfRule>
  </conditionalFormatting>
  <conditionalFormatting sqref="B18:C18">
    <cfRule type="cellIs" dxfId="9128" priority="12747" stopIfTrue="1" operator="equal">
      <formula>"Towel"</formula>
    </cfRule>
  </conditionalFormatting>
  <conditionalFormatting sqref="C18">
    <cfRule type="cellIs" dxfId="9127" priority="12746" stopIfTrue="1" operator="equal">
      <formula>"Napkin Hs"</formula>
    </cfRule>
  </conditionalFormatting>
  <conditionalFormatting sqref="C18">
    <cfRule type="cellIs" dxfId="9126" priority="12745" stopIfTrue="1" operator="equal">
      <formula>"Towel"</formula>
    </cfRule>
  </conditionalFormatting>
  <conditionalFormatting sqref="C18">
    <cfRule type="cellIs" dxfId="9125" priority="12743" stopIfTrue="1" operator="equal">
      <formula>"Towel"</formula>
    </cfRule>
    <cfRule type="cellIs" dxfId="9124" priority="12744" stopIfTrue="1" operator="equal">
      <formula>"Napkin Hs"</formula>
    </cfRule>
  </conditionalFormatting>
  <conditionalFormatting sqref="B18:C18">
    <cfRule type="cellIs" dxfId="9123" priority="12742" stopIfTrue="1" operator="equal">
      <formula>"Napkin Hs"</formula>
    </cfRule>
  </conditionalFormatting>
  <conditionalFormatting sqref="B18:C18">
    <cfRule type="cellIs" dxfId="9122" priority="12741" stopIfTrue="1" operator="equal">
      <formula>"Towel"</formula>
    </cfRule>
  </conditionalFormatting>
  <conditionalFormatting sqref="C18">
    <cfRule type="cellIs" dxfId="9121" priority="12740" stopIfTrue="1" operator="equal">
      <formula>"Napkin Hs"</formula>
    </cfRule>
  </conditionalFormatting>
  <conditionalFormatting sqref="C18">
    <cfRule type="cellIs" dxfId="9120" priority="12737" stopIfTrue="1" operator="equal">
      <formula>"Towel"</formula>
    </cfRule>
    <cfRule type="cellIs" dxfId="9119" priority="12738" stopIfTrue="1" operator="equal">
      <formula>"Napkin Hs"</formula>
    </cfRule>
  </conditionalFormatting>
  <conditionalFormatting sqref="C18">
    <cfRule type="cellIs" dxfId="9118" priority="12739" stopIfTrue="1" operator="equal">
      <formula>"Towel"</formula>
    </cfRule>
  </conditionalFormatting>
  <conditionalFormatting sqref="B18:C18">
    <cfRule type="cellIs" dxfId="9117" priority="12736" stopIfTrue="1" operator="equal">
      <formula>"Napkin Hs"</formula>
    </cfRule>
  </conditionalFormatting>
  <conditionalFormatting sqref="B18:C18">
    <cfRule type="cellIs" dxfId="9116" priority="12735" stopIfTrue="1" operator="equal">
      <formula>"Towel"</formula>
    </cfRule>
  </conditionalFormatting>
  <conditionalFormatting sqref="C18">
    <cfRule type="cellIs" dxfId="9115" priority="12734" stopIfTrue="1" operator="equal">
      <formula>"Napkin Hs"</formula>
    </cfRule>
  </conditionalFormatting>
  <conditionalFormatting sqref="C18">
    <cfRule type="cellIs" dxfId="9114" priority="12731" stopIfTrue="1" operator="equal">
      <formula>"Towel"</formula>
    </cfRule>
    <cfRule type="cellIs" dxfId="9113" priority="12732" stopIfTrue="1" operator="equal">
      <formula>"Napkin Hs"</formula>
    </cfRule>
  </conditionalFormatting>
  <conditionalFormatting sqref="C18">
    <cfRule type="cellIs" dxfId="9112" priority="12733" stopIfTrue="1" operator="equal">
      <formula>"Towel"</formula>
    </cfRule>
  </conditionalFormatting>
  <conditionalFormatting sqref="B18:C18">
    <cfRule type="cellIs" dxfId="9111" priority="12730" stopIfTrue="1" operator="equal">
      <formula>"Napkin Hs"</formula>
    </cfRule>
  </conditionalFormatting>
  <conditionalFormatting sqref="B18:C18">
    <cfRule type="cellIs" dxfId="9110" priority="12729" stopIfTrue="1" operator="equal">
      <formula>"Towel"</formula>
    </cfRule>
  </conditionalFormatting>
  <conditionalFormatting sqref="C18">
    <cfRule type="cellIs" dxfId="9109" priority="12728" stopIfTrue="1" operator="equal">
      <formula>"Napkin Hs"</formula>
    </cfRule>
  </conditionalFormatting>
  <conditionalFormatting sqref="C18">
    <cfRule type="cellIs" dxfId="9108" priority="12725" stopIfTrue="1" operator="equal">
      <formula>"Towel"</formula>
    </cfRule>
    <cfRule type="cellIs" dxfId="9107" priority="12726" stopIfTrue="1" operator="equal">
      <formula>"Napkin Hs"</formula>
    </cfRule>
  </conditionalFormatting>
  <conditionalFormatting sqref="C18">
    <cfRule type="cellIs" dxfId="9106" priority="12727" stopIfTrue="1" operator="equal">
      <formula>"Towel"</formula>
    </cfRule>
  </conditionalFormatting>
  <conditionalFormatting sqref="B18:C18">
    <cfRule type="cellIs" dxfId="9105" priority="12724" stopIfTrue="1" operator="equal">
      <formula>"Napkin Hs"</formula>
    </cfRule>
  </conditionalFormatting>
  <conditionalFormatting sqref="B18:C18">
    <cfRule type="cellIs" dxfId="9104" priority="12723" stopIfTrue="1" operator="equal">
      <formula>"Towel"</formula>
    </cfRule>
  </conditionalFormatting>
  <conditionalFormatting sqref="C18">
    <cfRule type="cellIs" dxfId="9103" priority="12722" stopIfTrue="1" operator="equal">
      <formula>"Napkin Hs"</formula>
    </cfRule>
  </conditionalFormatting>
  <conditionalFormatting sqref="C18">
    <cfRule type="cellIs" dxfId="9102" priority="12719" stopIfTrue="1" operator="equal">
      <formula>"Towel"</formula>
    </cfRule>
    <cfRule type="cellIs" dxfId="9101" priority="12720" stopIfTrue="1" operator="equal">
      <formula>"Napkin Hs"</formula>
    </cfRule>
  </conditionalFormatting>
  <conditionalFormatting sqref="C18">
    <cfRule type="cellIs" dxfId="9100" priority="12721" stopIfTrue="1" operator="equal">
      <formula>"Towel"</formula>
    </cfRule>
  </conditionalFormatting>
  <conditionalFormatting sqref="B24:C24">
    <cfRule type="cellIs" dxfId="9099" priority="12718" stopIfTrue="1" operator="equal">
      <formula>"Napkin Hs"</formula>
    </cfRule>
  </conditionalFormatting>
  <conditionalFormatting sqref="B24:C24">
    <cfRule type="cellIs" dxfId="9098" priority="12717" stopIfTrue="1" operator="equal">
      <formula>"Towel"</formula>
    </cfRule>
  </conditionalFormatting>
  <conditionalFormatting sqref="C24">
    <cfRule type="cellIs" dxfId="9097" priority="12716" stopIfTrue="1" operator="equal">
      <formula>"Napkin Hs"</formula>
    </cfRule>
  </conditionalFormatting>
  <conditionalFormatting sqref="C24">
    <cfRule type="cellIs" dxfId="9096" priority="12713" stopIfTrue="1" operator="equal">
      <formula>"Towel"</formula>
    </cfRule>
    <cfRule type="cellIs" dxfId="9095" priority="12714" stopIfTrue="1" operator="equal">
      <formula>"Napkin Hs"</formula>
    </cfRule>
  </conditionalFormatting>
  <conditionalFormatting sqref="C24">
    <cfRule type="cellIs" dxfId="9094" priority="12715" stopIfTrue="1" operator="equal">
      <formula>"Towel"</formula>
    </cfRule>
  </conditionalFormatting>
  <conditionalFormatting sqref="B23:C23">
    <cfRule type="cellIs" dxfId="9093" priority="12712" stopIfTrue="1" operator="equal">
      <formula>"Napkin Hs"</formula>
    </cfRule>
  </conditionalFormatting>
  <conditionalFormatting sqref="B23:C23">
    <cfRule type="cellIs" dxfId="9092" priority="12711" stopIfTrue="1" operator="equal">
      <formula>"Towel"</formula>
    </cfRule>
  </conditionalFormatting>
  <conditionalFormatting sqref="C23">
    <cfRule type="cellIs" dxfId="9091" priority="12710" stopIfTrue="1" operator="equal">
      <formula>"Napkin Hs"</formula>
    </cfRule>
  </conditionalFormatting>
  <conditionalFormatting sqref="C23">
    <cfRule type="cellIs" dxfId="9090" priority="12709" stopIfTrue="1" operator="equal">
      <formula>"Towel"</formula>
    </cfRule>
  </conditionalFormatting>
  <conditionalFormatting sqref="C23">
    <cfRule type="cellIs" dxfId="9089" priority="12707" stopIfTrue="1" operator="equal">
      <formula>"Towel"</formula>
    </cfRule>
    <cfRule type="cellIs" dxfId="9088" priority="12708" stopIfTrue="1" operator="equal">
      <formula>"Napkin Hs"</formula>
    </cfRule>
  </conditionalFormatting>
  <conditionalFormatting sqref="B23:C23">
    <cfRule type="cellIs" dxfId="9087" priority="12706" stopIfTrue="1" operator="equal">
      <formula>"Napkin Hs"</formula>
    </cfRule>
  </conditionalFormatting>
  <conditionalFormatting sqref="B23:C23">
    <cfRule type="cellIs" dxfId="9086" priority="12705" stopIfTrue="1" operator="equal">
      <formula>"Towel"</formula>
    </cfRule>
  </conditionalFormatting>
  <conditionalFormatting sqref="C23">
    <cfRule type="cellIs" dxfId="9085" priority="12704" stopIfTrue="1" operator="equal">
      <formula>"Napkin Hs"</formula>
    </cfRule>
  </conditionalFormatting>
  <conditionalFormatting sqref="C23">
    <cfRule type="cellIs" dxfId="9084" priority="12701" stopIfTrue="1" operator="equal">
      <formula>"Towel"</formula>
    </cfRule>
    <cfRule type="cellIs" dxfId="9083" priority="12702" stopIfTrue="1" operator="equal">
      <formula>"Napkin Hs"</formula>
    </cfRule>
  </conditionalFormatting>
  <conditionalFormatting sqref="C23">
    <cfRule type="cellIs" dxfId="9082" priority="12703" stopIfTrue="1" operator="equal">
      <formula>"Towel"</formula>
    </cfRule>
  </conditionalFormatting>
  <conditionalFormatting sqref="B23:C23">
    <cfRule type="cellIs" dxfId="9081" priority="12700" stopIfTrue="1" operator="equal">
      <formula>"Napkin Hs"</formula>
    </cfRule>
  </conditionalFormatting>
  <conditionalFormatting sqref="B23:C23">
    <cfRule type="cellIs" dxfId="9080" priority="12699" stopIfTrue="1" operator="equal">
      <formula>"Towel"</formula>
    </cfRule>
  </conditionalFormatting>
  <conditionalFormatting sqref="C23">
    <cfRule type="cellIs" dxfId="9079" priority="12698" stopIfTrue="1" operator="equal">
      <formula>"Napkin Hs"</formula>
    </cfRule>
  </conditionalFormatting>
  <conditionalFormatting sqref="C23">
    <cfRule type="cellIs" dxfId="9078" priority="12695" stopIfTrue="1" operator="equal">
      <formula>"Towel"</formula>
    </cfRule>
    <cfRule type="cellIs" dxfId="9077" priority="12696" stopIfTrue="1" operator="equal">
      <formula>"Napkin Hs"</formula>
    </cfRule>
  </conditionalFormatting>
  <conditionalFormatting sqref="C23">
    <cfRule type="cellIs" dxfId="9076" priority="12697" stopIfTrue="1" operator="equal">
      <formula>"Towel"</formula>
    </cfRule>
  </conditionalFormatting>
  <conditionalFormatting sqref="B23:C23">
    <cfRule type="cellIs" dxfId="9075" priority="12694" stopIfTrue="1" operator="equal">
      <formula>"Napkin Hs"</formula>
    </cfRule>
  </conditionalFormatting>
  <conditionalFormatting sqref="B23:C23">
    <cfRule type="cellIs" dxfId="9074" priority="12693" stopIfTrue="1" operator="equal">
      <formula>"Towel"</formula>
    </cfRule>
  </conditionalFormatting>
  <conditionalFormatting sqref="C23">
    <cfRule type="cellIs" dxfId="9073" priority="12692" stopIfTrue="1" operator="equal">
      <formula>"Napkin Hs"</formula>
    </cfRule>
  </conditionalFormatting>
  <conditionalFormatting sqref="C23">
    <cfRule type="cellIs" dxfId="9072" priority="12689" stopIfTrue="1" operator="equal">
      <formula>"Towel"</formula>
    </cfRule>
    <cfRule type="cellIs" dxfId="9071" priority="12690" stopIfTrue="1" operator="equal">
      <formula>"Napkin Hs"</formula>
    </cfRule>
  </conditionalFormatting>
  <conditionalFormatting sqref="C23">
    <cfRule type="cellIs" dxfId="9070" priority="12691" stopIfTrue="1" operator="equal">
      <formula>"Towel"</formula>
    </cfRule>
  </conditionalFormatting>
  <conditionalFormatting sqref="B23:C23">
    <cfRule type="cellIs" dxfId="9069" priority="12688" stopIfTrue="1" operator="equal">
      <formula>"Napkin Hs"</formula>
    </cfRule>
  </conditionalFormatting>
  <conditionalFormatting sqref="B23:C23">
    <cfRule type="cellIs" dxfId="9068" priority="12687" stopIfTrue="1" operator="equal">
      <formula>"Towel"</formula>
    </cfRule>
  </conditionalFormatting>
  <conditionalFormatting sqref="C23">
    <cfRule type="cellIs" dxfId="9067" priority="12686" stopIfTrue="1" operator="equal">
      <formula>"Napkin Hs"</formula>
    </cfRule>
  </conditionalFormatting>
  <conditionalFormatting sqref="C23">
    <cfRule type="cellIs" dxfId="9066" priority="12683" stopIfTrue="1" operator="equal">
      <formula>"Towel"</formula>
    </cfRule>
    <cfRule type="cellIs" dxfId="9065" priority="12684" stopIfTrue="1" operator="equal">
      <formula>"Napkin Hs"</formula>
    </cfRule>
  </conditionalFormatting>
  <conditionalFormatting sqref="C23">
    <cfRule type="cellIs" dxfId="9064" priority="12685" stopIfTrue="1" operator="equal">
      <formula>"Towel"</formula>
    </cfRule>
  </conditionalFormatting>
  <conditionalFormatting sqref="B22:C22">
    <cfRule type="cellIs" dxfId="9063" priority="12682" stopIfTrue="1" operator="equal">
      <formula>"Napkin Hs"</formula>
    </cfRule>
  </conditionalFormatting>
  <conditionalFormatting sqref="B22:C22">
    <cfRule type="cellIs" dxfId="9062" priority="12681" stopIfTrue="1" operator="equal">
      <formula>"Towel"</formula>
    </cfRule>
  </conditionalFormatting>
  <conditionalFormatting sqref="C22">
    <cfRule type="cellIs" dxfId="9061" priority="12680" stopIfTrue="1" operator="equal">
      <formula>"Napkin Hs"</formula>
    </cfRule>
  </conditionalFormatting>
  <conditionalFormatting sqref="C22">
    <cfRule type="cellIs" dxfId="9060" priority="12679" stopIfTrue="1" operator="equal">
      <formula>"Towel"</formula>
    </cfRule>
  </conditionalFormatting>
  <conditionalFormatting sqref="C22">
    <cfRule type="cellIs" dxfId="9059" priority="12677" stopIfTrue="1" operator="equal">
      <formula>"Towel"</formula>
    </cfRule>
    <cfRule type="cellIs" dxfId="9058" priority="12678" stopIfTrue="1" operator="equal">
      <formula>"Napkin Hs"</formula>
    </cfRule>
  </conditionalFormatting>
  <conditionalFormatting sqref="B22:C22">
    <cfRule type="cellIs" dxfId="9057" priority="12676" stopIfTrue="1" operator="equal">
      <formula>"Napkin Hs"</formula>
    </cfRule>
  </conditionalFormatting>
  <conditionalFormatting sqref="B22:C22">
    <cfRule type="cellIs" dxfId="9056" priority="12675" stopIfTrue="1" operator="equal">
      <formula>"Towel"</formula>
    </cfRule>
  </conditionalFormatting>
  <conditionalFormatting sqref="C22">
    <cfRule type="cellIs" dxfId="9055" priority="12674" stopIfTrue="1" operator="equal">
      <formula>"Napkin Hs"</formula>
    </cfRule>
  </conditionalFormatting>
  <conditionalFormatting sqref="C22">
    <cfRule type="cellIs" dxfId="9054" priority="12671" stopIfTrue="1" operator="equal">
      <formula>"Towel"</formula>
    </cfRule>
    <cfRule type="cellIs" dxfId="9053" priority="12672" stopIfTrue="1" operator="equal">
      <formula>"Napkin Hs"</formula>
    </cfRule>
  </conditionalFormatting>
  <conditionalFormatting sqref="C22">
    <cfRule type="cellIs" dxfId="9052" priority="12673" stopIfTrue="1" operator="equal">
      <formula>"Towel"</formula>
    </cfRule>
  </conditionalFormatting>
  <conditionalFormatting sqref="B22:C22">
    <cfRule type="cellIs" dxfId="9051" priority="12670" stopIfTrue="1" operator="equal">
      <formula>"Napkin Hs"</formula>
    </cfRule>
  </conditionalFormatting>
  <conditionalFormatting sqref="B22:C22">
    <cfRule type="cellIs" dxfId="9050" priority="12669" stopIfTrue="1" operator="equal">
      <formula>"Towel"</formula>
    </cfRule>
  </conditionalFormatting>
  <conditionalFormatting sqref="C22">
    <cfRule type="cellIs" dxfId="9049" priority="12668" stopIfTrue="1" operator="equal">
      <formula>"Napkin Hs"</formula>
    </cfRule>
  </conditionalFormatting>
  <conditionalFormatting sqref="C22">
    <cfRule type="cellIs" dxfId="9048" priority="12665" stopIfTrue="1" operator="equal">
      <formula>"Towel"</formula>
    </cfRule>
    <cfRule type="cellIs" dxfId="9047" priority="12666" stopIfTrue="1" operator="equal">
      <formula>"Napkin Hs"</formula>
    </cfRule>
  </conditionalFormatting>
  <conditionalFormatting sqref="C22">
    <cfRule type="cellIs" dxfId="9046" priority="12667" stopIfTrue="1" operator="equal">
      <formula>"Towel"</formula>
    </cfRule>
  </conditionalFormatting>
  <conditionalFormatting sqref="B22:C22">
    <cfRule type="cellIs" dxfId="9045" priority="12664" stopIfTrue="1" operator="equal">
      <formula>"Napkin Hs"</formula>
    </cfRule>
  </conditionalFormatting>
  <conditionalFormatting sqref="B22:C22">
    <cfRule type="cellIs" dxfId="9044" priority="12663" stopIfTrue="1" operator="equal">
      <formula>"Towel"</formula>
    </cfRule>
  </conditionalFormatting>
  <conditionalFormatting sqref="C22">
    <cfRule type="cellIs" dxfId="9043" priority="12662" stopIfTrue="1" operator="equal">
      <formula>"Napkin Hs"</formula>
    </cfRule>
  </conditionalFormatting>
  <conditionalFormatting sqref="C22">
    <cfRule type="cellIs" dxfId="9042" priority="12659" stopIfTrue="1" operator="equal">
      <formula>"Towel"</formula>
    </cfRule>
    <cfRule type="cellIs" dxfId="9041" priority="12660" stopIfTrue="1" operator="equal">
      <formula>"Napkin Hs"</formula>
    </cfRule>
  </conditionalFormatting>
  <conditionalFormatting sqref="C22">
    <cfRule type="cellIs" dxfId="9040" priority="12661" stopIfTrue="1" operator="equal">
      <formula>"Towel"</formula>
    </cfRule>
  </conditionalFormatting>
  <conditionalFormatting sqref="B22:C22">
    <cfRule type="cellIs" dxfId="9039" priority="12658" stopIfTrue="1" operator="equal">
      <formula>"Napkin Hs"</formula>
    </cfRule>
  </conditionalFormatting>
  <conditionalFormatting sqref="B22:C22">
    <cfRule type="cellIs" dxfId="9038" priority="12657" stopIfTrue="1" operator="equal">
      <formula>"Towel"</formula>
    </cfRule>
  </conditionalFormatting>
  <conditionalFormatting sqref="C22">
    <cfRule type="cellIs" dxfId="9037" priority="12656" stopIfTrue="1" operator="equal">
      <formula>"Napkin Hs"</formula>
    </cfRule>
  </conditionalFormatting>
  <conditionalFormatting sqref="C22">
    <cfRule type="cellIs" dxfId="9036" priority="12653" stopIfTrue="1" operator="equal">
      <formula>"Towel"</formula>
    </cfRule>
    <cfRule type="cellIs" dxfId="9035" priority="12654" stopIfTrue="1" operator="equal">
      <formula>"Napkin Hs"</formula>
    </cfRule>
  </conditionalFormatting>
  <conditionalFormatting sqref="C22">
    <cfRule type="cellIs" dxfId="9034" priority="12655" stopIfTrue="1" operator="equal">
      <formula>"Towel"</formula>
    </cfRule>
  </conditionalFormatting>
  <conditionalFormatting sqref="B26:C26 B34:C34">
    <cfRule type="cellIs" dxfId="9033" priority="12030" stopIfTrue="1" operator="equal">
      <formula>"Napkin Hs"</formula>
    </cfRule>
  </conditionalFormatting>
  <conditionalFormatting sqref="B26:C26 B34:C34">
    <cfRule type="cellIs" dxfId="9032" priority="12029" stopIfTrue="1" operator="equal">
      <formula>"Towel"</formula>
    </cfRule>
  </conditionalFormatting>
  <conditionalFormatting sqref="C26 C34">
    <cfRule type="cellIs" dxfId="9031" priority="12028" stopIfTrue="1" operator="equal">
      <formula>"Napkin Hs"</formula>
    </cfRule>
  </conditionalFormatting>
  <conditionalFormatting sqref="C26 C34">
    <cfRule type="cellIs" dxfId="9030" priority="12027" stopIfTrue="1" operator="equal">
      <formula>"Towel"</formula>
    </cfRule>
  </conditionalFormatting>
  <conditionalFormatting sqref="C26">
    <cfRule type="cellIs" dxfId="9029" priority="12025" stopIfTrue="1" operator="equal">
      <formula>"Towel"</formula>
    </cfRule>
    <cfRule type="cellIs" dxfId="9028" priority="12026" stopIfTrue="1" operator="equal">
      <formula>"Napkin Hs"</formula>
    </cfRule>
  </conditionalFormatting>
  <conditionalFormatting sqref="C34">
    <cfRule type="cellIs" dxfId="9027" priority="12023" stopIfTrue="1" operator="equal">
      <formula>"Towel"</formula>
    </cfRule>
    <cfRule type="cellIs" dxfId="9026" priority="12024" stopIfTrue="1" operator="equal">
      <formula>"Napkin Hs"</formula>
    </cfRule>
  </conditionalFormatting>
  <conditionalFormatting sqref="B29:C29">
    <cfRule type="cellIs" dxfId="9025" priority="12022" stopIfTrue="1" operator="equal">
      <formula>"Napkin Hs"</formula>
    </cfRule>
  </conditionalFormatting>
  <conditionalFormatting sqref="B29:C29">
    <cfRule type="cellIs" dxfId="9024" priority="12021" stopIfTrue="1" operator="equal">
      <formula>"Towel"</formula>
    </cfRule>
  </conditionalFormatting>
  <conditionalFormatting sqref="C29">
    <cfRule type="cellIs" dxfId="9023" priority="12020" stopIfTrue="1" operator="equal">
      <formula>"Napkin Hs"</formula>
    </cfRule>
  </conditionalFormatting>
  <conditionalFormatting sqref="C29">
    <cfRule type="cellIs" dxfId="9022" priority="12017" stopIfTrue="1" operator="equal">
      <formula>"Towel"</formula>
    </cfRule>
    <cfRule type="cellIs" dxfId="9021" priority="12018" stopIfTrue="1" operator="equal">
      <formula>"Napkin Hs"</formula>
    </cfRule>
  </conditionalFormatting>
  <conditionalFormatting sqref="C29">
    <cfRule type="cellIs" dxfId="9020" priority="12019" stopIfTrue="1" operator="equal">
      <formula>"Towel"</formula>
    </cfRule>
  </conditionalFormatting>
  <conditionalFormatting sqref="B27:C27">
    <cfRule type="cellIs" dxfId="9019" priority="12016" stopIfTrue="1" operator="equal">
      <formula>"Napkin Hs"</formula>
    </cfRule>
  </conditionalFormatting>
  <conditionalFormatting sqref="B27:C27">
    <cfRule type="cellIs" dxfId="9018" priority="12015" stopIfTrue="1" operator="equal">
      <formula>"Towel"</formula>
    </cfRule>
  </conditionalFormatting>
  <conditionalFormatting sqref="C27">
    <cfRule type="cellIs" dxfId="9017" priority="12014" stopIfTrue="1" operator="equal">
      <formula>"Napkin Hs"</formula>
    </cfRule>
  </conditionalFormatting>
  <conditionalFormatting sqref="C27">
    <cfRule type="cellIs" dxfId="9016" priority="12011" stopIfTrue="1" operator="equal">
      <formula>"Towel"</formula>
    </cfRule>
    <cfRule type="cellIs" dxfId="9015" priority="12012" stopIfTrue="1" operator="equal">
      <formula>"Napkin Hs"</formula>
    </cfRule>
  </conditionalFormatting>
  <conditionalFormatting sqref="C27">
    <cfRule type="cellIs" dxfId="9014" priority="12013" stopIfTrue="1" operator="equal">
      <formula>"Towel"</formula>
    </cfRule>
  </conditionalFormatting>
  <conditionalFormatting sqref="C34">
    <cfRule type="cellIs" dxfId="9013" priority="12009" stopIfTrue="1" operator="equal">
      <formula>"Towel"</formula>
    </cfRule>
    <cfRule type="cellIs" dxfId="9012" priority="12010" stopIfTrue="1" operator="equal">
      <formula>"Napkin Hs"</formula>
    </cfRule>
  </conditionalFormatting>
  <conditionalFormatting sqref="B29:C29">
    <cfRule type="cellIs" dxfId="9011" priority="12008" stopIfTrue="1" operator="equal">
      <formula>"Napkin Hs"</formula>
    </cfRule>
  </conditionalFormatting>
  <conditionalFormatting sqref="B29:C29">
    <cfRule type="cellIs" dxfId="9010" priority="12007" stopIfTrue="1" operator="equal">
      <formula>"Towel"</formula>
    </cfRule>
  </conditionalFormatting>
  <conditionalFormatting sqref="C29">
    <cfRule type="cellIs" dxfId="9009" priority="12006" stopIfTrue="1" operator="equal">
      <formula>"Napkin Hs"</formula>
    </cfRule>
  </conditionalFormatting>
  <conditionalFormatting sqref="C29">
    <cfRule type="cellIs" dxfId="9008" priority="12005" stopIfTrue="1" operator="equal">
      <formula>"Towel"</formula>
    </cfRule>
  </conditionalFormatting>
  <conditionalFormatting sqref="C29">
    <cfRule type="cellIs" dxfId="9007" priority="12003" stopIfTrue="1" operator="equal">
      <formula>"Towel"</formula>
    </cfRule>
    <cfRule type="cellIs" dxfId="9006" priority="12004" stopIfTrue="1" operator="equal">
      <formula>"Napkin Hs"</formula>
    </cfRule>
  </conditionalFormatting>
  <conditionalFormatting sqref="B27:C27">
    <cfRule type="cellIs" dxfId="9005" priority="12002" stopIfTrue="1" operator="equal">
      <formula>"Napkin Hs"</formula>
    </cfRule>
  </conditionalFormatting>
  <conditionalFormatting sqref="B27:C27">
    <cfRule type="cellIs" dxfId="9004" priority="12001" stopIfTrue="1" operator="equal">
      <formula>"Towel"</formula>
    </cfRule>
  </conditionalFormatting>
  <conditionalFormatting sqref="C27">
    <cfRule type="cellIs" dxfId="9003" priority="12000" stopIfTrue="1" operator="equal">
      <formula>"Napkin Hs"</formula>
    </cfRule>
  </conditionalFormatting>
  <conditionalFormatting sqref="C27">
    <cfRule type="cellIs" dxfId="9002" priority="11997" stopIfTrue="1" operator="equal">
      <formula>"Towel"</formula>
    </cfRule>
    <cfRule type="cellIs" dxfId="9001" priority="11998" stopIfTrue="1" operator="equal">
      <formula>"Napkin Hs"</formula>
    </cfRule>
  </conditionalFormatting>
  <conditionalFormatting sqref="C27">
    <cfRule type="cellIs" dxfId="9000" priority="11999" stopIfTrue="1" operator="equal">
      <formula>"Towel"</formula>
    </cfRule>
  </conditionalFormatting>
  <conditionalFormatting sqref="B26:C26">
    <cfRule type="cellIs" dxfId="8999" priority="11996" stopIfTrue="1" operator="equal">
      <formula>"Napkin Hs"</formula>
    </cfRule>
  </conditionalFormatting>
  <conditionalFormatting sqref="B26:C26">
    <cfRule type="cellIs" dxfId="8998" priority="11995" stopIfTrue="1" operator="equal">
      <formula>"Towel"</formula>
    </cfRule>
  </conditionalFormatting>
  <conditionalFormatting sqref="C26">
    <cfRule type="cellIs" dxfId="8997" priority="11994" stopIfTrue="1" operator="equal">
      <formula>"Napkin Hs"</formula>
    </cfRule>
  </conditionalFormatting>
  <conditionalFormatting sqref="C26">
    <cfRule type="cellIs" dxfId="8996" priority="11991" stopIfTrue="1" operator="equal">
      <formula>"Towel"</formula>
    </cfRule>
    <cfRule type="cellIs" dxfId="8995" priority="11992" stopIfTrue="1" operator="equal">
      <formula>"Napkin Hs"</formula>
    </cfRule>
  </conditionalFormatting>
  <conditionalFormatting sqref="C26">
    <cfRule type="cellIs" dxfId="8994" priority="11993" stopIfTrue="1" operator="equal">
      <formula>"Towel"</formula>
    </cfRule>
  </conditionalFormatting>
  <conditionalFormatting sqref="B28:C28">
    <cfRule type="cellIs" dxfId="8993" priority="11990" stopIfTrue="1" operator="equal">
      <formula>"Napkin Hs"</formula>
    </cfRule>
  </conditionalFormatting>
  <conditionalFormatting sqref="B28:C28">
    <cfRule type="cellIs" dxfId="8992" priority="11989" stopIfTrue="1" operator="equal">
      <formula>"Towel"</formula>
    </cfRule>
  </conditionalFormatting>
  <conditionalFormatting sqref="C28">
    <cfRule type="cellIs" dxfId="8991" priority="11988" stopIfTrue="1" operator="equal">
      <formula>"Napkin Hs"</formula>
    </cfRule>
  </conditionalFormatting>
  <conditionalFormatting sqref="C28">
    <cfRule type="cellIs" dxfId="8990" priority="11985" stopIfTrue="1" operator="equal">
      <formula>"Towel"</formula>
    </cfRule>
    <cfRule type="cellIs" dxfId="8989" priority="11986" stopIfTrue="1" operator="equal">
      <formula>"Napkin Hs"</formula>
    </cfRule>
  </conditionalFormatting>
  <conditionalFormatting sqref="C28">
    <cfRule type="cellIs" dxfId="8988" priority="11987" stopIfTrue="1" operator="equal">
      <formula>"Towel"</formula>
    </cfRule>
  </conditionalFormatting>
  <conditionalFormatting sqref="B28:C28">
    <cfRule type="cellIs" dxfId="8987" priority="11984" stopIfTrue="1" operator="equal">
      <formula>"Napkin Hs"</formula>
    </cfRule>
  </conditionalFormatting>
  <conditionalFormatting sqref="B28:C28">
    <cfRule type="cellIs" dxfId="8986" priority="11983" stopIfTrue="1" operator="equal">
      <formula>"Towel"</formula>
    </cfRule>
  </conditionalFormatting>
  <conditionalFormatting sqref="C28">
    <cfRule type="cellIs" dxfId="8985" priority="11982" stopIfTrue="1" operator="equal">
      <formula>"Napkin Hs"</formula>
    </cfRule>
  </conditionalFormatting>
  <conditionalFormatting sqref="C28">
    <cfRule type="cellIs" dxfId="8984" priority="11979" stopIfTrue="1" operator="equal">
      <formula>"Towel"</formula>
    </cfRule>
    <cfRule type="cellIs" dxfId="8983" priority="11980" stopIfTrue="1" operator="equal">
      <formula>"Napkin Hs"</formula>
    </cfRule>
  </conditionalFormatting>
  <conditionalFormatting sqref="C28">
    <cfRule type="cellIs" dxfId="8982" priority="11981" stopIfTrue="1" operator="equal">
      <formula>"Towel"</formula>
    </cfRule>
  </conditionalFormatting>
  <conditionalFormatting sqref="B30:C30">
    <cfRule type="cellIs" dxfId="8981" priority="11978" stopIfTrue="1" operator="equal">
      <formula>"Napkin Hs"</formula>
    </cfRule>
  </conditionalFormatting>
  <conditionalFormatting sqref="B30:C30">
    <cfRule type="cellIs" dxfId="8980" priority="11977" stopIfTrue="1" operator="equal">
      <formula>"Towel"</formula>
    </cfRule>
  </conditionalFormatting>
  <conditionalFormatting sqref="C30">
    <cfRule type="cellIs" dxfId="8979" priority="11976" stopIfTrue="1" operator="equal">
      <formula>"Napkin Hs"</formula>
    </cfRule>
  </conditionalFormatting>
  <conditionalFormatting sqref="C30">
    <cfRule type="cellIs" dxfId="8978" priority="11975" stopIfTrue="1" operator="equal">
      <formula>"Towel"</formula>
    </cfRule>
  </conditionalFormatting>
  <conditionalFormatting sqref="C30">
    <cfRule type="cellIs" dxfId="8977" priority="11973" stopIfTrue="1" operator="equal">
      <formula>"Towel"</formula>
    </cfRule>
    <cfRule type="cellIs" dxfId="8976" priority="11974" stopIfTrue="1" operator="equal">
      <formula>"Napkin Hs"</formula>
    </cfRule>
  </conditionalFormatting>
  <conditionalFormatting sqref="B32:C32">
    <cfRule type="cellIs" dxfId="8975" priority="11972" stopIfTrue="1" operator="equal">
      <formula>"Napkin Hs"</formula>
    </cfRule>
  </conditionalFormatting>
  <conditionalFormatting sqref="B32:C32">
    <cfRule type="cellIs" dxfId="8974" priority="11971" stopIfTrue="1" operator="equal">
      <formula>"Towel"</formula>
    </cfRule>
  </conditionalFormatting>
  <conditionalFormatting sqref="C32">
    <cfRule type="cellIs" dxfId="8973" priority="11970" stopIfTrue="1" operator="equal">
      <formula>"Napkin Hs"</formula>
    </cfRule>
  </conditionalFormatting>
  <conditionalFormatting sqref="C32">
    <cfRule type="cellIs" dxfId="8972" priority="11967" stopIfTrue="1" operator="equal">
      <formula>"Towel"</formula>
    </cfRule>
    <cfRule type="cellIs" dxfId="8971" priority="11968" stopIfTrue="1" operator="equal">
      <formula>"Napkin Hs"</formula>
    </cfRule>
  </conditionalFormatting>
  <conditionalFormatting sqref="C32">
    <cfRule type="cellIs" dxfId="8970" priority="11969" stopIfTrue="1" operator="equal">
      <formula>"Towel"</formula>
    </cfRule>
  </conditionalFormatting>
  <conditionalFormatting sqref="B32:C32">
    <cfRule type="cellIs" dxfId="8969" priority="11966" stopIfTrue="1" operator="equal">
      <formula>"Napkin Hs"</formula>
    </cfRule>
  </conditionalFormatting>
  <conditionalFormatting sqref="B32:C32">
    <cfRule type="cellIs" dxfId="8968" priority="11965" stopIfTrue="1" operator="equal">
      <formula>"Towel"</formula>
    </cfRule>
  </conditionalFormatting>
  <conditionalFormatting sqref="C32">
    <cfRule type="cellIs" dxfId="8967" priority="11964" stopIfTrue="1" operator="equal">
      <formula>"Napkin Hs"</formula>
    </cfRule>
  </conditionalFormatting>
  <conditionalFormatting sqref="C32">
    <cfRule type="cellIs" dxfId="8966" priority="11961" stopIfTrue="1" operator="equal">
      <formula>"Towel"</formula>
    </cfRule>
    <cfRule type="cellIs" dxfId="8965" priority="11962" stopIfTrue="1" operator="equal">
      <formula>"Napkin Hs"</formula>
    </cfRule>
  </conditionalFormatting>
  <conditionalFormatting sqref="C32">
    <cfRule type="cellIs" dxfId="8964" priority="11963" stopIfTrue="1" operator="equal">
      <formula>"Towel"</formula>
    </cfRule>
  </conditionalFormatting>
  <conditionalFormatting sqref="B30:C30">
    <cfRule type="cellIs" dxfId="8963" priority="11960" stopIfTrue="1" operator="equal">
      <formula>"Napkin Hs"</formula>
    </cfRule>
  </conditionalFormatting>
  <conditionalFormatting sqref="B30:C30">
    <cfRule type="cellIs" dxfId="8962" priority="11959" stopIfTrue="1" operator="equal">
      <formula>"Towel"</formula>
    </cfRule>
  </conditionalFormatting>
  <conditionalFormatting sqref="C30">
    <cfRule type="cellIs" dxfId="8961" priority="11958" stopIfTrue="1" operator="equal">
      <formula>"Napkin Hs"</formula>
    </cfRule>
  </conditionalFormatting>
  <conditionalFormatting sqref="C30">
    <cfRule type="cellIs" dxfId="8960" priority="11955" stopIfTrue="1" operator="equal">
      <formula>"Towel"</formula>
    </cfRule>
    <cfRule type="cellIs" dxfId="8959" priority="11956" stopIfTrue="1" operator="equal">
      <formula>"Napkin Hs"</formula>
    </cfRule>
  </conditionalFormatting>
  <conditionalFormatting sqref="C30">
    <cfRule type="cellIs" dxfId="8958" priority="11957" stopIfTrue="1" operator="equal">
      <formula>"Towel"</formula>
    </cfRule>
  </conditionalFormatting>
  <conditionalFormatting sqref="B33:C33">
    <cfRule type="cellIs" dxfId="8957" priority="11954" stopIfTrue="1" operator="equal">
      <formula>"Napkin Hs"</formula>
    </cfRule>
  </conditionalFormatting>
  <conditionalFormatting sqref="B33:C33">
    <cfRule type="cellIs" dxfId="8956" priority="11953" stopIfTrue="1" operator="equal">
      <formula>"Towel"</formula>
    </cfRule>
  </conditionalFormatting>
  <conditionalFormatting sqref="C33">
    <cfRule type="cellIs" dxfId="8955" priority="11952" stopIfTrue="1" operator="equal">
      <formula>"Napkin Hs"</formula>
    </cfRule>
  </conditionalFormatting>
  <conditionalFormatting sqref="C33">
    <cfRule type="cellIs" dxfId="8954" priority="11949" stopIfTrue="1" operator="equal">
      <formula>"Towel"</formula>
    </cfRule>
    <cfRule type="cellIs" dxfId="8953" priority="11950" stopIfTrue="1" operator="equal">
      <formula>"Napkin Hs"</formula>
    </cfRule>
  </conditionalFormatting>
  <conditionalFormatting sqref="C33">
    <cfRule type="cellIs" dxfId="8952" priority="11951" stopIfTrue="1" operator="equal">
      <formula>"Towel"</formula>
    </cfRule>
  </conditionalFormatting>
  <conditionalFormatting sqref="B33:C33">
    <cfRule type="cellIs" dxfId="8951" priority="11948" stopIfTrue="1" operator="equal">
      <formula>"Napkin Hs"</formula>
    </cfRule>
  </conditionalFormatting>
  <conditionalFormatting sqref="B33:C33">
    <cfRule type="cellIs" dxfId="8950" priority="11947" stopIfTrue="1" operator="equal">
      <formula>"Towel"</formula>
    </cfRule>
  </conditionalFormatting>
  <conditionalFormatting sqref="C33">
    <cfRule type="cellIs" dxfId="8949" priority="11946" stopIfTrue="1" operator="equal">
      <formula>"Napkin Hs"</formula>
    </cfRule>
  </conditionalFormatting>
  <conditionalFormatting sqref="C33">
    <cfRule type="cellIs" dxfId="8948" priority="11943" stopIfTrue="1" operator="equal">
      <formula>"Towel"</formula>
    </cfRule>
    <cfRule type="cellIs" dxfId="8947" priority="11944" stopIfTrue="1" operator="equal">
      <formula>"Napkin Hs"</formula>
    </cfRule>
  </conditionalFormatting>
  <conditionalFormatting sqref="C33">
    <cfRule type="cellIs" dxfId="8946" priority="11945" stopIfTrue="1" operator="equal">
      <formula>"Towel"</formula>
    </cfRule>
  </conditionalFormatting>
  <conditionalFormatting sqref="B31:C31">
    <cfRule type="cellIs" dxfId="8945" priority="11942" stopIfTrue="1" operator="equal">
      <formula>"Napkin Hs"</formula>
    </cfRule>
  </conditionalFormatting>
  <conditionalFormatting sqref="B31:C31">
    <cfRule type="cellIs" dxfId="8944" priority="11941" stopIfTrue="1" operator="equal">
      <formula>"Towel"</formula>
    </cfRule>
  </conditionalFormatting>
  <conditionalFormatting sqref="C31">
    <cfRule type="cellIs" dxfId="8943" priority="11940" stopIfTrue="1" operator="equal">
      <formula>"Napkin Hs"</formula>
    </cfRule>
  </conditionalFormatting>
  <conditionalFormatting sqref="C31">
    <cfRule type="cellIs" dxfId="8942" priority="11937" stopIfTrue="1" operator="equal">
      <formula>"Towel"</formula>
    </cfRule>
    <cfRule type="cellIs" dxfId="8941" priority="11938" stopIfTrue="1" operator="equal">
      <formula>"Napkin Hs"</formula>
    </cfRule>
  </conditionalFormatting>
  <conditionalFormatting sqref="C31">
    <cfRule type="cellIs" dxfId="8940" priority="11939" stopIfTrue="1" operator="equal">
      <formula>"Towel"</formula>
    </cfRule>
  </conditionalFormatting>
  <conditionalFormatting sqref="B29:C30">
    <cfRule type="cellIs" dxfId="8939" priority="11936" stopIfTrue="1" operator="equal">
      <formula>"Napkin Hs"</formula>
    </cfRule>
  </conditionalFormatting>
  <conditionalFormatting sqref="B29:C30">
    <cfRule type="cellIs" dxfId="8938" priority="11935" stopIfTrue="1" operator="equal">
      <formula>"Towel"</formula>
    </cfRule>
  </conditionalFormatting>
  <conditionalFormatting sqref="C29:C30">
    <cfRule type="cellIs" dxfId="8937" priority="11934" stopIfTrue="1" operator="equal">
      <formula>"Napkin Hs"</formula>
    </cfRule>
  </conditionalFormatting>
  <conditionalFormatting sqref="C29:C30">
    <cfRule type="cellIs" dxfId="8936" priority="11933" stopIfTrue="1" operator="equal">
      <formula>"Towel"</formula>
    </cfRule>
  </conditionalFormatting>
  <conditionalFormatting sqref="C29:C30">
    <cfRule type="cellIs" dxfId="8935" priority="11931" stopIfTrue="1" operator="equal">
      <formula>"Towel"</formula>
    </cfRule>
    <cfRule type="cellIs" dxfId="8934" priority="11932" stopIfTrue="1" operator="equal">
      <formula>"Napkin Hs"</formula>
    </cfRule>
  </conditionalFormatting>
  <conditionalFormatting sqref="B30:C30">
    <cfRule type="cellIs" dxfId="8933" priority="11930" stopIfTrue="1" operator="equal">
      <formula>"Napkin Hs"</formula>
    </cfRule>
  </conditionalFormatting>
  <conditionalFormatting sqref="B30:C30">
    <cfRule type="cellIs" dxfId="8932" priority="11929" stopIfTrue="1" operator="equal">
      <formula>"Towel"</formula>
    </cfRule>
  </conditionalFormatting>
  <conditionalFormatting sqref="C30">
    <cfRule type="cellIs" dxfId="8931" priority="11928" stopIfTrue="1" operator="equal">
      <formula>"Napkin Hs"</formula>
    </cfRule>
  </conditionalFormatting>
  <conditionalFormatting sqref="C30">
    <cfRule type="cellIs" dxfId="8930" priority="11925" stopIfTrue="1" operator="equal">
      <formula>"Towel"</formula>
    </cfRule>
    <cfRule type="cellIs" dxfId="8929" priority="11926" stopIfTrue="1" operator="equal">
      <formula>"Napkin Hs"</formula>
    </cfRule>
  </conditionalFormatting>
  <conditionalFormatting sqref="C30">
    <cfRule type="cellIs" dxfId="8928" priority="11927" stopIfTrue="1" operator="equal">
      <formula>"Towel"</formula>
    </cfRule>
  </conditionalFormatting>
  <conditionalFormatting sqref="B29:C29">
    <cfRule type="cellIs" dxfId="8927" priority="11924" stopIfTrue="1" operator="equal">
      <formula>"Napkin Hs"</formula>
    </cfRule>
  </conditionalFormatting>
  <conditionalFormatting sqref="B29:C29">
    <cfRule type="cellIs" dxfId="8926" priority="11923" stopIfTrue="1" operator="equal">
      <formula>"Towel"</formula>
    </cfRule>
  </conditionalFormatting>
  <conditionalFormatting sqref="C29">
    <cfRule type="cellIs" dxfId="8925" priority="11922" stopIfTrue="1" operator="equal">
      <formula>"Napkin Hs"</formula>
    </cfRule>
  </conditionalFormatting>
  <conditionalFormatting sqref="C29">
    <cfRule type="cellIs" dxfId="8924" priority="11919" stopIfTrue="1" operator="equal">
      <formula>"Towel"</formula>
    </cfRule>
    <cfRule type="cellIs" dxfId="8923" priority="11920" stopIfTrue="1" operator="equal">
      <formula>"Napkin Hs"</formula>
    </cfRule>
  </conditionalFormatting>
  <conditionalFormatting sqref="C29">
    <cfRule type="cellIs" dxfId="8922" priority="11921" stopIfTrue="1" operator="equal">
      <formula>"Towel"</formula>
    </cfRule>
  </conditionalFormatting>
  <conditionalFormatting sqref="B28:C28">
    <cfRule type="cellIs" dxfId="8921" priority="11918" stopIfTrue="1" operator="equal">
      <formula>"Napkin Hs"</formula>
    </cfRule>
  </conditionalFormatting>
  <conditionalFormatting sqref="B28:C28">
    <cfRule type="cellIs" dxfId="8920" priority="11917" stopIfTrue="1" operator="equal">
      <formula>"Towel"</formula>
    </cfRule>
  </conditionalFormatting>
  <conditionalFormatting sqref="C28">
    <cfRule type="cellIs" dxfId="8919" priority="11916" stopIfTrue="1" operator="equal">
      <formula>"Napkin Hs"</formula>
    </cfRule>
  </conditionalFormatting>
  <conditionalFormatting sqref="C28">
    <cfRule type="cellIs" dxfId="8918" priority="11913" stopIfTrue="1" operator="equal">
      <formula>"Towel"</formula>
    </cfRule>
    <cfRule type="cellIs" dxfId="8917" priority="11914" stopIfTrue="1" operator="equal">
      <formula>"Napkin Hs"</formula>
    </cfRule>
  </conditionalFormatting>
  <conditionalFormatting sqref="C28">
    <cfRule type="cellIs" dxfId="8916" priority="11915" stopIfTrue="1" operator="equal">
      <formula>"Towel"</formula>
    </cfRule>
  </conditionalFormatting>
  <conditionalFormatting sqref="B27:C27">
    <cfRule type="cellIs" dxfId="8915" priority="11912" stopIfTrue="1" operator="equal">
      <formula>"Napkin Hs"</formula>
    </cfRule>
  </conditionalFormatting>
  <conditionalFormatting sqref="B27:C27">
    <cfRule type="cellIs" dxfId="8914" priority="11911" stopIfTrue="1" operator="equal">
      <formula>"Towel"</formula>
    </cfRule>
  </conditionalFormatting>
  <conditionalFormatting sqref="C27">
    <cfRule type="cellIs" dxfId="8913" priority="11910" stopIfTrue="1" operator="equal">
      <formula>"Napkin Hs"</formula>
    </cfRule>
  </conditionalFormatting>
  <conditionalFormatting sqref="C27">
    <cfRule type="cellIs" dxfId="8912" priority="11909" stopIfTrue="1" operator="equal">
      <formula>"Towel"</formula>
    </cfRule>
  </conditionalFormatting>
  <conditionalFormatting sqref="C27">
    <cfRule type="cellIs" dxfId="8911" priority="11907" stopIfTrue="1" operator="equal">
      <formula>"Towel"</formula>
    </cfRule>
    <cfRule type="cellIs" dxfId="8910" priority="11908" stopIfTrue="1" operator="equal">
      <formula>"Napkin Hs"</formula>
    </cfRule>
  </conditionalFormatting>
  <conditionalFormatting sqref="B27:C27">
    <cfRule type="cellIs" dxfId="8909" priority="11906" stopIfTrue="1" operator="equal">
      <formula>"Napkin Hs"</formula>
    </cfRule>
  </conditionalFormatting>
  <conditionalFormatting sqref="B27:C27">
    <cfRule type="cellIs" dxfId="8908" priority="11905" stopIfTrue="1" operator="equal">
      <formula>"Towel"</formula>
    </cfRule>
  </conditionalFormatting>
  <conditionalFormatting sqref="C27">
    <cfRule type="cellIs" dxfId="8907" priority="11904" stopIfTrue="1" operator="equal">
      <formula>"Napkin Hs"</formula>
    </cfRule>
  </conditionalFormatting>
  <conditionalFormatting sqref="C27">
    <cfRule type="cellIs" dxfId="8906" priority="11901" stopIfTrue="1" operator="equal">
      <formula>"Towel"</formula>
    </cfRule>
    <cfRule type="cellIs" dxfId="8905" priority="11902" stopIfTrue="1" operator="equal">
      <formula>"Napkin Hs"</formula>
    </cfRule>
  </conditionalFormatting>
  <conditionalFormatting sqref="C27">
    <cfRule type="cellIs" dxfId="8904" priority="11903" stopIfTrue="1" operator="equal">
      <formula>"Towel"</formula>
    </cfRule>
  </conditionalFormatting>
  <conditionalFormatting sqref="B27:C27">
    <cfRule type="cellIs" dxfId="8903" priority="11900" stopIfTrue="1" operator="equal">
      <formula>"Napkin Hs"</formula>
    </cfRule>
  </conditionalFormatting>
  <conditionalFormatting sqref="B27:C27">
    <cfRule type="cellIs" dxfId="8902" priority="11899" stopIfTrue="1" operator="equal">
      <formula>"Towel"</formula>
    </cfRule>
  </conditionalFormatting>
  <conditionalFormatting sqref="C27">
    <cfRule type="cellIs" dxfId="8901" priority="11898" stopIfTrue="1" operator="equal">
      <formula>"Napkin Hs"</formula>
    </cfRule>
  </conditionalFormatting>
  <conditionalFormatting sqref="C27">
    <cfRule type="cellIs" dxfId="8900" priority="11895" stopIfTrue="1" operator="equal">
      <formula>"Towel"</formula>
    </cfRule>
    <cfRule type="cellIs" dxfId="8899" priority="11896" stopIfTrue="1" operator="equal">
      <formula>"Napkin Hs"</formula>
    </cfRule>
  </conditionalFormatting>
  <conditionalFormatting sqref="C27">
    <cfRule type="cellIs" dxfId="8898" priority="11897" stopIfTrue="1" operator="equal">
      <formula>"Towel"</formula>
    </cfRule>
  </conditionalFormatting>
  <conditionalFormatting sqref="B27:C27">
    <cfRule type="cellIs" dxfId="8897" priority="11894" stopIfTrue="1" operator="equal">
      <formula>"Napkin Hs"</formula>
    </cfRule>
  </conditionalFormatting>
  <conditionalFormatting sqref="B27:C27">
    <cfRule type="cellIs" dxfId="8896" priority="11893" stopIfTrue="1" operator="equal">
      <formula>"Towel"</formula>
    </cfRule>
  </conditionalFormatting>
  <conditionalFormatting sqref="C27">
    <cfRule type="cellIs" dxfId="8895" priority="11892" stopIfTrue="1" operator="equal">
      <formula>"Napkin Hs"</formula>
    </cfRule>
  </conditionalFormatting>
  <conditionalFormatting sqref="C27">
    <cfRule type="cellIs" dxfId="8894" priority="11889" stopIfTrue="1" operator="equal">
      <formula>"Towel"</formula>
    </cfRule>
    <cfRule type="cellIs" dxfId="8893" priority="11890" stopIfTrue="1" operator="equal">
      <formula>"Napkin Hs"</formula>
    </cfRule>
  </conditionalFormatting>
  <conditionalFormatting sqref="C27">
    <cfRule type="cellIs" dxfId="8892" priority="11891" stopIfTrue="1" operator="equal">
      <formula>"Towel"</formula>
    </cfRule>
  </conditionalFormatting>
  <conditionalFormatting sqref="B27:C27">
    <cfRule type="cellIs" dxfId="8891" priority="11888" stopIfTrue="1" operator="equal">
      <formula>"Napkin Hs"</formula>
    </cfRule>
  </conditionalFormatting>
  <conditionalFormatting sqref="B27:C27">
    <cfRule type="cellIs" dxfId="8890" priority="11887" stopIfTrue="1" operator="equal">
      <formula>"Towel"</formula>
    </cfRule>
  </conditionalFormatting>
  <conditionalFormatting sqref="C27">
    <cfRule type="cellIs" dxfId="8889" priority="11886" stopIfTrue="1" operator="equal">
      <formula>"Napkin Hs"</formula>
    </cfRule>
  </conditionalFormatting>
  <conditionalFormatting sqref="C27">
    <cfRule type="cellIs" dxfId="8888" priority="11883" stopIfTrue="1" operator="equal">
      <formula>"Towel"</formula>
    </cfRule>
    <cfRule type="cellIs" dxfId="8887" priority="11884" stopIfTrue="1" operator="equal">
      <formula>"Napkin Hs"</formula>
    </cfRule>
  </conditionalFormatting>
  <conditionalFormatting sqref="C27">
    <cfRule type="cellIs" dxfId="8886" priority="11885" stopIfTrue="1" operator="equal">
      <formula>"Towel"</formula>
    </cfRule>
  </conditionalFormatting>
  <conditionalFormatting sqref="B26:C26">
    <cfRule type="cellIs" dxfId="8885" priority="11882" stopIfTrue="1" operator="equal">
      <formula>"Napkin Hs"</formula>
    </cfRule>
  </conditionalFormatting>
  <conditionalFormatting sqref="B26:C26">
    <cfRule type="cellIs" dxfId="8884" priority="11881" stopIfTrue="1" operator="equal">
      <formula>"Towel"</formula>
    </cfRule>
  </conditionalFormatting>
  <conditionalFormatting sqref="C26">
    <cfRule type="cellIs" dxfId="8883" priority="11880" stopIfTrue="1" operator="equal">
      <formula>"Napkin Hs"</formula>
    </cfRule>
  </conditionalFormatting>
  <conditionalFormatting sqref="C26">
    <cfRule type="cellIs" dxfId="8882" priority="11879" stopIfTrue="1" operator="equal">
      <formula>"Towel"</formula>
    </cfRule>
  </conditionalFormatting>
  <conditionalFormatting sqref="C26">
    <cfRule type="cellIs" dxfId="8881" priority="11877" stopIfTrue="1" operator="equal">
      <formula>"Towel"</formula>
    </cfRule>
    <cfRule type="cellIs" dxfId="8880" priority="11878" stopIfTrue="1" operator="equal">
      <formula>"Napkin Hs"</formula>
    </cfRule>
  </conditionalFormatting>
  <conditionalFormatting sqref="B26:C26">
    <cfRule type="cellIs" dxfId="8879" priority="11876" stopIfTrue="1" operator="equal">
      <formula>"Napkin Hs"</formula>
    </cfRule>
  </conditionalFormatting>
  <conditionalFormatting sqref="B26:C26">
    <cfRule type="cellIs" dxfId="8878" priority="11875" stopIfTrue="1" operator="equal">
      <formula>"Towel"</formula>
    </cfRule>
  </conditionalFormatting>
  <conditionalFormatting sqref="C26">
    <cfRule type="cellIs" dxfId="8877" priority="11874" stopIfTrue="1" operator="equal">
      <formula>"Napkin Hs"</formula>
    </cfRule>
  </conditionalFormatting>
  <conditionalFormatting sqref="C26">
    <cfRule type="cellIs" dxfId="8876" priority="11871" stopIfTrue="1" operator="equal">
      <formula>"Towel"</formula>
    </cfRule>
    <cfRule type="cellIs" dxfId="8875" priority="11872" stopIfTrue="1" operator="equal">
      <formula>"Napkin Hs"</formula>
    </cfRule>
  </conditionalFormatting>
  <conditionalFormatting sqref="C26">
    <cfRule type="cellIs" dxfId="8874" priority="11873" stopIfTrue="1" operator="equal">
      <formula>"Towel"</formula>
    </cfRule>
  </conditionalFormatting>
  <conditionalFormatting sqref="B26:C26">
    <cfRule type="cellIs" dxfId="8873" priority="11870" stopIfTrue="1" operator="equal">
      <formula>"Napkin Hs"</formula>
    </cfRule>
  </conditionalFormatting>
  <conditionalFormatting sqref="B26:C26">
    <cfRule type="cellIs" dxfId="8872" priority="11869" stopIfTrue="1" operator="equal">
      <formula>"Towel"</formula>
    </cfRule>
  </conditionalFormatting>
  <conditionalFormatting sqref="C26">
    <cfRule type="cellIs" dxfId="8871" priority="11868" stopIfTrue="1" operator="equal">
      <formula>"Napkin Hs"</formula>
    </cfRule>
  </conditionalFormatting>
  <conditionalFormatting sqref="C26">
    <cfRule type="cellIs" dxfId="8870" priority="11865" stopIfTrue="1" operator="equal">
      <formula>"Towel"</formula>
    </cfRule>
    <cfRule type="cellIs" dxfId="8869" priority="11866" stopIfTrue="1" operator="equal">
      <formula>"Napkin Hs"</formula>
    </cfRule>
  </conditionalFormatting>
  <conditionalFormatting sqref="C26">
    <cfRule type="cellIs" dxfId="8868" priority="11867" stopIfTrue="1" operator="equal">
      <formula>"Towel"</formula>
    </cfRule>
  </conditionalFormatting>
  <conditionalFormatting sqref="B26:C26">
    <cfRule type="cellIs" dxfId="8867" priority="11864" stopIfTrue="1" operator="equal">
      <formula>"Napkin Hs"</formula>
    </cfRule>
  </conditionalFormatting>
  <conditionalFormatting sqref="B26:C26">
    <cfRule type="cellIs" dxfId="8866" priority="11863" stopIfTrue="1" operator="equal">
      <formula>"Towel"</formula>
    </cfRule>
  </conditionalFormatting>
  <conditionalFormatting sqref="C26">
    <cfRule type="cellIs" dxfId="8865" priority="11862" stopIfTrue="1" operator="equal">
      <formula>"Napkin Hs"</formula>
    </cfRule>
  </conditionalFormatting>
  <conditionalFormatting sqref="C26">
    <cfRule type="cellIs" dxfId="8864" priority="11859" stopIfTrue="1" operator="equal">
      <formula>"Towel"</formula>
    </cfRule>
    <cfRule type="cellIs" dxfId="8863" priority="11860" stopIfTrue="1" operator="equal">
      <formula>"Napkin Hs"</formula>
    </cfRule>
  </conditionalFormatting>
  <conditionalFormatting sqref="C26">
    <cfRule type="cellIs" dxfId="8862" priority="11861" stopIfTrue="1" operator="equal">
      <formula>"Towel"</formula>
    </cfRule>
  </conditionalFormatting>
  <conditionalFormatting sqref="B26:C26">
    <cfRule type="cellIs" dxfId="8861" priority="11858" stopIfTrue="1" operator="equal">
      <formula>"Napkin Hs"</formula>
    </cfRule>
  </conditionalFormatting>
  <conditionalFormatting sqref="B26:C26">
    <cfRule type="cellIs" dxfId="8860" priority="11857" stopIfTrue="1" operator="equal">
      <formula>"Towel"</formula>
    </cfRule>
  </conditionalFormatting>
  <conditionalFormatting sqref="C26">
    <cfRule type="cellIs" dxfId="8859" priority="11856" stopIfTrue="1" operator="equal">
      <formula>"Napkin Hs"</formula>
    </cfRule>
  </conditionalFormatting>
  <conditionalFormatting sqref="C26">
    <cfRule type="cellIs" dxfId="8858" priority="11853" stopIfTrue="1" operator="equal">
      <formula>"Towel"</formula>
    </cfRule>
    <cfRule type="cellIs" dxfId="8857" priority="11854" stopIfTrue="1" operator="equal">
      <formula>"Napkin Hs"</formula>
    </cfRule>
  </conditionalFormatting>
  <conditionalFormatting sqref="C26">
    <cfRule type="cellIs" dxfId="8856" priority="11855" stopIfTrue="1" operator="equal">
      <formula>"Towel"</formula>
    </cfRule>
  </conditionalFormatting>
  <conditionalFormatting sqref="B30:C30">
    <cfRule type="cellIs" dxfId="8855" priority="11852" stopIfTrue="1" operator="equal">
      <formula>"Napkin Hs"</formula>
    </cfRule>
  </conditionalFormatting>
  <conditionalFormatting sqref="B30:C30">
    <cfRule type="cellIs" dxfId="8854" priority="11851" stopIfTrue="1" operator="equal">
      <formula>"Towel"</formula>
    </cfRule>
  </conditionalFormatting>
  <conditionalFormatting sqref="C30">
    <cfRule type="cellIs" dxfId="8853" priority="11850" stopIfTrue="1" operator="equal">
      <formula>"Napkin Hs"</formula>
    </cfRule>
  </conditionalFormatting>
  <conditionalFormatting sqref="C30">
    <cfRule type="cellIs" dxfId="8852" priority="11849" stopIfTrue="1" operator="equal">
      <formula>"Towel"</formula>
    </cfRule>
  </conditionalFormatting>
  <conditionalFormatting sqref="C30">
    <cfRule type="cellIs" dxfId="8851" priority="11847" stopIfTrue="1" operator="equal">
      <formula>"Towel"</formula>
    </cfRule>
    <cfRule type="cellIs" dxfId="8850" priority="11848" stopIfTrue="1" operator="equal">
      <formula>"Napkin Hs"</formula>
    </cfRule>
  </conditionalFormatting>
  <conditionalFormatting sqref="B33:C33">
    <cfRule type="cellIs" dxfId="8849" priority="11846" stopIfTrue="1" operator="equal">
      <formula>"Napkin Hs"</formula>
    </cfRule>
  </conditionalFormatting>
  <conditionalFormatting sqref="B33:C33">
    <cfRule type="cellIs" dxfId="8848" priority="11845" stopIfTrue="1" operator="equal">
      <formula>"Towel"</formula>
    </cfRule>
  </conditionalFormatting>
  <conditionalFormatting sqref="C33">
    <cfRule type="cellIs" dxfId="8847" priority="11844" stopIfTrue="1" operator="equal">
      <formula>"Napkin Hs"</formula>
    </cfRule>
  </conditionalFormatting>
  <conditionalFormatting sqref="C33">
    <cfRule type="cellIs" dxfId="8846" priority="11841" stopIfTrue="1" operator="equal">
      <formula>"Towel"</formula>
    </cfRule>
    <cfRule type="cellIs" dxfId="8845" priority="11842" stopIfTrue="1" operator="equal">
      <formula>"Napkin Hs"</formula>
    </cfRule>
  </conditionalFormatting>
  <conditionalFormatting sqref="C33">
    <cfRule type="cellIs" dxfId="8844" priority="11843" stopIfTrue="1" operator="equal">
      <formula>"Towel"</formula>
    </cfRule>
  </conditionalFormatting>
  <conditionalFormatting sqref="B31:C31">
    <cfRule type="cellIs" dxfId="8843" priority="11840" stopIfTrue="1" operator="equal">
      <formula>"Napkin Hs"</formula>
    </cfRule>
  </conditionalFormatting>
  <conditionalFormatting sqref="B31:C31">
    <cfRule type="cellIs" dxfId="8842" priority="11839" stopIfTrue="1" operator="equal">
      <formula>"Towel"</formula>
    </cfRule>
  </conditionalFormatting>
  <conditionalFormatting sqref="C31">
    <cfRule type="cellIs" dxfId="8841" priority="11838" stopIfTrue="1" operator="equal">
      <formula>"Napkin Hs"</formula>
    </cfRule>
  </conditionalFormatting>
  <conditionalFormatting sqref="C31">
    <cfRule type="cellIs" dxfId="8840" priority="11835" stopIfTrue="1" operator="equal">
      <formula>"Towel"</formula>
    </cfRule>
    <cfRule type="cellIs" dxfId="8839" priority="11836" stopIfTrue="1" operator="equal">
      <formula>"Napkin Hs"</formula>
    </cfRule>
  </conditionalFormatting>
  <conditionalFormatting sqref="C31">
    <cfRule type="cellIs" dxfId="8838" priority="11837" stopIfTrue="1" operator="equal">
      <formula>"Towel"</formula>
    </cfRule>
  </conditionalFormatting>
  <conditionalFormatting sqref="B33:C33">
    <cfRule type="cellIs" dxfId="8837" priority="11834" stopIfTrue="1" operator="equal">
      <formula>"Napkin Hs"</formula>
    </cfRule>
  </conditionalFormatting>
  <conditionalFormatting sqref="B33:C33">
    <cfRule type="cellIs" dxfId="8836" priority="11833" stopIfTrue="1" operator="equal">
      <formula>"Towel"</formula>
    </cfRule>
  </conditionalFormatting>
  <conditionalFormatting sqref="C33">
    <cfRule type="cellIs" dxfId="8835" priority="11832" stopIfTrue="1" operator="equal">
      <formula>"Napkin Hs"</formula>
    </cfRule>
  </conditionalFormatting>
  <conditionalFormatting sqref="C33">
    <cfRule type="cellIs" dxfId="8834" priority="11831" stopIfTrue="1" operator="equal">
      <formula>"Towel"</formula>
    </cfRule>
  </conditionalFormatting>
  <conditionalFormatting sqref="C33">
    <cfRule type="cellIs" dxfId="8833" priority="11829" stopIfTrue="1" operator="equal">
      <formula>"Towel"</formula>
    </cfRule>
    <cfRule type="cellIs" dxfId="8832" priority="11830" stopIfTrue="1" operator="equal">
      <formula>"Napkin Hs"</formula>
    </cfRule>
  </conditionalFormatting>
  <conditionalFormatting sqref="B31:C31">
    <cfRule type="cellIs" dxfId="8831" priority="11828" stopIfTrue="1" operator="equal">
      <formula>"Napkin Hs"</formula>
    </cfRule>
  </conditionalFormatting>
  <conditionalFormatting sqref="B31:C31">
    <cfRule type="cellIs" dxfId="8830" priority="11827" stopIfTrue="1" operator="equal">
      <formula>"Towel"</formula>
    </cfRule>
  </conditionalFormatting>
  <conditionalFormatting sqref="C31">
    <cfRule type="cellIs" dxfId="8829" priority="11826" stopIfTrue="1" operator="equal">
      <formula>"Napkin Hs"</formula>
    </cfRule>
  </conditionalFormatting>
  <conditionalFormatting sqref="C31">
    <cfRule type="cellIs" dxfId="8828" priority="11823" stopIfTrue="1" operator="equal">
      <formula>"Towel"</formula>
    </cfRule>
    <cfRule type="cellIs" dxfId="8827" priority="11824" stopIfTrue="1" operator="equal">
      <formula>"Napkin Hs"</formula>
    </cfRule>
  </conditionalFormatting>
  <conditionalFormatting sqref="C31">
    <cfRule type="cellIs" dxfId="8826" priority="11825" stopIfTrue="1" operator="equal">
      <formula>"Towel"</formula>
    </cfRule>
  </conditionalFormatting>
  <conditionalFormatting sqref="B30:C30">
    <cfRule type="cellIs" dxfId="8825" priority="11822" stopIfTrue="1" operator="equal">
      <formula>"Napkin Hs"</formula>
    </cfRule>
  </conditionalFormatting>
  <conditionalFormatting sqref="B30:C30">
    <cfRule type="cellIs" dxfId="8824" priority="11821" stopIfTrue="1" operator="equal">
      <formula>"Towel"</formula>
    </cfRule>
  </conditionalFormatting>
  <conditionalFormatting sqref="C30">
    <cfRule type="cellIs" dxfId="8823" priority="11820" stopIfTrue="1" operator="equal">
      <formula>"Napkin Hs"</formula>
    </cfRule>
  </conditionalFormatting>
  <conditionalFormatting sqref="C30">
    <cfRule type="cellIs" dxfId="8822" priority="11817" stopIfTrue="1" operator="equal">
      <formula>"Towel"</formula>
    </cfRule>
    <cfRule type="cellIs" dxfId="8821" priority="11818" stopIfTrue="1" operator="equal">
      <formula>"Napkin Hs"</formula>
    </cfRule>
  </conditionalFormatting>
  <conditionalFormatting sqref="C30">
    <cfRule type="cellIs" dxfId="8820" priority="11819" stopIfTrue="1" operator="equal">
      <formula>"Towel"</formula>
    </cfRule>
  </conditionalFormatting>
  <conditionalFormatting sqref="B32:C32">
    <cfRule type="cellIs" dxfId="8819" priority="11816" stopIfTrue="1" operator="equal">
      <formula>"Napkin Hs"</formula>
    </cfRule>
  </conditionalFormatting>
  <conditionalFormatting sqref="B32:C32">
    <cfRule type="cellIs" dxfId="8818" priority="11815" stopIfTrue="1" operator="equal">
      <formula>"Towel"</formula>
    </cfRule>
  </conditionalFormatting>
  <conditionalFormatting sqref="C32">
    <cfRule type="cellIs" dxfId="8817" priority="11814" stopIfTrue="1" operator="equal">
      <formula>"Napkin Hs"</formula>
    </cfRule>
  </conditionalFormatting>
  <conditionalFormatting sqref="C32">
    <cfRule type="cellIs" dxfId="8816" priority="11811" stopIfTrue="1" operator="equal">
      <formula>"Towel"</formula>
    </cfRule>
    <cfRule type="cellIs" dxfId="8815" priority="11812" stopIfTrue="1" operator="equal">
      <formula>"Napkin Hs"</formula>
    </cfRule>
  </conditionalFormatting>
  <conditionalFormatting sqref="C32">
    <cfRule type="cellIs" dxfId="8814" priority="11813" stopIfTrue="1" operator="equal">
      <formula>"Towel"</formula>
    </cfRule>
  </conditionalFormatting>
  <conditionalFormatting sqref="B32:C32">
    <cfRule type="cellIs" dxfId="8813" priority="11810" stopIfTrue="1" operator="equal">
      <formula>"Napkin Hs"</formula>
    </cfRule>
  </conditionalFormatting>
  <conditionalFormatting sqref="B32:C32">
    <cfRule type="cellIs" dxfId="8812" priority="11809" stopIfTrue="1" operator="equal">
      <formula>"Towel"</formula>
    </cfRule>
  </conditionalFormatting>
  <conditionalFormatting sqref="C32">
    <cfRule type="cellIs" dxfId="8811" priority="11808" stopIfTrue="1" operator="equal">
      <formula>"Napkin Hs"</formula>
    </cfRule>
  </conditionalFormatting>
  <conditionalFormatting sqref="C32">
    <cfRule type="cellIs" dxfId="8810" priority="11805" stopIfTrue="1" operator="equal">
      <formula>"Towel"</formula>
    </cfRule>
    <cfRule type="cellIs" dxfId="8809" priority="11806" stopIfTrue="1" operator="equal">
      <formula>"Napkin Hs"</formula>
    </cfRule>
  </conditionalFormatting>
  <conditionalFormatting sqref="C32">
    <cfRule type="cellIs" dxfId="8808" priority="11807" stopIfTrue="1" operator="equal">
      <formula>"Towel"</formula>
    </cfRule>
  </conditionalFormatting>
  <conditionalFormatting sqref="B34:C34">
    <cfRule type="cellIs" dxfId="8807" priority="11804" stopIfTrue="1" operator="equal">
      <formula>"Napkin Hs"</formula>
    </cfRule>
  </conditionalFormatting>
  <conditionalFormatting sqref="B34:C34">
    <cfRule type="cellIs" dxfId="8806" priority="11803" stopIfTrue="1" operator="equal">
      <formula>"Towel"</formula>
    </cfRule>
  </conditionalFormatting>
  <conditionalFormatting sqref="C34">
    <cfRule type="cellIs" dxfId="8805" priority="11802" stopIfTrue="1" operator="equal">
      <formula>"Napkin Hs"</formula>
    </cfRule>
  </conditionalFormatting>
  <conditionalFormatting sqref="C34">
    <cfRule type="cellIs" dxfId="8804" priority="11801" stopIfTrue="1" operator="equal">
      <formula>"Towel"</formula>
    </cfRule>
  </conditionalFormatting>
  <conditionalFormatting sqref="C34">
    <cfRule type="cellIs" dxfId="8803" priority="11799" stopIfTrue="1" operator="equal">
      <formula>"Towel"</formula>
    </cfRule>
    <cfRule type="cellIs" dxfId="8802" priority="11800" stopIfTrue="1" operator="equal">
      <formula>"Napkin Hs"</formula>
    </cfRule>
  </conditionalFormatting>
  <conditionalFormatting sqref="B34:C34">
    <cfRule type="cellIs" dxfId="8801" priority="11798" stopIfTrue="1" operator="equal">
      <formula>"Napkin Hs"</formula>
    </cfRule>
  </conditionalFormatting>
  <conditionalFormatting sqref="B34:C34">
    <cfRule type="cellIs" dxfId="8800" priority="11797" stopIfTrue="1" operator="equal">
      <formula>"Towel"</formula>
    </cfRule>
  </conditionalFormatting>
  <conditionalFormatting sqref="C34">
    <cfRule type="cellIs" dxfId="8799" priority="11796" stopIfTrue="1" operator="equal">
      <formula>"Napkin Hs"</formula>
    </cfRule>
  </conditionalFormatting>
  <conditionalFormatting sqref="C34">
    <cfRule type="cellIs" dxfId="8798" priority="11793" stopIfTrue="1" operator="equal">
      <formula>"Towel"</formula>
    </cfRule>
    <cfRule type="cellIs" dxfId="8797" priority="11794" stopIfTrue="1" operator="equal">
      <formula>"Napkin Hs"</formula>
    </cfRule>
  </conditionalFormatting>
  <conditionalFormatting sqref="C34">
    <cfRule type="cellIs" dxfId="8796" priority="11795" stopIfTrue="1" operator="equal">
      <formula>"Towel"</formula>
    </cfRule>
  </conditionalFormatting>
  <conditionalFormatting sqref="B33:C34">
    <cfRule type="cellIs" dxfId="8795" priority="11792" stopIfTrue="1" operator="equal">
      <formula>"Napkin Hs"</formula>
    </cfRule>
  </conditionalFormatting>
  <conditionalFormatting sqref="B33:C34">
    <cfRule type="cellIs" dxfId="8794" priority="11791" stopIfTrue="1" operator="equal">
      <formula>"Towel"</formula>
    </cfRule>
  </conditionalFormatting>
  <conditionalFormatting sqref="C33:C34">
    <cfRule type="cellIs" dxfId="8793" priority="11790" stopIfTrue="1" operator="equal">
      <formula>"Napkin Hs"</formula>
    </cfRule>
  </conditionalFormatting>
  <conditionalFormatting sqref="C33:C34">
    <cfRule type="cellIs" dxfId="8792" priority="11789" stopIfTrue="1" operator="equal">
      <formula>"Towel"</formula>
    </cfRule>
  </conditionalFormatting>
  <conditionalFormatting sqref="C33:C34">
    <cfRule type="cellIs" dxfId="8791" priority="11787" stopIfTrue="1" operator="equal">
      <formula>"Towel"</formula>
    </cfRule>
    <cfRule type="cellIs" dxfId="8790" priority="11788" stopIfTrue="1" operator="equal">
      <formula>"Napkin Hs"</formula>
    </cfRule>
  </conditionalFormatting>
  <conditionalFormatting sqref="B34:C34">
    <cfRule type="cellIs" dxfId="8789" priority="11786" stopIfTrue="1" operator="equal">
      <formula>"Napkin Hs"</formula>
    </cfRule>
  </conditionalFormatting>
  <conditionalFormatting sqref="B34:C34">
    <cfRule type="cellIs" dxfId="8788" priority="11785" stopIfTrue="1" operator="equal">
      <formula>"Towel"</formula>
    </cfRule>
  </conditionalFormatting>
  <conditionalFormatting sqref="C34">
    <cfRule type="cellIs" dxfId="8787" priority="11784" stopIfTrue="1" operator="equal">
      <formula>"Napkin Hs"</formula>
    </cfRule>
  </conditionalFormatting>
  <conditionalFormatting sqref="C34">
    <cfRule type="cellIs" dxfId="8786" priority="11781" stopIfTrue="1" operator="equal">
      <formula>"Towel"</formula>
    </cfRule>
    <cfRule type="cellIs" dxfId="8785" priority="11782" stopIfTrue="1" operator="equal">
      <formula>"Napkin Hs"</formula>
    </cfRule>
  </conditionalFormatting>
  <conditionalFormatting sqref="C34">
    <cfRule type="cellIs" dxfId="8784" priority="11783" stopIfTrue="1" operator="equal">
      <formula>"Towel"</formula>
    </cfRule>
  </conditionalFormatting>
  <conditionalFormatting sqref="B33:C33">
    <cfRule type="cellIs" dxfId="8783" priority="11780" stopIfTrue="1" operator="equal">
      <formula>"Napkin Hs"</formula>
    </cfRule>
  </conditionalFormatting>
  <conditionalFormatting sqref="B33:C33">
    <cfRule type="cellIs" dxfId="8782" priority="11779" stopIfTrue="1" operator="equal">
      <formula>"Towel"</formula>
    </cfRule>
  </conditionalFormatting>
  <conditionalFormatting sqref="C33">
    <cfRule type="cellIs" dxfId="8781" priority="11778" stopIfTrue="1" operator="equal">
      <formula>"Napkin Hs"</formula>
    </cfRule>
  </conditionalFormatting>
  <conditionalFormatting sqref="C33">
    <cfRule type="cellIs" dxfId="8780" priority="11775" stopIfTrue="1" operator="equal">
      <formula>"Towel"</formula>
    </cfRule>
    <cfRule type="cellIs" dxfId="8779" priority="11776" stopIfTrue="1" operator="equal">
      <formula>"Napkin Hs"</formula>
    </cfRule>
  </conditionalFormatting>
  <conditionalFormatting sqref="C33">
    <cfRule type="cellIs" dxfId="8778" priority="11777" stopIfTrue="1" operator="equal">
      <formula>"Towel"</formula>
    </cfRule>
  </conditionalFormatting>
  <conditionalFormatting sqref="B32:C32">
    <cfRule type="cellIs" dxfId="8777" priority="11774" stopIfTrue="1" operator="equal">
      <formula>"Napkin Hs"</formula>
    </cfRule>
  </conditionalFormatting>
  <conditionalFormatting sqref="B32:C32">
    <cfRule type="cellIs" dxfId="8776" priority="11773" stopIfTrue="1" operator="equal">
      <formula>"Towel"</formula>
    </cfRule>
  </conditionalFormatting>
  <conditionalFormatting sqref="C32">
    <cfRule type="cellIs" dxfId="8775" priority="11772" stopIfTrue="1" operator="equal">
      <formula>"Napkin Hs"</formula>
    </cfRule>
  </conditionalFormatting>
  <conditionalFormatting sqref="C32">
    <cfRule type="cellIs" dxfId="8774" priority="11769" stopIfTrue="1" operator="equal">
      <formula>"Towel"</formula>
    </cfRule>
    <cfRule type="cellIs" dxfId="8773" priority="11770" stopIfTrue="1" operator="equal">
      <formula>"Napkin Hs"</formula>
    </cfRule>
  </conditionalFormatting>
  <conditionalFormatting sqref="C32">
    <cfRule type="cellIs" dxfId="8772" priority="11771" stopIfTrue="1" operator="equal">
      <formula>"Towel"</formula>
    </cfRule>
  </conditionalFormatting>
  <conditionalFormatting sqref="B31:C31">
    <cfRule type="cellIs" dxfId="8771" priority="11768" stopIfTrue="1" operator="equal">
      <formula>"Napkin Hs"</formula>
    </cfRule>
  </conditionalFormatting>
  <conditionalFormatting sqref="B31:C31">
    <cfRule type="cellIs" dxfId="8770" priority="11767" stopIfTrue="1" operator="equal">
      <formula>"Towel"</formula>
    </cfRule>
  </conditionalFormatting>
  <conditionalFormatting sqref="C31">
    <cfRule type="cellIs" dxfId="8769" priority="11766" stopIfTrue="1" operator="equal">
      <formula>"Napkin Hs"</formula>
    </cfRule>
  </conditionalFormatting>
  <conditionalFormatting sqref="C31">
    <cfRule type="cellIs" dxfId="8768" priority="11765" stopIfTrue="1" operator="equal">
      <formula>"Towel"</formula>
    </cfRule>
  </conditionalFormatting>
  <conditionalFormatting sqref="C31">
    <cfRule type="cellIs" dxfId="8767" priority="11763" stopIfTrue="1" operator="equal">
      <formula>"Towel"</formula>
    </cfRule>
    <cfRule type="cellIs" dxfId="8766" priority="11764" stopIfTrue="1" operator="equal">
      <formula>"Napkin Hs"</formula>
    </cfRule>
  </conditionalFormatting>
  <conditionalFormatting sqref="B31:C31">
    <cfRule type="cellIs" dxfId="8765" priority="11762" stopIfTrue="1" operator="equal">
      <formula>"Napkin Hs"</formula>
    </cfRule>
  </conditionalFormatting>
  <conditionalFormatting sqref="B31:C31">
    <cfRule type="cellIs" dxfId="8764" priority="11761" stopIfTrue="1" operator="equal">
      <formula>"Towel"</formula>
    </cfRule>
  </conditionalFormatting>
  <conditionalFormatting sqref="C31">
    <cfRule type="cellIs" dxfId="8763" priority="11760" stopIfTrue="1" operator="equal">
      <formula>"Napkin Hs"</formula>
    </cfRule>
  </conditionalFormatting>
  <conditionalFormatting sqref="C31">
    <cfRule type="cellIs" dxfId="8762" priority="11757" stopIfTrue="1" operator="equal">
      <formula>"Towel"</formula>
    </cfRule>
    <cfRule type="cellIs" dxfId="8761" priority="11758" stopIfTrue="1" operator="equal">
      <formula>"Napkin Hs"</formula>
    </cfRule>
  </conditionalFormatting>
  <conditionalFormatting sqref="C31">
    <cfRule type="cellIs" dxfId="8760" priority="11759" stopIfTrue="1" operator="equal">
      <formula>"Towel"</formula>
    </cfRule>
  </conditionalFormatting>
  <conditionalFormatting sqref="B31:C31">
    <cfRule type="cellIs" dxfId="8759" priority="11756" stopIfTrue="1" operator="equal">
      <formula>"Napkin Hs"</formula>
    </cfRule>
  </conditionalFormatting>
  <conditionalFormatting sqref="B31:C31">
    <cfRule type="cellIs" dxfId="8758" priority="11755" stopIfTrue="1" operator="equal">
      <formula>"Towel"</formula>
    </cfRule>
  </conditionalFormatting>
  <conditionalFormatting sqref="C31">
    <cfRule type="cellIs" dxfId="8757" priority="11754" stopIfTrue="1" operator="equal">
      <formula>"Napkin Hs"</formula>
    </cfRule>
  </conditionalFormatting>
  <conditionalFormatting sqref="C31">
    <cfRule type="cellIs" dxfId="8756" priority="11751" stopIfTrue="1" operator="equal">
      <formula>"Towel"</formula>
    </cfRule>
    <cfRule type="cellIs" dxfId="8755" priority="11752" stopIfTrue="1" operator="equal">
      <formula>"Napkin Hs"</formula>
    </cfRule>
  </conditionalFormatting>
  <conditionalFormatting sqref="C31">
    <cfRule type="cellIs" dxfId="8754" priority="11753" stopIfTrue="1" operator="equal">
      <formula>"Towel"</formula>
    </cfRule>
  </conditionalFormatting>
  <conditionalFormatting sqref="B31:C31">
    <cfRule type="cellIs" dxfId="8753" priority="11750" stopIfTrue="1" operator="equal">
      <formula>"Napkin Hs"</formula>
    </cfRule>
  </conditionalFormatting>
  <conditionalFormatting sqref="B31:C31">
    <cfRule type="cellIs" dxfId="8752" priority="11749" stopIfTrue="1" operator="equal">
      <formula>"Towel"</formula>
    </cfRule>
  </conditionalFormatting>
  <conditionalFormatting sqref="C31">
    <cfRule type="cellIs" dxfId="8751" priority="11748" stopIfTrue="1" operator="equal">
      <formula>"Napkin Hs"</formula>
    </cfRule>
  </conditionalFormatting>
  <conditionalFormatting sqref="C31">
    <cfRule type="cellIs" dxfId="8750" priority="11745" stopIfTrue="1" operator="equal">
      <formula>"Towel"</formula>
    </cfRule>
    <cfRule type="cellIs" dxfId="8749" priority="11746" stopIfTrue="1" operator="equal">
      <formula>"Napkin Hs"</formula>
    </cfRule>
  </conditionalFormatting>
  <conditionalFormatting sqref="C31">
    <cfRule type="cellIs" dxfId="8748" priority="11747" stopIfTrue="1" operator="equal">
      <formula>"Towel"</formula>
    </cfRule>
  </conditionalFormatting>
  <conditionalFormatting sqref="B31:C31">
    <cfRule type="cellIs" dxfId="8747" priority="11744" stopIfTrue="1" operator="equal">
      <formula>"Napkin Hs"</formula>
    </cfRule>
  </conditionalFormatting>
  <conditionalFormatting sqref="B31:C31">
    <cfRule type="cellIs" dxfId="8746" priority="11743" stopIfTrue="1" operator="equal">
      <formula>"Towel"</formula>
    </cfRule>
  </conditionalFormatting>
  <conditionalFormatting sqref="C31">
    <cfRule type="cellIs" dxfId="8745" priority="11742" stopIfTrue="1" operator="equal">
      <formula>"Napkin Hs"</formula>
    </cfRule>
  </conditionalFormatting>
  <conditionalFormatting sqref="C31">
    <cfRule type="cellIs" dxfId="8744" priority="11739" stopIfTrue="1" operator="equal">
      <formula>"Towel"</formula>
    </cfRule>
    <cfRule type="cellIs" dxfId="8743" priority="11740" stopIfTrue="1" operator="equal">
      <formula>"Napkin Hs"</formula>
    </cfRule>
  </conditionalFormatting>
  <conditionalFormatting sqref="C31">
    <cfRule type="cellIs" dxfId="8742" priority="11741" stopIfTrue="1" operator="equal">
      <formula>"Towel"</formula>
    </cfRule>
  </conditionalFormatting>
  <conditionalFormatting sqref="B30:C30">
    <cfRule type="cellIs" dxfId="8741" priority="11738" stopIfTrue="1" operator="equal">
      <formula>"Napkin Hs"</formula>
    </cfRule>
  </conditionalFormatting>
  <conditionalFormatting sqref="B30:C30">
    <cfRule type="cellIs" dxfId="8740" priority="11737" stopIfTrue="1" operator="equal">
      <formula>"Towel"</formula>
    </cfRule>
  </conditionalFormatting>
  <conditionalFormatting sqref="C30">
    <cfRule type="cellIs" dxfId="8739" priority="11736" stopIfTrue="1" operator="equal">
      <formula>"Napkin Hs"</formula>
    </cfRule>
  </conditionalFormatting>
  <conditionalFormatting sqref="C30">
    <cfRule type="cellIs" dxfId="8738" priority="11735" stopIfTrue="1" operator="equal">
      <formula>"Towel"</formula>
    </cfRule>
  </conditionalFormatting>
  <conditionalFormatting sqref="C30">
    <cfRule type="cellIs" dxfId="8737" priority="11733" stopIfTrue="1" operator="equal">
      <formula>"Towel"</formula>
    </cfRule>
    <cfRule type="cellIs" dxfId="8736" priority="11734" stopIfTrue="1" operator="equal">
      <formula>"Napkin Hs"</formula>
    </cfRule>
  </conditionalFormatting>
  <conditionalFormatting sqref="B30:C30">
    <cfRule type="cellIs" dxfId="8735" priority="11732" stopIfTrue="1" operator="equal">
      <formula>"Napkin Hs"</formula>
    </cfRule>
  </conditionalFormatting>
  <conditionalFormatting sqref="B30:C30">
    <cfRule type="cellIs" dxfId="8734" priority="11731" stopIfTrue="1" operator="equal">
      <formula>"Towel"</formula>
    </cfRule>
  </conditionalFormatting>
  <conditionalFormatting sqref="C30">
    <cfRule type="cellIs" dxfId="8733" priority="11730" stopIfTrue="1" operator="equal">
      <formula>"Napkin Hs"</formula>
    </cfRule>
  </conditionalFormatting>
  <conditionalFormatting sqref="C30">
    <cfRule type="cellIs" dxfId="8732" priority="11727" stopIfTrue="1" operator="equal">
      <formula>"Towel"</formula>
    </cfRule>
    <cfRule type="cellIs" dxfId="8731" priority="11728" stopIfTrue="1" operator="equal">
      <formula>"Napkin Hs"</formula>
    </cfRule>
  </conditionalFormatting>
  <conditionalFormatting sqref="C30">
    <cfRule type="cellIs" dxfId="8730" priority="11729" stopIfTrue="1" operator="equal">
      <formula>"Towel"</formula>
    </cfRule>
  </conditionalFormatting>
  <conditionalFormatting sqref="B30:C30">
    <cfRule type="cellIs" dxfId="8729" priority="11726" stopIfTrue="1" operator="equal">
      <formula>"Napkin Hs"</formula>
    </cfRule>
  </conditionalFormatting>
  <conditionalFormatting sqref="B30:C30">
    <cfRule type="cellIs" dxfId="8728" priority="11725" stopIfTrue="1" operator="equal">
      <formula>"Towel"</formula>
    </cfRule>
  </conditionalFormatting>
  <conditionalFormatting sqref="C30">
    <cfRule type="cellIs" dxfId="8727" priority="11724" stopIfTrue="1" operator="equal">
      <formula>"Napkin Hs"</formula>
    </cfRule>
  </conditionalFormatting>
  <conditionalFormatting sqref="C30">
    <cfRule type="cellIs" dxfId="8726" priority="11721" stopIfTrue="1" operator="equal">
      <formula>"Towel"</formula>
    </cfRule>
    <cfRule type="cellIs" dxfId="8725" priority="11722" stopIfTrue="1" operator="equal">
      <formula>"Napkin Hs"</formula>
    </cfRule>
  </conditionalFormatting>
  <conditionalFormatting sqref="C30">
    <cfRule type="cellIs" dxfId="8724" priority="11723" stopIfTrue="1" operator="equal">
      <formula>"Towel"</formula>
    </cfRule>
  </conditionalFormatting>
  <conditionalFormatting sqref="B30:C30">
    <cfRule type="cellIs" dxfId="8723" priority="11720" stopIfTrue="1" operator="equal">
      <formula>"Napkin Hs"</formula>
    </cfRule>
  </conditionalFormatting>
  <conditionalFormatting sqref="B30:C30">
    <cfRule type="cellIs" dxfId="8722" priority="11719" stopIfTrue="1" operator="equal">
      <formula>"Towel"</formula>
    </cfRule>
  </conditionalFormatting>
  <conditionalFormatting sqref="C30">
    <cfRule type="cellIs" dxfId="8721" priority="11718" stopIfTrue="1" operator="equal">
      <formula>"Napkin Hs"</formula>
    </cfRule>
  </conditionalFormatting>
  <conditionalFormatting sqref="C30">
    <cfRule type="cellIs" dxfId="8720" priority="11715" stopIfTrue="1" operator="equal">
      <formula>"Towel"</formula>
    </cfRule>
    <cfRule type="cellIs" dxfId="8719" priority="11716" stopIfTrue="1" operator="equal">
      <formula>"Napkin Hs"</formula>
    </cfRule>
  </conditionalFormatting>
  <conditionalFormatting sqref="C30">
    <cfRule type="cellIs" dxfId="8718" priority="11717" stopIfTrue="1" operator="equal">
      <formula>"Towel"</formula>
    </cfRule>
  </conditionalFormatting>
  <conditionalFormatting sqref="B30:C30">
    <cfRule type="cellIs" dxfId="8717" priority="11714" stopIfTrue="1" operator="equal">
      <formula>"Napkin Hs"</formula>
    </cfRule>
  </conditionalFormatting>
  <conditionalFormatting sqref="B30:C30">
    <cfRule type="cellIs" dxfId="8716" priority="11713" stopIfTrue="1" operator="equal">
      <formula>"Towel"</formula>
    </cfRule>
  </conditionalFormatting>
  <conditionalFormatting sqref="C30">
    <cfRule type="cellIs" dxfId="8715" priority="11712" stopIfTrue="1" operator="equal">
      <formula>"Napkin Hs"</formula>
    </cfRule>
  </conditionalFormatting>
  <conditionalFormatting sqref="C30">
    <cfRule type="cellIs" dxfId="8714" priority="11709" stopIfTrue="1" operator="equal">
      <formula>"Towel"</formula>
    </cfRule>
    <cfRule type="cellIs" dxfId="8713" priority="11710" stopIfTrue="1" operator="equal">
      <formula>"Napkin Hs"</formula>
    </cfRule>
  </conditionalFormatting>
  <conditionalFormatting sqref="C30">
    <cfRule type="cellIs" dxfId="8712" priority="11711" stopIfTrue="1" operator="equal">
      <formula>"Towel"</formula>
    </cfRule>
  </conditionalFormatting>
  <conditionalFormatting sqref="B39:C39">
    <cfRule type="cellIs" dxfId="8711" priority="11708" stopIfTrue="1" operator="equal">
      <formula>"Napkin Hs"</formula>
    </cfRule>
  </conditionalFormatting>
  <conditionalFormatting sqref="B39:C39">
    <cfRule type="cellIs" dxfId="8710" priority="11707" stopIfTrue="1" operator="equal">
      <formula>"Towel"</formula>
    </cfRule>
  </conditionalFormatting>
  <conditionalFormatting sqref="C39">
    <cfRule type="cellIs" dxfId="8709" priority="11706" stopIfTrue="1" operator="equal">
      <formula>"Napkin Hs"</formula>
    </cfRule>
  </conditionalFormatting>
  <conditionalFormatting sqref="C39">
    <cfRule type="cellIs" dxfId="8708" priority="11705" stopIfTrue="1" operator="equal">
      <formula>"Towel"</formula>
    </cfRule>
  </conditionalFormatting>
  <conditionalFormatting sqref="C39">
    <cfRule type="cellIs" dxfId="8707" priority="11703" stopIfTrue="1" operator="equal">
      <formula>"Towel"</formula>
    </cfRule>
    <cfRule type="cellIs" dxfId="8706" priority="11704" stopIfTrue="1" operator="equal">
      <formula>"Napkin Hs"</formula>
    </cfRule>
  </conditionalFormatting>
  <conditionalFormatting sqref="B39:C39">
    <cfRule type="cellIs" dxfId="8705" priority="11695" stopIfTrue="1" operator="equal">
      <formula>"Towel"</formula>
    </cfRule>
    <cfRule type="cellIs" dxfId="8704" priority="11696" stopIfTrue="1" operator="equal">
      <formula>"Napkin Hs"</formula>
    </cfRule>
  </conditionalFormatting>
  <conditionalFormatting sqref="B39:C39">
    <cfRule type="cellIs" dxfId="8703" priority="11701" stopIfTrue="1" operator="equal">
      <formula>"Towel"</formula>
    </cfRule>
    <cfRule type="cellIs" dxfId="8702" priority="11702" stopIfTrue="1" operator="equal">
      <formula>"Napkin Hs"</formula>
    </cfRule>
  </conditionalFormatting>
  <conditionalFormatting sqref="C39">
    <cfRule type="cellIs" dxfId="8701" priority="11699" stopIfTrue="1" operator="equal">
      <formula>"Towel"</formula>
    </cfRule>
    <cfRule type="cellIs" dxfId="8700" priority="11700" stopIfTrue="1" operator="equal">
      <formula>"Napkin Hs"</formula>
    </cfRule>
  </conditionalFormatting>
  <conditionalFormatting sqref="C39">
    <cfRule type="cellIs" dxfId="8699" priority="11697" stopIfTrue="1" operator="equal">
      <formula>"Towel"</formula>
    </cfRule>
    <cfRule type="cellIs" dxfId="8698" priority="11698" stopIfTrue="1" operator="equal">
      <formula>"Napkin Hs"</formula>
    </cfRule>
  </conditionalFormatting>
  <conditionalFormatting sqref="C39">
    <cfRule type="cellIs" dxfId="8697" priority="11693" stopIfTrue="1" operator="equal">
      <formula>"Towel"</formula>
    </cfRule>
    <cfRule type="cellIs" dxfId="8696" priority="11694" stopIfTrue="1" operator="equal">
      <formula>"Napkin Hs"</formula>
    </cfRule>
  </conditionalFormatting>
  <conditionalFormatting sqref="C39">
    <cfRule type="cellIs" dxfId="8695" priority="11691" stopIfTrue="1" operator="equal">
      <formula>"Towel"</formula>
    </cfRule>
    <cfRule type="cellIs" dxfId="8694" priority="11692" stopIfTrue="1" operator="equal">
      <formula>"Napkin Hs"</formula>
    </cfRule>
  </conditionalFormatting>
  <conditionalFormatting sqref="B39:C39">
    <cfRule type="cellIs" dxfId="8693" priority="11689" stopIfTrue="1" operator="equal">
      <formula>"Towel"</formula>
    </cfRule>
    <cfRule type="cellIs" dxfId="8692" priority="11690" stopIfTrue="1" operator="equal">
      <formula>"Napkin Hs"</formula>
    </cfRule>
  </conditionalFormatting>
  <conditionalFormatting sqref="C39">
    <cfRule type="cellIs" dxfId="8691" priority="11687" stopIfTrue="1" operator="equal">
      <formula>"Towel"</formula>
    </cfRule>
    <cfRule type="cellIs" dxfId="8690" priority="11688" stopIfTrue="1" operator="equal">
      <formula>"Napkin Hs"</formula>
    </cfRule>
  </conditionalFormatting>
  <conditionalFormatting sqref="C39">
    <cfRule type="cellIs" dxfId="8689" priority="11685" stopIfTrue="1" operator="equal">
      <formula>"Towel"</formula>
    </cfRule>
    <cfRule type="cellIs" dxfId="8688" priority="11686" stopIfTrue="1" operator="equal">
      <formula>"Napkin Hs"</formula>
    </cfRule>
  </conditionalFormatting>
  <conditionalFormatting sqref="B39:C39">
    <cfRule type="cellIs" dxfId="8687" priority="11683" stopIfTrue="1" operator="equal">
      <formula>"Towel"</formula>
    </cfRule>
    <cfRule type="cellIs" dxfId="8686" priority="11684" stopIfTrue="1" operator="equal">
      <formula>"Napkin Hs"</formula>
    </cfRule>
  </conditionalFormatting>
  <conditionalFormatting sqref="C39">
    <cfRule type="cellIs" dxfId="8685" priority="11681" stopIfTrue="1" operator="equal">
      <formula>"Towel"</formula>
    </cfRule>
    <cfRule type="cellIs" dxfId="8684" priority="11682" stopIfTrue="1" operator="equal">
      <formula>"Napkin Hs"</formula>
    </cfRule>
  </conditionalFormatting>
  <conditionalFormatting sqref="C39">
    <cfRule type="cellIs" dxfId="8683" priority="11679" stopIfTrue="1" operator="equal">
      <formula>"Towel"</formula>
    </cfRule>
    <cfRule type="cellIs" dxfId="8682" priority="11680" stopIfTrue="1" operator="equal">
      <formula>"Napkin Hs"</formula>
    </cfRule>
  </conditionalFormatting>
  <conditionalFormatting sqref="B39:C39">
    <cfRule type="cellIs" dxfId="8681" priority="11677" stopIfTrue="1" operator="equal">
      <formula>"Towel"</formula>
    </cfRule>
    <cfRule type="cellIs" dxfId="8680" priority="11678" stopIfTrue="1" operator="equal">
      <formula>"Napkin Hs"</formula>
    </cfRule>
  </conditionalFormatting>
  <conditionalFormatting sqref="C39">
    <cfRule type="cellIs" dxfId="8679" priority="11675" stopIfTrue="1" operator="equal">
      <formula>"Towel"</formula>
    </cfRule>
    <cfRule type="cellIs" dxfId="8678" priority="11676" stopIfTrue="1" operator="equal">
      <formula>"Napkin Hs"</formula>
    </cfRule>
  </conditionalFormatting>
  <conditionalFormatting sqref="C39">
    <cfRule type="cellIs" dxfId="8677" priority="11673" stopIfTrue="1" operator="equal">
      <formula>"Towel"</formula>
    </cfRule>
    <cfRule type="cellIs" dxfId="8676" priority="11674" stopIfTrue="1" operator="equal">
      <formula>"Napkin Hs"</formula>
    </cfRule>
  </conditionalFormatting>
  <conditionalFormatting sqref="B39:C39">
    <cfRule type="cellIs" dxfId="8675" priority="11672" stopIfTrue="1" operator="equal">
      <formula>"Napkin Hs"</formula>
    </cfRule>
  </conditionalFormatting>
  <conditionalFormatting sqref="B39:C39">
    <cfRule type="cellIs" dxfId="8674" priority="11671" stopIfTrue="1" operator="equal">
      <formula>"Towel"</formula>
    </cfRule>
  </conditionalFormatting>
  <conditionalFormatting sqref="C39">
    <cfRule type="cellIs" dxfId="8673" priority="11670" stopIfTrue="1" operator="equal">
      <formula>"Napkin Hs"</formula>
    </cfRule>
  </conditionalFormatting>
  <conditionalFormatting sqref="C39">
    <cfRule type="cellIs" dxfId="8672" priority="11667" stopIfTrue="1" operator="equal">
      <formula>"Towel"</formula>
    </cfRule>
    <cfRule type="cellIs" dxfId="8671" priority="11668" stopIfTrue="1" operator="equal">
      <formula>"Napkin Hs"</formula>
    </cfRule>
  </conditionalFormatting>
  <conditionalFormatting sqref="C39">
    <cfRule type="cellIs" dxfId="8670" priority="11669" stopIfTrue="1" operator="equal">
      <formula>"Towel"</formula>
    </cfRule>
  </conditionalFormatting>
  <conditionalFormatting sqref="B40:C40">
    <cfRule type="cellIs" dxfId="8669" priority="11666" stopIfTrue="1" operator="equal">
      <formula>"Napkin Hs"</formula>
    </cfRule>
  </conditionalFormatting>
  <conditionalFormatting sqref="B40:C40">
    <cfRule type="cellIs" dxfId="8668" priority="11665" stopIfTrue="1" operator="equal">
      <formula>"Towel"</formula>
    </cfRule>
  </conditionalFormatting>
  <conditionalFormatting sqref="C40">
    <cfRule type="cellIs" dxfId="8667" priority="11664" stopIfTrue="1" operator="equal">
      <formula>"Napkin Hs"</formula>
    </cfRule>
  </conditionalFormatting>
  <conditionalFormatting sqref="C40">
    <cfRule type="cellIs" dxfId="8666" priority="11663" stopIfTrue="1" operator="equal">
      <formula>"Towel"</formula>
    </cfRule>
  </conditionalFormatting>
  <conditionalFormatting sqref="C40">
    <cfRule type="cellIs" dxfId="8665" priority="11661" stopIfTrue="1" operator="equal">
      <formula>"Towel"</formula>
    </cfRule>
    <cfRule type="cellIs" dxfId="8664" priority="11662" stopIfTrue="1" operator="equal">
      <formula>"Napkin Hs"</formula>
    </cfRule>
  </conditionalFormatting>
  <conditionalFormatting sqref="B40:C40">
    <cfRule type="cellIs" dxfId="8663" priority="11659" stopIfTrue="1" operator="equal">
      <formula>"Towel"</formula>
    </cfRule>
    <cfRule type="cellIs" dxfId="8662" priority="11660" stopIfTrue="1" operator="equal">
      <formula>"Napkin Hs"</formula>
    </cfRule>
  </conditionalFormatting>
  <conditionalFormatting sqref="C40">
    <cfRule type="cellIs" dxfId="8661" priority="11657" stopIfTrue="1" operator="equal">
      <formula>"Towel"</formula>
    </cfRule>
    <cfRule type="cellIs" dxfId="8660" priority="11658" stopIfTrue="1" operator="equal">
      <formula>"Napkin Hs"</formula>
    </cfRule>
  </conditionalFormatting>
  <conditionalFormatting sqref="C40">
    <cfRule type="cellIs" dxfId="8659" priority="11655" stopIfTrue="1" operator="equal">
      <formula>"Towel"</formula>
    </cfRule>
    <cfRule type="cellIs" dxfId="8658" priority="11656" stopIfTrue="1" operator="equal">
      <formula>"Napkin Hs"</formula>
    </cfRule>
  </conditionalFormatting>
  <conditionalFormatting sqref="B40:C40">
    <cfRule type="cellIs" dxfId="8657" priority="11653" stopIfTrue="1" operator="equal">
      <formula>"Towel"</formula>
    </cfRule>
    <cfRule type="cellIs" dxfId="8656" priority="11654" stopIfTrue="1" operator="equal">
      <formula>"Napkin Hs"</formula>
    </cfRule>
  </conditionalFormatting>
  <conditionalFormatting sqref="C40">
    <cfRule type="cellIs" dxfId="8655" priority="11651" stopIfTrue="1" operator="equal">
      <formula>"Towel"</formula>
    </cfRule>
    <cfRule type="cellIs" dxfId="8654" priority="11652" stopIfTrue="1" operator="equal">
      <formula>"Napkin Hs"</formula>
    </cfRule>
  </conditionalFormatting>
  <conditionalFormatting sqref="C40">
    <cfRule type="cellIs" dxfId="8653" priority="11649" stopIfTrue="1" operator="equal">
      <formula>"Towel"</formula>
    </cfRule>
    <cfRule type="cellIs" dxfId="8652" priority="11650" stopIfTrue="1" operator="equal">
      <formula>"Napkin Hs"</formula>
    </cfRule>
  </conditionalFormatting>
  <conditionalFormatting sqref="B40:C40">
    <cfRule type="cellIs" dxfId="8651" priority="11647" stopIfTrue="1" operator="equal">
      <formula>"Towel"</formula>
    </cfRule>
    <cfRule type="cellIs" dxfId="8650" priority="11648" stopIfTrue="1" operator="equal">
      <formula>"Napkin Hs"</formula>
    </cfRule>
  </conditionalFormatting>
  <conditionalFormatting sqref="C40">
    <cfRule type="cellIs" dxfId="8649" priority="11645" stopIfTrue="1" operator="equal">
      <formula>"Towel"</formula>
    </cfRule>
    <cfRule type="cellIs" dxfId="8648" priority="11646" stopIfTrue="1" operator="equal">
      <formula>"Napkin Hs"</formula>
    </cfRule>
  </conditionalFormatting>
  <conditionalFormatting sqref="C40">
    <cfRule type="cellIs" dxfId="8647" priority="11643" stopIfTrue="1" operator="equal">
      <formula>"Towel"</formula>
    </cfRule>
    <cfRule type="cellIs" dxfId="8646" priority="11644" stopIfTrue="1" operator="equal">
      <formula>"Napkin Hs"</formula>
    </cfRule>
  </conditionalFormatting>
  <conditionalFormatting sqref="B40:C40">
    <cfRule type="cellIs" dxfId="8645" priority="11641" stopIfTrue="1" operator="equal">
      <formula>"Towel"</formula>
    </cfRule>
    <cfRule type="cellIs" dxfId="8644" priority="11642" stopIfTrue="1" operator="equal">
      <formula>"Napkin Hs"</formula>
    </cfRule>
  </conditionalFormatting>
  <conditionalFormatting sqref="C40">
    <cfRule type="cellIs" dxfId="8643" priority="11639" stopIfTrue="1" operator="equal">
      <formula>"Towel"</formula>
    </cfRule>
    <cfRule type="cellIs" dxfId="8642" priority="11640" stopIfTrue="1" operator="equal">
      <formula>"Napkin Hs"</formula>
    </cfRule>
  </conditionalFormatting>
  <conditionalFormatting sqref="C40">
    <cfRule type="cellIs" dxfId="8641" priority="11637" stopIfTrue="1" operator="equal">
      <formula>"Towel"</formula>
    </cfRule>
    <cfRule type="cellIs" dxfId="8640" priority="11638" stopIfTrue="1" operator="equal">
      <formula>"Napkin Hs"</formula>
    </cfRule>
  </conditionalFormatting>
  <conditionalFormatting sqref="B40:C40">
    <cfRule type="cellIs" dxfId="8639" priority="11635" stopIfTrue="1" operator="equal">
      <formula>"Towel"</formula>
    </cfRule>
    <cfRule type="cellIs" dxfId="8638" priority="11636" stopIfTrue="1" operator="equal">
      <formula>"Napkin Hs"</formula>
    </cfRule>
  </conditionalFormatting>
  <conditionalFormatting sqref="C40">
    <cfRule type="cellIs" dxfId="8637" priority="11633" stopIfTrue="1" operator="equal">
      <formula>"Towel"</formula>
    </cfRule>
    <cfRule type="cellIs" dxfId="8636" priority="11634" stopIfTrue="1" operator="equal">
      <formula>"Napkin Hs"</formula>
    </cfRule>
  </conditionalFormatting>
  <conditionalFormatting sqref="C40">
    <cfRule type="cellIs" dxfId="8635" priority="11631" stopIfTrue="1" operator="equal">
      <formula>"Towel"</formula>
    </cfRule>
    <cfRule type="cellIs" dxfId="8634" priority="11632" stopIfTrue="1" operator="equal">
      <formula>"Napkin Hs"</formula>
    </cfRule>
  </conditionalFormatting>
  <conditionalFormatting sqref="B40:C40">
    <cfRule type="cellIs" dxfId="8633" priority="11630" stopIfTrue="1" operator="equal">
      <formula>"Napkin Hs"</formula>
    </cfRule>
  </conditionalFormatting>
  <conditionalFormatting sqref="B40:C40">
    <cfRule type="cellIs" dxfId="8632" priority="11629" stopIfTrue="1" operator="equal">
      <formula>"Towel"</formula>
    </cfRule>
  </conditionalFormatting>
  <conditionalFormatting sqref="C40">
    <cfRule type="cellIs" dxfId="8631" priority="11628" stopIfTrue="1" operator="equal">
      <formula>"Napkin Hs"</formula>
    </cfRule>
  </conditionalFormatting>
  <conditionalFormatting sqref="C40">
    <cfRule type="cellIs" dxfId="8630" priority="11625" stopIfTrue="1" operator="equal">
      <formula>"Towel"</formula>
    </cfRule>
    <cfRule type="cellIs" dxfId="8629" priority="11626" stopIfTrue="1" operator="equal">
      <formula>"Napkin Hs"</formula>
    </cfRule>
  </conditionalFormatting>
  <conditionalFormatting sqref="C40">
    <cfRule type="cellIs" dxfId="8628" priority="11627" stopIfTrue="1" operator="equal">
      <formula>"Towel"</formula>
    </cfRule>
  </conditionalFormatting>
  <conditionalFormatting sqref="B35:C35">
    <cfRule type="cellIs" dxfId="8627" priority="11624" stopIfTrue="1" operator="equal">
      <formula>"Napkin Hs"</formula>
    </cfRule>
  </conditionalFormatting>
  <conditionalFormatting sqref="B35:C35">
    <cfRule type="cellIs" dxfId="8626" priority="11623" stopIfTrue="1" operator="equal">
      <formula>"Towel"</formula>
    </cfRule>
  </conditionalFormatting>
  <conditionalFormatting sqref="C35">
    <cfRule type="cellIs" dxfId="8625" priority="11622" stopIfTrue="1" operator="equal">
      <formula>"Napkin Hs"</formula>
    </cfRule>
  </conditionalFormatting>
  <conditionalFormatting sqref="C35">
    <cfRule type="cellIs" dxfId="8624" priority="11621" stopIfTrue="1" operator="equal">
      <formula>"Towel"</formula>
    </cfRule>
  </conditionalFormatting>
  <conditionalFormatting sqref="C35">
    <cfRule type="cellIs" dxfId="8623" priority="11619" stopIfTrue="1" operator="equal">
      <formula>"Towel"</formula>
    </cfRule>
    <cfRule type="cellIs" dxfId="8622" priority="11620" stopIfTrue="1" operator="equal">
      <formula>"Napkin Hs"</formula>
    </cfRule>
  </conditionalFormatting>
  <conditionalFormatting sqref="B35:C35">
    <cfRule type="cellIs" dxfId="8621" priority="11618" stopIfTrue="1" operator="equal">
      <formula>"Napkin Hs"</formula>
    </cfRule>
  </conditionalFormatting>
  <conditionalFormatting sqref="B35:C35">
    <cfRule type="cellIs" dxfId="8620" priority="11617" stopIfTrue="1" operator="equal">
      <formula>"Towel"</formula>
    </cfRule>
  </conditionalFormatting>
  <conditionalFormatting sqref="C35">
    <cfRule type="cellIs" dxfId="8619" priority="11616" stopIfTrue="1" operator="equal">
      <formula>"Napkin Hs"</formula>
    </cfRule>
  </conditionalFormatting>
  <conditionalFormatting sqref="C35">
    <cfRule type="cellIs" dxfId="8618" priority="11613" stopIfTrue="1" operator="equal">
      <formula>"Towel"</formula>
    </cfRule>
    <cfRule type="cellIs" dxfId="8617" priority="11614" stopIfTrue="1" operator="equal">
      <formula>"Napkin Hs"</formula>
    </cfRule>
  </conditionalFormatting>
  <conditionalFormatting sqref="C35">
    <cfRule type="cellIs" dxfId="8616" priority="11615" stopIfTrue="1" operator="equal">
      <formula>"Towel"</formula>
    </cfRule>
  </conditionalFormatting>
  <conditionalFormatting sqref="B35:C35">
    <cfRule type="cellIs" dxfId="8615" priority="11612" stopIfTrue="1" operator="equal">
      <formula>"Napkin Hs"</formula>
    </cfRule>
  </conditionalFormatting>
  <conditionalFormatting sqref="B35:C35">
    <cfRule type="cellIs" dxfId="8614" priority="11611" stopIfTrue="1" operator="equal">
      <formula>"Towel"</formula>
    </cfRule>
  </conditionalFormatting>
  <conditionalFormatting sqref="C35">
    <cfRule type="cellIs" dxfId="8613" priority="11610" stopIfTrue="1" operator="equal">
      <formula>"Napkin Hs"</formula>
    </cfRule>
  </conditionalFormatting>
  <conditionalFormatting sqref="C35">
    <cfRule type="cellIs" dxfId="8612" priority="11609" stopIfTrue="1" operator="equal">
      <formula>"Towel"</formula>
    </cfRule>
  </conditionalFormatting>
  <conditionalFormatting sqref="C35">
    <cfRule type="cellIs" dxfId="8611" priority="11607" stopIfTrue="1" operator="equal">
      <formula>"Towel"</formula>
    </cfRule>
    <cfRule type="cellIs" dxfId="8610" priority="11608" stopIfTrue="1" operator="equal">
      <formula>"Napkin Hs"</formula>
    </cfRule>
  </conditionalFormatting>
  <conditionalFormatting sqref="B35:C35">
    <cfRule type="cellIs" dxfId="8609" priority="11606" stopIfTrue="1" operator="equal">
      <formula>"Napkin Hs"</formula>
    </cfRule>
  </conditionalFormatting>
  <conditionalFormatting sqref="B35:C35">
    <cfRule type="cellIs" dxfId="8608" priority="11605" stopIfTrue="1" operator="equal">
      <formula>"Towel"</formula>
    </cfRule>
  </conditionalFormatting>
  <conditionalFormatting sqref="C35">
    <cfRule type="cellIs" dxfId="8607" priority="11604" stopIfTrue="1" operator="equal">
      <formula>"Napkin Hs"</formula>
    </cfRule>
  </conditionalFormatting>
  <conditionalFormatting sqref="C35">
    <cfRule type="cellIs" dxfId="8606" priority="11601" stopIfTrue="1" operator="equal">
      <formula>"Towel"</formula>
    </cfRule>
    <cfRule type="cellIs" dxfId="8605" priority="11602" stopIfTrue="1" operator="equal">
      <formula>"Napkin Hs"</formula>
    </cfRule>
  </conditionalFormatting>
  <conditionalFormatting sqref="C35">
    <cfRule type="cellIs" dxfId="8604" priority="11603" stopIfTrue="1" operator="equal">
      <formula>"Towel"</formula>
    </cfRule>
  </conditionalFormatting>
  <conditionalFormatting sqref="B35:C35">
    <cfRule type="cellIs" dxfId="8603" priority="11600" stopIfTrue="1" operator="equal">
      <formula>"Napkin Hs"</formula>
    </cfRule>
  </conditionalFormatting>
  <conditionalFormatting sqref="B35:C35">
    <cfRule type="cellIs" dxfId="8602" priority="11599" stopIfTrue="1" operator="equal">
      <formula>"Towel"</formula>
    </cfRule>
  </conditionalFormatting>
  <conditionalFormatting sqref="C35">
    <cfRule type="cellIs" dxfId="8601" priority="11598" stopIfTrue="1" operator="equal">
      <formula>"Napkin Hs"</formula>
    </cfRule>
  </conditionalFormatting>
  <conditionalFormatting sqref="C35">
    <cfRule type="cellIs" dxfId="8600" priority="11597" stopIfTrue="1" operator="equal">
      <formula>"Towel"</formula>
    </cfRule>
  </conditionalFormatting>
  <conditionalFormatting sqref="C35">
    <cfRule type="cellIs" dxfId="8599" priority="11595" stopIfTrue="1" operator="equal">
      <formula>"Towel"</formula>
    </cfRule>
    <cfRule type="cellIs" dxfId="8598" priority="11596" stopIfTrue="1" operator="equal">
      <formula>"Napkin Hs"</formula>
    </cfRule>
  </conditionalFormatting>
  <conditionalFormatting sqref="B35:C35">
    <cfRule type="cellIs" dxfId="8597" priority="11594" stopIfTrue="1" operator="equal">
      <formula>"Napkin Hs"</formula>
    </cfRule>
  </conditionalFormatting>
  <conditionalFormatting sqref="B35:C35">
    <cfRule type="cellIs" dxfId="8596" priority="11593" stopIfTrue="1" operator="equal">
      <formula>"Towel"</formula>
    </cfRule>
  </conditionalFormatting>
  <conditionalFormatting sqref="C35">
    <cfRule type="cellIs" dxfId="8595" priority="11592" stopIfTrue="1" operator="equal">
      <formula>"Napkin Hs"</formula>
    </cfRule>
  </conditionalFormatting>
  <conditionalFormatting sqref="C35">
    <cfRule type="cellIs" dxfId="8594" priority="11589" stopIfTrue="1" operator="equal">
      <formula>"Towel"</formula>
    </cfRule>
    <cfRule type="cellIs" dxfId="8593" priority="11590" stopIfTrue="1" operator="equal">
      <formula>"Napkin Hs"</formula>
    </cfRule>
  </conditionalFormatting>
  <conditionalFormatting sqref="C35">
    <cfRule type="cellIs" dxfId="8592" priority="11591" stopIfTrue="1" operator="equal">
      <formula>"Towel"</formula>
    </cfRule>
  </conditionalFormatting>
  <conditionalFormatting sqref="B35:C35">
    <cfRule type="cellIs" dxfId="8591" priority="11588" stopIfTrue="1" operator="equal">
      <formula>"Napkin Hs"</formula>
    </cfRule>
  </conditionalFormatting>
  <conditionalFormatting sqref="B35:C35">
    <cfRule type="cellIs" dxfId="8590" priority="11587" stopIfTrue="1" operator="equal">
      <formula>"Towel"</formula>
    </cfRule>
  </conditionalFormatting>
  <conditionalFormatting sqref="C35">
    <cfRule type="cellIs" dxfId="8589" priority="11586" stopIfTrue="1" operator="equal">
      <formula>"Napkin Hs"</formula>
    </cfRule>
  </conditionalFormatting>
  <conditionalFormatting sqref="C35">
    <cfRule type="cellIs" dxfId="8588" priority="11585" stopIfTrue="1" operator="equal">
      <formula>"Towel"</formula>
    </cfRule>
  </conditionalFormatting>
  <conditionalFormatting sqref="C35">
    <cfRule type="cellIs" dxfId="8587" priority="11583" stopIfTrue="1" operator="equal">
      <formula>"Towel"</formula>
    </cfRule>
    <cfRule type="cellIs" dxfId="8586" priority="11584" stopIfTrue="1" operator="equal">
      <formula>"Napkin Hs"</formula>
    </cfRule>
  </conditionalFormatting>
  <conditionalFormatting sqref="B35:C35">
    <cfRule type="cellIs" dxfId="8585" priority="11582" stopIfTrue="1" operator="equal">
      <formula>"Napkin Hs"</formula>
    </cfRule>
  </conditionalFormatting>
  <conditionalFormatting sqref="B35:C35">
    <cfRule type="cellIs" dxfId="8584" priority="11581" stopIfTrue="1" operator="equal">
      <formula>"Towel"</formula>
    </cfRule>
  </conditionalFormatting>
  <conditionalFormatting sqref="C35">
    <cfRule type="cellIs" dxfId="8583" priority="11580" stopIfTrue="1" operator="equal">
      <formula>"Napkin Hs"</formula>
    </cfRule>
  </conditionalFormatting>
  <conditionalFormatting sqref="C35">
    <cfRule type="cellIs" dxfId="8582" priority="11577" stopIfTrue="1" operator="equal">
      <formula>"Towel"</formula>
    </cfRule>
    <cfRule type="cellIs" dxfId="8581" priority="11578" stopIfTrue="1" operator="equal">
      <formula>"Napkin Hs"</formula>
    </cfRule>
  </conditionalFormatting>
  <conditionalFormatting sqref="C35">
    <cfRule type="cellIs" dxfId="8580" priority="11579" stopIfTrue="1" operator="equal">
      <formula>"Towel"</formula>
    </cfRule>
  </conditionalFormatting>
  <conditionalFormatting sqref="B35:C35">
    <cfRule type="cellIs" dxfId="8579" priority="11576" stopIfTrue="1" operator="equal">
      <formula>"Napkin Hs"</formula>
    </cfRule>
  </conditionalFormatting>
  <conditionalFormatting sqref="B35:C35">
    <cfRule type="cellIs" dxfId="8578" priority="11575" stopIfTrue="1" operator="equal">
      <formula>"Towel"</formula>
    </cfRule>
  </conditionalFormatting>
  <conditionalFormatting sqref="C35">
    <cfRule type="cellIs" dxfId="8577" priority="11574" stopIfTrue="1" operator="equal">
      <formula>"Napkin Hs"</formula>
    </cfRule>
  </conditionalFormatting>
  <conditionalFormatting sqref="C35">
    <cfRule type="cellIs" dxfId="8576" priority="11571" stopIfTrue="1" operator="equal">
      <formula>"Towel"</formula>
    </cfRule>
    <cfRule type="cellIs" dxfId="8575" priority="11572" stopIfTrue="1" operator="equal">
      <formula>"Napkin Hs"</formula>
    </cfRule>
  </conditionalFormatting>
  <conditionalFormatting sqref="C35">
    <cfRule type="cellIs" dxfId="8574" priority="11573" stopIfTrue="1" operator="equal">
      <formula>"Towel"</formula>
    </cfRule>
  </conditionalFormatting>
  <conditionalFormatting sqref="B35:C35">
    <cfRule type="cellIs" dxfId="8573" priority="11570" stopIfTrue="1" operator="equal">
      <formula>"Napkin Hs"</formula>
    </cfRule>
  </conditionalFormatting>
  <conditionalFormatting sqref="B35:C35">
    <cfRule type="cellIs" dxfId="8572" priority="11569" stopIfTrue="1" operator="equal">
      <formula>"Towel"</formula>
    </cfRule>
  </conditionalFormatting>
  <conditionalFormatting sqref="C35">
    <cfRule type="cellIs" dxfId="8571" priority="11568" stopIfTrue="1" operator="equal">
      <formula>"Napkin Hs"</formula>
    </cfRule>
  </conditionalFormatting>
  <conditionalFormatting sqref="C35">
    <cfRule type="cellIs" dxfId="8570" priority="11565" stopIfTrue="1" operator="equal">
      <formula>"Towel"</formula>
    </cfRule>
    <cfRule type="cellIs" dxfId="8569" priority="11566" stopIfTrue="1" operator="equal">
      <formula>"Napkin Hs"</formula>
    </cfRule>
  </conditionalFormatting>
  <conditionalFormatting sqref="C35">
    <cfRule type="cellIs" dxfId="8568" priority="11567" stopIfTrue="1" operator="equal">
      <formula>"Towel"</formula>
    </cfRule>
  </conditionalFormatting>
  <conditionalFormatting sqref="B35:C35">
    <cfRule type="cellIs" dxfId="8567" priority="11564" stopIfTrue="1" operator="equal">
      <formula>"Napkin Hs"</formula>
    </cfRule>
  </conditionalFormatting>
  <conditionalFormatting sqref="B35:C35">
    <cfRule type="cellIs" dxfId="8566" priority="11563" stopIfTrue="1" operator="equal">
      <formula>"Towel"</formula>
    </cfRule>
  </conditionalFormatting>
  <conditionalFormatting sqref="C35">
    <cfRule type="cellIs" dxfId="8565" priority="11562" stopIfTrue="1" operator="equal">
      <formula>"Napkin Hs"</formula>
    </cfRule>
  </conditionalFormatting>
  <conditionalFormatting sqref="C35">
    <cfRule type="cellIs" dxfId="8564" priority="11559" stopIfTrue="1" operator="equal">
      <formula>"Towel"</formula>
    </cfRule>
    <cfRule type="cellIs" dxfId="8563" priority="11560" stopIfTrue="1" operator="equal">
      <formula>"Napkin Hs"</formula>
    </cfRule>
  </conditionalFormatting>
  <conditionalFormatting sqref="C35">
    <cfRule type="cellIs" dxfId="8562" priority="11561" stopIfTrue="1" operator="equal">
      <formula>"Towel"</formula>
    </cfRule>
  </conditionalFormatting>
  <conditionalFormatting sqref="B36:C38">
    <cfRule type="cellIs" dxfId="8561" priority="11558" stopIfTrue="1" operator="equal">
      <formula>"Napkin Hs"</formula>
    </cfRule>
  </conditionalFormatting>
  <conditionalFormatting sqref="B36:C38">
    <cfRule type="cellIs" dxfId="8560" priority="11557" stopIfTrue="1" operator="equal">
      <formula>"Towel"</formula>
    </cfRule>
  </conditionalFormatting>
  <conditionalFormatting sqref="C36:C38">
    <cfRule type="cellIs" dxfId="8559" priority="11556" stopIfTrue="1" operator="equal">
      <formula>"Napkin Hs"</formula>
    </cfRule>
  </conditionalFormatting>
  <conditionalFormatting sqref="C36:C38">
    <cfRule type="cellIs" dxfId="8558" priority="11555" stopIfTrue="1" operator="equal">
      <formula>"Towel"</formula>
    </cfRule>
  </conditionalFormatting>
  <conditionalFormatting sqref="C36:C38">
    <cfRule type="cellIs" dxfId="8557" priority="11553" stopIfTrue="1" operator="equal">
      <formula>"Towel"</formula>
    </cfRule>
    <cfRule type="cellIs" dxfId="8556" priority="11554" stopIfTrue="1" operator="equal">
      <formula>"Napkin Hs"</formula>
    </cfRule>
  </conditionalFormatting>
  <conditionalFormatting sqref="B36:C38">
    <cfRule type="cellIs" dxfId="8555" priority="11552" stopIfTrue="1" operator="equal">
      <formula>"Napkin Hs"</formula>
    </cfRule>
  </conditionalFormatting>
  <conditionalFormatting sqref="B36:C38">
    <cfRule type="cellIs" dxfId="8554" priority="11551" stopIfTrue="1" operator="equal">
      <formula>"Towel"</formula>
    </cfRule>
  </conditionalFormatting>
  <conditionalFormatting sqref="C36:C38">
    <cfRule type="cellIs" dxfId="8553" priority="11550" stopIfTrue="1" operator="equal">
      <formula>"Napkin Hs"</formula>
    </cfRule>
  </conditionalFormatting>
  <conditionalFormatting sqref="C36:C38">
    <cfRule type="cellIs" dxfId="8552" priority="11547" stopIfTrue="1" operator="equal">
      <formula>"Towel"</formula>
    </cfRule>
    <cfRule type="cellIs" dxfId="8551" priority="11548" stopIfTrue="1" operator="equal">
      <formula>"Napkin Hs"</formula>
    </cfRule>
  </conditionalFormatting>
  <conditionalFormatting sqref="C36:C38">
    <cfRule type="cellIs" dxfId="8550" priority="11549" stopIfTrue="1" operator="equal">
      <formula>"Towel"</formula>
    </cfRule>
  </conditionalFormatting>
  <conditionalFormatting sqref="B36:C38">
    <cfRule type="cellIs" dxfId="8549" priority="11546" stopIfTrue="1" operator="equal">
      <formula>"Napkin Hs"</formula>
    </cfRule>
  </conditionalFormatting>
  <conditionalFormatting sqref="B36:C38">
    <cfRule type="cellIs" dxfId="8548" priority="11545" stopIfTrue="1" operator="equal">
      <formula>"Towel"</formula>
    </cfRule>
  </conditionalFormatting>
  <conditionalFormatting sqref="C36:C38">
    <cfRule type="cellIs" dxfId="8547" priority="11544" stopIfTrue="1" operator="equal">
      <formula>"Napkin Hs"</formula>
    </cfRule>
  </conditionalFormatting>
  <conditionalFormatting sqref="C36:C38">
    <cfRule type="cellIs" dxfId="8546" priority="11543" stopIfTrue="1" operator="equal">
      <formula>"Towel"</formula>
    </cfRule>
  </conditionalFormatting>
  <conditionalFormatting sqref="C36:C38">
    <cfRule type="cellIs" dxfId="8545" priority="11541" stopIfTrue="1" operator="equal">
      <formula>"Towel"</formula>
    </cfRule>
    <cfRule type="cellIs" dxfId="8544" priority="11542" stopIfTrue="1" operator="equal">
      <formula>"Napkin Hs"</formula>
    </cfRule>
  </conditionalFormatting>
  <conditionalFormatting sqref="B36:C38">
    <cfRule type="cellIs" dxfId="8543" priority="11540" stopIfTrue="1" operator="equal">
      <formula>"Napkin Hs"</formula>
    </cfRule>
  </conditionalFormatting>
  <conditionalFormatting sqref="B36:C38">
    <cfRule type="cellIs" dxfId="8542" priority="11539" stopIfTrue="1" operator="equal">
      <formula>"Towel"</formula>
    </cfRule>
  </conditionalFormatting>
  <conditionalFormatting sqref="C36:C38">
    <cfRule type="cellIs" dxfId="8541" priority="11538" stopIfTrue="1" operator="equal">
      <formula>"Napkin Hs"</formula>
    </cfRule>
  </conditionalFormatting>
  <conditionalFormatting sqref="C36:C38">
    <cfRule type="cellIs" dxfId="8540" priority="11535" stopIfTrue="1" operator="equal">
      <formula>"Towel"</formula>
    </cfRule>
    <cfRule type="cellIs" dxfId="8539" priority="11536" stopIfTrue="1" operator="equal">
      <formula>"Napkin Hs"</formula>
    </cfRule>
  </conditionalFormatting>
  <conditionalFormatting sqref="C36:C38">
    <cfRule type="cellIs" dxfId="8538" priority="11537" stopIfTrue="1" operator="equal">
      <formula>"Towel"</formula>
    </cfRule>
  </conditionalFormatting>
  <conditionalFormatting sqref="B36:C38">
    <cfRule type="cellIs" dxfId="8537" priority="11534" stopIfTrue="1" operator="equal">
      <formula>"Napkin Hs"</formula>
    </cfRule>
  </conditionalFormatting>
  <conditionalFormatting sqref="B36:C38">
    <cfRule type="cellIs" dxfId="8536" priority="11533" stopIfTrue="1" operator="equal">
      <formula>"Towel"</formula>
    </cfRule>
  </conditionalFormatting>
  <conditionalFormatting sqref="C36:C38">
    <cfRule type="cellIs" dxfId="8535" priority="11532" stopIfTrue="1" operator="equal">
      <formula>"Napkin Hs"</formula>
    </cfRule>
  </conditionalFormatting>
  <conditionalFormatting sqref="C36:C38">
    <cfRule type="cellIs" dxfId="8534" priority="11531" stopIfTrue="1" operator="equal">
      <formula>"Towel"</formula>
    </cfRule>
  </conditionalFormatting>
  <conditionalFormatting sqref="C36:C38">
    <cfRule type="cellIs" dxfId="8533" priority="11529" stopIfTrue="1" operator="equal">
      <formula>"Towel"</formula>
    </cfRule>
    <cfRule type="cellIs" dxfId="8532" priority="11530" stopIfTrue="1" operator="equal">
      <formula>"Napkin Hs"</formula>
    </cfRule>
  </conditionalFormatting>
  <conditionalFormatting sqref="B36:C38">
    <cfRule type="cellIs" dxfId="8531" priority="11528" stopIfTrue="1" operator="equal">
      <formula>"Napkin Hs"</formula>
    </cfRule>
  </conditionalFormatting>
  <conditionalFormatting sqref="B36:C38">
    <cfRule type="cellIs" dxfId="8530" priority="11527" stopIfTrue="1" operator="equal">
      <formula>"Towel"</formula>
    </cfRule>
  </conditionalFormatting>
  <conditionalFormatting sqref="C36:C38">
    <cfRule type="cellIs" dxfId="8529" priority="11526" stopIfTrue="1" operator="equal">
      <formula>"Napkin Hs"</formula>
    </cfRule>
  </conditionalFormatting>
  <conditionalFormatting sqref="C36:C38">
    <cfRule type="cellIs" dxfId="8528" priority="11523" stopIfTrue="1" operator="equal">
      <formula>"Towel"</formula>
    </cfRule>
    <cfRule type="cellIs" dxfId="8527" priority="11524" stopIfTrue="1" operator="equal">
      <formula>"Napkin Hs"</formula>
    </cfRule>
  </conditionalFormatting>
  <conditionalFormatting sqref="C36:C38">
    <cfRule type="cellIs" dxfId="8526" priority="11525" stopIfTrue="1" operator="equal">
      <formula>"Towel"</formula>
    </cfRule>
  </conditionalFormatting>
  <conditionalFormatting sqref="B36:C38">
    <cfRule type="cellIs" dxfId="8525" priority="11522" stopIfTrue="1" operator="equal">
      <formula>"Napkin Hs"</formula>
    </cfRule>
  </conditionalFormatting>
  <conditionalFormatting sqref="B36:C38">
    <cfRule type="cellIs" dxfId="8524" priority="11521" stopIfTrue="1" operator="equal">
      <formula>"Towel"</formula>
    </cfRule>
  </conditionalFormatting>
  <conditionalFormatting sqref="C36:C38">
    <cfRule type="cellIs" dxfId="8523" priority="11520" stopIfTrue="1" operator="equal">
      <formula>"Napkin Hs"</formula>
    </cfRule>
  </conditionalFormatting>
  <conditionalFormatting sqref="C36:C38">
    <cfRule type="cellIs" dxfId="8522" priority="11519" stopIfTrue="1" operator="equal">
      <formula>"Towel"</formula>
    </cfRule>
  </conditionalFormatting>
  <conditionalFormatting sqref="C36:C38">
    <cfRule type="cellIs" dxfId="8521" priority="11517" stopIfTrue="1" operator="equal">
      <formula>"Towel"</formula>
    </cfRule>
    <cfRule type="cellIs" dxfId="8520" priority="11518" stopIfTrue="1" operator="equal">
      <formula>"Napkin Hs"</formula>
    </cfRule>
  </conditionalFormatting>
  <conditionalFormatting sqref="B36:C38">
    <cfRule type="cellIs" dxfId="8519" priority="11516" stopIfTrue="1" operator="equal">
      <formula>"Napkin Hs"</formula>
    </cfRule>
  </conditionalFormatting>
  <conditionalFormatting sqref="B36:C38">
    <cfRule type="cellIs" dxfId="8518" priority="11515" stopIfTrue="1" operator="equal">
      <formula>"Towel"</formula>
    </cfRule>
  </conditionalFormatting>
  <conditionalFormatting sqref="C36:C38">
    <cfRule type="cellIs" dxfId="8517" priority="11514" stopIfTrue="1" operator="equal">
      <formula>"Napkin Hs"</formula>
    </cfRule>
  </conditionalFormatting>
  <conditionalFormatting sqref="C36:C38">
    <cfRule type="cellIs" dxfId="8516" priority="11511" stopIfTrue="1" operator="equal">
      <formula>"Towel"</formula>
    </cfRule>
    <cfRule type="cellIs" dxfId="8515" priority="11512" stopIfTrue="1" operator="equal">
      <formula>"Napkin Hs"</formula>
    </cfRule>
  </conditionalFormatting>
  <conditionalFormatting sqref="C36:C38">
    <cfRule type="cellIs" dxfId="8514" priority="11513" stopIfTrue="1" operator="equal">
      <formula>"Towel"</formula>
    </cfRule>
  </conditionalFormatting>
  <conditionalFormatting sqref="B36:C38">
    <cfRule type="cellIs" dxfId="8513" priority="11510" stopIfTrue="1" operator="equal">
      <formula>"Napkin Hs"</formula>
    </cfRule>
  </conditionalFormatting>
  <conditionalFormatting sqref="B36:C38">
    <cfRule type="cellIs" dxfId="8512" priority="11509" stopIfTrue="1" operator="equal">
      <formula>"Towel"</formula>
    </cfRule>
  </conditionalFormatting>
  <conditionalFormatting sqref="C36:C38">
    <cfRule type="cellIs" dxfId="8511" priority="11508" stopIfTrue="1" operator="equal">
      <formula>"Napkin Hs"</formula>
    </cfRule>
  </conditionalFormatting>
  <conditionalFormatting sqref="C36:C38">
    <cfRule type="cellIs" dxfId="8510" priority="11505" stopIfTrue="1" operator="equal">
      <formula>"Towel"</formula>
    </cfRule>
    <cfRule type="cellIs" dxfId="8509" priority="11506" stopIfTrue="1" operator="equal">
      <formula>"Napkin Hs"</formula>
    </cfRule>
  </conditionalFormatting>
  <conditionalFormatting sqref="C36:C38">
    <cfRule type="cellIs" dxfId="8508" priority="11507" stopIfTrue="1" operator="equal">
      <formula>"Towel"</formula>
    </cfRule>
  </conditionalFormatting>
  <conditionalFormatting sqref="B36:C38">
    <cfRule type="cellIs" dxfId="8507" priority="11504" stopIfTrue="1" operator="equal">
      <formula>"Napkin Hs"</formula>
    </cfRule>
  </conditionalFormatting>
  <conditionalFormatting sqref="B36:C38">
    <cfRule type="cellIs" dxfId="8506" priority="11503" stopIfTrue="1" operator="equal">
      <formula>"Towel"</formula>
    </cfRule>
  </conditionalFormatting>
  <conditionalFormatting sqref="C36:C38">
    <cfRule type="cellIs" dxfId="8505" priority="11502" stopIfTrue="1" operator="equal">
      <formula>"Napkin Hs"</formula>
    </cfRule>
  </conditionalFormatting>
  <conditionalFormatting sqref="C36:C38">
    <cfRule type="cellIs" dxfId="8504" priority="11499" stopIfTrue="1" operator="equal">
      <formula>"Towel"</formula>
    </cfRule>
    <cfRule type="cellIs" dxfId="8503" priority="11500" stopIfTrue="1" operator="equal">
      <formula>"Napkin Hs"</formula>
    </cfRule>
  </conditionalFormatting>
  <conditionalFormatting sqref="C36:C38">
    <cfRule type="cellIs" dxfId="8502" priority="11501" stopIfTrue="1" operator="equal">
      <formula>"Towel"</formula>
    </cfRule>
  </conditionalFormatting>
  <conditionalFormatting sqref="B36:C38">
    <cfRule type="cellIs" dxfId="8501" priority="11498" stopIfTrue="1" operator="equal">
      <formula>"Napkin Hs"</formula>
    </cfRule>
  </conditionalFormatting>
  <conditionalFormatting sqref="B36:C38">
    <cfRule type="cellIs" dxfId="8500" priority="11497" stopIfTrue="1" operator="equal">
      <formula>"Towel"</formula>
    </cfRule>
  </conditionalFormatting>
  <conditionalFormatting sqref="C36:C38">
    <cfRule type="cellIs" dxfId="8499" priority="11496" stopIfTrue="1" operator="equal">
      <formula>"Napkin Hs"</formula>
    </cfRule>
  </conditionalFormatting>
  <conditionalFormatting sqref="C36:C38">
    <cfRule type="cellIs" dxfId="8498" priority="11493" stopIfTrue="1" operator="equal">
      <formula>"Towel"</formula>
    </cfRule>
    <cfRule type="cellIs" dxfId="8497" priority="11494" stopIfTrue="1" operator="equal">
      <formula>"Napkin Hs"</formula>
    </cfRule>
  </conditionalFormatting>
  <conditionalFormatting sqref="C36:C38">
    <cfRule type="cellIs" dxfId="8496" priority="11495" stopIfTrue="1" operator="equal">
      <formula>"Towel"</formula>
    </cfRule>
  </conditionalFormatting>
  <conditionalFormatting sqref="B46:C46">
    <cfRule type="cellIs" dxfId="8495" priority="11492" stopIfTrue="1" operator="equal">
      <formula>"Napkin Hs"</formula>
    </cfRule>
  </conditionalFormatting>
  <conditionalFormatting sqref="B46:C46">
    <cfRule type="cellIs" dxfId="8494" priority="11491" stopIfTrue="1" operator="equal">
      <formula>"Towel"</formula>
    </cfRule>
  </conditionalFormatting>
  <conditionalFormatting sqref="C46">
    <cfRule type="cellIs" dxfId="8493" priority="11490" stopIfTrue="1" operator="equal">
      <formula>"Napkin Hs"</formula>
    </cfRule>
  </conditionalFormatting>
  <conditionalFormatting sqref="C46">
    <cfRule type="cellIs" dxfId="8492" priority="11489" stopIfTrue="1" operator="equal">
      <formula>"Towel"</formula>
    </cfRule>
  </conditionalFormatting>
  <conditionalFormatting sqref="C46">
    <cfRule type="cellIs" dxfId="8491" priority="11487" stopIfTrue="1" operator="equal">
      <formula>"Towel"</formula>
    </cfRule>
    <cfRule type="cellIs" dxfId="8490" priority="11488" stopIfTrue="1" operator="equal">
      <formula>"Napkin Hs"</formula>
    </cfRule>
  </conditionalFormatting>
  <conditionalFormatting sqref="B46:C46">
    <cfRule type="cellIs" dxfId="8489" priority="11479" stopIfTrue="1" operator="equal">
      <formula>"Towel"</formula>
    </cfRule>
    <cfRule type="cellIs" dxfId="8488" priority="11480" stopIfTrue="1" operator="equal">
      <formula>"Napkin Hs"</formula>
    </cfRule>
  </conditionalFormatting>
  <conditionalFormatting sqref="B46:C46">
    <cfRule type="cellIs" dxfId="8487" priority="11485" stopIfTrue="1" operator="equal">
      <formula>"Towel"</formula>
    </cfRule>
    <cfRule type="cellIs" dxfId="8486" priority="11486" stopIfTrue="1" operator="equal">
      <formula>"Napkin Hs"</formula>
    </cfRule>
  </conditionalFormatting>
  <conditionalFormatting sqref="C46">
    <cfRule type="cellIs" dxfId="8485" priority="11483" stopIfTrue="1" operator="equal">
      <formula>"Towel"</formula>
    </cfRule>
    <cfRule type="cellIs" dxfId="8484" priority="11484" stopIfTrue="1" operator="equal">
      <formula>"Napkin Hs"</formula>
    </cfRule>
  </conditionalFormatting>
  <conditionalFormatting sqref="C46">
    <cfRule type="cellIs" dxfId="8483" priority="11481" stopIfTrue="1" operator="equal">
      <formula>"Towel"</formula>
    </cfRule>
    <cfRule type="cellIs" dxfId="8482" priority="11482" stopIfTrue="1" operator="equal">
      <formula>"Napkin Hs"</formula>
    </cfRule>
  </conditionalFormatting>
  <conditionalFormatting sqref="C46">
    <cfRule type="cellIs" dxfId="8481" priority="11477" stopIfTrue="1" operator="equal">
      <formula>"Towel"</formula>
    </cfRule>
    <cfRule type="cellIs" dxfId="8480" priority="11478" stopIfTrue="1" operator="equal">
      <formula>"Napkin Hs"</formula>
    </cfRule>
  </conditionalFormatting>
  <conditionalFormatting sqref="C46">
    <cfRule type="cellIs" dxfId="8479" priority="11475" stopIfTrue="1" operator="equal">
      <formula>"Towel"</formula>
    </cfRule>
    <cfRule type="cellIs" dxfId="8478" priority="11476" stopIfTrue="1" operator="equal">
      <formula>"Napkin Hs"</formula>
    </cfRule>
  </conditionalFormatting>
  <conditionalFormatting sqref="B46:C46">
    <cfRule type="cellIs" dxfId="8477" priority="11473" stopIfTrue="1" operator="equal">
      <formula>"Towel"</formula>
    </cfRule>
    <cfRule type="cellIs" dxfId="8476" priority="11474" stopIfTrue="1" operator="equal">
      <formula>"Napkin Hs"</formula>
    </cfRule>
  </conditionalFormatting>
  <conditionalFormatting sqref="C46">
    <cfRule type="cellIs" dxfId="8475" priority="11471" stopIfTrue="1" operator="equal">
      <formula>"Towel"</formula>
    </cfRule>
    <cfRule type="cellIs" dxfId="8474" priority="11472" stopIfTrue="1" operator="equal">
      <formula>"Napkin Hs"</formula>
    </cfRule>
  </conditionalFormatting>
  <conditionalFormatting sqref="C46">
    <cfRule type="cellIs" dxfId="8473" priority="11469" stopIfTrue="1" operator="equal">
      <formula>"Towel"</formula>
    </cfRule>
    <cfRule type="cellIs" dxfId="8472" priority="11470" stopIfTrue="1" operator="equal">
      <formula>"Napkin Hs"</formula>
    </cfRule>
  </conditionalFormatting>
  <conditionalFormatting sqref="B46:C46">
    <cfRule type="cellIs" dxfId="8471" priority="11467" stopIfTrue="1" operator="equal">
      <formula>"Towel"</formula>
    </cfRule>
    <cfRule type="cellIs" dxfId="8470" priority="11468" stopIfTrue="1" operator="equal">
      <formula>"Napkin Hs"</formula>
    </cfRule>
  </conditionalFormatting>
  <conditionalFormatting sqref="C46">
    <cfRule type="cellIs" dxfId="8469" priority="11465" stopIfTrue="1" operator="equal">
      <formula>"Towel"</formula>
    </cfRule>
    <cfRule type="cellIs" dxfId="8468" priority="11466" stopIfTrue="1" operator="equal">
      <formula>"Napkin Hs"</formula>
    </cfRule>
  </conditionalFormatting>
  <conditionalFormatting sqref="C46">
    <cfRule type="cellIs" dxfId="8467" priority="11463" stopIfTrue="1" operator="equal">
      <formula>"Towel"</formula>
    </cfRule>
    <cfRule type="cellIs" dxfId="8466" priority="11464" stopIfTrue="1" operator="equal">
      <formula>"Napkin Hs"</formula>
    </cfRule>
  </conditionalFormatting>
  <conditionalFormatting sqref="B46:C46">
    <cfRule type="cellIs" dxfId="8465" priority="11461" stopIfTrue="1" operator="equal">
      <formula>"Towel"</formula>
    </cfRule>
    <cfRule type="cellIs" dxfId="8464" priority="11462" stopIfTrue="1" operator="equal">
      <formula>"Napkin Hs"</formula>
    </cfRule>
  </conditionalFormatting>
  <conditionalFormatting sqref="C46">
    <cfRule type="cellIs" dxfId="8463" priority="11459" stopIfTrue="1" operator="equal">
      <formula>"Towel"</formula>
    </cfRule>
    <cfRule type="cellIs" dxfId="8462" priority="11460" stopIfTrue="1" operator="equal">
      <formula>"Napkin Hs"</formula>
    </cfRule>
  </conditionalFormatting>
  <conditionalFormatting sqref="C46">
    <cfRule type="cellIs" dxfId="8461" priority="11457" stopIfTrue="1" operator="equal">
      <formula>"Towel"</formula>
    </cfRule>
    <cfRule type="cellIs" dxfId="8460" priority="11458" stopIfTrue="1" operator="equal">
      <formula>"Napkin Hs"</formula>
    </cfRule>
  </conditionalFormatting>
  <conditionalFormatting sqref="B46:C46">
    <cfRule type="cellIs" dxfId="8459" priority="11456" stopIfTrue="1" operator="equal">
      <formula>"Napkin Hs"</formula>
    </cfRule>
  </conditionalFormatting>
  <conditionalFormatting sqref="B46:C46">
    <cfRule type="cellIs" dxfId="8458" priority="11455" stopIfTrue="1" operator="equal">
      <formula>"Towel"</formula>
    </cfRule>
  </conditionalFormatting>
  <conditionalFormatting sqref="C46">
    <cfRule type="cellIs" dxfId="8457" priority="11454" stopIfTrue="1" operator="equal">
      <formula>"Napkin Hs"</formula>
    </cfRule>
  </conditionalFormatting>
  <conditionalFormatting sqref="C46">
    <cfRule type="cellIs" dxfId="8456" priority="11451" stopIfTrue="1" operator="equal">
      <formula>"Towel"</formula>
    </cfRule>
    <cfRule type="cellIs" dxfId="8455" priority="11452" stopIfTrue="1" operator="equal">
      <formula>"Napkin Hs"</formula>
    </cfRule>
  </conditionalFormatting>
  <conditionalFormatting sqref="C46">
    <cfRule type="cellIs" dxfId="8454" priority="11453" stopIfTrue="1" operator="equal">
      <formula>"Towel"</formula>
    </cfRule>
  </conditionalFormatting>
  <conditionalFormatting sqref="B42:C42">
    <cfRule type="cellIs" dxfId="8453" priority="11450" stopIfTrue="1" operator="equal">
      <formula>"Napkin Hs"</formula>
    </cfRule>
  </conditionalFormatting>
  <conditionalFormatting sqref="B42:C42">
    <cfRule type="cellIs" dxfId="8452" priority="11449" stopIfTrue="1" operator="equal">
      <formula>"Towel"</formula>
    </cfRule>
  </conditionalFormatting>
  <conditionalFormatting sqref="C42">
    <cfRule type="cellIs" dxfId="8451" priority="11448" stopIfTrue="1" operator="equal">
      <formula>"Napkin Hs"</formula>
    </cfRule>
  </conditionalFormatting>
  <conditionalFormatting sqref="C42">
    <cfRule type="cellIs" dxfId="8450" priority="11447" stopIfTrue="1" operator="equal">
      <formula>"Towel"</formula>
    </cfRule>
  </conditionalFormatting>
  <conditionalFormatting sqref="C42">
    <cfRule type="cellIs" dxfId="8449" priority="11445" stopIfTrue="1" operator="equal">
      <formula>"Towel"</formula>
    </cfRule>
    <cfRule type="cellIs" dxfId="8448" priority="11446" stopIfTrue="1" operator="equal">
      <formula>"Napkin Hs"</formula>
    </cfRule>
  </conditionalFormatting>
  <conditionalFormatting sqref="B42:C42">
    <cfRule type="cellIs" dxfId="8447" priority="11444" stopIfTrue="1" operator="equal">
      <formula>"Napkin Hs"</formula>
    </cfRule>
  </conditionalFormatting>
  <conditionalFormatting sqref="B42:C42">
    <cfRule type="cellIs" dxfId="8446" priority="11443" stopIfTrue="1" operator="equal">
      <formula>"Towel"</formula>
    </cfRule>
  </conditionalFormatting>
  <conditionalFormatting sqref="C42">
    <cfRule type="cellIs" dxfId="8445" priority="11442" stopIfTrue="1" operator="equal">
      <formula>"Napkin Hs"</formula>
    </cfRule>
  </conditionalFormatting>
  <conditionalFormatting sqref="C42">
    <cfRule type="cellIs" dxfId="8444" priority="11439" stopIfTrue="1" operator="equal">
      <formula>"Towel"</formula>
    </cfRule>
    <cfRule type="cellIs" dxfId="8443" priority="11440" stopIfTrue="1" operator="equal">
      <formula>"Napkin Hs"</formula>
    </cfRule>
  </conditionalFormatting>
  <conditionalFormatting sqref="C42">
    <cfRule type="cellIs" dxfId="8442" priority="11441" stopIfTrue="1" operator="equal">
      <formula>"Towel"</formula>
    </cfRule>
  </conditionalFormatting>
  <conditionalFormatting sqref="B42:C42">
    <cfRule type="cellIs" dxfId="8441" priority="11438" stopIfTrue="1" operator="equal">
      <formula>"Napkin Hs"</formula>
    </cfRule>
  </conditionalFormatting>
  <conditionalFormatting sqref="B42:C42">
    <cfRule type="cellIs" dxfId="8440" priority="11437" stopIfTrue="1" operator="equal">
      <formula>"Towel"</formula>
    </cfRule>
  </conditionalFormatting>
  <conditionalFormatting sqref="C42">
    <cfRule type="cellIs" dxfId="8439" priority="11436" stopIfTrue="1" operator="equal">
      <formula>"Napkin Hs"</formula>
    </cfRule>
  </conditionalFormatting>
  <conditionalFormatting sqref="C42">
    <cfRule type="cellIs" dxfId="8438" priority="11435" stopIfTrue="1" operator="equal">
      <formula>"Towel"</formula>
    </cfRule>
  </conditionalFormatting>
  <conditionalFormatting sqref="C42">
    <cfRule type="cellIs" dxfId="8437" priority="11433" stopIfTrue="1" operator="equal">
      <formula>"Towel"</formula>
    </cfRule>
    <cfRule type="cellIs" dxfId="8436" priority="11434" stopIfTrue="1" operator="equal">
      <formula>"Napkin Hs"</formula>
    </cfRule>
  </conditionalFormatting>
  <conditionalFormatting sqref="B42:C42">
    <cfRule type="cellIs" dxfId="8435" priority="11432" stopIfTrue="1" operator="equal">
      <formula>"Napkin Hs"</formula>
    </cfRule>
  </conditionalFormatting>
  <conditionalFormatting sqref="B42:C42">
    <cfRule type="cellIs" dxfId="8434" priority="11431" stopIfTrue="1" operator="equal">
      <formula>"Towel"</formula>
    </cfRule>
  </conditionalFormatting>
  <conditionalFormatting sqref="C42">
    <cfRule type="cellIs" dxfId="8433" priority="11430" stopIfTrue="1" operator="equal">
      <formula>"Napkin Hs"</formula>
    </cfRule>
  </conditionalFormatting>
  <conditionalFormatting sqref="C42">
    <cfRule type="cellIs" dxfId="8432" priority="11427" stopIfTrue="1" operator="equal">
      <formula>"Towel"</formula>
    </cfRule>
    <cfRule type="cellIs" dxfId="8431" priority="11428" stopIfTrue="1" operator="equal">
      <formula>"Napkin Hs"</formula>
    </cfRule>
  </conditionalFormatting>
  <conditionalFormatting sqref="C42">
    <cfRule type="cellIs" dxfId="8430" priority="11429" stopIfTrue="1" operator="equal">
      <formula>"Towel"</formula>
    </cfRule>
  </conditionalFormatting>
  <conditionalFormatting sqref="B42:C42">
    <cfRule type="cellIs" dxfId="8429" priority="11426" stopIfTrue="1" operator="equal">
      <formula>"Napkin Hs"</formula>
    </cfRule>
  </conditionalFormatting>
  <conditionalFormatting sqref="B42:C42">
    <cfRule type="cellIs" dxfId="8428" priority="11425" stopIfTrue="1" operator="equal">
      <formula>"Towel"</formula>
    </cfRule>
  </conditionalFormatting>
  <conditionalFormatting sqref="C42">
    <cfRule type="cellIs" dxfId="8427" priority="11424" stopIfTrue="1" operator="equal">
      <formula>"Napkin Hs"</formula>
    </cfRule>
  </conditionalFormatting>
  <conditionalFormatting sqref="C42">
    <cfRule type="cellIs" dxfId="8426" priority="11423" stopIfTrue="1" operator="equal">
      <formula>"Towel"</formula>
    </cfRule>
  </conditionalFormatting>
  <conditionalFormatting sqref="C42">
    <cfRule type="cellIs" dxfId="8425" priority="11421" stopIfTrue="1" operator="equal">
      <formula>"Towel"</formula>
    </cfRule>
    <cfRule type="cellIs" dxfId="8424" priority="11422" stopIfTrue="1" operator="equal">
      <formula>"Napkin Hs"</formula>
    </cfRule>
  </conditionalFormatting>
  <conditionalFormatting sqref="B42:C42">
    <cfRule type="cellIs" dxfId="8423" priority="11420" stopIfTrue="1" operator="equal">
      <formula>"Napkin Hs"</formula>
    </cfRule>
  </conditionalFormatting>
  <conditionalFormatting sqref="B42:C42">
    <cfRule type="cellIs" dxfId="8422" priority="11419" stopIfTrue="1" operator="equal">
      <formula>"Towel"</formula>
    </cfRule>
  </conditionalFormatting>
  <conditionalFormatting sqref="C42">
    <cfRule type="cellIs" dxfId="8421" priority="11418" stopIfTrue="1" operator="equal">
      <formula>"Napkin Hs"</formula>
    </cfRule>
  </conditionalFormatting>
  <conditionalFormatting sqref="C42">
    <cfRule type="cellIs" dxfId="8420" priority="11415" stopIfTrue="1" operator="equal">
      <formula>"Towel"</formula>
    </cfRule>
    <cfRule type="cellIs" dxfId="8419" priority="11416" stopIfTrue="1" operator="equal">
      <formula>"Napkin Hs"</formula>
    </cfRule>
  </conditionalFormatting>
  <conditionalFormatting sqref="C42">
    <cfRule type="cellIs" dxfId="8418" priority="11417" stopIfTrue="1" operator="equal">
      <formula>"Towel"</formula>
    </cfRule>
  </conditionalFormatting>
  <conditionalFormatting sqref="B42:C42">
    <cfRule type="cellIs" dxfId="8417" priority="11414" stopIfTrue="1" operator="equal">
      <formula>"Napkin Hs"</formula>
    </cfRule>
  </conditionalFormatting>
  <conditionalFormatting sqref="B42:C42">
    <cfRule type="cellIs" dxfId="8416" priority="11413" stopIfTrue="1" operator="equal">
      <formula>"Towel"</formula>
    </cfRule>
  </conditionalFormatting>
  <conditionalFormatting sqref="C42">
    <cfRule type="cellIs" dxfId="8415" priority="11412" stopIfTrue="1" operator="equal">
      <formula>"Napkin Hs"</formula>
    </cfRule>
  </conditionalFormatting>
  <conditionalFormatting sqref="C42">
    <cfRule type="cellIs" dxfId="8414" priority="11411" stopIfTrue="1" operator="equal">
      <formula>"Towel"</formula>
    </cfRule>
  </conditionalFormatting>
  <conditionalFormatting sqref="C42">
    <cfRule type="cellIs" dxfId="8413" priority="11409" stopIfTrue="1" operator="equal">
      <formula>"Towel"</formula>
    </cfRule>
    <cfRule type="cellIs" dxfId="8412" priority="11410" stopIfTrue="1" operator="equal">
      <formula>"Napkin Hs"</formula>
    </cfRule>
  </conditionalFormatting>
  <conditionalFormatting sqref="B42:C42">
    <cfRule type="cellIs" dxfId="8411" priority="11408" stopIfTrue="1" operator="equal">
      <formula>"Napkin Hs"</formula>
    </cfRule>
  </conditionalFormatting>
  <conditionalFormatting sqref="B42:C42">
    <cfRule type="cellIs" dxfId="8410" priority="11407" stopIfTrue="1" operator="equal">
      <formula>"Towel"</formula>
    </cfRule>
  </conditionalFormatting>
  <conditionalFormatting sqref="C42">
    <cfRule type="cellIs" dxfId="8409" priority="11406" stopIfTrue="1" operator="equal">
      <formula>"Napkin Hs"</formula>
    </cfRule>
  </conditionalFormatting>
  <conditionalFormatting sqref="C42">
    <cfRule type="cellIs" dxfId="8408" priority="11403" stopIfTrue="1" operator="equal">
      <formula>"Towel"</formula>
    </cfRule>
    <cfRule type="cellIs" dxfId="8407" priority="11404" stopIfTrue="1" operator="equal">
      <formula>"Napkin Hs"</formula>
    </cfRule>
  </conditionalFormatting>
  <conditionalFormatting sqref="C42">
    <cfRule type="cellIs" dxfId="8406" priority="11405" stopIfTrue="1" operator="equal">
      <formula>"Towel"</formula>
    </cfRule>
  </conditionalFormatting>
  <conditionalFormatting sqref="B42:C42">
    <cfRule type="cellIs" dxfId="8405" priority="11402" stopIfTrue="1" operator="equal">
      <formula>"Napkin Hs"</formula>
    </cfRule>
  </conditionalFormatting>
  <conditionalFormatting sqref="B42:C42">
    <cfRule type="cellIs" dxfId="8404" priority="11401" stopIfTrue="1" operator="equal">
      <formula>"Towel"</formula>
    </cfRule>
  </conditionalFormatting>
  <conditionalFormatting sqref="C42">
    <cfRule type="cellIs" dxfId="8403" priority="11400" stopIfTrue="1" operator="equal">
      <formula>"Napkin Hs"</formula>
    </cfRule>
  </conditionalFormatting>
  <conditionalFormatting sqref="C42">
    <cfRule type="cellIs" dxfId="8402" priority="11397" stopIfTrue="1" operator="equal">
      <formula>"Towel"</formula>
    </cfRule>
    <cfRule type="cellIs" dxfId="8401" priority="11398" stopIfTrue="1" operator="equal">
      <formula>"Napkin Hs"</formula>
    </cfRule>
  </conditionalFormatting>
  <conditionalFormatting sqref="C42">
    <cfRule type="cellIs" dxfId="8400" priority="11399" stopIfTrue="1" operator="equal">
      <formula>"Towel"</formula>
    </cfRule>
  </conditionalFormatting>
  <conditionalFormatting sqref="B42:C42">
    <cfRule type="cellIs" dxfId="8399" priority="11396" stopIfTrue="1" operator="equal">
      <formula>"Napkin Hs"</formula>
    </cfRule>
  </conditionalFormatting>
  <conditionalFormatting sqref="B42:C42">
    <cfRule type="cellIs" dxfId="8398" priority="11395" stopIfTrue="1" operator="equal">
      <formula>"Towel"</formula>
    </cfRule>
  </conditionalFormatting>
  <conditionalFormatting sqref="C42">
    <cfRule type="cellIs" dxfId="8397" priority="11394" stopIfTrue="1" operator="equal">
      <formula>"Napkin Hs"</formula>
    </cfRule>
  </conditionalFormatting>
  <conditionalFormatting sqref="C42">
    <cfRule type="cellIs" dxfId="8396" priority="11391" stopIfTrue="1" operator="equal">
      <formula>"Towel"</formula>
    </cfRule>
    <cfRule type="cellIs" dxfId="8395" priority="11392" stopIfTrue="1" operator="equal">
      <formula>"Napkin Hs"</formula>
    </cfRule>
  </conditionalFormatting>
  <conditionalFormatting sqref="C42">
    <cfRule type="cellIs" dxfId="8394" priority="11393" stopIfTrue="1" operator="equal">
      <formula>"Towel"</formula>
    </cfRule>
  </conditionalFormatting>
  <conditionalFormatting sqref="B42:C42">
    <cfRule type="cellIs" dxfId="8393" priority="11390" stopIfTrue="1" operator="equal">
      <formula>"Napkin Hs"</formula>
    </cfRule>
  </conditionalFormatting>
  <conditionalFormatting sqref="B42:C42">
    <cfRule type="cellIs" dxfId="8392" priority="11389" stopIfTrue="1" operator="equal">
      <formula>"Towel"</formula>
    </cfRule>
  </conditionalFormatting>
  <conditionalFormatting sqref="C42">
    <cfRule type="cellIs" dxfId="8391" priority="11388" stopIfTrue="1" operator="equal">
      <formula>"Napkin Hs"</formula>
    </cfRule>
  </conditionalFormatting>
  <conditionalFormatting sqref="C42">
    <cfRule type="cellIs" dxfId="8390" priority="11385" stopIfTrue="1" operator="equal">
      <formula>"Towel"</formula>
    </cfRule>
    <cfRule type="cellIs" dxfId="8389" priority="11386" stopIfTrue="1" operator="equal">
      <formula>"Napkin Hs"</formula>
    </cfRule>
  </conditionalFormatting>
  <conditionalFormatting sqref="C42">
    <cfRule type="cellIs" dxfId="8388" priority="11387" stopIfTrue="1" operator="equal">
      <formula>"Towel"</formula>
    </cfRule>
  </conditionalFormatting>
  <conditionalFormatting sqref="B43:C45">
    <cfRule type="cellIs" dxfId="8387" priority="11384" stopIfTrue="1" operator="equal">
      <formula>"Napkin Hs"</formula>
    </cfRule>
  </conditionalFormatting>
  <conditionalFormatting sqref="B43:C45">
    <cfRule type="cellIs" dxfId="8386" priority="11383" stopIfTrue="1" operator="equal">
      <formula>"Towel"</formula>
    </cfRule>
  </conditionalFormatting>
  <conditionalFormatting sqref="C43:C45">
    <cfRule type="cellIs" dxfId="8385" priority="11382" stopIfTrue="1" operator="equal">
      <formula>"Napkin Hs"</formula>
    </cfRule>
  </conditionalFormatting>
  <conditionalFormatting sqref="C43:C45">
    <cfRule type="cellIs" dxfId="8384" priority="11381" stopIfTrue="1" operator="equal">
      <formula>"Towel"</formula>
    </cfRule>
  </conditionalFormatting>
  <conditionalFormatting sqref="C43:C45">
    <cfRule type="cellIs" dxfId="8383" priority="11379" stopIfTrue="1" operator="equal">
      <formula>"Towel"</formula>
    </cfRule>
    <cfRule type="cellIs" dxfId="8382" priority="11380" stopIfTrue="1" operator="equal">
      <formula>"Napkin Hs"</formula>
    </cfRule>
  </conditionalFormatting>
  <conditionalFormatting sqref="B43:C45">
    <cfRule type="cellIs" dxfId="8381" priority="11378" stopIfTrue="1" operator="equal">
      <formula>"Napkin Hs"</formula>
    </cfRule>
  </conditionalFormatting>
  <conditionalFormatting sqref="B43:C45">
    <cfRule type="cellIs" dxfId="8380" priority="11377" stopIfTrue="1" operator="equal">
      <formula>"Towel"</formula>
    </cfRule>
  </conditionalFormatting>
  <conditionalFormatting sqref="C43:C45">
    <cfRule type="cellIs" dxfId="8379" priority="11376" stopIfTrue="1" operator="equal">
      <formula>"Napkin Hs"</formula>
    </cfRule>
  </conditionalFormatting>
  <conditionalFormatting sqref="C43:C45">
    <cfRule type="cellIs" dxfId="8378" priority="11373" stopIfTrue="1" operator="equal">
      <formula>"Towel"</formula>
    </cfRule>
    <cfRule type="cellIs" dxfId="8377" priority="11374" stopIfTrue="1" operator="equal">
      <formula>"Napkin Hs"</formula>
    </cfRule>
  </conditionalFormatting>
  <conditionalFormatting sqref="C43:C45">
    <cfRule type="cellIs" dxfId="8376" priority="11375" stopIfTrue="1" operator="equal">
      <formula>"Towel"</formula>
    </cfRule>
  </conditionalFormatting>
  <conditionalFormatting sqref="B43:C45">
    <cfRule type="cellIs" dxfId="8375" priority="11372" stopIfTrue="1" operator="equal">
      <formula>"Napkin Hs"</formula>
    </cfRule>
  </conditionalFormatting>
  <conditionalFormatting sqref="B43:C45">
    <cfRule type="cellIs" dxfId="8374" priority="11371" stopIfTrue="1" operator="equal">
      <formula>"Towel"</formula>
    </cfRule>
  </conditionalFormatting>
  <conditionalFormatting sqref="C43:C45">
    <cfRule type="cellIs" dxfId="8373" priority="11370" stopIfTrue="1" operator="equal">
      <formula>"Napkin Hs"</formula>
    </cfRule>
  </conditionalFormatting>
  <conditionalFormatting sqref="C43:C45">
    <cfRule type="cellIs" dxfId="8372" priority="11369" stopIfTrue="1" operator="equal">
      <formula>"Towel"</formula>
    </cfRule>
  </conditionalFormatting>
  <conditionalFormatting sqref="C43:C45">
    <cfRule type="cellIs" dxfId="8371" priority="11367" stopIfTrue="1" operator="equal">
      <formula>"Towel"</formula>
    </cfRule>
    <cfRule type="cellIs" dxfId="8370" priority="11368" stopIfTrue="1" operator="equal">
      <formula>"Napkin Hs"</formula>
    </cfRule>
  </conditionalFormatting>
  <conditionalFormatting sqref="B43:C45">
    <cfRule type="cellIs" dxfId="8369" priority="11366" stopIfTrue="1" operator="equal">
      <formula>"Napkin Hs"</formula>
    </cfRule>
  </conditionalFormatting>
  <conditionalFormatting sqref="B43:C45">
    <cfRule type="cellIs" dxfId="8368" priority="11365" stopIfTrue="1" operator="equal">
      <formula>"Towel"</formula>
    </cfRule>
  </conditionalFormatting>
  <conditionalFormatting sqref="C43:C45">
    <cfRule type="cellIs" dxfId="8367" priority="11364" stopIfTrue="1" operator="equal">
      <formula>"Napkin Hs"</formula>
    </cfRule>
  </conditionalFormatting>
  <conditionalFormatting sqref="C43:C45">
    <cfRule type="cellIs" dxfId="8366" priority="11361" stopIfTrue="1" operator="equal">
      <formula>"Towel"</formula>
    </cfRule>
    <cfRule type="cellIs" dxfId="8365" priority="11362" stopIfTrue="1" operator="equal">
      <formula>"Napkin Hs"</formula>
    </cfRule>
  </conditionalFormatting>
  <conditionalFormatting sqref="C43:C45">
    <cfRule type="cellIs" dxfId="8364" priority="11363" stopIfTrue="1" operator="equal">
      <formula>"Towel"</formula>
    </cfRule>
  </conditionalFormatting>
  <conditionalFormatting sqref="B43:C45">
    <cfRule type="cellIs" dxfId="8363" priority="11360" stopIfTrue="1" operator="equal">
      <formula>"Napkin Hs"</formula>
    </cfRule>
  </conditionalFormatting>
  <conditionalFormatting sqref="B43:C45">
    <cfRule type="cellIs" dxfId="8362" priority="11359" stopIfTrue="1" operator="equal">
      <formula>"Towel"</formula>
    </cfRule>
  </conditionalFormatting>
  <conditionalFormatting sqref="C43:C45">
    <cfRule type="cellIs" dxfId="8361" priority="11358" stopIfTrue="1" operator="equal">
      <formula>"Napkin Hs"</formula>
    </cfRule>
  </conditionalFormatting>
  <conditionalFormatting sqref="C43:C45">
    <cfRule type="cellIs" dxfId="8360" priority="11357" stopIfTrue="1" operator="equal">
      <formula>"Towel"</formula>
    </cfRule>
  </conditionalFormatting>
  <conditionalFormatting sqref="C43:C45">
    <cfRule type="cellIs" dxfId="8359" priority="11355" stopIfTrue="1" operator="equal">
      <formula>"Towel"</formula>
    </cfRule>
    <cfRule type="cellIs" dxfId="8358" priority="11356" stopIfTrue="1" operator="equal">
      <formula>"Napkin Hs"</formula>
    </cfRule>
  </conditionalFormatting>
  <conditionalFormatting sqref="B43:C45">
    <cfRule type="cellIs" dxfId="8357" priority="11354" stopIfTrue="1" operator="equal">
      <formula>"Napkin Hs"</formula>
    </cfRule>
  </conditionalFormatting>
  <conditionalFormatting sqref="B43:C45">
    <cfRule type="cellIs" dxfId="8356" priority="11353" stopIfTrue="1" operator="equal">
      <formula>"Towel"</formula>
    </cfRule>
  </conditionalFormatting>
  <conditionalFormatting sqref="C43:C45">
    <cfRule type="cellIs" dxfId="8355" priority="11352" stopIfTrue="1" operator="equal">
      <formula>"Napkin Hs"</formula>
    </cfRule>
  </conditionalFormatting>
  <conditionalFormatting sqref="C43:C45">
    <cfRule type="cellIs" dxfId="8354" priority="11349" stopIfTrue="1" operator="equal">
      <formula>"Towel"</formula>
    </cfRule>
    <cfRule type="cellIs" dxfId="8353" priority="11350" stopIfTrue="1" operator="equal">
      <formula>"Napkin Hs"</formula>
    </cfRule>
  </conditionalFormatting>
  <conditionalFormatting sqref="C43:C45">
    <cfRule type="cellIs" dxfId="8352" priority="11351" stopIfTrue="1" operator="equal">
      <formula>"Towel"</formula>
    </cfRule>
  </conditionalFormatting>
  <conditionalFormatting sqref="B43:C45">
    <cfRule type="cellIs" dxfId="8351" priority="11348" stopIfTrue="1" operator="equal">
      <formula>"Napkin Hs"</formula>
    </cfRule>
  </conditionalFormatting>
  <conditionalFormatting sqref="B43:C45">
    <cfRule type="cellIs" dxfId="8350" priority="11347" stopIfTrue="1" operator="equal">
      <formula>"Towel"</formula>
    </cfRule>
  </conditionalFormatting>
  <conditionalFormatting sqref="C43:C45">
    <cfRule type="cellIs" dxfId="8349" priority="11346" stopIfTrue="1" operator="equal">
      <formula>"Napkin Hs"</formula>
    </cfRule>
  </conditionalFormatting>
  <conditionalFormatting sqref="C43:C45">
    <cfRule type="cellIs" dxfId="8348" priority="11345" stopIfTrue="1" operator="equal">
      <formula>"Towel"</formula>
    </cfRule>
  </conditionalFormatting>
  <conditionalFormatting sqref="C43:C45">
    <cfRule type="cellIs" dxfId="8347" priority="11343" stopIfTrue="1" operator="equal">
      <formula>"Towel"</formula>
    </cfRule>
    <cfRule type="cellIs" dxfId="8346" priority="11344" stopIfTrue="1" operator="equal">
      <formula>"Napkin Hs"</formula>
    </cfRule>
  </conditionalFormatting>
  <conditionalFormatting sqref="B43:C45">
    <cfRule type="cellIs" dxfId="8345" priority="11342" stopIfTrue="1" operator="equal">
      <formula>"Napkin Hs"</formula>
    </cfRule>
  </conditionalFormatting>
  <conditionalFormatting sqref="B43:C45">
    <cfRule type="cellIs" dxfId="8344" priority="11341" stopIfTrue="1" operator="equal">
      <formula>"Towel"</formula>
    </cfRule>
  </conditionalFormatting>
  <conditionalFormatting sqref="C43:C45">
    <cfRule type="cellIs" dxfId="8343" priority="11340" stopIfTrue="1" operator="equal">
      <formula>"Napkin Hs"</formula>
    </cfRule>
  </conditionalFormatting>
  <conditionalFormatting sqref="C43:C45">
    <cfRule type="cellIs" dxfId="8342" priority="11337" stopIfTrue="1" operator="equal">
      <formula>"Towel"</formula>
    </cfRule>
    <cfRule type="cellIs" dxfId="8341" priority="11338" stopIfTrue="1" operator="equal">
      <formula>"Napkin Hs"</formula>
    </cfRule>
  </conditionalFormatting>
  <conditionalFormatting sqref="C43:C45">
    <cfRule type="cellIs" dxfId="8340" priority="11339" stopIfTrue="1" operator="equal">
      <formula>"Towel"</formula>
    </cfRule>
  </conditionalFormatting>
  <conditionalFormatting sqref="B43:C45">
    <cfRule type="cellIs" dxfId="8339" priority="11336" stopIfTrue="1" operator="equal">
      <formula>"Napkin Hs"</formula>
    </cfRule>
  </conditionalFormatting>
  <conditionalFormatting sqref="B43:C45">
    <cfRule type="cellIs" dxfId="8338" priority="11335" stopIfTrue="1" operator="equal">
      <formula>"Towel"</formula>
    </cfRule>
  </conditionalFormatting>
  <conditionalFormatting sqref="C43:C45">
    <cfRule type="cellIs" dxfId="8337" priority="11334" stopIfTrue="1" operator="equal">
      <formula>"Napkin Hs"</formula>
    </cfRule>
  </conditionalFormatting>
  <conditionalFormatting sqref="C43:C45">
    <cfRule type="cellIs" dxfId="8336" priority="11331" stopIfTrue="1" operator="equal">
      <formula>"Towel"</formula>
    </cfRule>
    <cfRule type="cellIs" dxfId="8335" priority="11332" stopIfTrue="1" operator="equal">
      <formula>"Napkin Hs"</formula>
    </cfRule>
  </conditionalFormatting>
  <conditionalFormatting sqref="C43:C45">
    <cfRule type="cellIs" dxfId="8334" priority="11333" stopIfTrue="1" operator="equal">
      <formula>"Towel"</formula>
    </cfRule>
  </conditionalFormatting>
  <conditionalFormatting sqref="B43:C45">
    <cfRule type="cellIs" dxfId="8333" priority="11330" stopIfTrue="1" operator="equal">
      <formula>"Napkin Hs"</formula>
    </cfRule>
  </conditionalFormatting>
  <conditionalFormatting sqref="B43:C45">
    <cfRule type="cellIs" dxfId="8332" priority="11329" stopIfTrue="1" operator="equal">
      <formula>"Towel"</formula>
    </cfRule>
  </conditionalFormatting>
  <conditionalFormatting sqref="C43:C45">
    <cfRule type="cellIs" dxfId="8331" priority="11328" stopIfTrue="1" operator="equal">
      <formula>"Napkin Hs"</formula>
    </cfRule>
  </conditionalFormatting>
  <conditionalFormatting sqref="C43:C45">
    <cfRule type="cellIs" dxfId="8330" priority="11325" stopIfTrue="1" operator="equal">
      <formula>"Towel"</formula>
    </cfRule>
    <cfRule type="cellIs" dxfId="8329" priority="11326" stopIfTrue="1" operator="equal">
      <formula>"Napkin Hs"</formula>
    </cfRule>
  </conditionalFormatting>
  <conditionalFormatting sqref="C43:C45">
    <cfRule type="cellIs" dxfId="8328" priority="11327" stopIfTrue="1" operator="equal">
      <formula>"Towel"</formula>
    </cfRule>
  </conditionalFormatting>
  <conditionalFormatting sqref="B43:C45">
    <cfRule type="cellIs" dxfId="8327" priority="11324" stopIfTrue="1" operator="equal">
      <formula>"Napkin Hs"</formula>
    </cfRule>
  </conditionalFormatting>
  <conditionalFormatting sqref="B43:C45">
    <cfRule type="cellIs" dxfId="8326" priority="11323" stopIfTrue="1" operator="equal">
      <formula>"Towel"</formula>
    </cfRule>
  </conditionalFormatting>
  <conditionalFormatting sqref="C43:C45">
    <cfRule type="cellIs" dxfId="8325" priority="11322" stopIfTrue="1" operator="equal">
      <formula>"Napkin Hs"</formula>
    </cfRule>
  </conditionalFormatting>
  <conditionalFormatting sqref="C43:C45">
    <cfRule type="cellIs" dxfId="8324" priority="11319" stopIfTrue="1" operator="equal">
      <formula>"Towel"</formula>
    </cfRule>
    <cfRule type="cellIs" dxfId="8323" priority="11320" stopIfTrue="1" operator="equal">
      <formula>"Napkin Hs"</formula>
    </cfRule>
  </conditionalFormatting>
  <conditionalFormatting sqref="C43:C45">
    <cfRule type="cellIs" dxfId="8322" priority="11321" stopIfTrue="1" operator="equal">
      <formula>"Towel"</formula>
    </cfRule>
  </conditionalFormatting>
  <conditionalFormatting sqref="B51:C51">
    <cfRule type="cellIs" dxfId="8321" priority="11317" stopIfTrue="1" operator="equal">
      <formula>"Towel"</formula>
    </cfRule>
    <cfRule type="cellIs" dxfId="8320" priority="11318" stopIfTrue="1" operator="equal">
      <formula>"Napkin Hs"</formula>
    </cfRule>
  </conditionalFormatting>
  <conditionalFormatting sqref="C51">
    <cfRule type="cellIs" dxfId="8319" priority="11313" stopIfTrue="1" operator="equal">
      <formula>"Towel"</formula>
    </cfRule>
    <cfRule type="cellIs" dxfId="8318" priority="11314" stopIfTrue="1" operator="equal">
      <formula>"Napkin Hs"</formula>
    </cfRule>
  </conditionalFormatting>
  <conditionalFormatting sqref="C51">
    <cfRule type="cellIs" dxfId="8317" priority="11315" stopIfTrue="1" operator="equal">
      <formula>"Towel"</formula>
    </cfRule>
    <cfRule type="cellIs" dxfId="8316" priority="11316" stopIfTrue="1" operator="equal">
      <formula>"Napkin Hs"</formula>
    </cfRule>
  </conditionalFormatting>
  <conditionalFormatting sqref="B51:C51">
    <cfRule type="cellIs" dxfId="8315" priority="11311" stopIfTrue="1" operator="equal">
      <formula>"Towel"</formula>
    </cfRule>
    <cfRule type="cellIs" dxfId="8314" priority="11312" stopIfTrue="1" operator="equal">
      <formula>"Napkin Hs"</formula>
    </cfRule>
  </conditionalFormatting>
  <conditionalFormatting sqref="C51">
    <cfRule type="cellIs" dxfId="8313" priority="11307" stopIfTrue="1" operator="equal">
      <formula>"Towel"</formula>
    </cfRule>
    <cfRule type="cellIs" dxfId="8312" priority="11308" stopIfTrue="1" operator="equal">
      <formula>"Napkin Hs"</formula>
    </cfRule>
  </conditionalFormatting>
  <conditionalFormatting sqref="C51">
    <cfRule type="cellIs" dxfId="8311" priority="11309" stopIfTrue="1" operator="equal">
      <formula>"Towel"</formula>
    </cfRule>
    <cfRule type="cellIs" dxfId="8310" priority="11310" stopIfTrue="1" operator="equal">
      <formula>"Napkin Hs"</formula>
    </cfRule>
  </conditionalFormatting>
  <conditionalFormatting sqref="B51:C51">
    <cfRule type="cellIs" dxfId="8309" priority="11305" stopIfTrue="1" operator="equal">
      <formula>"Towel"</formula>
    </cfRule>
    <cfRule type="cellIs" dxfId="8308" priority="11306" stopIfTrue="1" operator="equal">
      <formula>"Napkin Hs"</formula>
    </cfRule>
  </conditionalFormatting>
  <conditionalFormatting sqref="C51">
    <cfRule type="cellIs" dxfId="8307" priority="11301" stopIfTrue="1" operator="equal">
      <formula>"Towel"</formula>
    </cfRule>
    <cfRule type="cellIs" dxfId="8306" priority="11302" stopIfTrue="1" operator="equal">
      <formula>"Napkin Hs"</formula>
    </cfRule>
  </conditionalFormatting>
  <conditionalFormatting sqref="C51">
    <cfRule type="cellIs" dxfId="8305" priority="11303" stopIfTrue="1" operator="equal">
      <formula>"Towel"</formula>
    </cfRule>
    <cfRule type="cellIs" dxfId="8304" priority="11304" stopIfTrue="1" operator="equal">
      <formula>"Napkin Hs"</formula>
    </cfRule>
  </conditionalFormatting>
  <conditionalFormatting sqref="B51:C51">
    <cfRule type="cellIs" dxfId="8303" priority="11299" stopIfTrue="1" operator="equal">
      <formula>"Towel"</formula>
    </cfRule>
    <cfRule type="cellIs" dxfId="8302" priority="11300" stopIfTrue="1" operator="equal">
      <formula>"Napkin Hs"</formula>
    </cfRule>
  </conditionalFormatting>
  <conditionalFormatting sqref="C51">
    <cfRule type="cellIs" dxfId="8301" priority="11297" stopIfTrue="1" operator="equal">
      <formula>"Towel"</formula>
    </cfRule>
    <cfRule type="cellIs" dxfId="8300" priority="11298" stopIfTrue="1" operator="equal">
      <formula>"Napkin Hs"</formula>
    </cfRule>
  </conditionalFormatting>
  <conditionalFormatting sqref="C51">
    <cfRule type="cellIs" dxfId="8299" priority="11295" stopIfTrue="1" operator="equal">
      <formula>"Towel"</formula>
    </cfRule>
    <cfRule type="cellIs" dxfId="8298" priority="11296" stopIfTrue="1" operator="equal">
      <formula>"Napkin Hs"</formula>
    </cfRule>
  </conditionalFormatting>
  <conditionalFormatting sqref="B51:C51">
    <cfRule type="cellIs" dxfId="8297" priority="11294" stopIfTrue="1" operator="equal">
      <formula>"Napkin Hs"</formula>
    </cfRule>
  </conditionalFormatting>
  <conditionalFormatting sqref="B51:C51">
    <cfRule type="cellIs" dxfId="8296" priority="11293" stopIfTrue="1" operator="equal">
      <formula>"Towel"</formula>
    </cfRule>
  </conditionalFormatting>
  <conditionalFormatting sqref="C51">
    <cfRule type="cellIs" dxfId="8295" priority="11292" stopIfTrue="1" operator="equal">
      <formula>"Napkin Hs"</formula>
    </cfRule>
  </conditionalFormatting>
  <conditionalFormatting sqref="C51">
    <cfRule type="cellIs" dxfId="8294" priority="11291" stopIfTrue="1" operator="equal">
      <formula>"Towel"</formula>
    </cfRule>
  </conditionalFormatting>
  <conditionalFormatting sqref="C51">
    <cfRule type="cellIs" dxfId="8293" priority="11289" stopIfTrue="1" operator="equal">
      <formula>"Towel"</formula>
    </cfRule>
    <cfRule type="cellIs" dxfId="8292" priority="11290" stopIfTrue="1" operator="equal">
      <formula>"Napkin Hs"</formula>
    </cfRule>
  </conditionalFormatting>
  <conditionalFormatting sqref="C51">
    <cfRule type="cellIs" dxfId="8291" priority="11287" stopIfTrue="1" operator="equal">
      <formula>"Towel"</formula>
    </cfRule>
    <cfRule type="cellIs" dxfId="8290" priority="11288" stopIfTrue="1" operator="equal">
      <formula>"Napkin Hs"</formula>
    </cfRule>
  </conditionalFormatting>
  <conditionalFormatting sqref="B48:C48">
    <cfRule type="cellIs" dxfId="8289" priority="11190" stopIfTrue="1" operator="equal">
      <formula>"Napkin Hs"</formula>
    </cfRule>
  </conditionalFormatting>
  <conditionalFormatting sqref="B48:C48">
    <cfRule type="cellIs" dxfId="8288" priority="11189" stopIfTrue="1" operator="equal">
      <formula>"Towel"</formula>
    </cfRule>
  </conditionalFormatting>
  <conditionalFormatting sqref="C48">
    <cfRule type="cellIs" dxfId="8287" priority="11188" stopIfTrue="1" operator="equal">
      <formula>"Napkin Hs"</formula>
    </cfRule>
  </conditionalFormatting>
  <conditionalFormatting sqref="C48">
    <cfRule type="cellIs" dxfId="8286" priority="11187" stopIfTrue="1" operator="equal">
      <formula>"Towel"</formula>
    </cfRule>
  </conditionalFormatting>
  <conditionalFormatting sqref="C48">
    <cfRule type="cellIs" dxfId="8285" priority="11185" stopIfTrue="1" operator="equal">
      <formula>"Towel"</formula>
    </cfRule>
    <cfRule type="cellIs" dxfId="8284" priority="11186" stopIfTrue="1" operator="equal">
      <formula>"Napkin Hs"</formula>
    </cfRule>
  </conditionalFormatting>
  <conditionalFormatting sqref="B48:C48">
    <cfRule type="cellIs" dxfId="8283" priority="11184" stopIfTrue="1" operator="equal">
      <formula>"Napkin Hs"</formula>
    </cfRule>
  </conditionalFormatting>
  <conditionalFormatting sqref="B48:C48">
    <cfRule type="cellIs" dxfId="8282" priority="11183" stopIfTrue="1" operator="equal">
      <formula>"Towel"</formula>
    </cfRule>
  </conditionalFormatting>
  <conditionalFormatting sqref="C48">
    <cfRule type="cellIs" dxfId="8281" priority="11182" stopIfTrue="1" operator="equal">
      <formula>"Napkin Hs"</formula>
    </cfRule>
  </conditionalFormatting>
  <conditionalFormatting sqref="C48">
    <cfRule type="cellIs" dxfId="8280" priority="11179" stopIfTrue="1" operator="equal">
      <formula>"Towel"</formula>
    </cfRule>
    <cfRule type="cellIs" dxfId="8279" priority="11180" stopIfTrue="1" operator="equal">
      <formula>"Napkin Hs"</formula>
    </cfRule>
  </conditionalFormatting>
  <conditionalFormatting sqref="C48">
    <cfRule type="cellIs" dxfId="8278" priority="11181" stopIfTrue="1" operator="equal">
      <formula>"Towel"</formula>
    </cfRule>
  </conditionalFormatting>
  <conditionalFormatting sqref="B48:C48">
    <cfRule type="cellIs" dxfId="8277" priority="11178" stopIfTrue="1" operator="equal">
      <formula>"Napkin Hs"</formula>
    </cfRule>
  </conditionalFormatting>
  <conditionalFormatting sqref="B48:C48">
    <cfRule type="cellIs" dxfId="8276" priority="11177" stopIfTrue="1" operator="equal">
      <formula>"Towel"</formula>
    </cfRule>
  </conditionalFormatting>
  <conditionalFormatting sqref="C48">
    <cfRule type="cellIs" dxfId="8275" priority="11176" stopIfTrue="1" operator="equal">
      <formula>"Napkin Hs"</formula>
    </cfRule>
  </conditionalFormatting>
  <conditionalFormatting sqref="C48">
    <cfRule type="cellIs" dxfId="8274" priority="11175" stopIfTrue="1" operator="equal">
      <formula>"Towel"</formula>
    </cfRule>
  </conditionalFormatting>
  <conditionalFormatting sqref="C48">
    <cfRule type="cellIs" dxfId="8273" priority="11173" stopIfTrue="1" operator="equal">
      <formula>"Towel"</formula>
    </cfRule>
    <cfRule type="cellIs" dxfId="8272" priority="11174" stopIfTrue="1" operator="equal">
      <formula>"Napkin Hs"</formula>
    </cfRule>
  </conditionalFormatting>
  <conditionalFormatting sqref="B48:C48">
    <cfRule type="cellIs" dxfId="8271" priority="11172" stopIfTrue="1" operator="equal">
      <formula>"Napkin Hs"</formula>
    </cfRule>
  </conditionalFormatting>
  <conditionalFormatting sqref="B48:C48">
    <cfRule type="cellIs" dxfId="8270" priority="11171" stopIfTrue="1" operator="equal">
      <formula>"Towel"</formula>
    </cfRule>
  </conditionalFormatting>
  <conditionalFormatting sqref="C48">
    <cfRule type="cellIs" dxfId="8269" priority="11170" stopIfTrue="1" operator="equal">
      <formula>"Napkin Hs"</formula>
    </cfRule>
  </conditionalFormatting>
  <conditionalFormatting sqref="C48">
    <cfRule type="cellIs" dxfId="8268" priority="11167" stopIfTrue="1" operator="equal">
      <formula>"Towel"</formula>
    </cfRule>
    <cfRule type="cellIs" dxfId="8267" priority="11168" stopIfTrue="1" operator="equal">
      <formula>"Napkin Hs"</formula>
    </cfRule>
  </conditionalFormatting>
  <conditionalFormatting sqref="C48">
    <cfRule type="cellIs" dxfId="8266" priority="11169" stopIfTrue="1" operator="equal">
      <formula>"Towel"</formula>
    </cfRule>
  </conditionalFormatting>
  <conditionalFormatting sqref="B48:C48">
    <cfRule type="cellIs" dxfId="8265" priority="11166" stopIfTrue="1" operator="equal">
      <formula>"Napkin Hs"</formula>
    </cfRule>
  </conditionalFormatting>
  <conditionalFormatting sqref="B48:C48">
    <cfRule type="cellIs" dxfId="8264" priority="11165" stopIfTrue="1" operator="equal">
      <formula>"Towel"</formula>
    </cfRule>
  </conditionalFormatting>
  <conditionalFormatting sqref="C48">
    <cfRule type="cellIs" dxfId="8263" priority="11164" stopIfTrue="1" operator="equal">
      <formula>"Napkin Hs"</formula>
    </cfRule>
  </conditionalFormatting>
  <conditionalFormatting sqref="C48">
    <cfRule type="cellIs" dxfId="8262" priority="11163" stopIfTrue="1" operator="equal">
      <formula>"Towel"</formula>
    </cfRule>
  </conditionalFormatting>
  <conditionalFormatting sqref="C48">
    <cfRule type="cellIs" dxfId="8261" priority="11161" stopIfTrue="1" operator="equal">
      <formula>"Towel"</formula>
    </cfRule>
    <cfRule type="cellIs" dxfId="8260" priority="11162" stopIfTrue="1" operator="equal">
      <formula>"Napkin Hs"</formula>
    </cfRule>
  </conditionalFormatting>
  <conditionalFormatting sqref="B48:C48">
    <cfRule type="cellIs" dxfId="8259" priority="11160" stopIfTrue="1" operator="equal">
      <formula>"Napkin Hs"</formula>
    </cfRule>
  </conditionalFormatting>
  <conditionalFormatting sqref="B48:C48">
    <cfRule type="cellIs" dxfId="8258" priority="11159" stopIfTrue="1" operator="equal">
      <formula>"Towel"</formula>
    </cfRule>
  </conditionalFormatting>
  <conditionalFormatting sqref="C48">
    <cfRule type="cellIs" dxfId="8257" priority="11158" stopIfTrue="1" operator="equal">
      <formula>"Napkin Hs"</formula>
    </cfRule>
  </conditionalFormatting>
  <conditionalFormatting sqref="C48">
    <cfRule type="cellIs" dxfId="8256" priority="11155" stopIfTrue="1" operator="equal">
      <formula>"Towel"</formula>
    </cfRule>
    <cfRule type="cellIs" dxfId="8255" priority="11156" stopIfTrue="1" operator="equal">
      <formula>"Napkin Hs"</formula>
    </cfRule>
  </conditionalFormatting>
  <conditionalFormatting sqref="C48">
    <cfRule type="cellIs" dxfId="8254" priority="11157" stopIfTrue="1" operator="equal">
      <formula>"Towel"</formula>
    </cfRule>
  </conditionalFormatting>
  <conditionalFormatting sqref="B48:C48">
    <cfRule type="cellIs" dxfId="8253" priority="11154" stopIfTrue="1" operator="equal">
      <formula>"Napkin Hs"</formula>
    </cfRule>
  </conditionalFormatting>
  <conditionalFormatting sqref="B48:C48">
    <cfRule type="cellIs" dxfId="8252" priority="11153" stopIfTrue="1" operator="equal">
      <formula>"Towel"</formula>
    </cfRule>
  </conditionalFormatting>
  <conditionalFormatting sqref="C48">
    <cfRule type="cellIs" dxfId="8251" priority="11152" stopIfTrue="1" operator="equal">
      <formula>"Napkin Hs"</formula>
    </cfRule>
  </conditionalFormatting>
  <conditionalFormatting sqref="C48">
    <cfRule type="cellIs" dxfId="8250" priority="11151" stopIfTrue="1" operator="equal">
      <formula>"Towel"</formula>
    </cfRule>
  </conditionalFormatting>
  <conditionalFormatting sqref="C48">
    <cfRule type="cellIs" dxfId="8249" priority="11149" stopIfTrue="1" operator="equal">
      <formula>"Towel"</formula>
    </cfRule>
    <cfRule type="cellIs" dxfId="8248" priority="11150" stopIfTrue="1" operator="equal">
      <formula>"Napkin Hs"</formula>
    </cfRule>
  </conditionalFormatting>
  <conditionalFormatting sqref="B48:C48">
    <cfRule type="cellIs" dxfId="8247" priority="11148" stopIfTrue="1" operator="equal">
      <formula>"Napkin Hs"</formula>
    </cfRule>
  </conditionalFormatting>
  <conditionalFormatting sqref="B48:C48">
    <cfRule type="cellIs" dxfId="8246" priority="11147" stopIfTrue="1" operator="equal">
      <formula>"Towel"</formula>
    </cfRule>
  </conditionalFormatting>
  <conditionalFormatting sqref="C48">
    <cfRule type="cellIs" dxfId="8245" priority="11146" stopIfTrue="1" operator="equal">
      <formula>"Napkin Hs"</formula>
    </cfRule>
  </conditionalFormatting>
  <conditionalFormatting sqref="C48">
    <cfRule type="cellIs" dxfId="8244" priority="11143" stopIfTrue="1" operator="equal">
      <formula>"Towel"</formula>
    </cfRule>
    <cfRule type="cellIs" dxfId="8243" priority="11144" stopIfTrue="1" operator="equal">
      <formula>"Napkin Hs"</formula>
    </cfRule>
  </conditionalFormatting>
  <conditionalFormatting sqref="C48">
    <cfRule type="cellIs" dxfId="8242" priority="11145" stopIfTrue="1" operator="equal">
      <formula>"Towel"</formula>
    </cfRule>
  </conditionalFormatting>
  <conditionalFormatting sqref="B48:C48">
    <cfRule type="cellIs" dxfId="8241" priority="11142" stopIfTrue="1" operator="equal">
      <formula>"Napkin Hs"</formula>
    </cfRule>
  </conditionalFormatting>
  <conditionalFormatting sqref="B48:C48">
    <cfRule type="cellIs" dxfId="8240" priority="11141" stopIfTrue="1" operator="equal">
      <formula>"Towel"</formula>
    </cfRule>
  </conditionalFormatting>
  <conditionalFormatting sqref="C48">
    <cfRule type="cellIs" dxfId="8239" priority="11140" stopIfTrue="1" operator="equal">
      <formula>"Napkin Hs"</formula>
    </cfRule>
  </conditionalFormatting>
  <conditionalFormatting sqref="C48">
    <cfRule type="cellIs" dxfId="8238" priority="11137" stopIfTrue="1" operator="equal">
      <formula>"Towel"</formula>
    </cfRule>
    <cfRule type="cellIs" dxfId="8237" priority="11138" stopIfTrue="1" operator="equal">
      <formula>"Napkin Hs"</formula>
    </cfRule>
  </conditionalFormatting>
  <conditionalFormatting sqref="C48">
    <cfRule type="cellIs" dxfId="8236" priority="11139" stopIfTrue="1" operator="equal">
      <formula>"Towel"</formula>
    </cfRule>
  </conditionalFormatting>
  <conditionalFormatting sqref="B48:C48">
    <cfRule type="cellIs" dxfId="8235" priority="11136" stopIfTrue="1" operator="equal">
      <formula>"Napkin Hs"</formula>
    </cfRule>
  </conditionalFormatting>
  <conditionalFormatting sqref="B48:C48">
    <cfRule type="cellIs" dxfId="8234" priority="11135" stopIfTrue="1" operator="equal">
      <formula>"Towel"</formula>
    </cfRule>
  </conditionalFormatting>
  <conditionalFormatting sqref="C48">
    <cfRule type="cellIs" dxfId="8233" priority="11134" stopIfTrue="1" operator="equal">
      <formula>"Napkin Hs"</formula>
    </cfRule>
  </conditionalFormatting>
  <conditionalFormatting sqref="C48">
    <cfRule type="cellIs" dxfId="8232" priority="11131" stopIfTrue="1" operator="equal">
      <formula>"Towel"</formula>
    </cfRule>
    <cfRule type="cellIs" dxfId="8231" priority="11132" stopIfTrue="1" operator="equal">
      <formula>"Napkin Hs"</formula>
    </cfRule>
  </conditionalFormatting>
  <conditionalFormatting sqref="C48">
    <cfRule type="cellIs" dxfId="8230" priority="11133" stopIfTrue="1" operator="equal">
      <formula>"Towel"</formula>
    </cfRule>
  </conditionalFormatting>
  <conditionalFormatting sqref="B48:C48">
    <cfRule type="cellIs" dxfId="8229" priority="11130" stopIfTrue="1" operator="equal">
      <formula>"Napkin Hs"</formula>
    </cfRule>
  </conditionalFormatting>
  <conditionalFormatting sqref="B48:C48">
    <cfRule type="cellIs" dxfId="8228" priority="11129" stopIfTrue="1" operator="equal">
      <formula>"Towel"</formula>
    </cfRule>
  </conditionalFormatting>
  <conditionalFormatting sqref="C48">
    <cfRule type="cellIs" dxfId="8227" priority="11128" stopIfTrue="1" operator="equal">
      <formula>"Napkin Hs"</formula>
    </cfRule>
  </conditionalFormatting>
  <conditionalFormatting sqref="C48">
    <cfRule type="cellIs" dxfId="8226" priority="11125" stopIfTrue="1" operator="equal">
      <formula>"Towel"</formula>
    </cfRule>
    <cfRule type="cellIs" dxfId="8225" priority="11126" stopIfTrue="1" operator="equal">
      <formula>"Napkin Hs"</formula>
    </cfRule>
  </conditionalFormatting>
  <conditionalFormatting sqref="C48">
    <cfRule type="cellIs" dxfId="8224" priority="11127" stopIfTrue="1" operator="equal">
      <formula>"Towel"</formula>
    </cfRule>
  </conditionalFormatting>
  <conditionalFormatting sqref="B49:C50">
    <cfRule type="cellIs" dxfId="8223" priority="11124" stopIfTrue="1" operator="equal">
      <formula>"Napkin Hs"</formula>
    </cfRule>
  </conditionalFormatting>
  <conditionalFormatting sqref="B49:C50">
    <cfRule type="cellIs" dxfId="8222" priority="11123" stopIfTrue="1" operator="equal">
      <formula>"Towel"</formula>
    </cfRule>
  </conditionalFormatting>
  <conditionalFormatting sqref="C49:C50">
    <cfRule type="cellIs" dxfId="8221" priority="11122" stopIfTrue="1" operator="equal">
      <formula>"Napkin Hs"</formula>
    </cfRule>
  </conditionalFormatting>
  <conditionalFormatting sqref="C49:C50">
    <cfRule type="cellIs" dxfId="8220" priority="11121" stopIfTrue="1" operator="equal">
      <formula>"Towel"</formula>
    </cfRule>
  </conditionalFormatting>
  <conditionalFormatting sqref="C49:C50">
    <cfRule type="cellIs" dxfId="8219" priority="11119" stopIfTrue="1" operator="equal">
      <formula>"Towel"</formula>
    </cfRule>
    <cfRule type="cellIs" dxfId="8218" priority="11120" stopIfTrue="1" operator="equal">
      <formula>"Napkin Hs"</formula>
    </cfRule>
  </conditionalFormatting>
  <conditionalFormatting sqref="B49:C50">
    <cfRule type="cellIs" dxfId="8217" priority="11118" stopIfTrue="1" operator="equal">
      <formula>"Napkin Hs"</formula>
    </cfRule>
  </conditionalFormatting>
  <conditionalFormatting sqref="B49:C50">
    <cfRule type="cellIs" dxfId="8216" priority="11117" stopIfTrue="1" operator="equal">
      <formula>"Towel"</formula>
    </cfRule>
  </conditionalFormatting>
  <conditionalFormatting sqref="C49:C50">
    <cfRule type="cellIs" dxfId="8215" priority="11116" stopIfTrue="1" operator="equal">
      <formula>"Napkin Hs"</formula>
    </cfRule>
  </conditionalFormatting>
  <conditionalFormatting sqref="C49:C50">
    <cfRule type="cellIs" dxfId="8214" priority="11113" stopIfTrue="1" operator="equal">
      <formula>"Towel"</formula>
    </cfRule>
    <cfRule type="cellIs" dxfId="8213" priority="11114" stopIfTrue="1" operator="equal">
      <formula>"Napkin Hs"</formula>
    </cfRule>
  </conditionalFormatting>
  <conditionalFormatting sqref="C49:C50">
    <cfRule type="cellIs" dxfId="8212" priority="11115" stopIfTrue="1" operator="equal">
      <formula>"Towel"</formula>
    </cfRule>
  </conditionalFormatting>
  <conditionalFormatting sqref="B49:C50">
    <cfRule type="cellIs" dxfId="8211" priority="11112" stopIfTrue="1" operator="equal">
      <formula>"Napkin Hs"</formula>
    </cfRule>
  </conditionalFormatting>
  <conditionalFormatting sqref="B49:C50">
    <cfRule type="cellIs" dxfId="8210" priority="11111" stopIfTrue="1" operator="equal">
      <formula>"Towel"</formula>
    </cfRule>
  </conditionalFormatting>
  <conditionalFormatting sqref="C49:C50">
    <cfRule type="cellIs" dxfId="8209" priority="11110" stopIfTrue="1" operator="equal">
      <formula>"Napkin Hs"</formula>
    </cfRule>
  </conditionalFormatting>
  <conditionalFormatting sqref="C49:C50">
    <cfRule type="cellIs" dxfId="8208" priority="11109" stopIfTrue="1" operator="equal">
      <formula>"Towel"</formula>
    </cfRule>
  </conditionalFormatting>
  <conditionalFormatting sqref="C49:C50">
    <cfRule type="cellIs" dxfId="8207" priority="11107" stopIfTrue="1" operator="equal">
      <formula>"Towel"</formula>
    </cfRule>
    <cfRule type="cellIs" dxfId="8206" priority="11108" stopIfTrue="1" operator="equal">
      <formula>"Napkin Hs"</formula>
    </cfRule>
  </conditionalFormatting>
  <conditionalFormatting sqref="B49:C50">
    <cfRule type="cellIs" dxfId="8205" priority="11106" stopIfTrue="1" operator="equal">
      <formula>"Napkin Hs"</formula>
    </cfRule>
  </conditionalFormatting>
  <conditionalFormatting sqref="B49:C50">
    <cfRule type="cellIs" dxfId="8204" priority="11105" stopIfTrue="1" operator="equal">
      <formula>"Towel"</formula>
    </cfRule>
  </conditionalFormatting>
  <conditionalFormatting sqref="C49:C50">
    <cfRule type="cellIs" dxfId="8203" priority="11104" stopIfTrue="1" operator="equal">
      <formula>"Napkin Hs"</formula>
    </cfRule>
  </conditionalFormatting>
  <conditionalFormatting sqref="C49:C50">
    <cfRule type="cellIs" dxfId="8202" priority="11101" stopIfTrue="1" operator="equal">
      <formula>"Towel"</formula>
    </cfRule>
    <cfRule type="cellIs" dxfId="8201" priority="11102" stopIfTrue="1" operator="equal">
      <formula>"Napkin Hs"</formula>
    </cfRule>
  </conditionalFormatting>
  <conditionalFormatting sqref="C49:C50">
    <cfRule type="cellIs" dxfId="8200" priority="11103" stopIfTrue="1" operator="equal">
      <formula>"Towel"</formula>
    </cfRule>
  </conditionalFormatting>
  <conditionalFormatting sqref="B49:C50">
    <cfRule type="cellIs" dxfId="8199" priority="11100" stopIfTrue="1" operator="equal">
      <formula>"Napkin Hs"</formula>
    </cfRule>
  </conditionalFormatting>
  <conditionalFormatting sqref="B49:C50">
    <cfRule type="cellIs" dxfId="8198" priority="11099" stopIfTrue="1" operator="equal">
      <formula>"Towel"</formula>
    </cfRule>
  </conditionalFormatting>
  <conditionalFormatting sqref="C49:C50">
    <cfRule type="cellIs" dxfId="8197" priority="11098" stopIfTrue="1" operator="equal">
      <formula>"Napkin Hs"</formula>
    </cfRule>
  </conditionalFormatting>
  <conditionalFormatting sqref="C49:C50">
    <cfRule type="cellIs" dxfId="8196" priority="11097" stopIfTrue="1" operator="equal">
      <formula>"Towel"</formula>
    </cfRule>
  </conditionalFormatting>
  <conditionalFormatting sqref="C49:C50">
    <cfRule type="cellIs" dxfId="8195" priority="11095" stopIfTrue="1" operator="equal">
      <formula>"Towel"</formula>
    </cfRule>
    <cfRule type="cellIs" dxfId="8194" priority="11096" stopIfTrue="1" operator="equal">
      <formula>"Napkin Hs"</formula>
    </cfRule>
  </conditionalFormatting>
  <conditionalFormatting sqref="B49:C50">
    <cfRule type="cellIs" dxfId="8193" priority="11094" stopIfTrue="1" operator="equal">
      <formula>"Napkin Hs"</formula>
    </cfRule>
  </conditionalFormatting>
  <conditionalFormatting sqref="B49:C50">
    <cfRule type="cellIs" dxfId="8192" priority="11093" stopIfTrue="1" operator="equal">
      <formula>"Towel"</formula>
    </cfRule>
  </conditionalFormatting>
  <conditionalFormatting sqref="C49:C50">
    <cfRule type="cellIs" dxfId="8191" priority="11092" stopIfTrue="1" operator="equal">
      <formula>"Napkin Hs"</formula>
    </cfRule>
  </conditionalFormatting>
  <conditionalFormatting sqref="C49:C50">
    <cfRule type="cellIs" dxfId="8190" priority="11089" stopIfTrue="1" operator="equal">
      <formula>"Towel"</formula>
    </cfRule>
    <cfRule type="cellIs" dxfId="8189" priority="11090" stopIfTrue="1" operator="equal">
      <formula>"Napkin Hs"</formula>
    </cfRule>
  </conditionalFormatting>
  <conditionalFormatting sqref="C49:C50">
    <cfRule type="cellIs" dxfId="8188" priority="11091" stopIfTrue="1" operator="equal">
      <formula>"Towel"</formula>
    </cfRule>
  </conditionalFormatting>
  <conditionalFormatting sqref="B49:C50">
    <cfRule type="cellIs" dxfId="8187" priority="11088" stopIfTrue="1" operator="equal">
      <formula>"Napkin Hs"</formula>
    </cfRule>
  </conditionalFormatting>
  <conditionalFormatting sqref="B49:C50">
    <cfRule type="cellIs" dxfId="8186" priority="11087" stopIfTrue="1" operator="equal">
      <formula>"Towel"</formula>
    </cfRule>
  </conditionalFormatting>
  <conditionalFormatting sqref="C49:C50">
    <cfRule type="cellIs" dxfId="8185" priority="11086" stopIfTrue="1" operator="equal">
      <formula>"Napkin Hs"</formula>
    </cfRule>
  </conditionalFormatting>
  <conditionalFormatting sqref="C49:C50">
    <cfRule type="cellIs" dxfId="8184" priority="11085" stopIfTrue="1" operator="equal">
      <formula>"Towel"</formula>
    </cfRule>
  </conditionalFormatting>
  <conditionalFormatting sqref="C49:C50">
    <cfRule type="cellIs" dxfId="8183" priority="11083" stopIfTrue="1" operator="equal">
      <formula>"Towel"</formula>
    </cfRule>
    <cfRule type="cellIs" dxfId="8182" priority="11084" stopIfTrue="1" operator="equal">
      <formula>"Napkin Hs"</formula>
    </cfRule>
  </conditionalFormatting>
  <conditionalFormatting sqref="B49:C50">
    <cfRule type="cellIs" dxfId="8181" priority="11082" stopIfTrue="1" operator="equal">
      <formula>"Napkin Hs"</formula>
    </cfRule>
  </conditionalFormatting>
  <conditionalFormatting sqref="B49:C50">
    <cfRule type="cellIs" dxfId="8180" priority="11081" stopIfTrue="1" operator="equal">
      <formula>"Towel"</formula>
    </cfRule>
  </conditionalFormatting>
  <conditionalFormatting sqref="C49:C50">
    <cfRule type="cellIs" dxfId="8179" priority="11080" stopIfTrue="1" operator="equal">
      <formula>"Napkin Hs"</formula>
    </cfRule>
  </conditionalFormatting>
  <conditionalFormatting sqref="C49:C50">
    <cfRule type="cellIs" dxfId="8178" priority="11077" stopIfTrue="1" operator="equal">
      <formula>"Towel"</formula>
    </cfRule>
    <cfRule type="cellIs" dxfId="8177" priority="11078" stopIfTrue="1" operator="equal">
      <formula>"Napkin Hs"</formula>
    </cfRule>
  </conditionalFormatting>
  <conditionalFormatting sqref="C49:C50">
    <cfRule type="cellIs" dxfId="8176" priority="11079" stopIfTrue="1" operator="equal">
      <formula>"Towel"</formula>
    </cfRule>
  </conditionalFormatting>
  <conditionalFormatting sqref="B49:C50">
    <cfRule type="cellIs" dxfId="8175" priority="11076" stopIfTrue="1" operator="equal">
      <formula>"Napkin Hs"</formula>
    </cfRule>
  </conditionalFormatting>
  <conditionalFormatting sqref="B49:C50">
    <cfRule type="cellIs" dxfId="8174" priority="11075" stopIfTrue="1" operator="equal">
      <formula>"Towel"</formula>
    </cfRule>
  </conditionalFormatting>
  <conditionalFormatting sqref="C49:C50">
    <cfRule type="cellIs" dxfId="8173" priority="11074" stopIfTrue="1" operator="equal">
      <formula>"Napkin Hs"</formula>
    </cfRule>
  </conditionalFormatting>
  <conditionalFormatting sqref="C49:C50">
    <cfRule type="cellIs" dxfId="8172" priority="11071" stopIfTrue="1" operator="equal">
      <formula>"Towel"</formula>
    </cfRule>
    <cfRule type="cellIs" dxfId="8171" priority="11072" stopIfTrue="1" operator="equal">
      <formula>"Napkin Hs"</formula>
    </cfRule>
  </conditionalFormatting>
  <conditionalFormatting sqref="C49:C50">
    <cfRule type="cellIs" dxfId="8170" priority="11073" stopIfTrue="1" operator="equal">
      <formula>"Towel"</formula>
    </cfRule>
  </conditionalFormatting>
  <conditionalFormatting sqref="B49:C50">
    <cfRule type="cellIs" dxfId="8169" priority="11070" stopIfTrue="1" operator="equal">
      <formula>"Napkin Hs"</formula>
    </cfRule>
  </conditionalFormatting>
  <conditionalFormatting sqref="B49:C50">
    <cfRule type="cellIs" dxfId="8168" priority="11069" stopIfTrue="1" operator="equal">
      <formula>"Towel"</formula>
    </cfRule>
  </conditionalFormatting>
  <conditionalFormatting sqref="C49:C50">
    <cfRule type="cellIs" dxfId="8167" priority="11068" stopIfTrue="1" operator="equal">
      <formula>"Napkin Hs"</formula>
    </cfRule>
  </conditionalFormatting>
  <conditionalFormatting sqref="C49:C50">
    <cfRule type="cellIs" dxfId="8166" priority="11065" stopIfTrue="1" operator="equal">
      <formula>"Towel"</formula>
    </cfRule>
    <cfRule type="cellIs" dxfId="8165" priority="11066" stopIfTrue="1" operator="equal">
      <formula>"Napkin Hs"</formula>
    </cfRule>
  </conditionalFormatting>
  <conditionalFormatting sqref="C49:C50">
    <cfRule type="cellIs" dxfId="8164" priority="11067" stopIfTrue="1" operator="equal">
      <formula>"Towel"</formula>
    </cfRule>
  </conditionalFormatting>
  <conditionalFormatting sqref="B49:C50">
    <cfRule type="cellIs" dxfId="8163" priority="11064" stopIfTrue="1" operator="equal">
      <formula>"Napkin Hs"</formula>
    </cfRule>
  </conditionalFormatting>
  <conditionalFormatting sqref="B49:C50">
    <cfRule type="cellIs" dxfId="8162" priority="11063" stopIfTrue="1" operator="equal">
      <formula>"Towel"</formula>
    </cfRule>
  </conditionalFormatting>
  <conditionalFormatting sqref="C49:C50">
    <cfRule type="cellIs" dxfId="8161" priority="11062" stopIfTrue="1" operator="equal">
      <formula>"Napkin Hs"</formula>
    </cfRule>
  </conditionalFormatting>
  <conditionalFormatting sqref="C49:C50">
    <cfRule type="cellIs" dxfId="8160" priority="11059" stopIfTrue="1" operator="equal">
      <formula>"Towel"</formula>
    </cfRule>
    <cfRule type="cellIs" dxfId="8159" priority="11060" stopIfTrue="1" operator="equal">
      <formula>"Napkin Hs"</formula>
    </cfRule>
  </conditionalFormatting>
  <conditionalFormatting sqref="C49:C50">
    <cfRule type="cellIs" dxfId="8158" priority="11061" stopIfTrue="1" operator="equal">
      <formula>"Towel"</formula>
    </cfRule>
  </conditionalFormatting>
  <conditionalFormatting sqref="B54:C55">
    <cfRule type="cellIs" dxfId="8157" priority="10593" stopIfTrue="1" operator="equal">
      <formula>"Towel"</formula>
    </cfRule>
    <cfRule type="cellIs" dxfId="8156" priority="10594" stopIfTrue="1" operator="equal">
      <formula>"Napkin Hs"</formula>
    </cfRule>
  </conditionalFormatting>
  <conditionalFormatting sqref="C54:C55">
    <cfRule type="cellIs" dxfId="8155" priority="10589" stopIfTrue="1" operator="equal">
      <formula>"Towel"</formula>
    </cfRule>
    <cfRule type="cellIs" dxfId="8154" priority="10590" stopIfTrue="1" operator="equal">
      <formula>"Napkin Hs"</formula>
    </cfRule>
  </conditionalFormatting>
  <conditionalFormatting sqref="C54:C55">
    <cfRule type="cellIs" dxfId="8153" priority="10591" stopIfTrue="1" operator="equal">
      <formula>"Towel"</formula>
    </cfRule>
    <cfRule type="cellIs" dxfId="8152" priority="10592" stopIfTrue="1" operator="equal">
      <formula>"Napkin Hs"</formula>
    </cfRule>
  </conditionalFormatting>
  <conditionalFormatting sqref="B54:C54">
    <cfRule type="cellIs" dxfId="8151" priority="10583" stopIfTrue="1" operator="equal">
      <formula>"Towel"</formula>
    </cfRule>
    <cfRule type="cellIs" dxfId="8150" priority="10584" stopIfTrue="1" operator="equal">
      <formula>"Napkin Hs"</formula>
    </cfRule>
  </conditionalFormatting>
  <conditionalFormatting sqref="B55:C55">
    <cfRule type="cellIs" dxfId="8149" priority="10587" stopIfTrue="1" operator="equal">
      <formula>"Towel"</formula>
    </cfRule>
    <cfRule type="cellIs" dxfId="8148" priority="10588" stopIfTrue="1" operator="equal">
      <formula>"Napkin Hs"</formula>
    </cfRule>
  </conditionalFormatting>
  <conditionalFormatting sqref="C54">
    <cfRule type="cellIs" dxfId="8147" priority="10579" stopIfTrue="1" operator="equal">
      <formula>"Towel"</formula>
    </cfRule>
    <cfRule type="cellIs" dxfId="8146" priority="10580" stopIfTrue="1" operator="equal">
      <formula>"Napkin Hs"</formula>
    </cfRule>
  </conditionalFormatting>
  <conditionalFormatting sqref="C54:C55">
    <cfRule type="cellIs" dxfId="8145" priority="10581" stopIfTrue="1" operator="equal">
      <formula>"Towel"</formula>
    </cfRule>
    <cfRule type="cellIs" dxfId="8144" priority="10582" stopIfTrue="1" operator="equal">
      <formula>"Napkin Hs"</formula>
    </cfRule>
  </conditionalFormatting>
  <conditionalFormatting sqref="C55">
    <cfRule type="cellIs" dxfId="8143" priority="10585" stopIfTrue="1" operator="equal">
      <formula>"Towel"</formula>
    </cfRule>
    <cfRule type="cellIs" dxfId="8142" priority="10586" stopIfTrue="1" operator="equal">
      <formula>"Napkin Hs"</formula>
    </cfRule>
  </conditionalFormatting>
  <conditionalFormatting sqref="B54:C54">
    <cfRule type="cellIs" dxfId="8141" priority="10573" stopIfTrue="1" operator="equal">
      <formula>"Towel"</formula>
    </cfRule>
    <cfRule type="cellIs" dxfId="8140" priority="10574" stopIfTrue="1" operator="equal">
      <formula>"Napkin Hs"</formula>
    </cfRule>
  </conditionalFormatting>
  <conditionalFormatting sqref="B55:C55">
    <cfRule type="cellIs" dxfId="8139" priority="10577" stopIfTrue="1" operator="equal">
      <formula>"Towel"</formula>
    </cfRule>
    <cfRule type="cellIs" dxfId="8138" priority="10578" stopIfTrue="1" operator="equal">
      <formula>"Napkin Hs"</formula>
    </cfRule>
  </conditionalFormatting>
  <conditionalFormatting sqref="C54:C55">
    <cfRule type="cellIs" dxfId="8137" priority="10571" stopIfTrue="1" operator="equal">
      <formula>"Towel"</formula>
    </cfRule>
    <cfRule type="cellIs" dxfId="8136" priority="10572" stopIfTrue="1" operator="equal">
      <formula>"Napkin Hs"</formula>
    </cfRule>
  </conditionalFormatting>
  <conditionalFormatting sqref="C54">
    <cfRule type="cellIs" dxfId="8135" priority="10569" stopIfTrue="1" operator="equal">
      <formula>"Towel"</formula>
    </cfRule>
    <cfRule type="cellIs" dxfId="8134" priority="10570" stopIfTrue="1" operator="equal">
      <formula>"Napkin Hs"</formula>
    </cfRule>
  </conditionalFormatting>
  <conditionalFormatting sqref="C55">
    <cfRule type="cellIs" dxfId="8133" priority="10575" stopIfTrue="1" operator="equal">
      <formula>"Towel"</formula>
    </cfRule>
    <cfRule type="cellIs" dxfId="8132" priority="10576" stopIfTrue="1" operator="equal">
      <formula>"Napkin Hs"</formula>
    </cfRule>
  </conditionalFormatting>
  <conditionalFormatting sqref="B54:C54">
    <cfRule type="cellIs" dxfId="8131" priority="10567" stopIfTrue="1" operator="equal">
      <formula>"Towel"</formula>
    </cfRule>
    <cfRule type="cellIs" dxfId="8130" priority="10568" stopIfTrue="1" operator="equal">
      <formula>"Napkin Hs"</formula>
    </cfRule>
  </conditionalFormatting>
  <conditionalFormatting sqref="B55:C55">
    <cfRule type="cellIs" dxfId="8129" priority="10563" stopIfTrue="1" operator="equal">
      <formula>"Towel"</formula>
    </cfRule>
    <cfRule type="cellIs" dxfId="8128" priority="10564" stopIfTrue="1" operator="equal">
      <formula>"Napkin Hs"</formula>
    </cfRule>
  </conditionalFormatting>
  <conditionalFormatting sqref="C54">
    <cfRule type="cellIs" dxfId="8127" priority="10565" stopIfTrue="1" operator="equal">
      <formula>"Towel"</formula>
    </cfRule>
    <cfRule type="cellIs" dxfId="8126" priority="10566" stopIfTrue="1" operator="equal">
      <formula>"Napkin Hs"</formula>
    </cfRule>
  </conditionalFormatting>
  <conditionalFormatting sqref="C54:C55">
    <cfRule type="cellIs" dxfId="8125" priority="10561" stopIfTrue="1" operator="equal">
      <formula>"Towel"</formula>
    </cfRule>
    <cfRule type="cellIs" dxfId="8124" priority="10562" stopIfTrue="1" operator="equal">
      <formula>"Napkin Hs"</formula>
    </cfRule>
  </conditionalFormatting>
  <conditionalFormatting sqref="C55">
    <cfRule type="cellIs" dxfId="8123" priority="10559" stopIfTrue="1" operator="equal">
      <formula>"Towel"</formula>
    </cfRule>
    <cfRule type="cellIs" dxfId="8122" priority="10560" stopIfTrue="1" operator="equal">
      <formula>"Napkin Hs"</formula>
    </cfRule>
  </conditionalFormatting>
  <conditionalFormatting sqref="B55:C55">
    <cfRule type="cellIs" dxfId="8121" priority="10558" stopIfTrue="1" operator="equal">
      <formula>"Napkin Hs"</formula>
    </cfRule>
  </conditionalFormatting>
  <conditionalFormatting sqref="B55:C55">
    <cfRule type="cellIs" dxfId="8120" priority="10557" stopIfTrue="1" operator="equal">
      <formula>"Towel"</formula>
    </cfRule>
  </conditionalFormatting>
  <conditionalFormatting sqref="B54:C54">
    <cfRule type="cellIs" dxfId="8119" priority="10553" stopIfTrue="1" operator="equal">
      <formula>"Towel"</formula>
    </cfRule>
    <cfRule type="cellIs" dxfId="8118" priority="10554" stopIfTrue="1" operator="equal">
      <formula>"Napkin Hs"</formula>
    </cfRule>
  </conditionalFormatting>
  <conditionalFormatting sqref="C55">
    <cfRule type="cellIs" dxfId="8117" priority="10556" stopIfTrue="1" operator="equal">
      <formula>"Napkin Hs"</formula>
    </cfRule>
  </conditionalFormatting>
  <conditionalFormatting sqref="C55">
    <cfRule type="cellIs" dxfId="8116" priority="10555" stopIfTrue="1" operator="equal">
      <formula>"Towel"</formula>
    </cfRule>
  </conditionalFormatting>
  <conditionalFormatting sqref="C54:C55">
    <cfRule type="cellIs" dxfId="8115" priority="10551" stopIfTrue="1" operator="equal">
      <formula>"Towel"</formula>
    </cfRule>
    <cfRule type="cellIs" dxfId="8114" priority="10552" stopIfTrue="1" operator="equal">
      <formula>"Napkin Hs"</formula>
    </cfRule>
  </conditionalFormatting>
  <conditionalFormatting sqref="C54">
    <cfRule type="cellIs" dxfId="8113" priority="10549" stopIfTrue="1" operator="equal">
      <formula>"Towel"</formula>
    </cfRule>
    <cfRule type="cellIs" dxfId="8112" priority="10550" stopIfTrue="1" operator="equal">
      <formula>"Napkin Hs"</formula>
    </cfRule>
  </conditionalFormatting>
  <conditionalFormatting sqref="C55">
    <cfRule type="cellIs" dxfId="8111" priority="10547" stopIfTrue="1" operator="equal">
      <formula>"Towel"</formula>
    </cfRule>
    <cfRule type="cellIs" dxfId="8110" priority="10548" stopIfTrue="1" operator="equal">
      <formula>"Napkin Hs"</formula>
    </cfRule>
  </conditionalFormatting>
  <conditionalFormatting sqref="B54:C54">
    <cfRule type="cellIs" dxfId="8109" priority="10546" stopIfTrue="1" operator="equal">
      <formula>"Napkin Hs"</formula>
    </cfRule>
  </conditionalFormatting>
  <conditionalFormatting sqref="B54:C54">
    <cfRule type="cellIs" dxfId="8108" priority="10545" stopIfTrue="1" operator="equal">
      <formula>"Towel"</formula>
    </cfRule>
  </conditionalFormatting>
  <conditionalFormatting sqref="C54">
    <cfRule type="cellIs" dxfId="8107" priority="10544" stopIfTrue="1" operator="equal">
      <formula>"Napkin Hs"</formula>
    </cfRule>
  </conditionalFormatting>
  <conditionalFormatting sqref="C54">
    <cfRule type="cellIs" dxfId="8106" priority="10541" stopIfTrue="1" operator="equal">
      <formula>"Towel"</formula>
    </cfRule>
    <cfRule type="cellIs" dxfId="8105" priority="10542" stopIfTrue="1" operator="equal">
      <formula>"Napkin Hs"</formula>
    </cfRule>
  </conditionalFormatting>
  <conditionalFormatting sqref="C54">
    <cfRule type="cellIs" dxfId="8104" priority="10543" stopIfTrue="1" operator="equal">
      <formula>"Towel"</formula>
    </cfRule>
  </conditionalFormatting>
  <conditionalFormatting sqref="B52:C52">
    <cfRule type="cellIs" dxfId="8103" priority="10539" stopIfTrue="1" operator="equal">
      <formula>"Towel"</formula>
    </cfRule>
    <cfRule type="cellIs" dxfId="8102" priority="10540" stopIfTrue="1" operator="equal">
      <formula>"Napkin Hs"</formula>
    </cfRule>
  </conditionalFormatting>
  <conditionalFormatting sqref="C52">
    <cfRule type="cellIs" dxfId="8101" priority="10535" stopIfTrue="1" operator="equal">
      <formula>"Towel"</formula>
    </cfRule>
    <cfRule type="cellIs" dxfId="8100" priority="10536" stopIfTrue="1" operator="equal">
      <formula>"Napkin Hs"</formula>
    </cfRule>
  </conditionalFormatting>
  <conditionalFormatting sqref="C52">
    <cfRule type="cellIs" dxfId="8099" priority="10537" stopIfTrue="1" operator="equal">
      <formula>"Towel"</formula>
    </cfRule>
    <cfRule type="cellIs" dxfId="8098" priority="10538" stopIfTrue="1" operator="equal">
      <formula>"Napkin Hs"</formula>
    </cfRule>
  </conditionalFormatting>
  <conditionalFormatting sqref="B52:C52">
    <cfRule type="cellIs" dxfId="8097" priority="10534" stopIfTrue="1" operator="equal">
      <formula>"Napkin Hs"</formula>
    </cfRule>
  </conditionalFormatting>
  <conditionalFormatting sqref="B52:C52">
    <cfRule type="cellIs" dxfId="8096" priority="10533" stopIfTrue="1" operator="equal">
      <formula>"Towel"</formula>
    </cfRule>
  </conditionalFormatting>
  <conditionalFormatting sqref="C52">
    <cfRule type="cellIs" dxfId="8095" priority="10532" stopIfTrue="1" operator="equal">
      <formula>"Napkin Hs"</formula>
    </cfRule>
  </conditionalFormatting>
  <conditionalFormatting sqref="C52">
    <cfRule type="cellIs" dxfId="8094" priority="10531" stopIfTrue="1" operator="equal">
      <formula>"Towel"</formula>
    </cfRule>
  </conditionalFormatting>
  <conditionalFormatting sqref="C52">
    <cfRule type="cellIs" dxfId="8093" priority="10529" stopIfTrue="1" operator="equal">
      <formula>"Towel"</formula>
    </cfRule>
    <cfRule type="cellIs" dxfId="8092" priority="10530" stopIfTrue="1" operator="equal">
      <formula>"Napkin Hs"</formula>
    </cfRule>
  </conditionalFormatting>
  <conditionalFormatting sqref="B52:C52">
    <cfRule type="cellIs" dxfId="8091" priority="10527" stopIfTrue="1" operator="equal">
      <formula>"Towel"</formula>
    </cfRule>
    <cfRule type="cellIs" dxfId="8090" priority="10528" stopIfTrue="1" operator="equal">
      <formula>"Napkin Hs"</formula>
    </cfRule>
  </conditionalFormatting>
  <conditionalFormatting sqref="C52">
    <cfRule type="cellIs" dxfId="8089" priority="10525" stopIfTrue="1" operator="equal">
      <formula>"Towel"</formula>
    </cfRule>
    <cfRule type="cellIs" dxfId="8088" priority="10526" stopIfTrue="1" operator="equal">
      <formula>"Napkin Hs"</formula>
    </cfRule>
  </conditionalFormatting>
  <conditionalFormatting sqref="C52">
    <cfRule type="cellIs" dxfId="8087" priority="10523" stopIfTrue="1" operator="equal">
      <formula>"Towel"</formula>
    </cfRule>
    <cfRule type="cellIs" dxfId="8086" priority="10524" stopIfTrue="1" operator="equal">
      <formula>"Napkin Hs"</formula>
    </cfRule>
  </conditionalFormatting>
  <conditionalFormatting sqref="B52:C52">
    <cfRule type="cellIs" dxfId="8085" priority="10521" stopIfTrue="1" operator="equal">
      <formula>"Towel"</formula>
    </cfRule>
    <cfRule type="cellIs" dxfId="8084" priority="10522" stopIfTrue="1" operator="equal">
      <formula>"Napkin Hs"</formula>
    </cfRule>
  </conditionalFormatting>
  <conditionalFormatting sqref="C52">
    <cfRule type="cellIs" dxfId="8083" priority="10519" stopIfTrue="1" operator="equal">
      <formula>"Towel"</formula>
    </cfRule>
    <cfRule type="cellIs" dxfId="8082" priority="10520" stopIfTrue="1" operator="equal">
      <formula>"Napkin Hs"</formula>
    </cfRule>
  </conditionalFormatting>
  <conditionalFormatting sqref="C52">
    <cfRule type="cellIs" dxfId="8081" priority="10517" stopIfTrue="1" operator="equal">
      <formula>"Towel"</formula>
    </cfRule>
    <cfRule type="cellIs" dxfId="8080" priority="10518" stopIfTrue="1" operator="equal">
      <formula>"Napkin Hs"</formula>
    </cfRule>
  </conditionalFormatting>
  <conditionalFormatting sqref="B52:C52">
    <cfRule type="cellIs" dxfId="8079" priority="10515" stopIfTrue="1" operator="equal">
      <formula>"Towel"</formula>
    </cfRule>
    <cfRule type="cellIs" dxfId="8078" priority="10516" stopIfTrue="1" operator="equal">
      <formula>"Napkin Hs"</formula>
    </cfRule>
  </conditionalFormatting>
  <conditionalFormatting sqref="C52">
    <cfRule type="cellIs" dxfId="8077" priority="10513" stopIfTrue="1" operator="equal">
      <formula>"Towel"</formula>
    </cfRule>
    <cfRule type="cellIs" dxfId="8076" priority="10514" stopIfTrue="1" operator="equal">
      <formula>"Napkin Hs"</formula>
    </cfRule>
  </conditionalFormatting>
  <conditionalFormatting sqref="C52">
    <cfRule type="cellIs" dxfId="8075" priority="10511" stopIfTrue="1" operator="equal">
      <formula>"Towel"</formula>
    </cfRule>
    <cfRule type="cellIs" dxfId="8074" priority="10512" stopIfTrue="1" operator="equal">
      <formula>"Napkin Hs"</formula>
    </cfRule>
  </conditionalFormatting>
  <conditionalFormatting sqref="B52:C52">
    <cfRule type="cellIs" dxfId="8073" priority="10509" stopIfTrue="1" operator="equal">
      <formula>"Towel"</formula>
    </cfRule>
    <cfRule type="cellIs" dxfId="8072" priority="10510" stopIfTrue="1" operator="equal">
      <formula>"Napkin Hs"</formula>
    </cfRule>
  </conditionalFormatting>
  <conditionalFormatting sqref="C52">
    <cfRule type="cellIs" dxfId="8071" priority="10507" stopIfTrue="1" operator="equal">
      <formula>"Towel"</formula>
    </cfRule>
    <cfRule type="cellIs" dxfId="8070" priority="10508" stopIfTrue="1" operator="equal">
      <formula>"Napkin Hs"</formula>
    </cfRule>
  </conditionalFormatting>
  <conditionalFormatting sqref="C52">
    <cfRule type="cellIs" dxfId="8069" priority="10505" stopIfTrue="1" operator="equal">
      <formula>"Towel"</formula>
    </cfRule>
    <cfRule type="cellIs" dxfId="8068" priority="10506" stopIfTrue="1" operator="equal">
      <formula>"Napkin Hs"</formula>
    </cfRule>
  </conditionalFormatting>
  <conditionalFormatting sqref="B52:C52">
    <cfRule type="cellIs" dxfId="8067" priority="10503" stopIfTrue="1" operator="equal">
      <formula>"Towel"</formula>
    </cfRule>
    <cfRule type="cellIs" dxfId="8066" priority="10504" stopIfTrue="1" operator="equal">
      <formula>"Napkin Hs"</formula>
    </cfRule>
  </conditionalFormatting>
  <conditionalFormatting sqref="C52">
    <cfRule type="cellIs" dxfId="8065" priority="10501" stopIfTrue="1" operator="equal">
      <formula>"Towel"</formula>
    </cfRule>
    <cfRule type="cellIs" dxfId="8064" priority="10502" stopIfTrue="1" operator="equal">
      <formula>"Napkin Hs"</formula>
    </cfRule>
  </conditionalFormatting>
  <conditionalFormatting sqref="C52">
    <cfRule type="cellIs" dxfId="8063" priority="10499" stopIfTrue="1" operator="equal">
      <formula>"Towel"</formula>
    </cfRule>
    <cfRule type="cellIs" dxfId="8062" priority="10500" stopIfTrue="1" operator="equal">
      <formula>"Napkin Hs"</formula>
    </cfRule>
  </conditionalFormatting>
  <conditionalFormatting sqref="B52:C52">
    <cfRule type="cellIs" dxfId="8061" priority="10498" stopIfTrue="1" operator="equal">
      <formula>"Napkin Hs"</formula>
    </cfRule>
  </conditionalFormatting>
  <conditionalFormatting sqref="B52:C52">
    <cfRule type="cellIs" dxfId="8060" priority="10497" stopIfTrue="1" operator="equal">
      <formula>"Towel"</formula>
    </cfRule>
  </conditionalFormatting>
  <conditionalFormatting sqref="C52">
    <cfRule type="cellIs" dxfId="8059" priority="10496" stopIfTrue="1" operator="equal">
      <formula>"Napkin Hs"</formula>
    </cfRule>
  </conditionalFormatting>
  <conditionalFormatting sqref="C52">
    <cfRule type="cellIs" dxfId="8058" priority="10493" stopIfTrue="1" operator="equal">
      <formula>"Towel"</formula>
    </cfRule>
    <cfRule type="cellIs" dxfId="8057" priority="10494" stopIfTrue="1" operator="equal">
      <formula>"Napkin Hs"</formula>
    </cfRule>
  </conditionalFormatting>
  <conditionalFormatting sqref="C52">
    <cfRule type="cellIs" dxfId="8056" priority="10495" stopIfTrue="1" operator="equal">
      <formula>"Towel"</formula>
    </cfRule>
  </conditionalFormatting>
  <conditionalFormatting sqref="B56:C56">
    <cfRule type="cellIs" dxfId="8055" priority="10443" stopIfTrue="1" operator="equal">
      <formula>"Towel"</formula>
    </cfRule>
    <cfRule type="cellIs" dxfId="8054" priority="10444" stopIfTrue="1" operator="equal">
      <formula>"Napkin Hs"</formula>
    </cfRule>
  </conditionalFormatting>
  <conditionalFormatting sqref="C56">
    <cfRule type="cellIs" dxfId="8053" priority="10439" stopIfTrue="1" operator="equal">
      <formula>"Towel"</formula>
    </cfRule>
    <cfRule type="cellIs" dxfId="8052" priority="10440" stopIfTrue="1" operator="equal">
      <formula>"Napkin Hs"</formula>
    </cfRule>
  </conditionalFormatting>
  <conditionalFormatting sqref="C56">
    <cfRule type="cellIs" dxfId="8051" priority="10441" stopIfTrue="1" operator="equal">
      <formula>"Towel"</formula>
    </cfRule>
    <cfRule type="cellIs" dxfId="8050" priority="10442" stopIfTrue="1" operator="equal">
      <formula>"Napkin Hs"</formula>
    </cfRule>
  </conditionalFormatting>
  <conditionalFormatting sqref="B56:C56">
    <cfRule type="cellIs" dxfId="8049" priority="10438" stopIfTrue="1" operator="equal">
      <formula>"Napkin Hs"</formula>
    </cfRule>
  </conditionalFormatting>
  <conditionalFormatting sqref="B56:C56">
    <cfRule type="cellIs" dxfId="8048" priority="10437" stopIfTrue="1" operator="equal">
      <formula>"Towel"</formula>
    </cfRule>
  </conditionalFormatting>
  <conditionalFormatting sqref="C56">
    <cfRule type="cellIs" dxfId="8047" priority="10436" stopIfTrue="1" operator="equal">
      <formula>"Napkin Hs"</formula>
    </cfRule>
  </conditionalFormatting>
  <conditionalFormatting sqref="C56">
    <cfRule type="cellIs" dxfId="8046" priority="10435" stopIfTrue="1" operator="equal">
      <formula>"Towel"</formula>
    </cfRule>
  </conditionalFormatting>
  <conditionalFormatting sqref="C56">
    <cfRule type="cellIs" dxfId="8045" priority="10433" stopIfTrue="1" operator="equal">
      <formula>"Towel"</formula>
    </cfRule>
    <cfRule type="cellIs" dxfId="8044" priority="10434" stopIfTrue="1" operator="equal">
      <formula>"Napkin Hs"</formula>
    </cfRule>
  </conditionalFormatting>
  <conditionalFormatting sqref="B56:C56">
    <cfRule type="cellIs" dxfId="8043" priority="10431" stopIfTrue="1" operator="equal">
      <formula>"Towel"</formula>
    </cfRule>
    <cfRule type="cellIs" dxfId="8042" priority="10432" stopIfTrue="1" operator="equal">
      <formula>"Napkin Hs"</formula>
    </cfRule>
  </conditionalFormatting>
  <conditionalFormatting sqref="C56">
    <cfRule type="cellIs" dxfId="8041" priority="10429" stopIfTrue="1" operator="equal">
      <formula>"Towel"</formula>
    </cfRule>
    <cfRule type="cellIs" dxfId="8040" priority="10430" stopIfTrue="1" operator="equal">
      <formula>"Napkin Hs"</formula>
    </cfRule>
  </conditionalFormatting>
  <conditionalFormatting sqref="C56">
    <cfRule type="cellIs" dxfId="8039" priority="10427" stopIfTrue="1" operator="equal">
      <formula>"Towel"</formula>
    </cfRule>
    <cfRule type="cellIs" dxfId="8038" priority="10428" stopIfTrue="1" operator="equal">
      <formula>"Napkin Hs"</formula>
    </cfRule>
  </conditionalFormatting>
  <conditionalFormatting sqref="B56:C56">
    <cfRule type="cellIs" dxfId="8037" priority="10425" stopIfTrue="1" operator="equal">
      <formula>"Towel"</formula>
    </cfRule>
    <cfRule type="cellIs" dxfId="8036" priority="10426" stopIfTrue="1" operator="equal">
      <formula>"Napkin Hs"</formula>
    </cfRule>
  </conditionalFormatting>
  <conditionalFormatting sqref="C56">
    <cfRule type="cellIs" dxfId="8035" priority="10423" stopIfTrue="1" operator="equal">
      <formula>"Towel"</formula>
    </cfRule>
    <cfRule type="cellIs" dxfId="8034" priority="10424" stopIfTrue="1" operator="equal">
      <formula>"Napkin Hs"</formula>
    </cfRule>
  </conditionalFormatting>
  <conditionalFormatting sqref="C56">
    <cfRule type="cellIs" dxfId="8033" priority="10421" stopIfTrue="1" operator="equal">
      <formula>"Towel"</formula>
    </cfRule>
    <cfRule type="cellIs" dxfId="8032" priority="10422" stopIfTrue="1" operator="equal">
      <formula>"Napkin Hs"</formula>
    </cfRule>
  </conditionalFormatting>
  <conditionalFormatting sqref="B56:C56">
    <cfRule type="cellIs" dxfId="8031" priority="10419" stopIfTrue="1" operator="equal">
      <formula>"Towel"</formula>
    </cfRule>
    <cfRule type="cellIs" dxfId="8030" priority="10420" stopIfTrue="1" operator="equal">
      <formula>"Napkin Hs"</formula>
    </cfRule>
  </conditionalFormatting>
  <conditionalFormatting sqref="C56">
    <cfRule type="cellIs" dxfId="8029" priority="10417" stopIfTrue="1" operator="equal">
      <formula>"Towel"</formula>
    </cfRule>
    <cfRule type="cellIs" dxfId="8028" priority="10418" stopIfTrue="1" operator="equal">
      <formula>"Napkin Hs"</formula>
    </cfRule>
  </conditionalFormatting>
  <conditionalFormatting sqref="C56">
    <cfRule type="cellIs" dxfId="8027" priority="10415" stopIfTrue="1" operator="equal">
      <formula>"Towel"</formula>
    </cfRule>
    <cfRule type="cellIs" dxfId="8026" priority="10416" stopIfTrue="1" operator="equal">
      <formula>"Napkin Hs"</formula>
    </cfRule>
  </conditionalFormatting>
  <conditionalFormatting sqref="B56:C56">
    <cfRule type="cellIs" dxfId="8025" priority="10413" stopIfTrue="1" operator="equal">
      <formula>"Towel"</formula>
    </cfRule>
    <cfRule type="cellIs" dxfId="8024" priority="10414" stopIfTrue="1" operator="equal">
      <formula>"Napkin Hs"</formula>
    </cfRule>
  </conditionalFormatting>
  <conditionalFormatting sqref="C56">
    <cfRule type="cellIs" dxfId="8023" priority="10411" stopIfTrue="1" operator="equal">
      <formula>"Towel"</formula>
    </cfRule>
    <cfRule type="cellIs" dxfId="8022" priority="10412" stopIfTrue="1" operator="equal">
      <formula>"Napkin Hs"</formula>
    </cfRule>
  </conditionalFormatting>
  <conditionalFormatting sqref="C56">
    <cfRule type="cellIs" dxfId="8021" priority="10409" stopIfTrue="1" operator="equal">
      <formula>"Towel"</formula>
    </cfRule>
    <cfRule type="cellIs" dxfId="8020" priority="10410" stopIfTrue="1" operator="equal">
      <formula>"Napkin Hs"</formula>
    </cfRule>
  </conditionalFormatting>
  <conditionalFormatting sqref="B56:C56">
    <cfRule type="cellIs" dxfId="8019" priority="10407" stopIfTrue="1" operator="equal">
      <formula>"Towel"</formula>
    </cfRule>
    <cfRule type="cellIs" dxfId="8018" priority="10408" stopIfTrue="1" operator="equal">
      <formula>"Napkin Hs"</formula>
    </cfRule>
  </conditionalFormatting>
  <conditionalFormatting sqref="C56">
    <cfRule type="cellIs" dxfId="8017" priority="10405" stopIfTrue="1" operator="equal">
      <formula>"Towel"</formula>
    </cfRule>
    <cfRule type="cellIs" dxfId="8016" priority="10406" stopIfTrue="1" operator="equal">
      <formula>"Napkin Hs"</formula>
    </cfRule>
  </conditionalFormatting>
  <conditionalFormatting sqref="C56">
    <cfRule type="cellIs" dxfId="8015" priority="10403" stopIfTrue="1" operator="equal">
      <formula>"Towel"</formula>
    </cfRule>
    <cfRule type="cellIs" dxfId="8014" priority="10404" stopIfTrue="1" operator="equal">
      <formula>"Napkin Hs"</formula>
    </cfRule>
  </conditionalFormatting>
  <conditionalFormatting sqref="B56:C56">
    <cfRule type="cellIs" dxfId="8013" priority="10402" stopIfTrue="1" operator="equal">
      <formula>"Napkin Hs"</formula>
    </cfRule>
  </conditionalFormatting>
  <conditionalFormatting sqref="B56:C56">
    <cfRule type="cellIs" dxfId="8012" priority="10401" stopIfTrue="1" operator="equal">
      <formula>"Towel"</formula>
    </cfRule>
  </conditionalFormatting>
  <conditionalFormatting sqref="C56">
    <cfRule type="cellIs" dxfId="8011" priority="10400" stopIfTrue="1" operator="equal">
      <formula>"Napkin Hs"</formula>
    </cfRule>
  </conditionalFormatting>
  <conditionalFormatting sqref="C56">
    <cfRule type="cellIs" dxfId="8010" priority="10397" stopIfTrue="1" operator="equal">
      <formula>"Towel"</formula>
    </cfRule>
    <cfRule type="cellIs" dxfId="8009" priority="10398" stopIfTrue="1" operator="equal">
      <formula>"Napkin Hs"</formula>
    </cfRule>
  </conditionalFormatting>
  <conditionalFormatting sqref="C56">
    <cfRule type="cellIs" dxfId="8008" priority="10399" stopIfTrue="1" operator="equal">
      <formula>"Towel"</formula>
    </cfRule>
  </conditionalFormatting>
  <conditionalFormatting sqref="B55:C55">
    <cfRule type="cellIs" dxfId="8007" priority="10395" stopIfTrue="1" operator="equal">
      <formula>"Towel"</formula>
    </cfRule>
    <cfRule type="cellIs" dxfId="8006" priority="10396" stopIfTrue="1" operator="equal">
      <formula>"Napkin Hs"</formula>
    </cfRule>
  </conditionalFormatting>
  <conditionalFormatting sqref="C55">
    <cfRule type="cellIs" dxfId="8005" priority="10391" stopIfTrue="1" operator="equal">
      <formula>"Towel"</formula>
    </cfRule>
    <cfRule type="cellIs" dxfId="8004" priority="10392" stopIfTrue="1" operator="equal">
      <formula>"Napkin Hs"</formula>
    </cfRule>
  </conditionalFormatting>
  <conditionalFormatting sqref="C55">
    <cfRule type="cellIs" dxfId="8003" priority="10393" stopIfTrue="1" operator="equal">
      <formula>"Towel"</formula>
    </cfRule>
    <cfRule type="cellIs" dxfId="8002" priority="10394" stopIfTrue="1" operator="equal">
      <formula>"Napkin Hs"</formula>
    </cfRule>
  </conditionalFormatting>
  <conditionalFormatting sqref="B55:C55">
    <cfRule type="cellIs" dxfId="8001" priority="10389" stopIfTrue="1" operator="equal">
      <formula>"Towel"</formula>
    </cfRule>
    <cfRule type="cellIs" dxfId="8000" priority="10390" stopIfTrue="1" operator="equal">
      <formula>"Napkin Hs"</formula>
    </cfRule>
  </conditionalFormatting>
  <conditionalFormatting sqref="C55">
    <cfRule type="cellIs" dxfId="7999" priority="10385" stopIfTrue="1" operator="equal">
      <formula>"Towel"</formula>
    </cfRule>
    <cfRule type="cellIs" dxfId="7998" priority="10386" stopIfTrue="1" operator="equal">
      <formula>"Napkin Hs"</formula>
    </cfRule>
  </conditionalFormatting>
  <conditionalFormatting sqref="C55">
    <cfRule type="cellIs" dxfId="7997" priority="10387" stopIfTrue="1" operator="equal">
      <formula>"Towel"</formula>
    </cfRule>
    <cfRule type="cellIs" dxfId="7996" priority="10388" stopIfTrue="1" operator="equal">
      <formula>"Napkin Hs"</formula>
    </cfRule>
  </conditionalFormatting>
  <conditionalFormatting sqref="B55:C55">
    <cfRule type="cellIs" dxfId="7995" priority="10383" stopIfTrue="1" operator="equal">
      <formula>"Towel"</formula>
    </cfRule>
    <cfRule type="cellIs" dxfId="7994" priority="10384" stopIfTrue="1" operator="equal">
      <formula>"Napkin Hs"</formula>
    </cfRule>
  </conditionalFormatting>
  <conditionalFormatting sqref="C55">
    <cfRule type="cellIs" dxfId="7993" priority="10379" stopIfTrue="1" operator="equal">
      <formula>"Towel"</formula>
    </cfRule>
    <cfRule type="cellIs" dxfId="7992" priority="10380" stopIfTrue="1" operator="equal">
      <formula>"Napkin Hs"</formula>
    </cfRule>
  </conditionalFormatting>
  <conditionalFormatting sqref="C55">
    <cfRule type="cellIs" dxfId="7991" priority="10381" stopIfTrue="1" operator="equal">
      <formula>"Towel"</formula>
    </cfRule>
    <cfRule type="cellIs" dxfId="7990" priority="10382" stopIfTrue="1" operator="equal">
      <formula>"Napkin Hs"</formula>
    </cfRule>
  </conditionalFormatting>
  <conditionalFormatting sqref="B55:C55">
    <cfRule type="cellIs" dxfId="7989" priority="10377" stopIfTrue="1" operator="equal">
      <formula>"Towel"</formula>
    </cfRule>
    <cfRule type="cellIs" dxfId="7988" priority="10378" stopIfTrue="1" operator="equal">
      <formula>"Napkin Hs"</formula>
    </cfRule>
  </conditionalFormatting>
  <conditionalFormatting sqref="C55">
    <cfRule type="cellIs" dxfId="7987" priority="10375" stopIfTrue="1" operator="equal">
      <formula>"Towel"</formula>
    </cfRule>
    <cfRule type="cellIs" dxfId="7986" priority="10376" stopIfTrue="1" operator="equal">
      <formula>"Napkin Hs"</formula>
    </cfRule>
  </conditionalFormatting>
  <conditionalFormatting sqref="C55">
    <cfRule type="cellIs" dxfId="7985" priority="10373" stopIfTrue="1" operator="equal">
      <formula>"Towel"</formula>
    </cfRule>
    <cfRule type="cellIs" dxfId="7984" priority="10374" stopIfTrue="1" operator="equal">
      <formula>"Napkin Hs"</formula>
    </cfRule>
  </conditionalFormatting>
  <conditionalFormatting sqref="B55:C55">
    <cfRule type="cellIs" dxfId="7983" priority="10372" stopIfTrue="1" operator="equal">
      <formula>"Napkin Hs"</formula>
    </cfRule>
  </conditionalFormatting>
  <conditionalFormatting sqref="B55:C55">
    <cfRule type="cellIs" dxfId="7982" priority="10371" stopIfTrue="1" operator="equal">
      <formula>"Towel"</formula>
    </cfRule>
  </conditionalFormatting>
  <conditionalFormatting sqref="C55">
    <cfRule type="cellIs" dxfId="7981" priority="10370" stopIfTrue="1" operator="equal">
      <formula>"Napkin Hs"</formula>
    </cfRule>
  </conditionalFormatting>
  <conditionalFormatting sqref="C55">
    <cfRule type="cellIs" dxfId="7980" priority="10369" stopIfTrue="1" operator="equal">
      <formula>"Towel"</formula>
    </cfRule>
  </conditionalFormatting>
  <conditionalFormatting sqref="C55">
    <cfRule type="cellIs" dxfId="7979" priority="10367" stopIfTrue="1" operator="equal">
      <formula>"Towel"</formula>
    </cfRule>
    <cfRule type="cellIs" dxfId="7978" priority="10368" stopIfTrue="1" operator="equal">
      <formula>"Napkin Hs"</formula>
    </cfRule>
  </conditionalFormatting>
  <conditionalFormatting sqref="C55">
    <cfRule type="cellIs" dxfId="7977" priority="10365" stopIfTrue="1" operator="equal">
      <formula>"Towel"</formula>
    </cfRule>
    <cfRule type="cellIs" dxfId="7976" priority="10366" stopIfTrue="1" operator="equal">
      <formula>"Napkin Hs"</formula>
    </cfRule>
  </conditionalFormatting>
  <conditionalFormatting sqref="B56:C56">
    <cfRule type="cellIs" dxfId="7975" priority="10315" stopIfTrue="1" operator="equal">
      <formula>"Towel"</formula>
    </cfRule>
    <cfRule type="cellIs" dxfId="7974" priority="10316" stopIfTrue="1" operator="equal">
      <formula>"Napkin Hs"</formula>
    </cfRule>
  </conditionalFormatting>
  <conditionalFormatting sqref="C56">
    <cfRule type="cellIs" dxfId="7973" priority="10311" stopIfTrue="1" operator="equal">
      <formula>"Towel"</formula>
    </cfRule>
    <cfRule type="cellIs" dxfId="7972" priority="10312" stopIfTrue="1" operator="equal">
      <formula>"Napkin Hs"</formula>
    </cfRule>
  </conditionalFormatting>
  <conditionalFormatting sqref="C56">
    <cfRule type="cellIs" dxfId="7971" priority="10313" stopIfTrue="1" operator="equal">
      <formula>"Towel"</formula>
    </cfRule>
    <cfRule type="cellIs" dxfId="7970" priority="10314" stopIfTrue="1" operator="equal">
      <formula>"Napkin Hs"</formula>
    </cfRule>
  </conditionalFormatting>
  <conditionalFormatting sqref="B56:C56">
    <cfRule type="cellIs" dxfId="7969" priority="10310" stopIfTrue="1" operator="equal">
      <formula>"Napkin Hs"</formula>
    </cfRule>
  </conditionalFormatting>
  <conditionalFormatting sqref="B56:C56">
    <cfRule type="cellIs" dxfId="7968" priority="10309" stopIfTrue="1" operator="equal">
      <formula>"Towel"</formula>
    </cfRule>
  </conditionalFormatting>
  <conditionalFormatting sqref="C56">
    <cfRule type="cellIs" dxfId="7967" priority="10308" stopIfTrue="1" operator="equal">
      <formula>"Napkin Hs"</formula>
    </cfRule>
  </conditionalFormatting>
  <conditionalFormatting sqref="C56">
    <cfRule type="cellIs" dxfId="7966" priority="10307" stopIfTrue="1" operator="equal">
      <formula>"Towel"</formula>
    </cfRule>
  </conditionalFormatting>
  <conditionalFormatting sqref="C56">
    <cfRule type="cellIs" dxfId="7965" priority="10305" stopIfTrue="1" operator="equal">
      <formula>"Towel"</formula>
    </cfRule>
    <cfRule type="cellIs" dxfId="7964" priority="10306" stopIfTrue="1" operator="equal">
      <formula>"Napkin Hs"</formula>
    </cfRule>
  </conditionalFormatting>
  <conditionalFormatting sqref="B56:C56">
    <cfRule type="cellIs" dxfId="7963" priority="10303" stopIfTrue="1" operator="equal">
      <formula>"Towel"</formula>
    </cfRule>
    <cfRule type="cellIs" dxfId="7962" priority="10304" stopIfTrue="1" operator="equal">
      <formula>"Napkin Hs"</formula>
    </cfRule>
  </conditionalFormatting>
  <conditionalFormatting sqref="C56">
    <cfRule type="cellIs" dxfId="7961" priority="10301" stopIfTrue="1" operator="equal">
      <formula>"Towel"</formula>
    </cfRule>
    <cfRule type="cellIs" dxfId="7960" priority="10302" stopIfTrue="1" operator="equal">
      <formula>"Napkin Hs"</formula>
    </cfRule>
  </conditionalFormatting>
  <conditionalFormatting sqref="C56">
    <cfRule type="cellIs" dxfId="7959" priority="10299" stopIfTrue="1" operator="equal">
      <formula>"Towel"</formula>
    </cfRule>
    <cfRule type="cellIs" dxfId="7958" priority="10300" stopIfTrue="1" operator="equal">
      <formula>"Napkin Hs"</formula>
    </cfRule>
  </conditionalFormatting>
  <conditionalFormatting sqref="B56:C56">
    <cfRule type="cellIs" dxfId="7957" priority="10297" stopIfTrue="1" operator="equal">
      <formula>"Towel"</formula>
    </cfRule>
    <cfRule type="cellIs" dxfId="7956" priority="10298" stopIfTrue="1" operator="equal">
      <formula>"Napkin Hs"</formula>
    </cfRule>
  </conditionalFormatting>
  <conditionalFormatting sqref="C56">
    <cfRule type="cellIs" dxfId="7955" priority="10295" stopIfTrue="1" operator="equal">
      <formula>"Towel"</formula>
    </cfRule>
    <cfRule type="cellIs" dxfId="7954" priority="10296" stopIfTrue="1" operator="equal">
      <formula>"Napkin Hs"</formula>
    </cfRule>
  </conditionalFormatting>
  <conditionalFormatting sqref="C56">
    <cfRule type="cellIs" dxfId="7953" priority="10293" stopIfTrue="1" operator="equal">
      <formula>"Towel"</formula>
    </cfRule>
    <cfRule type="cellIs" dxfId="7952" priority="10294" stopIfTrue="1" operator="equal">
      <formula>"Napkin Hs"</formula>
    </cfRule>
  </conditionalFormatting>
  <conditionalFormatting sqref="B56:C56">
    <cfRule type="cellIs" dxfId="7951" priority="10291" stopIfTrue="1" operator="equal">
      <formula>"Towel"</formula>
    </cfRule>
    <cfRule type="cellIs" dxfId="7950" priority="10292" stopIfTrue="1" operator="equal">
      <formula>"Napkin Hs"</formula>
    </cfRule>
  </conditionalFormatting>
  <conditionalFormatting sqref="C56">
    <cfRule type="cellIs" dxfId="7949" priority="10289" stopIfTrue="1" operator="equal">
      <formula>"Towel"</formula>
    </cfRule>
    <cfRule type="cellIs" dxfId="7948" priority="10290" stopIfTrue="1" operator="equal">
      <formula>"Napkin Hs"</formula>
    </cfRule>
  </conditionalFormatting>
  <conditionalFormatting sqref="C56">
    <cfRule type="cellIs" dxfId="7947" priority="10287" stopIfTrue="1" operator="equal">
      <formula>"Towel"</formula>
    </cfRule>
    <cfRule type="cellIs" dxfId="7946" priority="10288" stopIfTrue="1" operator="equal">
      <formula>"Napkin Hs"</formula>
    </cfRule>
  </conditionalFormatting>
  <conditionalFormatting sqref="B56:C56">
    <cfRule type="cellIs" dxfId="7945" priority="10285" stopIfTrue="1" operator="equal">
      <formula>"Towel"</formula>
    </cfRule>
    <cfRule type="cellIs" dxfId="7944" priority="10286" stopIfTrue="1" operator="equal">
      <formula>"Napkin Hs"</formula>
    </cfRule>
  </conditionalFormatting>
  <conditionalFormatting sqref="C56">
    <cfRule type="cellIs" dxfId="7943" priority="10283" stopIfTrue="1" operator="equal">
      <formula>"Towel"</formula>
    </cfRule>
    <cfRule type="cellIs" dxfId="7942" priority="10284" stopIfTrue="1" operator="equal">
      <formula>"Napkin Hs"</formula>
    </cfRule>
  </conditionalFormatting>
  <conditionalFormatting sqref="C56">
    <cfRule type="cellIs" dxfId="7941" priority="10281" stopIfTrue="1" operator="equal">
      <formula>"Towel"</formula>
    </cfRule>
    <cfRule type="cellIs" dxfId="7940" priority="10282" stopIfTrue="1" operator="equal">
      <formula>"Napkin Hs"</formula>
    </cfRule>
  </conditionalFormatting>
  <conditionalFormatting sqref="B56:C56">
    <cfRule type="cellIs" dxfId="7939" priority="10279" stopIfTrue="1" operator="equal">
      <formula>"Towel"</formula>
    </cfRule>
    <cfRule type="cellIs" dxfId="7938" priority="10280" stopIfTrue="1" operator="equal">
      <formula>"Napkin Hs"</formula>
    </cfRule>
  </conditionalFormatting>
  <conditionalFormatting sqref="C56">
    <cfRule type="cellIs" dxfId="7937" priority="10277" stopIfTrue="1" operator="equal">
      <formula>"Towel"</formula>
    </cfRule>
    <cfRule type="cellIs" dxfId="7936" priority="10278" stopIfTrue="1" operator="equal">
      <formula>"Napkin Hs"</formula>
    </cfRule>
  </conditionalFormatting>
  <conditionalFormatting sqref="C56">
    <cfRule type="cellIs" dxfId="7935" priority="10275" stopIfTrue="1" operator="equal">
      <formula>"Towel"</formula>
    </cfRule>
    <cfRule type="cellIs" dxfId="7934" priority="10276" stopIfTrue="1" operator="equal">
      <formula>"Napkin Hs"</formula>
    </cfRule>
  </conditionalFormatting>
  <conditionalFormatting sqref="B56:C56">
    <cfRule type="cellIs" dxfId="7933" priority="10274" stopIfTrue="1" operator="equal">
      <formula>"Napkin Hs"</formula>
    </cfRule>
  </conditionalFormatting>
  <conditionalFormatting sqref="B56:C56">
    <cfRule type="cellIs" dxfId="7932" priority="10273" stopIfTrue="1" operator="equal">
      <formula>"Towel"</formula>
    </cfRule>
  </conditionalFormatting>
  <conditionalFormatting sqref="C56">
    <cfRule type="cellIs" dxfId="7931" priority="10272" stopIfTrue="1" operator="equal">
      <formula>"Napkin Hs"</formula>
    </cfRule>
  </conditionalFormatting>
  <conditionalFormatting sqref="C56">
    <cfRule type="cellIs" dxfId="7930" priority="10269" stopIfTrue="1" operator="equal">
      <formula>"Towel"</formula>
    </cfRule>
    <cfRule type="cellIs" dxfId="7929" priority="10270" stopIfTrue="1" operator="equal">
      <formula>"Napkin Hs"</formula>
    </cfRule>
  </conditionalFormatting>
  <conditionalFormatting sqref="C56">
    <cfRule type="cellIs" dxfId="7928" priority="10271" stopIfTrue="1" operator="equal">
      <formula>"Towel"</formula>
    </cfRule>
  </conditionalFormatting>
  <conditionalFormatting sqref="B52:C52">
    <cfRule type="cellIs" dxfId="7927" priority="10268" stopIfTrue="1" operator="equal">
      <formula>"Napkin Hs"</formula>
    </cfRule>
  </conditionalFormatting>
  <conditionalFormatting sqref="B52:C52">
    <cfRule type="cellIs" dxfId="7926" priority="10267" stopIfTrue="1" operator="equal">
      <formula>"Towel"</formula>
    </cfRule>
  </conditionalFormatting>
  <conditionalFormatting sqref="C52">
    <cfRule type="cellIs" dxfId="7925" priority="10266" stopIfTrue="1" operator="equal">
      <formula>"Napkin Hs"</formula>
    </cfRule>
  </conditionalFormatting>
  <conditionalFormatting sqref="C52">
    <cfRule type="cellIs" dxfId="7924" priority="10265" stopIfTrue="1" operator="equal">
      <formula>"Towel"</formula>
    </cfRule>
  </conditionalFormatting>
  <conditionalFormatting sqref="C52">
    <cfRule type="cellIs" dxfId="7923" priority="10263" stopIfTrue="1" operator="equal">
      <formula>"Towel"</formula>
    </cfRule>
    <cfRule type="cellIs" dxfId="7922" priority="10264" stopIfTrue="1" operator="equal">
      <formula>"Napkin Hs"</formula>
    </cfRule>
  </conditionalFormatting>
  <conditionalFormatting sqref="B52:C52">
    <cfRule type="cellIs" dxfId="7921" priority="10262" stopIfTrue="1" operator="equal">
      <formula>"Napkin Hs"</formula>
    </cfRule>
  </conditionalFormatting>
  <conditionalFormatting sqref="B52:C52">
    <cfRule type="cellIs" dxfId="7920" priority="10261" stopIfTrue="1" operator="equal">
      <formula>"Towel"</formula>
    </cfRule>
  </conditionalFormatting>
  <conditionalFormatting sqref="C52">
    <cfRule type="cellIs" dxfId="7919" priority="10260" stopIfTrue="1" operator="equal">
      <formula>"Napkin Hs"</formula>
    </cfRule>
  </conditionalFormatting>
  <conditionalFormatting sqref="C52">
    <cfRule type="cellIs" dxfId="7918" priority="10257" stopIfTrue="1" operator="equal">
      <formula>"Towel"</formula>
    </cfRule>
    <cfRule type="cellIs" dxfId="7917" priority="10258" stopIfTrue="1" operator="equal">
      <formula>"Napkin Hs"</formula>
    </cfRule>
  </conditionalFormatting>
  <conditionalFormatting sqref="C52">
    <cfRule type="cellIs" dxfId="7916" priority="10259" stopIfTrue="1" operator="equal">
      <formula>"Towel"</formula>
    </cfRule>
  </conditionalFormatting>
  <conditionalFormatting sqref="B52:C52">
    <cfRule type="cellIs" dxfId="7915" priority="10256" stopIfTrue="1" operator="equal">
      <formula>"Napkin Hs"</formula>
    </cfRule>
  </conditionalFormatting>
  <conditionalFormatting sqref="B52:C52">
    <cfRule type="cellIs" dxfId="7914" priority="10255" stopIfTrue="1" operator="equal">
      <formula>"Towel"</formula>
    </cfRule>
  </conditionalFormatting>
  <conditionalFormatting sqref="C52">
    <cfRule type="cellIs" dxfId="7913" priority="10254" stopIfTrue="1" operator="equal">
      <formula>"Napkin Hs"</formula>
    </cfRule>
  </conditionalFormatting>
  <conditionalFormatting sqref="C52">
    <cfRule type="cellIs" dxfId="7912" priority="10253" stopIfTrue="1" operator="equal">
      <formula>"Towel"</formula>
    </cfRule>
  </conditionalFormatting>
  <conditionalFormatting sqref="C52">
    <cfRule type="cellIs" dxfId="7911" priority="10251" stopIfTrue="1" operator="equal">
      <formula>"Towel"</formula>
    </cfRule>
    <cfRule type="cellIs" dxfId="7910" priority="10252" stopIfTrue="1" operator="equal">
      <formula>"Napkin Hs"</formula>
    </cfRule>
  </conditionalFormatting>
  <conditionalFormatting sqref="B52:C52">
    <cfRule type="cellIs" dxfId="7909" priority="10250" stopIfTrue="1" operator="equal">
      <formula>"Napkin Hs"</formula>
    </cfRule>
  </conditionalFormatting>
  <conditionalFormatting sqref="B52:C52">
    <cfRule type="cellIs" dxfId="7908" priority="10249" stopIfTrue="1" operator="equal">
      <formula>"Towel"</formula>
    </cfRule>
  </conditionalFormatting>
  <conditionalFormatting sqref="C52">
    <cfRule type="cellIs" dxfId="7907" priority="10248" stopIfTrue="1" operator="equal">
      <formula>"Napkin Hs"</formula>
    </cfRule>
  </conditionalFormatting>
  <conditionalFormatting sqref="C52">
    <cfRule type="cellIs" dxfId="7906" priority="10245" stopIfTrue="1" operator="equal">
      <formula>"Towel"</formula>
    </cfRule>
    <cfRule type="cellIs" dxfId="7905" priority="10246" stopIfTrue="1" operator="equal">
      <formula>"Napkin Hs"</formula>
    </cfRule>
  </conditionalFormatting>
  <conditionalFormatting sqref="C52">
    <cfRule type="cellIs" dxfId="7904" priority="10247" stopIfTrue="1" operator="equal">
      <formula>"Towel"</formula>
    </cfRule>
  </conditionalFormatting>
  <conditionalFormatting sqref="B52:C52">
    <cfRule type="cellIs" dxfId="7903" priority="10244" stopIfTrue="1" operator="equal">
      <formula>"Napkin Hs"</formula>
    </cfRule>
  </conditionalFormatting>
  <conditionalFormatting sqref="B52:C52">
    <cfRule type="cellIs" dxfId="7902" priority="10243" stopIfTrue="1" operator="equal">
      <formula>"Towel"</formula>
    </cfRule>
  </conditionalFormatting>
  <conditionalFormatting sqref="C52">
    <cfRule type="cellIs" dxfId="7901" priority="10242" stopIfTrue="1" operator="equal">
      <formula>"Napkin Hs"</formula>
    </cfRule>
  </conditionalFormatting>
  <conditionalFormatting sqref="C52">
    <cfRule type="cellIs" dxfId="7900" priority="10241" stopIfTrue="1" operator="equal">
      <formula>"Towel"</formula>
    </cfRule>
  </conditionalFormatting>
  <conditionalFormatting sqref="C52">
    <cfRule type="cellIs" dxfId="7899" priority="10239" stopIfTrue="1" operator="equal">
      <formula>"Towel"</formula>
    </cfRule>
    <cfRule type="cellIs" dxfId="7898" priority="10240" stopIfTrue="1" operator="equal">
      <formula>"Napkin Hs"</formula>
    </cfRule>
  </conditionalFormatting>
  <conditionalFormatting sqref="B52:C52">
    <cfRule type="cellIs" dxfId="7897" priority="10238" stopIfTrue="1" operator="equal">
      <formula>"Napkin Hs"</formula>
    </cfRule>
  </conditionalFormatting>
  <conditionalFormatting sqref="B52:C52">
    <cfRule type="cellIs" dxfId="7896" priority="10237" stopIfTrue="1" operator="equal">
      <formula>"Towel"</formula>
    </cfRule>
  </conditionalFormatting>
  <conditionalFormatting sqref="C52">
    <cfRule type="cellIs" dxfId="7895" priority="10236" stopIfTrue="1" operator="equal">
      <formula>"Napkin Hs"</formula>
    </cfRule>
  </conditionalFormatting>
  <conditionalFormatting sqref="C52">
    <cfRule type="cellIs" dxfId="7894" priority="10233" stopIfTrue="1" operator="equal">
      <formula>"Towel"</formula>
    </cfRule>
    <cfRule type="cellIs" dxfId="7893" priority="10234" stopIfTrue="1" operator="equal">
      <formula>"Napkin Hs"</formula>
    </cfRule>
  </conditionalFormatting>
  <conditionalFormatting sqref="C52">
    <cfRule type="cellIs" dxfId="7892" priority="10235" stopIfTrue="1" operator="equal">
      <formula>"Towel"</formula>
    </cfRule>
  </conditionalFormatting>
  <conditionalFormatting sqref="B52:C52">
    <cfRule type="cellIs" dxfId="7891" priority="10232" stopIfTrue="1" operator="equal">
      <formula>"Napkin Hs"</formula>
    </cfRule>
  </conditionalFormatting>
  <conditionalFormatting sqref="B52:C52">
    <cfRule type="cellIs" dxfId="7890" priority="10231" stopIfTrue="1" operator="equal">
      <formula>"Towel"</formula>
    </cfRule>
  </conditionalFormatting>
  <conditionalFormatting sqref="C52">
    <cfRule type="cellIs" dxfId="7889" priority="10230" stopIfTrue="1" operator="equal">
      <formula>"Napkin Hs"</formula>
    </cfRule>
  </conditionalFormatting>
  <conditionalFormatting sqref="C52">
    <cfRule type="cellIs" dxfId="7888" priority="10229" stopIfTrue="1" operator="equal">
      <formula>"Towel"</formula>
    </cfRule>
  </conditionalFormatting>
  <conditionalFormatting sqref="C52">
    <cfRule type="cellIs" dxfId="7887" priority="10227" stopIfTrue="1" operator="equal">
      <formula>"Towel"</formula>
    </cfRule>
    <cfRule type="cellIs" dxfId="7886" priority="10228" stopIfTrue="1" operator="equal">
      <formula>"Napkin Hs"</formula>
    </cfRule>
  </conditionalFormatting>
  <conditionalFormatting sqref="B52:C52">
    <cfRule type="cellIs" dxfId="7885" priority="10226" stopIfTrue="1" operator="equal">
      <formula>"Napkin Hs"</formula>
    </cfRule>
  </conditionalFormatting>
  <conditionalFormatting sqref="B52:C52">
    <cfRule type="cellIs" dxfId="7884" priority="10225" stopIfTrue="1" operator="equal">
      <formula>"Towel"</formula>
    </cfRule>
  </conditionalFormatting>
  <conditionalFormatting sqref="C52">
    <cfRule type="cellIs" dxfId="7883" priority="10224" stopIfTrue="1" operator="equal">
      <formula>"Napkin Hs"</formula>
    </cfRule>
  </conditionalFormatting>
  <conditionalFormatting sqref="C52">
    <cfRule type="cellIs" dxfId="7882" priority="10221" stopIfTrue="1" operator="equal">
      <formula>"Towel"</formula>
    </cfRule>
    <cfRule type="cellIs" dxfId="7881" priority="10222" stopIfTrue="1" operator="equal">
      <formula>"Napkin Hs"</formula>
    </cfRule>
  </conditionalFormatting>
  <conditionalFormatting sqref="C52">
    <cfRule type="cellIs" dxfId="7880" priority="10223" stopIfTrue="1" operator="equal">
      <formula>"Towel"</formula>
    </cfRule>
  </conditionalFormatting>
  <conditionalFormatting sqref="B52:C52">
    <cfRule type="cellIs" dxfId="7879" priority="10220" stopIfTrue="1" operator="equal">
      <formula>"Napkin Hs"</formula>
    </cfRule>
  </conditionalFormatting>
  <conditionalFormatting sqref="B52:C52">
    <cfRule type="cellIs" dxfId="7878" priority="10219" stopIfTrue="1" operator="equal">
      <formula>"Towel"</formula>
    </cfRule>
  </conditionalFormatting>
  <conditionalFormatting sqref="C52">
    <cfRule type="cellIs" dxfId="7877" priority="10218" stopIfTrue="1" operator="equal">
      <formula>"Napkin Hs"</formula>
    </cfRule>
  </conditionalFormatting>
  <conditionalFormatting sqref="C52">
    <cfRule type="cellIs" dxfId="7876" priority="10215" stopIfTrue="1" operator="equal">
      <formula>"Towel"</formula>
    </cfRule>
    <cfRule type="cellIs" dxfId="7875" priority="10216" stopIfTrue="1" operator="equal">
      <formula>"Napkin Hs"</formula>
    </cfRule>
  </conditionalFormatting>
  <conditionalFormatting sqref="C52">
    <cfRule type="cellIs" dxfId="7874" priority="10217" stopIfTrue="1" operator="equal">
      <formula>"Towel"</formula>
    </cfRule>
  </conditionalFormatting>
  <conditionalFormatting sqref="B52:C52">
    <cfRule type="cellIs" dxfId="7873" priority="10214" stopIfTrue="1" operator="equal">
      <formula>"Napkin Hs"</formula>
    </cfRule>
  </conditionalFormatting>
  <conditionalFormatting sqref="B52:C52">
    <cfRule type="cellIs" dxfId="7872" priority="10213" stopIfTrue="1" operator="equal">
      <formula>"Towel"</formula>
    </cfRule>
  </conditionalFormatting>
  <conditionalFormatting sqref="C52">
    <cfRule type="cellIs" dxfId="7871" priority="10212" stopIfTrue="1" operator="equal">
      <formula>"Napkin Hs"</formula>
    </cfRule>
  </conditionalFormatting>
  <conditionalFormatting sqref="C52">
    <cfRule type="cellIs" dxfId="7870" priority="10209" stopIfTrue="1" operator="equal">
      <formula>"Towel"</formula>
    </cfRule>
    <cfRule type="cellIs" dxfId="7869" priority="10210" stopIfTrue="1" operator="equal">
      <formula>"Napkin Hs"</formula>
    </cfRule>
  </conditionalFormatting>
  <conditionalFormatting sqref="C52">
    <cfRule type="cellIs" dxfId="7868" priority="10211" stopIfTrue="1" operator="equal">
      <formula>"Towel"</formula>
    </cfRule>
  </conditionalFormatting>
  <conditionalFormatting sqref="B52:C52">
    <cfRule type="cellIs" dxfId="7867" priority="10208" stopIfTrue="1" operator="equal">
      <formula>"Napkin Hs"</formula>
    </cfRule>
  </conditionalFormatting>
  <conditionalFormatting sqref="B52:C52">
    <cfRule type="cellIs" dxfId="7866" priority="10207" stopIfTrue="1" operator="equal">
      <formula>"Towel"</formula>
    </cfRule>
  </conditionalFormatting>
  <conditionalFormatting sqref="C52">
    <cfRule type="cellIs" dxfId="7865" priority="10206" stopIfTrue="1" operator="equal">
      <formula>"Napkin Hs"</formula>
    </cfRule>
  </conditionalFormatting>
  <conditionalFormatting sqref="C52">
    <cfRule type="cellIs" dxfId="7864" priority="10203" stopIfTrue="1" operator="equal">
      <formula>"Towel"</formula>
    </cfRule>
    <cfRule type="cellIs" dxfId="7863" priority="10204" stopIfTrue="1" operator="equal">
      <formula>"Napkin Hs"</formula>
    </cfRule>
  </conditionalFormatting>
  <conditionalFormatting sqref="C52">
    <cfRule type="cellIs" dxfId="7862" priority="10205" stopIfTrue="1" operator="equal">
      <formula>"Towel"</formula>
    </cfRule>
  </conditionalFormatting>
  <conditionalFormatting sqref="B54:C54">
    <cfRule type="cellIs" dxfId="7861" priority="10202" stopIfTrue="1" operator="equal">
      <formula>"Napkin Hs"</formula>
    </cfRule>
  </conditionalFormatting>
  <conditionalFormatting sqref="B54:C54">
    <cfRule type="cellIs" dxfId="7860" priority="10201" stopIfTrue="1" operator="equal">
      <formula>"Towel"</formula>
    </cfRule>
  </conditionalFormatting>
  <conditionalFormatting sqref="C54">
    <cfRule type="cellIs" dxfId="7859" priority="10200" stopIfTrue="1" operator="equal">
      <formula>"Napkin Hs"</formula>
    </cfRule>
  </conditionalFormatting>
  <conditionalFormatting sqref="C54">
    <cfRule type="cellIs" dxfId="7858" priority="10199" stopIfTrue="1" operator="equal">
      <formula>"Towel"</formula>
    </cfRule>
  </conditionalFormatting>
  <conditionalFormatting sqref="C54">
    <cfRule type="cellIs" dxfId="7857" priority="10197" stopIfTrue="1" operator="equal">
      <formula>"Towel"</formula>
    </cfRule>
    <cfRule type="cellIs" dxfId="7856" priority="10198" stopIfTrue="1" operator="equal">
      <formula>"Napkin Hs"</formula>
    </cfRule>
  </conditionalFormatting>
  <conditionalFormatting sqref="B54:C54">
    <cfRule type="cellIs" dxfId="7855" priority="10196" stopIfTrue="1" operator="equal">
      <formula>"Napkin Hs"</formula>
    </cfRule>
  </conditionalFormatting>
  <conditionalFormatting sqref="B54:C54">
    <cfRule type="cellIs" dxfId="7854" priority="10195" stopIfTrue="1" operator="equal">
      <formula>"Towel"</formula>
    </cfRule>
  </conditionalFormatting>
  <conditionalFormatting sqref="C54">
    <cfRule type="cellIs" dxfId="7853" priority="10194" stopIfTrue="1" operator="equal">
      <formula>"Napkin Hs"</formula>
    </cfRule>
  </conditionalFormatting>
  <conditionalFormatting sqref="C54">
    <cfRule type="cellIs" dxfId="7852" priority="10191" stopIfTrue="1" operator="equal">
      <formula>"Towel"</formula>
    </cfRule>
    <cfRule type="cellIs" dxfId="7851" priority="10192" stopIfTrue="1" operator="equal">
      <formula>"Napkin Hs"</formula>
    </cfRule>
  </conditionalFormatting>
  <conditionalFormatting sqref="C54">
    <cfRule type="cellIs" dxfId="7850" priority="10193" stopIfTrue="1" operator="equal">
      <formula>"Towel"</formula>
    </cfRule>
  </conditionalFormatting>
  <conditionalFormatting sqref="B54:C54">
    <cfRule type="cellIs" dxfId="7849" priority="10190" stopIfTrue="1" operator="equal">
      <formula>"Napkin Hs"</formula>
    </cfRule>
  </conditionalFormatting>
  <conditionalFormatting sqref="B54:C54">
    <cfRule type="cellIs" dxfId="7848" priority="10189" stopIfTrue="1" operator="equal">
      <formula>"Towel"</formula>
    </cfRule>
  </conditionalFormatting>
  <conditionalFormatting sqref="C54">
    <cfRule type="cellIs" dxfId="7847" priority="10188" stopIfTrue="1" operator="equal">
      <formula>"Napkin Hs"</formula>
    </cfRule>
  </conditionalFormatting>
  <conditionalFormatting sqref="C54">
    <cfRule type="cellIs" dxfId="7846" priority="10187" stopIfTrue="1" operator="equal">
      <formula>"Towel"</formula>
    </cfRule>
  </conditionalFormatting>
  <conditionalFormatting sqref="C54">
    <cfRule type="cellIs" dxfId="7845" priority="10185" stopIfTrue="1" operator="equal">
      <formula>"Towel"</formula>
    </cfRule>
    <cfRule type="cellIs" dxfId="7844" priority="10186" stopIfTrue="1" operator="equal">
      <formula>"Napkin Hs"</formula>
    </cfRule>
  </conditionalFormatting>
  <conditionalFormatting sqref="B54:C54">
    <cfRule type="cellIs" dxfId="7843" priority="10184" stopIfTrue="1" operator="equal">
      <formula>"Napkin Hs"</formula>
    </cfRule>
  </conditionalFormatting>
  <conditionalFormatting sqref="B54:C54">
    <cfRule type="cellIs" dxfId="7842" priority="10183" stopIfTrue="1" operator="equal">
      <formula>"Towel"</formula>
    </cfRule>
  </conditionalFormatting>
  <conditionalFormatting sqref="C54">
    <cfRule type="cellIs" dxfId="7841" priority="10182" stopIfTrue="1" operator="equal">
      <formula>"Napkin Hs"</formula>
    </cfRule>
  </conditionalFormatting>
  <conditionalFormatting sqref="C54">
    <cfRule type="cellIs" dxfId="7840" priority="10179" stopIfTrue="1" operator="equal">
      <formula>"Towel"</formula>
    </cfRule>
    <cfRule type="cellIs" dxfId="7839" priority="10180" stopIfTrue="1" operator="equal">
      <formula>"Napkin Hs"</formula>
    </cfRule>
  </conditionalFormatting>
  <conditionalFormatting sqref="C54">
    <cfRule type="cellIs" dxfId="7838" priority="10181" stopIfTrue="1" operator="equal">
      <formula>"Towel"</formula>
    </cfRule>
  </conditionalFormatting>
  <conditionalFormatting sqref="B54:C54">
    <cfRule type="cellIs" dxfId="7837" priority="10178" stopIfTrue="1" operator="equal">
      <formula>"Napkin Hs"</formula>
    </cfRule>
  </conditionalFormatting>
  <conditionalFormatting sqref="B54:C54">
    <cfRule type="cellIs" dxfId="7836" priority="10177" stopIfTrue="1" operator="equal">
      <formula>"Towel"</formula>
    </cfRule>
  </conditionalFormatting>
  <conditionalFormatting sqref="C54">
    <cfRule type="cellIs" dxfId="7835" priority="10176" stopIfTrue="1" operator="equal">
      <formula>"Napkin Hs"</formula>
    </cfRule>
  </conditionalFormatting>
  <conditionalFormatting sqref="C54">
    <cfRule type="cellIs" dxfId="7834" priority="10175" stopIfTrue="1" operator="equal">
      <formula>"Towel"</formula>
    </cfRule>
  </conditionalFormatting>
  <conditionalFormatting sqref="C54">
    <cfRule type="cellIs" dxfId="7833" priority="10173" stopIfTrue="1" operator="equal">
      <formula>"Towel"</formula>
    </cfRule>
    <cfRule type="cellIs" dxfId="7832" priority="10174" stopIfTrue="1" operator="equal">
      <formula>"Napkin Hs"</formula>
    </cfRule>
  </conditionalFormatting>
  <conditionalFormatting sqref="B54:C54">
    <cfRule type="cellIs" dxfId="7831" priority="10172" stopIfTrue="1" operator="equal">
      <formula>"Napkin Hs"</formula>
    </cfRule>
  </conditionalFormatting>
  <conditionalFormatting sqref="B54:C54">
    <cfRule type="cellIs" dxfId="7830" priority="10171" stopIfTrue="1" operator="equal">
      <formula>"Towel"</formula>
    </cfRule>
  </conditionalFormatting>
  <conditionalFormatting sqref="C54">
    <cfRule type="cellIs" dxfId="7829" priority="10170" stopIfTrue="1" operator="equal">
      <formula>"Napkin Hs"</formula>
    </cfRule>
  </conditionalFormatting>
  <conditionalFormatting sqref="C54">
    <cfRule type="cellIs" dxfId="7828" priority="10167" stopIfTrue="1" operator="equal">
      <formula>"Towel"</formula>
    </cfRule>
    <cfRule type="cellIs" dxfId="7827" priority="10168" stopIfTrue="1" operator="equal">
      <formula>"Napkin Hs"</formula>
    </cfRule>
  </conditionalFormatting>
  <conditionalFormatting sqref="C54">
    <cfRule type="cellIs" dxfId="7826" priority="10169" stopIfTrue="1" operator="equal">
      <formula>"Towel"</formula>
    </cfRule>
  </conditionalFormatting>
  <conditionalFormatting sqref="B54:C54">
    <cfRule type="cellIs" dxfId="7825" priority="10166" stopIfTrue="1" operator="equal">
      <formula>"Napkin Hs"</formula>
    </cfRule>
  </conditionalFormatting>
  <conditionalFormatting sqref="B54:C54">
    <cfRule type="cellIs" dxfId="7824" priority="10165" stopIfTrue="1" operator="equal">
      <formula>"Towel"</formula>
    </cfRule>
  </conditionalFormatting>
  <conditionalFormatting sqref="C54">
    <cfRule type="cellIs" dxfId="7823" priority="10164" stopIfTrue="1" operator="equal">
      <formula>"Napkin Hs"</formula>
    </cfRule>
  </conditionalFormatting>
  <conditionalFormatting sqref="C54">
    <cfRule type="cellIs" dxfId="7822" priority="10163" stopIfTrue="1" operator="equal">
      <formula>"Towel"</formula>
    </cfRule>
  </conditionalFormatting>
  <conditionalFormatting sqref="C54">
    <cfRule type="cellIs" dxfId="7821" priority="10161" stopIfTrue="1" operator="equal">
      <formula>"Towel"</formula>
    </cfRule>
    <cfRule type="cellIs" dxfId="7820" priority="10162" stopIfTrue="1" operator="equal">
      <formula>"Napkin Hs"</formula>
    </cfRule>
  </conditionalFormatting>
  <conditionalFormatting sqref="B54:C54">
    <cfRule type="cellIs" dxfId="7819" priority="10160" stopIfTrue="1" operator="equal">
      <formula>"Napkin Hs"</formula>
    </cfRule>
  </conditionalFormatting>
  <conditionalFormatting sqref="B54:C54">
    <cfRule type="cellIs" dxfId="7818" priority="10159" stopIfTrue="1" operator="equal">
      <formula>"Towel"</formula>
    </cfRule>
  </conditionalFormatting>
  <conditionalFormatting sqref="C54">
    <cfRule type="cellIs" dxfId="7817" priority="10158" stopIfTrue="1" operator="equal">
      <formula>"Napkin Hs"</formula>
    </cfRule>
  </conditionalFormatting>
  <conditionalFormatting sqref="C54">
    <cfRule type="cellIs" dxfId="7816" priority="10155" stopIfTrue="1" operator="equal">
      <formula>"Towel"</formula>
    </cfRule>
    <cfRule type="cellIs" dxfId="7815" priority="10156" stopIfTrue="1" operator="equal">
      <formula>"Napkin Hs"</formula>
    </cfRule>
  </conditionalFormatting>
  <conditionalFormatting sqref="C54">
    <cfRule type="cellIs" dxfId="7814" priority="10157" stopIfTrue="1" operator="equal">
      <formula>"Towel"</formula>
    </cfRule>
  </conditionalFormatting>
  <conditionalFormatting sqref="B54:C54">
    <cfRule type="cellIs" dxfId="7813" priority="10154" stopIfTrue="1" operator="equal">
      <formula>"Napkin Hs"</formula>
    </cfRule>
  </conditionalFormatting>
  <conditionalFormatting sqref="B54:C54">
    <cfRule type="cellIs" dxfId="7812" priority="10153" stopIfTrue="1" operator="equal">
      <formula>"Towel"</formula>
    </cfRule>
  </conditionalFormatting>
  <conditionalFormatting sqref="C54">
    <cfRule type="cellIs" dxfId="7811" priority="10152" stopIfTrue="1" operator="equal">
      <formula>"Napkin Hs"</formula>
    </cfRule>
  </conditionalFormatting>
  <conditionalFormatting sqref="C54">
    <cfRule type="cellIs" dxfId="7810" priority="10149" stopIfTrue="1" operator="equal">
      <formula>"Towel"</formula>
    </cfRule>
    <cfRule type="cellIs" dxfId="7809" priority="10150" stopIfTrue="1" operator="equal">
      <formula>"Napkin Hs"</formula>
    </cfRule>
  </conditionalFormatting>
  <conditionalFormatting sqref="C54">
    <cfRule type="cellIs" dxfId="7808" priority="10151" stopIfTrue="1" operator="equal">
      <formula>"Towel"</formula>
    </cfRule>
  </conditionalFormatting>
  <conditionalFormatting sqref="B54:C54">
    <cfRule type="cellIs" dxfId="7807" priority="10148" stopIfTrue="1" operator="equal">
      <formula>"Napkin Hs"</formula>
    </cfRule>
  </conditionalFormatting>
  <conditionalFormatting sqref="B54:C54">
    <cfRule type="cellIs" dxfId="7806" priority="10147" stopIfTrue="1" operator="equal">
      <formula>"Towel"</formula>
    </cfRule>
  </conditionalFormatting>
  <conditionalFormatting sqref="C54">
    <cfRule type="cellIs" dxfId="7805" priority="10146" stopIfTrue="1" operator="equal">
      <formula>"Napkin Hs"</formula>
    </cfRule>
  </conditionalFormatting>
  <conditionalFormatting sqref="C54">
    <cfRule type="cellIs" dxfId="7804" priority="10143" stopIfTrue="1" operator="equal">
      <formula>"Towel"</formula>
    </cfRule>
    <cfRule type="cellIs" dxfId="7803" priority="10144" stopIfTrue="1" operator="equal">
      <formula>"Napkin Hs"</formula>
    </cfRule>
  </conditionalFormatting>
  <conditionalFormatting sqref="C54">
    <cfRule type="cellIs" dxfId="7802" priority="10145" stopIfTrue="1" operator="equal">
      <formula>"Towel"</formula>
    </cfRule>
  </conditionalFormatting>
  <conditionalFormatting sqref="B54:C54">
    <cfRule type="cellIs" dxfId="7801" priority="10142" stopIfTrue="1" operator="equal">
      <formula>"Napkin Hs"</formula>
    </cfRule>
  </conditionalFormatting>
  <conditionalFormatting sqref="B54:C54">
    <cfRule type="cellIs" dxfId="7800" priority="10141" stopIfTrue="1" operator="equal">
      <formula>"Towel"</formula>
    </cfRule>
  </conditionalFormatting>
  <conditionalFormatting sqref="C54">
    <cfRule type="cellIs" dxfId="7799" priority="10140" stopIfTrue="1" operator="equal">
      <formula>"Napkin Hs"</formula>
    </cfRule>
  </conditionalFormatting>
  <conditionalFormatting sqref="C54">
    <cfRule type="cellIs" dxfId="7798" priority="10137" stopIfTrue="1" operator="equal">
      <formula>"Towel"</formula>
    </cfRule>
    <cfRule type="cellIs" dxfId="7797" priority="10138" stopIfTrue="1" operator="equal">
      <formula>"Napkin Hs"</formula>
    </cfRule>
  </conditionalFormatting>
  <conditionalFormatting sqref="C54">
    <cfRule type="cellIs" dxfId="7796" priority="10139" stopIfTrue="1" operator="equal">
      <formula>"Towel"</formula>
    </cfRule>
  </conditionalFormatting>
  <conditionalFormatting sqref="B53:C53">
    <cfRule type="cellIs" dxfId="7795" priority="10136" stopIfTrue="1" operator="equal">
      <formula>"Napkin Hs"</formula>
    </cfRule>
  </conditionalFormatting>
  <conditionalFormatting sqref="B53:C53">
    <cfRule type="cellIs" dxfId="7794" priority="10135" stopIfTrue="1" operator="equal">
      <formula>"Towel"</formula>
    </cfRule>
  </conditionalFormatting>
  <conditionalFormatting sqref="C53">
    <cfRule type="cellIs" dxfId="7793" priority="10134" stopIfTrue="1" operator="equal">
      <formula>"Napkin Hs"</formula>
    </cfRule>
  </conditionalFormatting>
  <conditionalFormatting sqref="C53">
    <cfRule type="cellIs" dxfId="7792" priority="10131" stopIfTrue="1" operator="equal">
      <formula>"Towel"</formula>
    </cfRule>
    <cfRule type="cellIs" dxfId="7791" priority="10132" stopIfTrue="1" operator="equal">
      <formula>"Napkin Hs"</formula>
    </cfRule>
  </conditionalFormatting>
  <conditionalFormatting sqref="C53">
    <cfRule type="cellIs" dxfId="7790" priority="10133" stopIfTrue="1" operator="equal">
      <formula>"Towel"</formula>
    </cfRule>
  </conditionalFormatting>
  <conditionalFormatting sqref="B61:C61">
    <cfRule type="cellIs" dxfId="7789" priority="10129" stopIfTrue="1" operator="equal">
      <formula>"Towel"</formula>
    </cfRule>
    <cfRule type="cellIs" dxfId="7788" priority="10130" stopIfTrue="1" operator="equal">
      <formula>"Napkin Hs"</formula>
    </cfRule>
  </conditionalFormatting>
  <conditionalFormatting sqref="C61">
    <cfRule type="cellIs" dxfId="7787" priority="10125" stopIfTrue="1" operator="equal">
      <formula>"Towel"</formula>
    </cfRule>
    <cfRule type="cellIs" dxfId="7786" priority="10126" stopIfTrue="1" operator="equal">
      <formula>"Napkin Hs"</formula>
    </cfRule>
  </conditionalFormatting>
  <conditionalFormatting sqref="C61">
    <cfRule type="cellIs" dxfId="7785" priority="10127" stopIfTrue="1" operator="equal">
      <formula>"Towel"</formula>
    </cfRule>
    <cfRule type="cellIs" dxfId="7784" priority="10128" stopIfTrue="1" operator="equal">
      <formula>"Napkin Hs"</formula>
    </cfRule>
  </conditionalFormatting>
  <conditionalFormatting sqref="B59:C60">
    <cfRule type="cellIs" dxfId="7783" priority="10123" stopIfTrue="1" operator="equal">
      <formula>"Towel"</formula>
    </cfRule>
    <cfRule type="cellIs" dxfId="7782" priority="10124" stopIfTrue="1" operator="equal">
      <formula>"Napkin Hs"</formula>
    </cfRule>
  </conditionalFormatting>
  <conditionalFormatting sqref="C59:C60">
    <cfRule type="cellIs" dxfId="7781" priority="10119" stopIfTrue="1" operator="equal">
      <formula>"Towel"</formula>
    </cfRule>
    <cfRule type="cellIs" dxfId="7780" priority="10120" stopIfTrue="1" operator="equal">
      <formula>"Napkin Hs"</formula>
    </cfRule>
  </conditionalFormatting>
  <conditionalFormatting sqref="C59:C60">
    <cfRule type="cellIs" dxfId="7779" priority="10121" stopIfTrue="1" operator="equal">
      <formula>"Towel"</formula>
    </cfRule>
    <cfRule type="cellIs" dxfId="7778" priority="10122" stopIfTrue="1" operator="equal">
      <formula>"Napkin Hs"</formula>
    </cfRule>
  </conditionalFormatting>
  <conditionalFormatting sqref="B59:C59">
    <cfRule type="cellIs" dxfId="7777" priority="10113" stopIfTrue="1" operator="equal">
      <formula>"Towel"</formula>
    </cfRule>
    <cfRule type="cellIs" dxfId="7776" priority="10114" stopIfTrue="1" operator="equal">
      <formula>"Napkin Hs"</formula>
    </cfRule>
  </conditionalFormatting>
  <conditionalFormatting sqref="B60:C60">
    <cfRule type="cellIs" dxfId="7775" priority="10117" stopIfTrue="1" operator="equal">
      <formula>"Towel"</formula>
    </cfRule>
    <cfRule type="cellIs" dxfId="7774" priority="10118" stopIfTrue="1" operator="equal">
      <formula>"Napkin Hs"</formula>
    </cfRule>
  </conditionalFormatting>
  <conditionalFormatting sqref="C59">
    <cfRule type="cellIs" dxfId="7773" priority="10109" stopIfTrue="1" operator="equal">
      <formula>"Towel"</formula>
    </cfRule>
    <cfRule type="cellIs" dxfId="7772" priority="10110" stopIfTrue="1" operator="equal">
      <formula>"Napkin Hs"</formula>
    </cfRule>
  </conditionalFormatting>
  <conditionalFormatting sqref="C59:C60">
    <cfRule type="cellIs" dxfId="7771" priority="10111" stopIfTrue="1" operator="equal">
      <formula>"Towel"</formula>
    </cfRule>
    <cfRule type="cellIs" dxfId="7770" priority="10112" stopIfTrue="1" operator="equal">
      <formula>"Napkin Hs"</formula>
    </cfRule>
  </conditionalFormatting>
  <conditionalFormatting sqref="C60">
    <cfRule type="cellIs" dxfId="7769" priority="10115" stopIfTrue="1" operator="equal">
      <formula>"Towel"</formula>
    </cfRule>
    <cfRule type="cellIs" dxfId="7768" priority="10116" stopIfTrue="1" operator="equal">
      <formula>"Napkin Hs"</formula>
    </cfRule>
  </conditionalFormatting>
  <conditionalFormatting sqref="B59:C59">
    <cfRule type="cellIs" dxfId="7767" priority="10103" stopIfTrue="1" operator="equal">
      <formula>"Towel"</formula>
    </cfRule>
    <cfRule type="cellIs" dxfId="7766" priority="10104" stopIfTrue="1" operator="equal">
      <formula>"Napkin Hs"</formula>
    </cfRule>
  </conditionalFormatting>
  <conditionalFormatting sqref="B60:C60">
    <cfRule type="cellIs" dxfId="7765" priority="10107" stopIfTrue="1" operator="equal">
      <formula>"Towel"</formula>
    </cfRule>
    <cfRule type="cellIs" dxfId="7764" priority="10108" stopIfTrue="1" operator="equal">
      <formula>"Napkin Hs"</formula>
    </cfRule>
  </conditionalFormatting>
  <conditionalFormatting sqref="C59:C60">
    <cfRule type="cellIs" dxfId="7763" priority="10101" stopIfTrue="1" operator="equal">
      <formula>"Towel"</formula>
    </cfRule>
    <cfRule type="cellIs" dxfId="7762" priority="10102" stopIfTrue="1" operator="equal">
      <formula>"Napkin Hs"</formula>
    </cfRule>
  </conditionalFormatting>
  <conditionalFormatting sqref="C59">
    <cfRule type="cellIs" dxfId="7761" priority="10099" stopIfTrue="1" operator="equal">
      <formula>"Towel"</formula>
    </cfRule>
    <cfRule type="cellIs" dxfId="7760" priority="10100" stopIfTrue="1" operator="equal">
      <formula>"Napkin Hs"</formula>
    </cfRule>
  </conditionalFormatting>
  <conditionalFormatting sqref="C60">
    <cfRule type="cellIs" dxfId="7759" priority="10105" stopIfTrue="1" operator="equal">
      <formula>"Towel"</formula>
    </cfRule>
    <cfRule type="cellIs" dxfId="7758" priority="10106" stopIfTrue="1" operator="equal">
      <formula>"Napkin Hs"</formula>
    </cfRule>
  </conditionalFormatting>
  <conditionalFormatting sqref="B59:C59">
    <cfRule type="cellIs" dxfId="7757" priority="10097" stopIfTrue="1" operator="equal">
      <formula>"Towel"</formula>
    </cfRule>
    <cfRule type="cellIs" dxfId="7756" priority="10098" stopIfTrue="1" operator="equal">
      <formula>"Napkin Hs"</formula>
    </cfRule>
  </conditionalFormatting>
  <conditionalFormatting sqref="B60:C60">
    <cfRule type="cellIs" dxfId="7755" priority="10093" stopIfTrue="1" operator="equal">
      <formula>"Towel"</formula>
    </cfRule>
    <cfRule type="cellIs" dxfId="7754" priority="10094" stopIfTrue="1" operator="equal">
      <formula>"Napkin Hs"</formula>
    </cfRule>
  </conditionalFormatting>
  <conditionalFormatting sqref="C59">
    <cfRule type="cellIs" dxfId="7753" priority="10095" stopIfTrue="1" operator="equal">
      <formula>"Towel"</formula>
    </cfRule>
    <cfRule type="cellIs" dxfId="7752" priority="10096" stopIfTrue="1" operator="equal">
      <formula>"Napkin Hs"</formula>
    </cfRule>
  </conditionalFormatting>
  <conditionalFormatting sqref="C59:C60">
    <cfRule type="cellIs" dxfId="7751" priority="10091" stopIfTrue="1" operator="equal">
      <formula>"Towel"</formula>
    </cfRule>
    <cfRule type="cellIs" dxfId="7750" priority="10092" stopIfTrue="1" operator="equal">
      <formula>"Napkin Hs"</formula>
    </cfRule>
  </conditionalFormatting>
  <conditionalFormatting sqref="C60">
    <cfRule type="cellIs" dxfId="7749" priority="10089" stopIfTrue="1" operator="equal">
      <formula>"Towel"</formula>
    </cfRule>
    <cfRule type="cellIs" dxfId="7748" priority="10090" stopIfTrue="1" operator="equal">
      <formula>"Napkin Hs"</formula>
    </cfRule>
  </conditionalFormatting>
  <conditionalFormatting sqref="B60:C60">
    <cfRule type="cellIs" dxfId="7747" priority="10088" stopIfTrue="1" operator="equal">
      <formula>"Napkin Hs"</formula>
    </cfRule>
  </conditionalFormatting>
  <conditionalFormatting sqref="B60:C60">
    <cfRule type="cellIs" dxfId="7746" priority="10087" stopIfTrue="1" operator="equal">
      <formula>"Towel"</formula>
    </cfRule>
  </conditionalFormatting>
  <conditionalFormatting sqref="B59:C59">
    <cfRule type="cellIs" dxfId="7745" priority="10083" stopIfTrue="1" operator="equal">
      <formula>"Towel"</formula>
    </cfRule>
    <cfRule type="cellIs" dxfId="7744" priority="10084" stopIfTrue="1" operator="equal">
      <formula>"Napkin Hs"</formula>
    </cfRule>
  </conditionalFormatting>
  <conditionalFormatting sqref="C60">
    <cfRule type="cellIs" dxfId="7743" priority="10086" stopIfTrue="1" operator="equal">
      <formula>"Napkin Hs"</formula>
    </cfRule>
  </conditionalFormatting>
  <conditionalFormatting sqref="C60">
    <cfRule type="cellIs" dxfId="7742" priority="10085" stopIfTrue="1" operator="equal">
      <formula>"Towel"</formula>
    </cfRule>
  </conditionalFormatting>
  <conditionalFormatting sqref="C59:C60">
    <cfRule type="cellIs" dxfId="7741" priority="10081" stopIfTrue="1" operator="equal">
      <formula>"Towel"</formula>
    </cfRule>
    <cfRule type="cellIs" dxfId="7740" priority="10082" stopIfTrue="1" operator="equal">
      <formula>"Napkin Hs"</formula>
    </cfRule>
  </conditionalFormatting>
  <conditionalFormatting sqref="C59">
    <cfRule type="cellIs" dxfId="7739" priority="10079" stopIfTrue="1" operator="equal">
      <formula>"Towel"</formula>
    </cfRule>
    <cfRule type="cellIs" dxfId="7738" priority="10080" stopIfTrue="1" operator="equal">
      <formula>"Napkin Hs"</formula>
    </cfRule>
  </conditionalFormatting>
  <conditionalFormatting sqref="C60">
    <cfRule type="cellIs" dxfId="7737" priority="10077" stopIfTrue="1" operator="equal">
      <formula>"Towel"</formula>
    </cfRule>
    <cfRule type="cellIs" dxfId="7736" priority="10078" stopIfTrue="1" operator="equal">
      <formula>"Napkin Hs"</formula>
    </cfRule>
  </conditionalFormatting>
  <conditionalFormatting sqref="B59:C59">
    <cfRule type="cellIs" dxfId="7735" priority="10076" stopIfTrue="1" operator="equal">
      <formula>"Napkin Hs"</formula>
    </cfRule>
  </conditionalFormatting>
  <conditionalFormatting sqref="B59:C59">
    <cfRule type="cellIs" dxfId="7734" priority="10075" stopIfTrue="1" operator="equal">
      <formula>"Towel"</formula>
    </cfRule>
  </conditionalFormatting>
  <conditionalFormatting sqref="C59">
    <cfRule type="cellIs" dxfId="7733" priority="10074" stopIfTrue="1" operator="equal">
      <formula>"Napkin Hs"</formula>
    </cfRule>
  </conditionalFormatting>
  <conditionalFormatting sqref="C59">
    <cfRule type="cellIs" dxfId="7732" priority="10071" stopIfTrue="1" operator="equal">
      <formula>"Towel"</formula>
    </cfRule>
    <cfRule type="cellIs" dxfId="7731" priority="10072" stopIfTrue="1" operator="equal">
      <formula>"Napkin Hs"</formula>
    </cfRule>
  </conditionalFormatting>
  <conditionalFormatting sqref="C59">
    <cfRule type="cellIs" dxfId="7730" priority="10073" stopIfTrue="1" operator="equal">
      <formula>"Towel"</formula>
    </cfRule>
  </conditionalFormatting>
  <conditionalFormatting sqref="B60:C60">
    <cfRule type="cellIs" dxfId="7729" priority="10069" stopIfTrue="1" operator="equal">
      <formula>"Towel"</formula>
    </cfRule>
    <cfRule type="cellIs" dxfId="7728" priority="10070" stopIfTrue="1" operator="equal">
      <formula>"Napkin Hs"</formula>
    </cfRule>
  </conditionalFormatting>
  <conditionalFormatting sqref="C60">
    <cfRule type="cellIs" dxfId="7727" priority="10065" stopIfTrue="1" operator="equal">
      <formula>"Towel"</formula>
    </cfRule>
    <cfRule type="cellIs" dxfId="7726" priority="10066" stopIfTrue="1" operator="equal">
      <formula>"Napkin Hs"</formula>
    </cfRule>
  </conditionalFormatting>
  <conditionalFormatting sqref="C60">
    <cfRule type="cellIs" dxfId="7725" priority="10067" stopIfTrue="1" operator="equal">
      <formula>"Towel"</formula>
    </cfRule>
    <cfRule type="cellIs" dxfId="7724" priority="10068" stopIfTrue="1" operator="equal">
      <formula>"Napkin Hs"</formula>
    </cfRule>
  </conditionalFormatting>
  <conditionalFormatting sqref="B60:C60">
    <cfRule type="cellIs" dxfId="7723" priority="10063" stopIfTrue="1" operator="equal">
      <formula>"Towel"</formula>
    </cfRule>
    <cfRule type="cellIs" dxfId="7722" priority="10064" stopIfTrue="1" operator="equal">
      <formula>"Napkin Hs"</formula>
    </cfRule>
  </conditionalFormatting>
  <conditionalFormatting sqref="C60">
    <cfRule type="cellIs" dxfId="7721" priority="10059" stopIfTrue="1" operator="equal">
      <formula>"Towel"</formula>
    </cfRule>
    <cfRule type="cellIs" dxfId="7720" priority="10060" stopIfTrue="1" operator="equal">
      <formula>"Napkin Hs"</formula>
    </cfRule>
  </conditionalFormatting>
  <conditionalFormatting sqref="C60">
    <cfRule type="cellIs" dxfId="7719" priority="10061" stopIfTrue="1" operator="equal">
      <formula>"Towel"</formula>
    </cfRule>
    <cfRule type="cellIs" dxfId="7718" priority="10062" stopIfTrue="1" operator="equal">
      <formula>"Napkin Hs"</formula>
    </cfRule>
  </conditionalFormatting>
  <conditionalFormatting sqref="B60:C60">
    <cfRule type="cellIs" dxfId="7717" priority="10057" stopIfTrue="1" operator="equal">
      <formula>"Towel"</formula>
    </cfRule>
    <cfRule type="cellIs" dxfId="7716" priority="10058" stopIfTrue="1" operator="equal">
      <formula>"Napkin Hs"</formula>
    </cfRule>
  </conditionalFormatting>
  <conditionalFormatting sqref="C60">
    <cfRule type="cellIs" dxfId="7715" priority="10053" stopIfTrue="1" operator="equal">
      <formula>"Towel"</formula>
    </cfRule>
    <cfRule type="cellIs" dxfId="7714" priority="10054" stopIfTrue="1" operator="equal">
      <formula>"Napkin Hs"</formula>
    </cfRule>
  </conditionalFormatting>
  <conditionalFormatting sqref="C60">
    <cfRule type="cellIs" dxfId="7713" priority="10055" stopIfTrue="1" operator="equal">
      <formula>"Towel"</formula>
    </cfRule>
    <cfRule type="cellIs" dxfId="7712" priority="10056" stopIfTrue="1" operator="equal">
      <formula>"Napkin Hs"</formula>
    </cfRule>
  </conditionalFormatting>
  <conditionalFormatting sqref="B60:C60">
    <cfRule type="cellIs" dxfId="7711" priority="10051" stopIfTrue="1" operator="equal">
      <formula>"Towel"</formula>
    </cfRule>
    <cfRule type="cellIs" dxfId="7710" priority="10052" stopIfTrue="1" operator="equal">
      <formula>"Napkin Hs"</formula>
    </cfRule>
  </conditionalFormatting>
  <conditionalFormatting sqref="C60">
    <cfRule type="cellIs" dxfId="7709" priority="10049" stopIfTrue="1" operator="equal">
      <formula>"Towel"</formula>
    </cfRule>
    <cfRule type="cellIs" dxfId="7708" priority="10050" stopIfTrue="1" operator="equal">
      <formula>"Napkin Hs"</formula>
    </cfRule>
  </conditionalFormatting>
  <conditionalFormatting sqref="C60">
    <cfRule type="cellIs" dxfId="7707" priority="10047" stopIfTrue="1" operator="equal">
      <formula>"Towel"</formula>
    </cfRule>
    <cfRule type="cellIs" dxfId="7706" priority="10048" stopIfTrue="1" operator="equal">
      <formula>"Napkin Hs"</formula>
    </cfRule>
  </conditionalFormatting>
  <conditionalFormatting sqref="B60:C60">
    <cfRule type="cellIs" dxfId="7705" priority="10046" stopIfTrue="1" operator="equal">
      <formula>"Napkin Hs"</formula>
    </cfRule>
  </conditionalFormatting>
  <conditionalFormatting sqref="B60:C60">
    <cfRule type="cellIs" dxfId="7704" priority="10045" stopIfTrue="1" operator="equal">
      <formula>"Towel"</formula>
    </cfRule>
  </conditionalFormatting>
  <conditionalFormatting sqref="C60">
    <cfRule type="cellIs" dxfId="7703" priority="10044" stopIfTrue="1" operator="equal">
      <formula>"Napkin Hs"</formula>
    </cfRule>
  </conditionalFormatting>
  <conditionalFormatting sqref="C60">
    <cfRule type="cellIs" dxfId="7702" priority="10043" stopIfTrue="1" operator="equal">
      <formula>"Towel"</formula>
    </cfRule>
  </conditionalFormatting>
  <conditionalFormatting sqref="C60">
    <cfRule type="cellIs" dxfId="7701" priority="10041" stopIfTrue="1" operator="equal">
      <formula>"Towel"</formula>
    </cfRule>
    <cfRule type="cellIs" dxfId="7700" priority="10042" stopIfTrue="1" operator="equal">
      <formula>"Napkin Hs"</formula>
    </cfRule>
  </conditionalFormatting>
  <conditionalFormatting sqref="C60">
    <cfRule type="cellIs" dxfId="7699" priority="10039" stopIfTrue="1" operator="equal">
      <formula>"Towel"</formula>
    </cfRule>
    <cfRule type="cellIs" dxfId="7698" priority="10040" stopIfTrue="1" operator="equal">
      <formula>"Napkin Hs"</formula>
    </cfRule>
  </conditionalFormatting>
  <conditionalFormatting sqref="B59:C59">
    <cfRule type="cellIs" dxfId="7697" priority="10038" stopIfTrue="1" operator="equal">
      <formula>"Napkin Hs"</formula>
    </cfRule>
  </conditionalFormatting>
  <conditionalFormatting sqref="B59:C59">
    <cfRule type="cellIs" dxfId="7696" priority="10037" stopIfTrue="1" operator="equal">
      <formula>"Towel"</formula>
    </cfRule>
  </conditionalFormatting>
  <conditionalFormatting sqref="C59">
    <cfRule type="cellIs" dxfId="7695" priority="10036" stopIfTrue="1" operator="equal">
      <formula>"Napkin Hs"</formula>
    </cfRule>
  </conditionalFormatting>
  <conditionalFormatting sqref="C59">
    <cfRule type="cellIs" dxfId="7694" priority="10035" stopIfTrue="1" operator="equal">
      <formula>"Towel"</formula>
    </cfRule>
  </conditionalFormatting>
  <conditionalFormatting sqref="C59">
    <cfRule type="cellIs" dxfId="7693" priority="10033" stopIfTrue="1" operator="equal">
      <formula>"Towel"</formula>
    </cfRule>
    <cfRule type="cellIs" dxfId="7692" priority="10034" stopIfTrue="1" operator="equal">
      <formula>"Napkin Hs"</formula>
    </cfRule>
  </conditionalFormatting>
  <conditionalFormatting sqref="B59:C59">
    <cfRule type="cellIs" dxfId="7691" priority="10032" stopIfTrue="1" operator="equal">
      <formula>"Napkin Hs"</formula>
    </cfRule>
  </conditionalFormatting>
  <conditionalFormatting sqref="B59:C59">
    <cfRule type="cellIs" dxfId="7690" priority="10031" stopIfTrue="1" operator="equal">
      <formula>"Towel"</formula>
    </cfRule>
  </conditionalFormatting>
  <conditionalFormatting sqref="C59">
    <cfRule type="cellIs" dxfId="7689" priority="10030" stopIfTrue="1" operator="equal">
      <formula>"Napkin Hs"</formula>
    </cfRule>
  </conditionalFormatting>
  <conditionalFormatting sqref="C59">
    <cfRule type="cellIs" dxfId="7688" priority="10027" stopIfTrue="1" operator="equal">
      <formula>"Towel"</formula>
    </cfRule>
    <cfRule type="cellIs" dxfId="7687" priority="10028" stopIfTrue="1" operator="equal">
      <formula>"Napkin Hs"</formula>
    </cfRule>
  </conditionalFormatting>
  <conditionalFormatting sqref="C59">
    <cfRule type="cellIs" dxfId="7686" priority="10029" stopIfTrue="1" operator="equal">
      <formula>"Towel"</formula>
    </cfRule>
  </conditionalFormatting>
  <conditionalFormatting sqref="B59:C59">
    <cfRule type="cellIs" dxfId="7685" priority="10026" stopIfTrue="1" operator="equal">
      <formula>"Napkin Hs"</formula>
    </cfRule>
  </conditionalFormatting>
  <conditionalFormatting sqref="B59:C59">
    <cfRule type="cellIs" dxfId="7684" priority="10025" stopIfTrue="1" operator="equal">
      <formula>"Towel"</formula>
    </cfRule>
  </conditionalFormatting>
  <conditionalFormatting sqref="C59">
    <cfRule type="cellIs" dxfId="7683" priority="10024" stopIfTrue="1" operator="equal">
      <formula>"Napkin Hs"</formula>
    </cfRule>
  </conditionalFormatting>
  <conditionalFormatting sqref="C59">
    <cfRule type="cellIs" dxfId="7682" priority="10023" stopIfTrue="1" operator="equal">
      <formula>"Towel"</formula>
    </cfRule>
  </conditionalFormatting>
  <conditionalFormatting sqref="C59">
    <cfRule type="cellIs" dxfId="7681" priority="10021" stopIfTrue="1" operator="equal">
      <formula>"Towel"</formula>
    </cfRule>
    <cfRule type="cellIs" dxfId="7680" priority="10022" stopIfTrue="1" operator="equal">
      <formula>"Napkin Hs"</formula>
    </cfRule>
  </conditionalFormatting>
  <conditionalFormatting sqref="B59:C59">
    <cfRule type="cellIs" dxfId="7679" priority="10020" stopIfTrue="1" operator="equal">
      <formula>"Napkin Hs"</formula>
    </cfRule>
  </conditionalFormatting>
  <conditionalFormatting sqref="B59:C59">
    <cfRule type="cellIs" dxfId="7678" priority="10019" stopIfTrue="1" operator="equal">
      <formula>"Towel"</formula>
    </cfRule>
  </conditionalFormatting>
  <conditionalFormatting sqref="C59">
    <cfRule type="cellIs" dxfId="7677" priority="10018" stopIfTrue="1" operator="equal">
      <formula>"Napkin Hs"</formula>
    </cfRule>
  </conditionalFormatting>
  <conditionalFormatting sqref="C59">
    <cfRule type="cellIs" dxfId="7676" priority="10015" stopIfTrue="1" operator="equal">
      <formula>"Towel"</formula>
    </cfRule>
    <cfRule type="cellIs" dxfId="7675" priority="10016" stopIfTrue="1" operator="equal">
      <formula>"Napkin Hs"</formula>
    </cfRule>
  </conditionalFormatting>
  <conditionalFormatting sqref="C59">
    <cfRule type="cellIs" dxfId="7674" priority="10017" stopIfTrue="1" operator="equal">
      <formula>"Towel"</formula>
    </cfRule>
  </conditionalFormatting>
  <conditionalFormatting sqref="B59:C59">
    <cfRule type="cellIs" dxfId="7673" priority="10014" stopIfTrue="1" operator="equal">
      <formula>"Napkin Hs"</formula>
    </cfRule>
  </conditionalFormatting>
  <conditionalFormatting sqref="B59:C59">
    <cfRule type="cellIs" dxfId="7672" priority="10013" stopIfTrue="1" operator="equal">
      <formula>"Towel"</formula>
    </cfRule>
  </conditionalFormatting>
  <conditionalFormatting sqref="C59">
    <cfRule type="cellIs" dxfId="7671" priority="10012" stopIfTrue="1" operator="equal">
      <formula>"Napkin Hs"</formula>
    </cfRule>
  </conditionalFormatting>
  <conditionalFormatting sqref="C59">
    <cfRule type="cellIs" dxfId="7670" priority="10011" stopIfTrue="1" operator="equal">
      <formula>"Towel"</formula>
    </cfRule>
  </conditionalFormatting>
  <conditionalFormatting sqref="C59">
    <cfRule type="cellIs" dxfId="7669" priority="10009" stopIfTrue="1" operator="equal">
      <formula>"Towel"</formula>
    </cfRule>
    <cfRule type="cellIs" dxfId="7668" priority="10010" stopIfTrue="1" operator="equal">
      <formula>"Napkin Hs"</formula>
    </cfRule>
  </conditionalFormatting>
  <conditionalFormatting sqref="B59:C59">
    <cfRule type="cellIs" dxfId="7667" priority="10008" stopIfTrue="1" operator="equal">
      <formula>"Napkin Hs"</formula>
    </cfRule>
  </conditionalFormatting>
  <conditionalFormatting sqref="B59:C59">
    <cfRule type="cellIs" dxfId="7666" priority="10007" stopIfTrue="1" operator="equal">
      <formula>"Towel"</formula>
    </cfRule>
  </conditionalFormatting>
  <conditionalFormatting sqref="C59">
    <cfRule type="cellIs" dxfId="7665" priority="10006" stopIfTrue="1" operator="equal">
      <formula>"Napkin Hs"</formula>
    </cfRule>
  </conditionalFormatting>
  <conditionalFormatting sqref="C59">
    <cfRule type="cellIs" dxfId="7664" priority="10003" stopIfTrue="1" operator="equal">
      <formula>"Towel"</formula>
    </cfRule>
    <cfRule type="cellIs" dxfId="7663" priority="10004" stopIfTrue="1" operator="equal">
      <formula>"Napkin Hs"</formula>
    </cfRule>
  </conditionalFormatting>
  <conditionalFormatting sqref="C59">
    <cfRule type="cellIs" dxfId="7662" priority="10005" stopIfTrue="1" operator="equal">
      <formula>"Towel"</formula>
    </cfRule>
  </conditionalFormatting>
  <conditionalFormatting sqref="B59:C59">
    <cfRule type="cellIs" dxfId="7661" priority="10002" stopIfTrue="1" operator="equal">
      <formula>"Napkin Hs"</formula>
    </cfRule>
  </conditionalFormatting>
  <conditionalFormatting sqref="B59:C59">
    <cfRule type="cellIs" dxfId="7660" priority="10001" stopIfTrue="1" operator="equal">
      <formula>"Towel"</formula>
    </cfRule>
  </conditionalFormatting>
  <conditionalFormatting sqref="C59">
    <cfRule type="cellIs" dxfId="7659" priority="10000" stopIfTrue="1" operator="equal">
      <formula>"Napkin Hs"</formula>
    </cfRule>
  </conditionalFormatting>
  <conditionalFormatting sqref="C59">
    <cfRule type="cellIs" dxfId="7658" priority="9999" stopIfTrue="1" operator="equal">
      <formula>"Towel"</formula>
    </cfRule>
  </conditionalFormatting>
  <conditionalFormatting sqref="C59">
    <cfRule type="cellIs" dxfId="7657" priority="9997" stopIfTrue="1" operator="equal">
      <formula>"Towel"</formula>
    </cfRule>
    <cfRule type="cellIs" dxfId="7656" priority="9998" stopIfTrue="1" operator="equal">
      <formula>"Napkin Hs"</formula>
    </cfRule>
  </conditionalFormatting>
  <conditionalFormatting sqref="B59:C59">
    <cfRule type="cellIs" dxfId="7655" priority="9996" stopIfTrue="1" operator="equal">
      <formula>"Napkin Hs"</formula>
    </cfRule>
  </conditionalFormatting>
  <conditionalFormatting sqref="B59:C59">
    <cfRule type="cellIs" dxfId="7654" priority="9995" stopIfTrue="1" operator="equal">
      <formula>"Towel"</formula>
    </cfRule>
  </conditionalFormatting>
  <conditionalFormatting sqref="C59">
    <cfRule type="cellIs" dxfId="7653" priority="9994" stopIfTrue="1" operator="equal">
      <formula>"Napkin Hs"</formula>
    </cfRule>
  </conditionalFormatting>
  <conditionalFormatting sqref="C59">
    <cfRule type="cellIs" dxfId="7652" priority="9991" stopIfTrue="1" operator="equal">
      <formula>"Towel"</formula>
    </cfRule>
    <cfRule type="cellIs" dxfId="7651" priority="9992" stopIfTrue="1" operator="equal">
      <formula>"Napkin Hs"</formula>
    </cfRule>
  </conditionalFormatting>
  <conditionalFormatting sqref="C59">
    <cfRule type="cellIs" dxfId="7650" priority="9993" stopIfTrue="1" operator="equal">
      <formula>"Towel"</formula>
    </cfRule>
  </conditionalFormatting>
  <conditionalFormatting sqref="B59:C59">
    <cfRule type="cellIs" dxfId="7649" priority="9990" stopIfTrue="1" operator="equal">
      <formula>"Napkin Hs"</formula>
    </cfRule>
  </conditionalFormatting>
  <conditionalFormatting sqref="B59:C59">
    <cfRule type="cellIs" dxfId="7648" priority="9989" stopIfTrue="1" operator="equal">
      <formula>"Towel"</formula>
    </cfRule>
  </conditionalFormatting>
  <conditionalFormatting sqref="C59">
    <cfRule type="cellIs" dxfId="7647" priority="9988" stopIfTrue="1" operator="equal">
      <formula>"Napkin Hs"</formula>
    </cfRule>
  </conditionalFormatting>
  <conditionalFormatting sqref="C59">
    <cfRule type="cellIs" dxfId="7646" priority="9985" stopIfTrue="1" operator="equal">
      <formula>"Towel"</formula>
    </cfRule>
    <cfRule type="cellIs" dxfId="7645" priority="9986" stopIfTrue="1" operator="equal">
      <formula>"Napkin Hs"</formula>
    </cfRule>
  </conditionalFormatting>
  <conditionalFormatting sqref="C59">
    <cfRule type="cellIs" dxfId="7644" priority="9987" stopIfTrue="1" operator="equal">
      <formula>"Towel"</formula>
    </cfRule>
  </conditionalFormatting>
  <conditionalFormatting sqref="B59:C59">
    <cfRule type="cellIs" dxfId="7643" priority="9984" stopIfTrue="1" operator="equal">
      <formula>"Napkin Hs"</formula>
    </cfRule>
  </conditionalFormatting>
  <conditionalFormatting sqref="B59:C59">
    <cfRule type="cellIs" dxfId="7642" priority="9983" stopIfTrue="1" operator="equal">
      <formula>"Towel"</formula>
    </cfRule>
  </conditionalFormatting>
  <conditionalFormatting sqref="C59">
    <cfRule type="cellIs" dxfId="7641" priority="9982" stopIfTrue="1" operator="equal">
      <formula>"Napkin Hs"</formula>
    </cfRule>
  </conditionalFormatting>
  <conditionalFormatting sqref="C59">
    <cfRule type="cellIs" dxfId="7640" priority="9979" stopIfTrue="1" operator="equal">
      <formula>"Towel"</formula>
    </cfRule>
    <cfRule type="cellIs" dxfId="7639" priority="9980" stopIfTrue="1" operator="equal">
      <formula>"Napkin Hs"</formula>
    </cfRule>
  </conditionalFormatting>
  <conditionalFormatting sqref="C59">
    <cfRule type="cellIs" dxfId="7638" priority="9981" stopIfTrue="1" operator="equal">
      <formula>"Towel"</formula>
    </cfRule>
  </conditionalFormatting>
  <conditionalFormatting sqref="B59:C59">
    <cfRule type="cellIs" dxfId="7637" priority="9978" stopIfTrue="1" operator="equal">
      <formula>"Napkin Hs"</formula>
    </cfRule>
  </conditionalFormatting>
  <conditionalFormatting sqref="B59:C59">
    <cfRule type="cellIs" dxfId="7636" priority="9977" stopIfTrue="1" operator="equal">
      <formula>"Towel"</formula>
    </cfRule>
  </conditionalFormatting>
  <conditionalFormatting sqref="C59">
    <cfRule type="cellIs" dxfId="7635" priority="9976" stopIfTrue="1" operator="equal">
      <formula>"Napkin Hs"</formula>
    </cfRule>
  </conditionalFormatting>
  <conditionalFormatting sqref="C59">
    <cfRule type="cellIs" dxfId="7634" priority="9973" stopIfTrue="1" operator="equal">
      <formula>"Towel"</formula>
    </cfRule>
    <cfRule type="cellIs" dxfId="7633" priority="9974" stopIfTrue="1" operator="equal">
      <formula>"Napkin Hs"</formula>
    </cfRule>
  </conditionalFormatting>
  <conditionalFormatting sqref="C59">
    <cfRule type="cellIs" dxfId="7632" priority="9975" stopIfTrue="1" operator="equal">
      <formula>"Towel"</formula>
    </cfRule>
  </conditionalFormatting>
  <conditionalFormatting sqref="B58:C58">
    <cfRule type="cellIs" dxfId="7631" priority="9972" stopIfTrue="1" operator="equal">
      <formula>"Napkin Hs"</formula>
    </cfRule>
  </conditionalFormatting>
  <conditionalFormatting sqref="B58:C58">
    <cfRule type="cellIs" dxfId="7630" priority="9971" stopIfTrue="1" operator="equal">
      <formula>"Towel"</formula>
    </cfRule>
  </conditionalFormatting>
  <conditionalFormatting sqref="C58">
    <cfRule type="cellIs" dxfId="7629" priority="9970" stopIfTrue="1" operator="equal">
      <formula>"Napkin Hs"</formula>
    </cfRule>
  </conditionalFormatting>
  <conditionalFormatting sqref="C58">
    <cfRule type="cellIs" dxfId="7628" priority="9967" stopIfTrue="1" operator="equal">
      <formula>"Towel"</formula>
    </cfRule>
    <cfRule type="cellIs" dxfId="7627" priority="9968" stopIfTrue="1" operator="equal">
      <formula>"Napkin Hs"</formula>
    </cfRule>
  </conditionalFormatting>
  <conditionalFormatting sqref="C58">
    <cfRule type="cellIs" dxfId="7626" priority="9969" stopIfTrue="1" operator="equal">
      <formula>"Towel"</formula>
    </cfRule>
  </conditionalFormatting>
  <conditionalFormatting sqref="B57:C57">
    <cfRule type="cellIs" dxfId="7625" priority="9966" stopIfTrue="1" operator="equal">
      <formula>"Napkin Hs"</formula>
    </cfRule>
  </conditionalFormatting>
  <conditionalFormatting sqref="B57:C57">
    <cfRule type="cellIs" dxfId="7624" priority="9965" stopIfTrue="1" operator="equal">
      <formula>"Towel"</formula>
    </cfRule>
  </conditionalFormatting>
  <conditionalFormatting sqref="C57">
    <cfRule type="cellIs" dxfId="7623" priority="9964" stopIfTrue="1" operator="equal">
      <formula>"Napkin Hs"</formula>
    </cfRule>
  </conditionalFormatting>
  <conditionalFormatting sqref="C57">
    <cfRule type="cellIs" dxfId="7622" priority="9961" stopIfTrue="1" operator="equal">
      <formula>"Towel"</formula>
    </cfRule>
    <cfRule type="cellIs" dxfId="7621" priority="9962" stopIfTrue="1" operator="equal">
      <formula>"Napkin Hs"</formula>
    </cfRule>
  </conditionalFormatting>
  <conditionalFormatting sqref="C57">
    <cfRule type="cellIs" dxfId="7620" priority="9963" stopIfTrue="1" operator="equal">
      <formula>"Towel"</formula>
    </cfRule>
  </conditionalFormatting>
  <conditionalFormatting sqref="B62:C64">
    <cfRule type="cellIs" dxfId="7619" priority="9960" stopIfTrue="1" operator="equal">
      <formula>"Napkin Hs"</formula>
    </cfRule>
  </conditionalFormatting>
  <conditionalFormatting sqref="B62:C64">
    <cfRule type="cellIs" dxfId="7618" priority="9959" stopIfTrue="1" operator="equal">
      <formula>"Towel"</formula>
    </cfRule>
  </conditionalFormatting>
  <conditionalFormatting sqref="B66:C66">
    <cfRule type="cellIs" dxfId="7617" priority="9951" stopIfTrue="1" operator="equal">
      <formula>"Towel"</formula>
    </cfRule>
    <cfRule type="cellIs" dxfId="7616" priority="9952" stopIfTrue="1" operator="equal">
      <formula>"Napkin Hs"</formula>
    </cfRule>
  </conditionalFormatting>
  <conditionalFormatting sqref="C62:C64">
    <cfRule type="cellIs" dxfId="7615" priority="9958" stopIfTrue="1" operator="equal">
      <formula>"Napkin Hs"</formula>
    </cfRule>
  </conditionalFormatting>
  <conditionalFormatting sqref="C62:C64">
    <cfRule type="cellIs" dxfId="7614" priority="9957" stopIfTrue="1" operator="equal">
      <formula>"Towel"</formula>
    </cfRule>
  </conditionalFormatting>
  <conditionalFormatting sqref="C62:C64">
    <cfRule type="cellIs" dxfId="7613" priority="9955" stopIfTrue="1" operator="equal">
      <formula>"Towel"</formula>
    </cfRule>
    <cfRule type="cellIs" dxfId="7612" priority="9956" stopIfTrue="1" operator="equal">
      <formula>"Napkin Hs"</formula>
    </cfRule>
  </conditionalFormatting>
  <conditionalFormatting sqref="C66">
    <cfRule type="cellIs" dxfId="7611" priority="9953" stopIfTrue="1" operator="equal">
      <formula>"Towel"</formula>
    </cfRule>
    <cfRule type="cellIs" dxfId="7610" priority="9954" stopIfTrue="1" operator="equal">
      <formula>"Napkin Hs"</formula>
    </cfRule>
  </conditionalFormatting>
  <conditionalFormatting sqref="C66">
    <cfRule type="cellIs" dxfId="7609" priority="9949" stopIfTrue="1" operator="equal">
      <formula>"Towel"</formula>
    </cfRule>
    <cfRule type="cellIs" dxfId="7608" priority="9950" stopIfTrue="1" operator="equal">
      <formula>"Napkin Hs"</formula>
    </cfRule>
  </conditionalFormatting>
  <conditionalFormatting sqref="C64">
    <cfRule type="cellIs" dxfId="7607" priority="9873" stopIfTrue="1" operator="equal">
      <formula>"Towel"</formula>
    </cfRule>
    <cfRule type="cellIs" dxfId="7606" priority="9874" stopIfTrue="1" operator="equal">
      <formula>"Napkin Hs"</formula>
    </cfRule>
  </conditionalFormatting>
  <conditionalFormatting sqref="B64:C64">
    <cfRule type="cellIs" dxfId="7605" priority="9871" stopIfTrue="1" operator="equal">
      <formula>"Towel"</formula>
    </cfRule>
    <cfRule type="cellIs" dxfId="7604" priority="9872" stopIfTrue="1" operator="equal">
      <formula>"Napkin Hs"</formula>
    </cfRule>
  </conditionalFormatting>
  <conditionalFormatting sqref="C64">
    <cfRule type="cellIs" dxfId="7603" priority="9869" stopIfTrue="1" operator="equal">
      <formula>"Towel"</formula>
    </cfRule>
    <cfRule type="cellIs" dxfId="7602" priority="9870" stopIfTrue="1" operator="equal">
      <formula>"Napkin Hs"</formula>
    </cfRule>
  </conditionalFormatting>
  <conditionalFormatting sqref="C64">
    <cfRule type="cellIs" dxfId="7601" priority="9861" stopIfTrue="1" operator="equal">
      <formula>"Towel"</formula>
    </cfRule>
    <cfRule type="cellIs" dxfId="7600" priority="9862" stopIfTrue="1" operator="equal">
      <formula>"Napkin Hs"</formula>
    </cfRule>
  </conditionalFormatting>
  <conditionalFormatting sqref="B64:C64">
    <cfRule type="cellIs" dxfId="7599" priority="9937" stopIfTrue="1" operator="equal">
      <formula>"Towel"</formula>
    </cfRule>
    <cfRule type="cellIs" dxfId="7598" priority="9938" stopIfTrue="1" operator="equal">
      <formula>"Napkin Hs"</formula>
    </cfRule>
  </conditionalFormatting>
  <conditionalFormatting sqref="B65:C65">
    <cfRule type="cellIs" dxfId="7597" priority="9941" stopIfTrue="1" operator="equal">
      <formula>"Towel"</formula>
    </cfRule>
    <cfRule type="cellIs" dxfId="7596" priority="9942" stopIfTrue="1" operator="equal">
      <formula>"Napkin Hs"</formula>
    </cfRule>
  </conditionalFormatting>
  <conditionalFormatting sqref="C64">
    <cfRule type="cellIs" dxfId="7595" priority="9933" stopIfTrue="1" operator="equal">
      <formula>"Towel"</formula>
    </cfRule>
    <cfRule type="cellIs" dxfId="7594" priority="9934" stopIfTrue="1" operator="equal">
      <formula>"Napkin Hs"</formula>
    </cfRule>
  </conditionalFormatting>
  <conditionalFormatting sqref="C64:C65">
    <cfRule type="cellIs" dxfId="7593" priority="9935" stopIfTrue="1" operator="equal">
      <formula>"Towel"</formula>
    </cfRule>
    <cfRule type="cellIs" dxfId="7592" priority="9936" stopIfTrue="1" operator="equal">
      <formula>"Napkin Hs"</formula>
    </cfRule>
  </conditionalFormatting>
  <conditionalFormatting sqref="C65">
    <cfRule type="cellIs" dxfId="7591" priority="9939" stopIfTrue="1" operator="equal">
      <formula>"Towel"</formula>
    </cfRule>
    <cfRule type="cellIs" dxfId="7590" priority="9940" stopIfTrue="1" operator="equal">
      <formula>"Napkin Hs"</formula>
    </cfRule>
  </conditionalFormatting>
  <conditionalFormatting sqref="B65:C65">
    <cfRule type="cellIs" dxfId="7589" priority="9931" stopIfTrue="1" operator="equal">
      <formula>"Towel"</formula>
    </cfRule>
    <cfRule type="cellIs" dxfId="7588" priority="9932" stopIfTrue="1" operator="equal">
      <formula>"Napkin Hs"</formula>
    </cfRule>
  </conditionalFormatting>
  <conditionalFormatting sqref="C65">
    <cfRule type="cellIs" dxfId="7587" priority="9927" stopIfTrue="1" operator="equal">
      <formula>"Towel"</formula>
    </cfRule>
    <cfRule type="cellIs" dxfId="7586" priority="9928" stopIfTrue="1" operator="equal">
      <formula>"Napkin Hs"</formula>
    </cfRule>
  </conditionalFormatting>
  <conditionalFormatting sqref="C65">
    <cfRule type="cellIs" dxfId="7585" priority="9929" stopIfTrue="1" operator="equal">
      <formula>"Towel"</formula>
    </cfRule>
    <cfRule type="cellIs" dxfId="7584" priority="9930" stopIfTrue="1" operator="equal">
      <formula>"Napkin Hs"</formula>
    </cfRule>
  </conditionalFormatting>
  <conditionalFormatting sqref="B65:C65">
    <cfRule type="cellIs" dxfId="7583" priority="9925" stopIfTrue="1" operator="equal">
      <formula>"Towel"</formula>
    </cfRule>
    <cfRule type="cellIs" dxfId="7582" priority="9926" stopIfTrue="1" operator="equal">
      <formula>"Napkin Hs"</formula>
    </cfRule>
  </conditionalFormatting>
  <conditionalFormatting sqref="C65">
    <cfRule type="cellIs" dxfId="7581" priority="9923" stopIfTrue="1" operator="equal">
      <formula>"Towel"</formula>
    </cfRule>
    <cfRule type="cellIs" dxfId="7580" priority="9924" stopIfTrue="1" operator="equal">
      <formula>"Napkin Hs"</formula>
    </cfRule>
  </conditionalFormatting>
  <conditionalFormatting sqref="C65">
    <cfRule type="cellIs" dxfId="7579" priority="9921" stopIfTrue="1" operator="equal">
      <formula>"Towel"</formula>
    </cfRule>
    <cfRule type="cellIs" dxfId="7578" priority="9922" stopIfTrue="1" operator="equal">
      <formula>"Napkin Hs"</formula>
    </cfRule>
  </conditionalFormatting>
  <conditionalFormatting sqref="B65:C65">
    <cfRule type="cellIs" dxfId="7577" priority="9919" stopIfTrue="1" operator="equal">
      <formula>"Towel"</formula>
    </cfRule>
    <cfRule type="cellIs" dxfId="7576" priority="9920" stopIfTrue="1" operator="equal">
      <formula>"Napkin Hs"</formula>
    </cfRule>
  </conditionalFormatting>
  <conditionalFormatting sqref="C65">
    <cfRule type="cellIs" dxfId="7575" priority="9917" stopIfTrue="1" operator="equal">
      <formula>"Towel"</formula>
    </cfRule>
    <cfRule type="cellIs" dxfId="7574" priority="9918" stopIfTrue="1" operator="equal">
      <formula>"Napkin Hs"</formula>
    </cfRule>
  </conditionalFormatting>
  <conditionalFormatting sqref="C65">
    <cfRule type="cellIs" dxfId="7573" priority="9915" stopIfTrue="1" operator="equal">
      <formula>"Towel"</formula>
    </cfRule>
    <cfRule type="cellIs" dxfId="7572" priority="9916" stopIfTrue="1" operator="equal">
      <formula>"Napkin Hs"</formula>
    </cfRule>
  </conditionalFormatting>
  <conditionalFormatting sqref="B65:C65">
    <cfRule type="cellIs" dxfId="7571" priority="9913" stopIfTrue="1" operator="equal">
      <formula>"Towel"</formula>
    </cfRule>
    <cfRule type="cellIs" dxfId="7570" priority="9914" stopIfTrue="1" operator="equal">
      <formula>"Napkin Hs"</formula>
    </cfRule>
  </conditionalFormatting>
  <conditionalFormatting sqref="C65">
    <cfRule type="cellIs" dxfId="7569" priority="9911" stopIfTrue="1" operator="equal">
      <formula>"Towel"</formula>
    </cfRule>
    <cfRule type="cellIs" dxfId="7568" priority="9912" stopIfTrue="1" operator="equal">
      <formula>"Napkin Hs"</formula>
    </cfRule>
  </conditionalFormatting>
  <conditionalFormatting sqref="C65">
    <cfRule type="cellIs" dxfId="7567" priority="9909" stopIfTrue="1" operator="equal">
      <formula>"Towel"</formula>
    </cfRule>
    <cfRule type="cellIs" dxfId="7566" priority="9910" stopIfTrue="1" operator="equal">
      <formula>"Napkin Hs"</formula>
    </cfRule>
  </conditionalFormatting>
  <conditionalFormatting sqref="B65:C65">
    <cfRule type="cellIs" dxfId="7565" priority="9908" stopIfTrue="1" operator="equal">
      <formula>"Napkin Hs"</formula>
    </cfRule>
  </conditionalFormatting>
  <conditionalFormatting sqref="B65:C65">
    <cfRule type="cellIs" dxfId="7564" priority="9907" stopIfTrue="1" operator="equal">
      <formula>"Towel"</formula>
    </cfRule>
  </conditionalFormatting>
  <conditionalFormatting sqref="C65">
    <cfRule type="cellIs" dxfId="7563" priority="9906" stopIfTrue="1" operator="equal">
      <formula>"Napkin Hs"</formula>
    </cfRule>
  </conditionalFormatting>
  <conditionalFormatting sqref="C65">
    <cfRule type="cellIs" dxfId="7562" priority="9903" stopIfTrue="1" operator="equal">
      <formula>"Towel"</formula>
    </cfRule>
    <cfRule type="cellIs" dxfId="7561" priority="9904" stopIfTrue="1" operator="equal">
      <formula>"Napkin Hs"</formula>
    </cfRule>
  </conditionalFormatting>
  <conditionalFormatting sqref="C65">
    <cfRule type="cellIs" dxfId="7560" priority="9905" stopIfTrue="1" operator="equal">
      <formula>"Towel"</formula>
    </cfRule>
  </conditionalFormatting>
  <conditionalFormatting sqref="B64:C64">
    <cfRule type="cellIs" dxfId="7559" priority="9902" stopIfTrue="1" operator="equal">
      <formula>"Napkin Hs"</formula>
    </cfRule>
  </conditionalFormatting>
  <conditionalFormatting sqref="B64:C64">
    <cfRule type="cellIs" dxfId="7558" priority="9901" stopIfTrue="1" operator="equal">
      <formula>"Towel"</formula>
    </cfRule>
  </conditionalFormatting>
  <conditionalFormatting sqref="C64">
    <cfRule type="cellIs" dxfId="7557" priority="9900" stopIfTrue="1" operator="equal">
      <formula>"Napkin Hs"</formula>
    </cfRule>
  </conditionalFormatting>
  <conditionalFormatting sqref="C64">
    <cfRule type="cellIs" dxfId="7556" priority="9899" stopIfTrue="1" operator="equal">
      <formula>"Towel"</formula>
    </cfRule>
  </conditionalFormatting>
  <conditionalFormatting sqref="C64">
    <cfRule type="cellIs" dxfId="7555" priority="9897" stopIfTrue="1" operator="equal">
      <formula>"Towel"</formula>
    </cfRule>
    <cfRule type="cellIs" dxfId="7554" priority="9898" stopIfTrue="1" operator="equal">
      <formula>"Napkin Hs"</formula>
    </cfRule>
  </conditionalFormatting>
  <conditionalFormatting sqref="B64:C64">
    <cfRule type="cellIs" dxfId="7553" priority="9895" stopIfTrue="1" operator="equal">
      <formula>"Towel"</formula>
    </cfRule>
    <cfRule type="cellIs" dxfId="7552" priority="9896" stopIfTrue="1" operator="equal">
      <formula>"Napkin Hs"</formula>
    </cfRule>
  </conditionalFormatting>
  <conditionalFormatting sqref="C64">
    <cfRule type="cellIs" dxfId="7551" priority="9893" stopIfTrue="1" operator="equal">
      <formula>"Towel"</formula>
    </cfRule>
    <cfRule type="cellIs" dxfId="7550" priority="9894" stopIfTrue="1" operator="equal">
      <formula>"Napkin Hs"</formula>
    </cfRule>
  </conditionalFormatting>
  <conditionalFormatting sqref="C64">
    <cfRule type="cellIs" dxfId="7549" priority="9891" stopIfTrue="1" operator="equal">
      <formula>"Towel"</formula>
    </cfRule>
    <cfRule type="cellIs" dxfId="7548" priority="9892" stopIfTrue="1" operator="equal">
      <formula>"Napkin Hs"</formula>
    </cfRule>
  </conditionalFormatting>
  <conditionalFormatting sqref="B64:C64">
    <cfRule type="cellIs" dxfId="7547" priority="9889" stopIfTrue="1" operator="equal">
      <formula>"Towel"</formula>
    </cfRule>
    <cfRule type="cellIs" dxfId="7546" priority="9890" stopIfTrue="1" operator="equal">
      <formula>"Napkin Hs"</formula>
    </cfRule>
  </conditionalFormatting>
  <conditionalFormatting sqref="C64">
    <cfRule type="cellIs" dxfId="7545" priority="9887" stopIfTrue="1" operator="equal">
      <formula>"Towel"</formula>
    </cfRule>
    <cfRule type="cellIs" dxfId="7544" priority="9888" stopIfTrue="1" operator="equal">
      <formula>"Napkin Hs"</formula>
    </cfRule>
  </conditionalFormatting>
  <conditionalFormatting sqref="C64">
    <cfRule type="cellIs" dxfId="7543" priority="9885" stopIfTrue="1" operator="equal">
      <formula>"Towel"</formula>
    </cfRule>
    <cfRule type="cellIs" dxfId="7542" priority="9886" stopIfTrue="1" operator="equal">
      <formula>"Napkin Hs"</formula>
    </cfRule>
  </conditionalFormatting>
  <conditionalFormatting sqref="B64:C64">
    <cfRule type="cellIs" dxfId="7541" priority="9883" stopIfTrue="1" operator="equal">
      <formula>"Towel"</formula>
    </cfRule>
    <cfRule type="cellIs" dxfId="7540" priority="9884" stopIfTrue="1" operator="equal">
      <formula>"Napkin Hs"</formula>
    </cfRule>
  </conditionalFormatting>
  <conditionalFormatting sqref="C64">
    <cfRule type="cellIs" dxfId="7539" priority="9881" stopIfTrue="1" operator="equal">
      <formula>"Towel"</formula>
    </cfRule>
    <cfRule type="cellIs" dxfId="7538" priority="9882" stopIfTrue="1" operator="equal">
      <formula>"Napkin Hs"</formula>
    </cfRule>
  </conditionalFormatting>
  <conditionalFormatting sqref="C64">
    <cfRule type="cellIs" dxfId="7537" priority="9879" stopIfTrue="1" operator="equal">
      <formula>"Towel"</formula>
    </cfRule>
    <cfRule type="cellIs" dxfId="7536" priority="9880" stopIfTrue="1" operator="equal">
      <formula>"Napkin Hs"</formula>
    </cfRule>
  </conditionalFormatting>
  <conditionalFormatting sqref="B64:C64">
    <cfRule type="cellIs" dxfId="7535" priority="9877" stopIfTrue="1" operator="equal">
      <formula>"Towel"</formula>
    </cfRule>
    <cfRule type="cellIs" dxfId="7534" priority="9878" stopIfTrue="1" operator="equal">
      <formula>"Napkin Hs"</formula>
    </cfRule>
  </conditionalFormatting>
  <conditionalFormatting sqref="C64">
    <cfRule type="cellIs" dxfId="7533" priority="9875" stopIfTrue="1" operator="equal">
      <formula>"Towel"</formula>
    </cfRule>
    <cfRule type="cellIs" dxfId="7532" priority="9876" stopIfTrue="1" operator="equal">
      <formula>"Napkin Hs"</formula>
    </cfRule>
  </conditionalFormatting>
  <conditionalFormatting sqref="C64">
    <cfRule type="cellIs" dxfId="7531" priority="9867" stopIfTrue="1" operator="equal">
      <formula>"Towel"</formula>
    </cfRule>
    <cfRule type="cellIs" dxfId="7530" priority="9868" stopIfTrue="1" operator="equal">
      <formula>"Napkin Hs"</formula>
    </cfRule>
  </conditionalFormatting>
  <conditionalFormatting sqref="B64:C64">
    <cfRule type="cellIs" dxfId="7529" priority="9866" stopIfTrue="1" operator="equal">
      <formula>"Napkin Hs"</formula>
    </cfRule>
  </conditionalFormatting>
  <conditionalFormatting sqref="B64:C64">
    <cfRule type="cellIs" dxfId="7528" priority="9865" stopIfTrue="1" operator="equal">
      <formula>"Towel"</formula>
    </cfRule>
  </conditionalFormatting>
  <conditionalFormatting sqref="C64">
    <cfRule type="cellIs" dxfId="7527" priority="9864" stopIfTrue="1" operator="equal">
      <formula>"Napkin Hs"</formula>
    </cfRule>
  </conditionalFormatting>
  <conditionalFormatting sqref="C64">
    <cfRule type="cellIs" dxfId="7526" priority="9863" stopIfTrue="1" operator="equal">
      <formula>"Towel"</formula>
    </cfRule>
  </conditionalFormatting>
  <conditionalFormatting sqref="B63:C63">
    <cfRule type="cellIs" dxfId="7525" priority="9859" stopIfTrue="1" operator="equal">
      <formula>"Towel"</formula>
    </cfRule>
    <cfRule type="cellIs" dxfId="7524" priority="9860" stopIfTrue="1" operator="equal">
      <formula>"Napkin Hs"</formula>
    </cfRule>
  </conditionalFormatting>
  <conditionalFormatting sqref="C63">
    <cfRule type="cellIs" dxfId="7523" priority="9855" stopIfTrue="1" operator="equal">
      <formula>"Towel"</formula>
    </cfRule>
    <cfRule type="cellIs" dxfId="7522" priority="9856" stopIfTrue="1" operator="equal">
      <formula>"Napkin Hs"</formula>
    </cfRule>
  </conditionalFormatting>
  <conditionalFormatting sqref="C63">
    <cfRule type="cellIs" dxfId="7521" priority="9857" stopIfTrue="1" operator="equal">
      <formula>"Towel"</formula>
    </cfRule>
    <cfRule type="cellIs" dxfId="7520" priority="9858" stopIfTrue="1" operator="equal">
      <formula>"Napkin Hs"</formula>
    </cfRule>
  </conditionalFormatting>
  <conditionalFormatting sqref="B63:C63">
    <cfRule type="cellIs" dxfId="7519" priority="9854" stopIfTrue="1" operator="equal">
      <formula>"Napkin Hs"</formula>
    </cfRule>
  </conditionalFormatting>
  <conditionalFormatting sqref="B63:C63">
    <cfRule type="cellIs" dxfId="7518" priority="9853" stopIfTrue="1" operator="equal">
      <formula>"Towel"</formula>
    </cfRule>
  </conditionalFormatting>
  <conditionalFormatting sqref="C63">
    <cfRule type="cellIs" dxfId="7517" priority="9852" stopIfTrue="1" operator="equal">
      <formula>"Napkin Hs"</formula>
    </cfRule>
  </conditionalFormatting>
  <conditionalFormatting sqref="C63">
    <cfRule type="cellIs" dxfId="7516" priority="9851" stopIfTrue="1" operator="equal">
      <formula>"Towel"</formula>
    </cfRule>
  </conditionalFormatting>
  <conditionalFormatting sqref="C63">
    <cfRule type="cellIs" dxfId="7515" priority="9849" stopIfTrue="1" operator="equal">
      <formula>"Towel"</formula>
    </cfRule>
    <cfRule type="cellIs" dxfId="7514" priority="9850" stopIfTrue="1" operator="equal">
      <formula>"Napkin Hs"</formula>
    </cfRule>
  </conditionalFormatting>
  <conditionalFormatting sqref="B63:C63">
    <cfRule type="cellIs" dxfId="7513" priority="9847" stopIfTrue="1" operator="equal">
      <formula>"Towel"</formula>
    </cfRule>
    <cfRule type="cellIs" dxfId="7512" priority="9848" stopIfTrue="1" operator="equal">
      <formula>"Napkin Hs"</formula>
    </cfRule>
  </conditionalFormatting>
  <conditionalFormatting sqref="C63">
    <cfRule type="cellIs" dxfId="7511" priority="9845" stopIfTrue="1" operator="equal">
      <formula>"Towel"</formula>
    </cfRule>
    <cfRule type="cellIs" dxfId="7510" priority="9846" stopIfTrue="1" operator="equal">
      <formula>"Napkin Hs"</formula>
    </cfRule>
  </conditionalFormatting>
  <conditionalFormatting sqref="C63">
    <cfRule type="cellIs" dxfId="7509" priority="9843" stopIfTrue="1" operator="equal">
      <formula>"Towel"</formula>
    </cfRule>
    <cfRule type="cellIs" dxfId="7508" priority="9844" stopIfTrue="1" operator="equal">
      <formula>"Napkin Hs"</formula>
    </cfRule>
  </conditionalFormatting>
  <conditionalFormatting sqref="B63:C63">
    <cfRule type="cellIs" dxfId="7507" priority="9841" stopIfTrue="1" operator="equal">
      <formula>"Towel"</formula>
    </cfRule>
    <cfRule type="cellIs" dxfId="7506" priority="9842" stopIfTrue="1" operator="equal">
      <formula>"Napkin Hs"</formula>
    </cfRule>
  </conditionalFormatting>
  <conditionalFormatting sqref="C63">
    <cfRule type="cellIs" dxfId="7505" priority="9839" stopIfTrue="1" operator="equal">
      <formula>"Towel"</formula>
    </cfRule>
    <cfRule type="cellIs" dxfId="7504" priority="9840" stopIfTrue="1" operator="equal">
      <formula>"Napkin Hs"</formula>
    </cfRule>
  </conditionalFormatting>
  <conditionalFormatting sqref="C63">
    <cfRule type="cellIs" dxfId="7503" priority="9837" stopIfTrue="1" operator="equal">
      <formula>"Towel"</formula>
    </cfRule>
    <cfRule type="cellIs" dxfId="7502" priority="9838" stopIfTrue="1" operator="equal">
      <formula>"Napkin Hs"</formula>
    </cfRule>
  </conditionalFormatting>
  <conditionalFormatting sqref="B63:C63">
    <cfRule type="cellIs" dxfId="7501" priority="9835" stopIfTrue="1" operator="equal">
      <formula>"Towel"</formula>
    </cfRule>
    <cfRule type="cellIs" dxfId="7500" priority="9836" stopIfTrue="1" operator="equal">
      <formula>"Napkin Hs"</formula>
    </cfRule>
  </conditionalFormatting>
  <conditionalFormatting sqref="C63">
    <cfRule type="cellIs" dxfId="7499" priority="9833" stopIfTrue="1" operator="equal">
      <formula>"Towel"</formula>
    </cfRule>
    <cfRule type="cellIs" dxfId="7498" priority="9834" stopIfTrue="1" operator="equal">
      <formula>"Napkin Hs"</formula>
    </cfRule>
  </conditionalFormatting>
  <conditionalFormatting sqref="C63">
    <cfRule type="cellIs" dxfId="7497" priority="9831" stopIfTrue="1" operator="equal">
      <formula>"Towel"</formula>
    </cfRule>
    <cfRule type="cellIs" dxfId="7496" priority="9832" stopIfTrue="1" operator="equal">
      <formula>"Napkin Hs"</formula>
    </cfRule>
  </conditionalFormatting>
  <conditionalFormatting sqref="B63:C63">
    <cfRule type="cellIs" dxfId="7495" priority="9829" stopIfTrue="1" operator="equal">
      <formula>"Towel"</formula>
    </cfRule>
    <cfRule type="cellIs" dxfId="7494" priority="9830" stopIfTrue="1" operator="equal">
      <formula>"Napkin Hs"</formula>
    </cfRule>
  </conditionalFormatting>
  <conditionalFormatting sqref="C63">
    <cfRule type="cellIs" dxfId="7493" priority="9827" stopIfTrue="1" operator="equal">
      <formula>"Towel"</formula>
    </cfRule>
    <cfRule type="cellIs" dxfId="7492" priority="9828" stopIfTrue="1" operator="equal">
      <formula>"Napkin Hs"</formula>
    </cfRule>
  </conditionalFormatting>
  <conditionalFormatting sqref="C63">
    <cfRule type="cellIs" dxfId="7491" priority="9825" stopIfTrue="1" operator="equal">
      <formula>"Towel"</formula>
    </cfRule>
    <cfRule type="cellIs" dxfId="7490" priority="9826" stopIfTrue="1" operator="equal">
      <formula>"Napkin Hs"</formula>
    </cfRule>
  </conditionalFormatting>
  <conditionalFormatting sqref="B63:C63">
    <cfRule type="cellIs" dxfId="7489" priority="9823" stopIfTrue="1" operator="equal">
      <formula>"Towel"</formula>
    </cfRule>
    <cfRule type="cellIs" dxfId="7488" priority="9824" stopIfTrue="1" operator="equal">
      <formula>"Napkin Hs"</formula>
    </cfRule>
  </conditionalFormatting>
  <conditionalFormatting sqref="C63">
    <cfRule type="cellIs" dxfId="7487" priority="9821" stopIfTrue="1" operator="equal">
      <formula>"Towel"</formula>
    </cfRule>
    <cfRule type="cellIs" dxfId="7486" priority="9822" stopIfTrue="1" operator="equal">
      <formula>"Napkin Hs"</formula>
    </cfRule>
  </conditionalFormatting>
  <conditionalFormatting sqref="C63">
    <cfRule type="cellIs" dxfId="7485" priority="9819" stopIfTrue="1" operator="equal">
      <formula>"Towel"</formula>
    </cfRule>
    <cfRule type="cellIs" dxfId="7484" priority="9820" stopIfTrue="1" operator="equal">
      <formula>"Napkin Hs"</formula>
    </cfRule>
  </conditionalFormatting>
  <conditionalFormatting sqref="B63:C63">
    <cfRule type="cellIs" dxfId="7483" priority="9818" stopIfTrue="1" operator="equal">
      <formula>"Napkin Hs"</formula>
    </cfRule>
  </conditionalFormatting>
  <conditionalFormatting sqref="B63:C63">
    <cfRule type="cellIs" dxfId="7482" priority="9817" stopIfTrue="1" operator="equal">
      <formula>"Towel"</formula>
    </cfRule>
  </conditionalFormatting>
  <conditionalFormatting sqref="C63">
    <cfRule type="cellIs" dxfId="7481" priority="9816" stopIfTrue="1" operator="equal">
      <formula>"Napkin Hs"</formula>
    </cfRule>
  </conditionalFormatting>
  <conditionalFormatting sqref="C63">
    <cfRule type="cellIs" dxfId="7480" priority="9813" stopIfTrue="1" operator="equal">
      <formula>"Towel"</formula>
    </cfRule>
    <cfRule type="cellIs" dxfId="7479" priority="9814" stopIfTrue="1" operator="equal">
      <formula>"Napkin Hs"</formula>
    </cfRule>
  </conditionalFormatting>
  <conditionalFormatting sqref="C63">
    <cfRule type="cellIs" dxfId="7478" priority="9815" stopIfTrue="1" operator="equal">
      <formula>"Towel"</formula>
    </cfRule>
  </conditionalFormatting>
  <conditionalFormatting sqref="B66:C66">
    <cfRule type="cellIs" dxfId="7477" priority="9681" stopIfTrue="1" operator="equal">
      <formula>"Towel"</formula>
    </cfRule>
    <cfRule type="cellIs" dxfId="7476" priority="9682" stopIfTrue="1" operator="equal">
      <formula>"Napkin Hs"</formula>
    </cfRule>
  </conditionalFormatting>
  <conditionalFormatting sqref="C66">
    <cfRule type="cellIs" dxfId="7475" priority="9677" stopIfTrue="1" operator="equal">
      <formula>"Towel"</formula>
    </cfRule>
    <cfRule type="cellIs" dxfId="7474" priority="9678" stopIfTrue="1" operator="equal">
      <formula>"Napkin Hs"</formula>
    </cfRule>
  </conditionalFormatting>
  <conditionalFormatting sqref="C66">
    <cfRule type="cellIs" dxfId="7473" priority="9679" stopIfTrue="1" operator="equal">
      <formula>"Towel"</formula>
    </cfRule>
    <cfRule type="cellIs" dxfId="7472" priority="9680" stopIfTrue="1" operator="equal">
      <formula>"Napkin Hs"</formula>
    </cfRule>
  </conditionalFormatting>
  <conditionalFormatting sqref="C64:C65">
    <cfRule type="cellIs" dxfId="7471" priority="9671" stopIfTrue="1" operator="equal">
      <formula>"Towel"</formula>
    </cfRule>
    <cfRule type="cellIs" dxfId="7470" priority="9672" stopIfTrue="1" operator="equal">
      <formula>"Napkin Hs"</formula>
    </cfRule>
  </conditionalFormatting>
  <conditionalFormatting sqref="B65:C65">
    <cfRule type="cellIs" dxfId="7469" priority="9669" stopIfTrue="1" operator="equal">
      <formula>"Towel"</formula>
    </cfRule>
    <cfRule type="cellIs" dxfId="7468" priority="9670" stopIfTrue="1" operator="equal">
      <formula>"Napkin Hs"</formula>
    </cfRule>
  </conditionalFormatting>
  <conditionalFormatting sqref="C65">
    <cfRule type="cellIs" dxfId="7467" priority="9667" stopIfTrue="1" operator="equal">
      <formula>"Towel"</formula>
    </cfRule>
    <cfRule type="cellIs" dxfId="7466" priority="9668" stopIfTrue="1" operator="equal">
      <formula>"Napkin Hs"</formula>
    </cfRule>
  </conditionalFormatting>
  <conditionalFormatting sqref="B65:C65">
    <cfRule type="cellIs" dxfId="7465" priority="9659" stopIfTrue="1" operator="equal">
      <formula>"Towel"</formula>
    </cfRule>
    <cfRule type="cellIs" dxfId="7464" priority="9660" stopIfTrue="1" operator="equal">
      <formula>"Napkin Hs"</formula>
    </cfRule>
  </conditionalFormatting>
  <conditionalFormatting sqref="B64:C65">
    <cfRule type="cellIs" dxfId="7463" priority="9675" stopIfTrue="1" operator="equal">
      <formula>"Towel"</formula>
    </cfRule>
    <cfRule type="cellIs" dxfId="7462" priority="9676" stopIfTrue="1" operator="equal">
      <formula>"Napkin Hs"</formula>
    </cfRule>
  </conditionalFormatting>
  <conditionalFormatting sqref="C64:C65">
    <cfRule type="cellIs" dxfId="7461" priority="9673" stopIfTrue="1" operator="equal">
      <formula>"Towel"</formula>
    </cfRule>
    <cfRule type="cellIs" dxfId="7460" priority="9674" stopIfTrue="1" operator="equal">
      <formula>"Napkin Hs"</formula>
    </cfRule>
  </conditionalFormatting>
  <conditionalFormatting sqref="B64:C64">
    <cfRule type="cellIs" dxfId="7459" priority="9665" stopIfTrue="1" operator="equal">
      <formula>"Towel"</formula>
    </cfRule>
    <cfRule type="cellIs" dxfId="7458" priority="9666" stopIfTrue="1" operator="equal">
      <formula>"Napkin Hs"</formula>
    </cfRule>
  </conditionalFormatting>
  <conditionalFormatting sqref="C65">
    <cfRule type="cellIs" dxfId="7457" priority="9657" stopIfTrue="1" operator="equal">
      <formula>"Towel"</formula>
    </cfRule>
    <cfRule type="cellIs" dxfId="7456" priority="9658" stopIfTrue="1" operator="equal">
      <formula>"Napkin Hs"</formula>
    </cfRule>
  </conditionalFormatting>
  <conditionalFormatting sqref="C64:C65">
    <cfRule type="cellIs" dxfId="7455" priority="9653" stopIfTrue="1" operator="equal">
      <formula>"Towel"</formula>
    </cfRule>
    <cfRule type="cellIs" dxfId="7454" priority="9654" stopIfTrue="1" operator="equal">
      <formula>"Napkin Hs"</formula>
    </cfRule>
  </conditionalFormatting>
  <conditionalFormatting sqref="B64:C64">
    <cfRule type="cellIs" dxfId="7453" priority="9655" stopIfTrue="1" operator="equal">
      <formula>"Towel"</formula>
    </cfRule>
    <cfRule type="cellIs" dxfId="7452" priority="9656" stopIfTrue="1" operator="equal">
      <formula>"Napkin Hs"</formula>
    </cfRule>
  </conditionalFormatting>
  <conditionalFormatting sqref="C64">
    <cfRule type="cellIs" dxfId="7451" priority="9647" stopIfTrue="1" operator="equal">
      <formula>"Towel"</formula>
    </cfRule>
    <cfRule type="cellIs" dxfId="7450" priority="9648" stopIfTrue="1" operator="equal">
      <formula>"Napkin Hs"</formula>
    </cfRule>
  </conditionalFormatting>
  <conditionalFormatting sqref="B65:C65">
    <cfRule type="cellIs" dxfId="7449" priority="9645" stopIfTrue="1" operator="equal">
      <formula>"Towel"</formula>
    </cfRule>
    <cfRule type="cellIs" dxfId="7448" priority="9646" stopIfTrue="1" operator="equal">
      <formula>"Napkin Hs"</formula>
    </cfRule>
  </conditionalFormatting>
  <conditionalFormatting sqref="C64:C65">
    <cfRule type="cellIs" dxfId="7447" priority="9643" stopIfTrue="1" operator="equal">
      <formula>"Towel"</formula>
    </cfRule>
    <cfRule type="cellIs" dxfId="7446" priority="9644" stopIfTrue="1" operator="equal">
      <formula>"Napkin Hs"</formula>
    </cfRule>
  </conditionalFormatting>
  <conditionalFormatting sqref="C65">
    <cfRule type="cellIs" dxfId="7445" priority="9641" stopIfTrue="1" operator="equal">
      <formula>"Towel"</formula>
    </cfRule>
    <cfRule type="cellIs" dxfId="7444" priority="9642" stopIfTrue="1" operator="equal">
      <formula>"Napkin Hs"</formula>
    </cfRule>
  </conditionalFormatting>
  <conditionalFormatting sqref="B64:C64">
    <cfRule type="cellIs" dxfId="7443" priority="9635" stopIfTrue="1" operator="equal">
      <formula>"Towel"</formula>
    </cfRule>
    <cfRule type="cellIs" dxfId="7442" priority="9636" stopIfTrue="1" operator="equal">
      <formula>"Napkin Hs"</formula>
    </cfRule>
  </conditionalFormatting>
  <conditionalFormatting sqref="C64:C65">
    <cfRule type="cellIs" dxfId="7441" priority="9633" stopIfTrue="1" operator="equal">
      <formula>"Towel"</formula>
    </cfRule>
    <cfRule type="cellIs" dxfId="7440" priority="9634" stopIfTrue="1" operator="equal">
      <formula>"Napkin Hs"</formula>
    </cfRule>
  </conditionalFormatting>
  <conditionalFormatting sqref="C64">
    <cfRule type="cellIs" dxfId="7439" priority="9631" stopIfTrue="1" operator="equal">
      <formula>"Towel"</formula>
    </cfRule>
    <cfRule type="cellIs" dxfId="7438" priority="9632" stopIfTrue="1" operator="equal">
      <formula>"Napkin Hs"</formula>
    </cfRule>
  </conditionalFormatting>
  <conditionalFormatting sqref="C65">
    <cfRule type="cellIs" dxfId="7437" priority="9629" stopIfTrue="1" operator="equal">
      <formula>"Towel"</formula>
    </cfRule>
    <cfRule type="cellIs" dxfId="7436" priority="9630" stopIfTrue="1" operator="equal">
      <formula>"Napkin Hs"</formula>
    </cfRule>
  </conditionalFormatting>
  <conditionalFormatting sqref="C64">
    <cfRule type="cellIs" dxfId="7435" priority="9623" stopIfTrue="1" operator="equal">
      <formula>"Towel"</formula>
    </cfRule>
    <cfRule type="cellIs" dxfId="7434" priority="9624" stopIfTrue="1" operator="equal">
      <formula>"Napkin Hs"</formula>
    </cfRule>
  </conditionalFormatting>
  <conditionalFormatting sqref="B65:C65">
    <cfRule type="cellIs" dxfId="7433" priority="9621" stopIfTrue="1" operator="equal">
      <formula>"Towel"</formula>
    </cfRule>
    <cfRule type="cellIs" dxfId="7432" priority="9622" stopIfTrue="1" operator="equal">
      <formula>"Napkin Hs"</formula>
    </cfRule>
  </conditionalFormatting>
  <conditionalFormatting sqref="C65">
    <cfRule type="cellIs" dxfId="7431" priority="9619" stopIfTrue="1" operator="equal">
      <formula>"Towel"</formula>
    </cfRule>
    <cfRule type="cellIs" dxfId="7430" priority="9620" stopIfTrue="1" operator="equal">
      <formula>"Napkin Hs"</formula>
    </cfRule>
  </conditionalFormatting>
  <conditionalFormatting sqref="C65">
    <cfRule type="cellIs" dxfId="7429" priority="9617" stopIfTrue="1" operator="equal">
      <formula>"Towel"</formula>
    </cfRule>
    <cfRule type="cellIs" dxfId="7428" priority="9618" stopIfTrue="1" operator="equal">
      <formula>"Napkin Hs"</formula>
    </cfRule>
  </conditionalFormatting>
  <conditionalFormatting sqref="C65">
    <cfRule type="cellIs" dxfId="7427" priority="9611" stopIfTrue="1" operator="equal">
      <formula>"Towel"</formula>
    </cfRule>
    <cfRule type="cellIs" dxfId="7426" priority="9612" stopIfTrue="1" operator="equal">
      <formula>"Napkin Hs"</formula>
    </cfRule>
  </conditionalFormatting>
  <conditionalFormatting sqref="C64">
    <cfRule type="cellIs" dxfId="7425" priority="9661" stopIfTrue="1" operator="equal">
      <formula>"Towel"</formula>
    </cfRule>
    <cfRule type="cellIs" dxfId="7424" priority="9662" stopIfTrue="1" operator="equal">
      <formula>"Napkin Hs"</formula>
    </cfRule>
  </conditionalFormatting>
  <conditionalFormatting sqref="C64:C65">
    <cfRule type="cellIs" dxfId="7423" priority="9663" stopIfTrue="1" operator="equal">
      <formula>"Towel"</formula>
    </cfRule>
    <cfRule type="cellIs" dxfId="7422" priority="9664" stopIfTrue="1" operator="equal">
      <formula>"Napkin Hs"</formula>
    </cfRule>
  </conditionalFormatting>
  <conditionalFormatting sqref="C64">
    <cfRule type="cellIs" dxfId="7421" priority="9651" stopIfTrue="1" operator="equal">
      <formula>"Towel"</formula>
    </cfRule>
    <cfRule type="cellIs" dxfId="7420" priority="9652" stopIfTrue="1" operator="equal">
      <formula>"Napkin Hs"</formula>
    </cfRule>
  </conditionalFormatting>
  <conditionalFormatting sqref="B64:C64">
    <cfRule type="cellIs" dxfId="7419" priority="9649" stopIfTrue="1" operator="equal">
      <formula>"Towel"</formula>
    </cfRule>
    <cfRule type="cellIs" dxfId="7418" priority="9650" stopIfTrue="1" operator="equal">
      <formula>"Napkin Hs"</formula>
    </cfRule>
  </conditionalFormatting>
  <conditionalFormatting sqref="B65:C65">
    <cfRule type="cellIs" dxfId="7417" priority="9640" stopIfTrue="1" operator="equal">
      <formula>"Napkin Hs"</formula>
    </cfRule>
  </conditionalFormatting>
  <conditionalFormatting sqref="B65:C65">
    <cfRule type="cellIs" dxfId="7416" priority="9639" stopIfTrue="1" operator="equal">
      <formula>"Towel"</formula>
    </cfRule>
  </conditionalFormatting>
  <conditionalFormatting sqref="C65">
    <cfRule type="cellIs" dxfId="7415" priority="9638" stopIfTrue="1" operator="equal">
      <formula>"Napkin Hs"</formula>
    </cfRule>
  </conditionalFormatting>
  <conditionalFormatting sqref="C65">
    <cfRule type="cellIs" dxfId="7414" priority="9637" stopIfTrue="1" operator="equal">
      <formula>"Towel"</formula>
    </cfRule>
  </conditionalFormatting>
  <conditionalFormatting sqref="B64:C64">
    <cfRule type="cellIs" dxfId="7413" priority="9628" stopIfTrue="1" operator="equal">
      <formula>"Napkin Hs"</formula>
    </cfRule>
  </conditionalFormatting>
  <conditionalFormatting sqref="B64:C64">
    <cfRule type="cellIs" dxfId="7412" priority="9627" stopIfTrue="1" operator="equal">
      <formula>"Towel"</formula>
    </cfRule>
  </conditionalFormatting>
  <conditionalFormatting sqref="C64">
    <cfRule type="cellIs" dxfId="7411" priority="9626" stopIfTrue="1" operator="equal">
      <formula>"Napkin Hs"</formula>
    </cfRule>
  </conditionalFormatting>
  <conditionalFormatting sqref="C64">
    <cfRule type="cellIs" dxfId="7410" priority="9625" stopIfTrue="1" operator="equal">
      <formula>"Towel"</formula>
    </cfRule>
  </conditionalFormatting>
  <conditionalFormatting sqref="B65:C65">
    <cfRule type="cellIs" dxfId="7409" priority="9615" stopIfTrue="1" operator="equal">
      <formula>"Towel"</formula>
    </cfRule>
    <cfRule type="cellIs" dxfId="7408" priority="9616" stopIfTrue="1" operator="equal">
      <formula>"Napkin Hs"</formula>
    </cfRule>
  </conditionalFormatting>
  <conditionalFormatting sqref="C65">
    <cfRule type="cellIs" dxfId="7407" priority="9613" stopIfTrue="1" operator="equal">
      <formula>"Towel"</formula>
    </cfRule>
    <cfRule type="cellIs" dxfId="7406" priority="9614" stopIfTrue="1" operator="equal">
      <formula>"Napkin Hs"</formula>
    </cfRule>
  </conditionalFormatting>
  <conditionalFormatting sqref="B65:C65">
    <cfRule type="cellIs" dxfId="7405" priority="9609" stopIfTrue="1" operator="equal">
      <formula>"Towel"</formula>
    </cfRule>
    <cfRule type="cellIs" dxfId="7404" priority="9610" stopIfTrue="1" operator="equal">
      <formula>"Napkin Hs"</formula>
    </cfRule>
  </conditionalFormatting>
  <conditionalFormatting sqref="C65">
    <cfRule type="cellIs" dxfId="7403" priority="9605" stopIfTrue="1" operator="equal">
      <formula>"Towel"</formula>
    </cfRule>
    <cfRule type="cellIs" dxfId="7402" priority="9606" stopIfTrue="1" operator="equal">
      <formula>"Napkin Hs"</formula>
    </cfRule>
  </conditionalFormatting>
  <conditionalFormatting sqref="C65">
    <cfRule type="cellIs" dxfId="7401" priority="9607" stopIfTrue="1" operator="equal">
      <formula>"Towel"</formula>
    </cfRule>
    <cfRule type="cellIs" dxfId="7400" priority="9608" stopIfTrue="1" operator="equal">
      <formula>"Napkin Hs"</formula>
    </cfRule>
  </conditionalFormatting>
  <conditionalFormatting sqref="B65:C65">
    <cfRule type="cellIs" dxfId="7399" priority="9603" stopIfTrue="1" operator="equal">
      <formula>"Towel"</formula>
    </cfRule>
    <cfRule type="cellIs" dxfId="7398" priority="9604" stopIfTrue="1" operator="equal">
      <formula>"Napkin Hs"</formula>
    </cfRule>
  </conditionalFormatting>
  <conditionalFormatting sqref="C65">
    <cfRule type="cellIs" dxfId="7397" priority="9601" stopIfTrue="1" operator="equal">
      <formula>"Towel"</formula>
    </cfRule>
    <cfRule type="cellIs" dxfId="7396" priority="9602" stopIfTrue="1" operator="equal">
      <formula>"Napkin Hs"</formula>
    </cfRule>
  </conditionalFormatting>
  <conditionalFormatting sqref="C65">
    <cfRule type="cellIs" dxfId="7395" priority="9599" stopIfTrue="1" operator="equal">
      <formula>"Towel"</formula>
    </cfRule>
    <cfRule type="cellIs" dxfId="7394" priority="9600" stopIfTrue="1" operator="equal">
      <formula>"Napkin Hs"</formula>
    </cfRule>
  </conditionalFormatting>
  <conditionalFormatting sqref="B65:C65">
    <cfRule type="cellIs" dxfId="7393" priority="9598" stopIfTrue="1" operator="equal">
      <formula>"Napkin Hs"</formula>
    </cfRule>
  </conditionalFormatting>
  <conditionalFormatting sqref="B65:C65">
    <cfRule type="cellIs" dxfId="7392" priority="9597" stopIfTrue="1" operator="equal">
      <formula>"Towel"</formula>
    </cfRule>
  </conditionalFormatting>
  <conditionalFormatting sqref="C65">
    <cfRule type="cellIs" dxfId="7391" priority="9596" stopIfTrue="1" operator="equal">
      <formula>"Napkin Hs"</formula>
    </cfRule>
  </conditionalFormatting>
  <conditionalFormatting sqref="C65">
    <cfRule type="cellIs" dxfId="7390" priority="9595" stopIfTrue="1" operator="equal">
      <formula>"Towel"</formula>
    </cfRule>
  </conditionalFormatting>
  <conditionalFormatting sqref="C65">
    <cfRule type="cellIs" dxfId="7389" priority="9593" stopIfTrue="1" operator="equal">
      <formula>"Towel"</formula>
    </cfRule>
    <cfRule type="cellIs" dxfId="7388" priority="9594" stopIfTrue="1" operator="equal">
      <formula>"Napkin Hs"</formula>
    </cfRule>
  </conditionalFormatting>
  <conditionalFormatting sqref="C65">
    <cfRule type="cellIs" dxfId="7387" priority="9591" stopIfTrue="1" operator="equal">
      <formula>"Towel"</formula>
    </cfRule>
    <cfRule type="cellIs" dxfId="7386" priority="9592" stopIfTrue="1" operator="equal">
      <formula>"Napkin Hs"</formula>
    </cfRule>
  </conditionalFormatting>
  <conditionalFormatting sqref="B64:C64">
    <cfRule type="cellIs" dxfId="7385" priority="9590" stopIfTrue="1" operator="equal">
      <formula>"Napkin Hs"</formula>
    </cfRule>
  </conditionalFormatting>
  <conditionalFormatting sqref="B64:C64">
    <cfRule type="cellIs" dxfId="7384" priority="9589" stopIfTrue="1" operator="equal">
      <formula>"Towel"</formula>
    </cfRule>
  </conditionalFormatting>
  <conditionalFormatting sqref="C64">
    <cfRule type="cellIs" dxfId="7383" priority="9588" stopIfTrue="1" operator="equal">
      <formula>"Napkin Hs"</formula>
    </cfRule>
  </conditionalFormatting>
  <conditionalFormatting sqref="C64">
    <cfRule type="cellIs" dxfId="7382" priority="9587" stopIfTrue="1" operator="equal">
      <formula>"Towel"</formula>
    </cfRule>
  </conditionalFormatting>
  <conditionalFormatting sqref="C64">
    <cfRule type="cellIs" dxfId="7381" priority="9585" stopIfTrue="1" operator="equal">
      <formula>"Towel"</formula>
    </cfRule>
    <cfRule type="cellIs" dxfId="7380" priority="9586" stopIfTrue="1" operator="equal">
      <formula>"Napkin Hs"</formula>
    </cfRule>
  </conditionalFormatting>
  <conditionalFormatting sqref="B64:C64">
    <cfRule type="cellIs" dxfId="7379" priority="9584" stopIfTrue="1" operator="equal">
      <formula>"Napkin Hs"</formula>
    </cfRule>
  </conditionalFormatting>
  <conditionalFormatting sqref="B64:C64">
    <cfRule type="cellIs" dxfId="7378" priority="9583" stopIfTrue="1" operator="equal">
      <formula>"Towel"</formula>
    </cfRule>
  </conditionalFormatting>
  <conditionalFormatting sqref="C64">
    <cfRule type="cellIs" dxfId="7377" priority="9582" stopIfTrue="1" operator="equal">
      <formula>"Napkin Hs"</formula>
    </cfRule>
  </conditionalFormatting>
  <conditionalFormatting sqref="C64">
    <cfRule type="cellIs" dxfId="7376" priority="9579" stopIfTrue="1" operator="equal">
      <formula>"Towel"</formula>
    </cfRule>
    <cfRule type="cellIs" dxfId="7375" priority="9580" stopIfTrue="1" operator="equal">
      <formula>"Napkin Hs"</formula>
    </cfRule>
  </conditionalFormatting>
  <conditionalFormatting sqref="C64">
    <cfRule type="cellIs" dxfId="7374" priority="9581" stopIfTrue="1" operator="equal">
      <formula>"Towel"</formula>
    </cfRule>
  </conditionalFormatting>
  <conditionalFormatting sqref="B64:C64">
    <cfRule type="cellIs" dxfId="7373" priority="9578" stopIfTrue="1" operator="equal">
      <formula>"Napkin Hs"</formula>
    </cfRule>
  </conditionalFormatting>
  <conditionalFormatting sqref="B64:C64">
    <cfRule type="cellIs" dxfId="7372" priority="9577" stopIfTrue="1" operator="equal">
      <formula>"Towel"</formula>
    </cfRule>
  </conditionalFormatting>
  <conditionalFormatting sqref="C64">
    <cfRule type="cellIs" dxfId="7371" priority="9576" stopIfTrue="1" operator="equal">
      <formula>"Napkin Hs"</formula>
    </cfRule>
  </conditionalFormatting>
  <conditionalFormatting sqref="C64">
    <cfRule type="cellIs" dxfId="7370" priority="9575" stopIfTrue="1" operator="equal">
      <formula>"Towel"</formula>
    </cfRule>
  </conditionalFormatting>
  <conditionalFormatting sqref="C64">
    <cfRule type="cellIs" dxfId="7369" priority="9573" stopIfTrue="1" operator="equal">
      <formula>"Towel"</formula>
    </cfRule>
    <cfRule type="cellIs" dxfId="7368" priority="9574" stopIfTrue="1" operator="equal">
      <formula>"Napkin Hs"</formula>
    </cfRule>
  </conditionalFormatting>
  <conditionalFormatting sqref="B64:C64">
    <cfRule type="cellIs" dxfId="7367" priority="9572" stopIfTrue="1" operator="equal">
      <formula>"Napkin Hs"</formula>
    </cfRule>
  </conditionalFormatting>
  <conditionalFormatting sqref="B64:C64">
    <cfRule type="cellIs" dxfId="7366" priority="9571" stopIfTrue="1" operator="equal">
      <formula>"Towel"</formula>
    </cfRule>
  </conditionalFormatting>
  <conditionalFormatting sqref="C64">
    <cfRule type="cellIs" dxfId="7365" priority="9570" stopIfTrue="1" operator="equal">
      <formula>"Napkin Hs"</formula>
    </cfRule>
  </conditionalFormatting>
  <conditionalFormatting sqref="C64">
    <cfRule type="cellIs" dxfId="7364" priority="9567" stopIfTrue="1" operator="equal">
      <formula>"Towel"</formula>
    </cfRule>
    <cfRule type="cellIs" dxfId="7363" priority="9568" stopIfTrue="1" operator="equal">
      <formula>"Napkin Hs"</formula>
    </cfRule>
  </conditionalFormatting>
  <conditionalFormatting sqref="C64">
    <cfRule type="cellIs" dxfId="7362" priority="9569" stopIfTrue="1" operator="equal">
      <formula>"Towel"</formula>
    </cfRule>
  </conditionalFormatting>
  <conditionalFormatting sqref="B64:C64">
    <cfRule type="cellIs" dxfId="7361" priority="9566" stopIfTrue="1" operator="equal">
      <formula>"Napkin Hs"</formula>
    </cfRule>
  </conditionalFormatting>
  <conditionalFormatting sqref="B64:C64">
    <cfRule type="cellIs" dxfId="7360" priority="9565" stopIfTrue="1" operator="equal">
      <formula>"Towel"</formula>
    </cfRule>
  </conditionalFormatting>
  <conditionalFormatting sqref="C64">
    <cfRule type="cellIs" dxfId="7359" priority="9564" stopIfTrue="1" operator="equal">
      <formula>"Napkin Hs"</formula>
    </cfRule>
  </conditionalFormatting>
  <conditionalFormatting sqref="C64">
    <cfRule type="cellIs" dxfId="7358" priority="9563" stopIfTrue="1" operator="equal">
      <formula>"Towel"</formula>
    </cfRule>
  </conditionalFormatting>
  <conditionalFormatting sqref="C64">
    <cfRule type="cellIs" dxfId="7357" priority="9561" stopIfTrue="1" operator="equal">
      <formula>"Towel"</formula>
    </cfRule>
    <cfRule type="cellIs" dxfId="7356" priority="9562" stopIfTrue="1" operator="equal">
      <formula>"Napkin Hs"</formula>
    </cfRule>
  </conditionalFormatting>
  <conditionalFormatting sqref="B64:C64">
    <cfRule type="cellIs" dxfId="7355" priority="9560" stopIfTrue="1" operator="equal">
      <formula>"Napkin Hs"</formula>
    </cfRule>
  </conditionalFormatting>
  <conditionalFormatting sqref="B64:C64">
    <cfRule type="cellIs" dxfId="7354" priority="9559" stopIfTrue="1" operator="equal">
      <formula>"Towel"</formula>
    </cfRule>
  </conditionalFormatting>
  <conditionalFormatting sqref="C64">
    <cfRule type="cellIs" dxfId="7353" priority="9558" stopIfTrue="1" operator="equal">
      <formula>"Napkin Hs"</formula>
    </cfRule>
  </conditionalFormatting>
  <conditionalFormatting sqref="C64">
    <cfRule type="cellIs" dxfId="7352" priority="9555" stopIfTrue="1" operator="equal">
      <formula>"Towel"</formula>
    </cfRule>
    <cfRule type="cellIs" dxfId="7351" priority="9556" stopIfTrue="1" operator="equal">
      <formula>"Napkin Hs"</formula>
    </cfRule>
  </conditionalFormatting>
  <conditionalFormatting sqref="C64">
    <cfRule type="cellIs" dxfId="7350" priority="9557" stopIfTrue="1" operator="equal">
      <formula>"Towel"</formula>
    </cfRule>
  </conditionalFormatting>
  <conditionalFormatting sqref="B64:C64">
    <cfRule type="cellIs" dxfId="7349" priority="9554" stopIfTrue="1" operator="equal">
      <formula>"Napkin Hs"</formula>
    </cfRule>
  </conditionalFormatting>
  <conditionalFormatting sqref="B64:C64">
    <cfRule type="cellIs" dxfId="7348" priority="9553" stopIfTrue="1" operator="equal">
      <formula>"Towel"</formula>
    </cfRule>
  </conditionalFormatting>
  <conditionalFormatting sqref="C64">
    <cfRule type="cellIs" dxfId="7347" priority="9552" stopIfTrue="1" operator="equal">
      <formula>"Napkin Hs"</formula>
    </cfRule>
  </conditionalFormatting>
  <conditionalFormatting sqref="C64">
    <cfRule type="cellIs" dxfId="7346" priority="9551" stopIfTrue="1" operator="equal">
      <formula>"Towel"</formula>
    </cfRule>
  </conditionalFormatting>
  <conditionalFormatting sqref="C64">
    <cfRule type="cellIs" dxfId="7345" priority="9549" stopIfTrue="1" operator="equal">
      <formula>"Towel"</formula>
    </cfRule>
    <cfRule type="cellIs" dxfId="7344" priority="9550" stopIfTrue="1" operator="equal">
      <formula>"Napkin Hs"</formula>
    </cfRule>
  </conditionalFormatting>
  <conditionalFormatting sqref="B64:C64">
    <cfRule type="cellIs" dxfId="7343" priority="9548" stopIfTrue="1" operator="equal">
      <formula>"Napkin Hs"</formula>
    </cfRule>
  </conditionalFormatting>
  <conditionalFormatting sqref="B64:C64">
    <cfRule type="cellIs" dxfId="7342" priority="9547" stopIfTrue="1" operator="equal">
      <formula>"Towel"</formula>
    </cfRule>
  </conditionalFormatting>
  <conditionalFormatting sqref="C64">
    <cfRule type="cellIs" dxfId="7341" priority="9546" stopIfTrue="1" operator="equal">
      <formula>"Napkin Hs"</formula>
    </cfRule>
  </conditionalFormatting>
  <conditionalFormatting sqref="C64">
    <cfRule type="cellIs" dxfId="7340" priority="9543" stopIfTrue="1" operator="equal">
      <formula>"Towel"</formula>
    </cfRule>
    <cfRule type="cellIs" dxfId="7339" priority="9544" stopIfTrue="1" operator="equal">
      <formula>"Napkin Hs"</formula>
    </cfRule>
  </conditionalFormatting>
  <conditionalFormatting sqref="C64">
    <cfRule type="cellIs" dxfId="7338" priority="9545" stopIfTrue="1" operator="equal">
      <formula>"Towel"</formula>
    </cfRule>
  </conditionalFormatting>
  <conditionalFormatting sqref="B64:C64">
    <cfRule type="cellIs" dxfId="7337" priority="9542" stopIfTrue="1" operator="equal">
      <formula>"Napkin Hs"</formula>
    </cfRule>
  </conditionalFormatting>
  <conditionalFormatting sqref="B64:C64">
    <cfRule type="cellIs" dxfId="7336" priority="9541" stopIfTrue="1" operator="equal">
      <formula>"Towel"</formula>
    </cfRule>
  </conditionalFormatting>
  <conditionalFormatting sqref="C64">
    <cfRule type="cellIs" dxfId="7335" priority="9540" stopIfTrue="1" operator="equal">
      <formula>"Napkin Hs"</formula>
    </cfRule>
  </conditionalFormatting>
  <conditionalFormatting sqref="C64">
    <cfRule type="cellIs" dxfId="7334" priority="9537" stopIfTrue="1" operator="equal">
      <formula>"Towel"</formula>
    </cfRule>
    <cfRule type="cellIs" dxfId="7333" priority="9538" stopIfTrue="1" operator="equal">
      <formula>"Napkin Hs"</formula>
    </cfRule>
  </conditionalFormatting>
  <conditionalFormatting sqref="C64">
    <cfRule type="cellIs" dxfId="7332" priority="9539" stopIfTrue="1" operator="equal">
      <formula>"Towel"</formula>
    </cfRule>
  </conditionalFormatting>
  <conditionalFormatting sqref="B64:C64">
    <cfRule type="cellIs" dxfId="7331" priority="9536" stopIfTrue="1" operator="equal">
      <formula>"Napkin Hs"</formula>
    </cfRule>
  </conditionalFormatting>
  <conditionalFormatting sqref="B64:C64">
    <cfRule type="cellIs" dxfId="7330" priority="9535" stopIfTrue="1" operator="equal">
      <formula>"Towel"</formula>
    </cfRule>
  </conditionalFormatting>
  <conditionalFormatting sqref="C64">
    <cfRule type="cellIs" dxfId="7329" priority="9534" stopIfTrue="1" operator="equal">
      <formula>"Napkin Hs"</formula>
    </cfRule>
  </conditionalFormatting>
  <conditionalFormatting sqref="C64">
    <cfRule type="cellIs" dxfId="7328" priority="9531" stopIfTrue="1" operator="equal">
      <formula>"Towel"</formula>
    </cfRule>
    <cfRule type="cellIs" dxfId="7327" priority="9532" stopIfTrue="1" operator="equal">
      <formula>"Napkin Hs"</formula>
    </cfRule>
  </conditionalFormatting>
  <conditionalFormatting sqref="C64">
    <cfRule type="cellIs" dxfId="7326" priority="9533" stopIfTrue="1" operator="equal">
      <formula>"Towel"</formula>
    </cfRule>
  </conditionalFormatting>
  <conditionalFormatting sqref="B64:C64">
    <cfRule type="cellIs" dxfId="7325" priority="9530" stopIfTrue="1" operator="equal">
      <formula>"Napkin Hs"</formula>
    </cfRule>
  </conditionalFormatting>
  <conditionalFormatting sqref="B64:C64">
    <cfRule type="cellIs" dxfId="7324" priority="9529" stopIfTrue="1" operator="equal">
      <formula>"Towel"</formula>
    </cfRule>
  </conditionalFormatting>
  <conditionalFormatting sqref="C64">
    <cfRule type="cellIs" dxfId="7323" priority="9528" stopIfTrue="1" operator="equal">
      <formula>"Napkin Hs"</formula>
    </cfRule>
  </conditionalFormatting>
  <conditionalFormatting sqref="C64">
    <cfRule type="cellIs" dxfId="7322" priority="9525" stopIfTrue="1" operator="equal">
      <formula>"Towel"</formula>
    </cfRule>
    <cfRule type="cellIs" dxfId="7321" priority="9526" stopIfTrue="1" operator="equal">
      <formula>"Napkin Hs"</formula>
    </cfRule>
  </conditionalFormatting>
  <conditionalFormatting sqref="C64">
    <cfRule type="cellIs" dxfId="7320" priority="9527" stopIfTrue="1" operator="equal">
      <formula>"Towel"</formula>
    </cfRule>
  </conditionalFormatting>
  <conditionalFormatting sqref="B63:C63">
    <cfRule type="cellIs" dxfId="7319" priority="9524" stopIfTrue="1" operator="equal">
      <formula>"Napkin Hs"</formula>
    </cfRule>
  </conditionalFormatting>
  <conditionalFormatting sqref="B63:C63">
    <cfRule type="cellIs" dxfId="7318" priority="9523" stopIfTrue="1" operator="equal">
      <formula>"Towel"</formula>
    </cfRule>
  </conditionalFormatting>
  <conditionalFormatting sqref="C63">
    <cfRule type="cellIs" dxfId="7317" priority="9522" stopIfTrue="1" operator="equal">
      <formula>"Napkin Hs"</formula>
    </cfRule>
  </conditionalFormatting>
  <conditionalFormatting sqref="C63">
    <cfRule type="cellIs" dxfId="7316" priority="9519" stopIfTrue="1" operator="equal">
      <formula>"Towel"</formula>
    </cfRule>
    <cfRule type="cellIs" dxfId="7315" priority="9520" stopIfTrue="1" operator="equal">
      <formula>"Napkin Hs"</formula>
    </cfRule>
  </conditionalFormatting>
  <conditionalFormatting sqref="C63">
    <cfRule type="cellIs" dxfId="7314" priority="9521" stopIfTrue="1" operator="equal">
      <formula>"Towel"</formula>
    </cfRule>
  </conditionalFormatting>
  <conditionalFormatting sqref="B62:C64">
    <cfRule type="cellIs" dxfId="7313" priority="9518" stopIfTrue="1" operator="equal">
      <formula>"Napkin Hs"</formula>
    </cfRule>
  </conditionalFormatting>
  <conditionalFormatting sqref="B62:C64">
    <cfRule type="cellIs" dxfId="7312" priority="9517" stopIfTrue="1" operator="equal">
      <formula>"Towel"</formula>
    </cfRule>
  </conditionalFormatting>
  <conditionalFormatting sqref="C62:C64">
    <cfRule type="cellIs" dxfId="7311" priority="9516" stopIfTrue="1" operator="equal">
      <formula>"Napkin Hs"</formula>
    </cfRule>
  </conditionalFormatting>
  <conditionalFormatting sqref="C62:C64">
    <cfRule type="cellIs" dxfId="7310" priority="9513" stopIfTrue="1" operator="equal">
      <formula>"Towel"</formula>
    </cfRule>
    <cfRule type="cellIs" dxfId="7309" priority="9514" stopIfTrue="1" operator="equal">
      <formula>"Napkin Hs"</formula>
    </cfRule>
  </conditionalFormatting>
  <conditionalFormatting sqref="C62:C64">
    <cfRule type="cellIs" dxfId="7308" priority="9515" stopIfTrue="1" operator="equal">
      <formula>"Towel"</formula>
    </cfRule>
  </conditionalFormatting>
  <conditionalFormatting sqref="B70:C71">
    <cfRule type="cellIs" dxfId="7307" priority="9037" stopIfTrue="1" operator="equal">
      <formula>"Towel"</formula>
    </cfRule>
    <cfRule type="cellIs" dxfId="7306" priority="9038" stopIfTrue="1" operator="equal">
      <formula>"Napkin Hs"</formula>
    </cfRule>
  </conditionalFormatting>
  <conditionalFormatting sqref="C70:C71">
    <cfRule type="cellIs" dxfId="7305" priority="9033" stopIfTrue="1" operator="equal">
      <formula>"Towel"</formula>
    </cfRule>
    <cfRule type="cellIs" dxfId="7304" priority="9034" stopIfTrue="1" operator="equal">
      <formula>"Napkin Hs"</formula>
    </cfRule>
  </conditionalFormatting>
  <conditionalFormatting sqref="C70:C71">
    <cfRule type="cellIs" dxfId="7303" priority="9035" stopIfTrue="1" operator="equal">
      <formula>"Towel"</formula>
    </cfRule>
    <cfRule type="cellIs" dxfId="7302" priority="9036" stopIfTrue="1" operator="equal">
      <formula>"Napkin Hs"</formula>
    </cfRule>
  </conditionalFormatting>
  <conditionalFormatting sqref="B71:C71">
    <cfRule type="cellIs" dxfId="7301" priority="8899" stopIfTrue="1" operator="equal">
      <formula>"Towel"</formula>
    </cfRule>
    <cfRule type="cellIs" dxfId="7300" priority="8900" stopIfTrue="1" operator="equal">
      <formula>"Napkin Hs"</formula>
    </cfRule>
  </conditionalFormatting>
  <conditionalFormatting sqref="C71">
    <cfRule type="cellIs" dxfId="7299" priority="8901" stopIfTrue="1" operator="equal">
      <formula>"Towel"</formula>
    </cfRule>
    <cfRule type="cellIs" dxfId="7298" priority="8902" stopIfTrue="1" operator="equal">
      <formula>"Napkin Hs"</formula>
    </cfRule>
  </conditionalFormatting>
  <conditionalFormatting sqref="C71">
    <cfRule type="cellIs" dxfId="7297" priority="8897" stopIfTrue="1" operator="equal">
      <formula>"Towel"</formula>
    </cfRule>
    <cfRule type="cellIs" dxfId="7296" priority="8898" stopIfTrue="1" operator="equal">
      <formula>"Napkin Hs"</formula>
    </cfRule>
  </conditionalFormatting>
  <conditionalFormatting sqref="B70:C70">
    <cfRule type="cellIs" dxfId="7295" priority="8895" stopIfTrue="1" operator="equal">
      <formula>"Towel"</formula>
    </cfRule>
    <cfRule type="cellIs" dxfId="7294" priority="8896" stopIfTrue="1" operator="equal">
      <formula>"Napkin Hs"</formula>
    </cfRule>
  </conditionalFormatting>
  <conditionalFormatting sqref="C70">
    <cfRule type="cellIs" dxfId="7293" priority="8891" stopIfTrue="1" operator="equal">
      <formula>"Towel"</formula>
    </cfRule>
    <cfRule type="cellIs" dxfId="7292" priority="8892" stopIfTrue="1" operator="equal">
      <formula>"Napkin Hs"</formula>
    </cfRule>
  </conditionalFormatting>
  <conditionalFormatting sqref="C70">
    <cfRule type="cellIs" dxfId="7291" priority="8893" stopIfTrue="1" operator="equal">
      <formula>"Towel"</formula>
    </cfRule>
    <cfRule type="cellIs" dxfId="7290" priority="8894" stopIfTrue="1" operator="equal">
      <formula>"Napkin Hs"</formula>
    </cfRule>
  </conditionalFormatting>
  <conditionalFormatting sqref="B70:C70">
    <cfRule type="cellIs" dxfId="7289" priority="8889" stopIfTrue="1" operator="equal">
      <formula>"Towel"</formula>
    </cfRule>
    <cfRule type="cellIs" dxfId="7288" priority="8890" stopIfTrue="1" operator="equal">
      <formula>"Napkin Hs"</formula>
    </cfRule>
  </conditionalFormatting>
  <conditionalFormatting sqref="C70">
    <cfRule type="cellIs" dxfId="7287" priority="8885" stopIfTrue="1" operator="equal">
      <formula>"Towel"</formula>
    </cfRule>
    <cfRule type="cellIs" dxfId="7286" priority="8886" stopIfTrue="1" operator="equal">
      <formula>"Napkin Hs"</formula>
    </cfRule>
  </conditionalFormatting>
  <conditionalFormatting sqref="C70">
    <cfRule type="cellIs" dxfId="7285" priority="8887" stopIfTrue="1" operator="equal">
      <formula>"Towel"</formula>
    </cfRule>
    <cfRule type="cellIs" dxfId="7284" priority="8888" stopIfTrue="1" operator="equal">
      <formula>"Napkin Hs"</formula>
    </cfRule>
  </conditionalFormatting>
  <conditionalFormatting sqref="B70:C70">
    <cfRule type="cellIs" dxfId="7283" priority="8883" stopIfTrue="1" operator="equal">
      <formula>"Towel"</formula>
    </cfRule>
    <cfRule type="cellIs" dxfId="7282" priority="8884" stopIfTrue="1" operator="equal">
      <formula>"Napkin Hs"</formula>
    </cfRule>
  </conditionalFormatting>
  <conditionalFormatting sqref="C70">
    <cfRule type="cellIs" dxfId="7281" priority="8881" stopIfTrue="1" operator="equal">
      <formula>"Towel"</formula>
    </cfRule>
    <cfRule type="cellIs" dxfId="7280" priority="8882" stopIfTrue="1" operator="equal">
      <formula>"Napkin Hs"</formula>
    </cfRule>
  </conditionalFormatting>
  <conditionalFormatting sqref="C70">
    <cfRule type="cellIs" dxfId="7279" priority="8879" stopIfTrue="1" operator="equal">
      <formula>"Towel"</formula>
    </cfRule>
    <cfRule type="cellIs" dxfId="7278" priority="8880" stopIfTrue="1" operator="equal">
      <formula>"Napkin Hs"</formula>
    </cfRule>
  </conditionalFormatting>
  <conditionalFormatting sqref="B70:C70">
    <cfRule type="cellIs" dxfId="7277" priority="8877" stopIfTrue="1" operator="equal">
      <formula>"Towel"</formula>
    </cfRule>
    <cfRule type="cellIs" dxfId="7276" priority="8878" stopIfTrue="1" operator="equal">
      <formula>"Napkin Hs"</formula>
    </cfRule>
  </conditionalFormatting>
  <conditionalFormatting sqref="C70">
    <cfRule type="cellIs" dxfId="7275" priority="8875" stopIfTrue="1" operator="equal">
      <formula>"Towel"</formula>
    </cfRule>
    <cfRule type="cellIs" dxfId="7274" priority="8876" stopIfTrue="1" operator="equal">
      <formula>"Napkin Hs"</formula>
    </cfRule>
  </conditionalFormatting>
  <conditionalFormatting sqref="C70">
    <cfRule type="cellIs" dxfId="7273" priority="8873" stopIfTrue="1" operator="equal">
      <formula>"Towel"</formula>
    </cfRule>
    <cfRule type="cellIs" dxfId="7272" priority="8874" stopIfTrue="1" operator="equal">
      <formula>"Napkin Hs"</formula>
    </cfRule>
  </conditionalFormatting>
  <conditionalFormatting sqref="B70:C70">
    <cfRule type="cellIs" dxfId="7271" priority="8871" stopIfTrue="1" operator="equal">
      <formula>"Towel"</formula>
    </cfRule>
    <cfRule type="cellIs" dxfId="7270" priority="8872" stopIfTrue="1" operator="equal">
      <formula>"Napkin Hs"</formula>
    </cfRule>
  </conditionalFormatting>
  <conditionalFormatting sqref="C70">
    <cfRule type="cellIs" dxfId="7269" priority="8869" stopIfTrue="1" operator="equal">
      <formula>"Towel"</formula>
    </cfRule>
    <cfRule type="cellIs" dxfId="7268" priority="8870" stopIfTrue="1" operator="equal">
      <formula>"Napkin Hs"</formula>
    </cfRule>
  </conditionalFormatting>
  <conditionalFormatting sqref="C70">
    <cfRule type="cellIs" dxfId="7267" priority="8867" stopIfTrue="1" operator="equal">
      <formula>"Towel"</formula>
    </cfRule>
    <cfRule type="cellIs" dxfId="7266" priority="8868" stopIfTrue="1" operator="equal">
      <formula>"Napkin Hs"</formula>
    </cfRule>
  </conditionalFormatting>
  <conditionalFormatting sqref="B70:C70">
    <cfRule type="cellIs" dxfId="7265" priority="8866" stopIfTrue="1" operator="equal">
      <formula>"Napkin Hs"</formula>
    </cfRule>
  </conditionalFormatting>
  <conditionalFormatting sqref="B70:C70">
    <cfRule type="cellIs" dxfId="7264" priority="8865" stopIfTrue="1" operator="equal">
      <formula>"Towel"</formula>
    </cfRule>
  </conditionalFormatting>
  <conditionalFormatting sqref="C70">
    <cfRule type="cellIs" dxfId="7263" priority="8864" stopIfTrue="1" operator="equal">
      <formula>"Napkin Hs"</formula>
    </cfRule>
  </conditionalFormatting>
  <conditionalFormatting sqref="C70">
    <cfRule type="cellIs" dxfId="7262" priority="8861" stopIfTrue="1" operator="equal">
      <formula>"Towel"</formula>
    </cfRule>
    <cfRule type="cellIs" dxfId="7261" priority="8862" stopIfTrue="1" operator="equal">
      <formula>"Napkin Hs"</formula>
    </cfRule>
  </conditionalFormatting>
  <conditionalFormatting sqref="C70">
    <cfRule type="cellIs" dxfId="7260" priority="8863" stopIfTrue="1" operator="equal">
      <formula>"Towel"</formula>
    </cfRule>
  </conditionalFormatting>
  <conditionalFormatting sqref="B71:C71">
    <cfRule type="cellIs" dxfId="7259" priority="8725" stopIfTrue="1" operator="equal">
      <formula>"Towel"</formula>
    </cfRule>
    <cfRule type="cellIs" dxfId="7258" priority="8726" stopIfTrue="1" operator="equal">
      <formula>"Napkin Hs"</formula>
    </cfRule>
  </conditionalFormatting>
  <conditionalFormatting sqref="C71">
    <cfRule type="cellIs" dxfId="7257" priority="8721" stopIfTrue="1" operator="equal">
      <formula>"Towel"</formula>
    </cfRule>
    <cfRule type="cellIs" dxfId="7256" priority="8722" stopIfTrue="1" operator="equal">
      <formula>"Napkin Hs"</formula>
    </cfRule>
  </conditionalFormatting>
  <conditionalFormatting sqref="C71">
    <cfRule type="cellIs" dxfId="7255" priority="8723" stopIfTrue="1" operator="equal">
      <formula>"Towel"</formula>
    </cfRule>
    <cfRule type="cellIs" dxfId="7254" priority="8724" stopIfTrue="1" operator="equal">
      <formula>"Napkin Hs"</formula>
    </cfRule>
  </conditionalFormatting>
  <conditionalFormatting sqref="B70:C70">
    <cfRule type="cellIs" dxfId="7253" priority="8623" stopIfTrue="1" operator="equal">
      <formula>"Towel"</formula>
    </cfRule>
    <cfRule type="cellIs" dxfId="7252" priority="8624" stopIfTrue="1" operator="equal">
      <formula>"Napkin Hs"</formula>
    </cfRule>
  </conditionalFormatting>
  <conditionalFormatting sqref="C70">
    <cfRule type="cellIs" dxfId="7251" priority="8619" stopIfTrue="1" operator="equal">
      <formula>"Towel"</formula>
    </cfRule>
    <cfRule type="cellIs" dxfId="7250" priority="8620" stopIfTrue="1" operator="equal">
      <formula>"Napkin Hs"</formula>
    </cfRule>
  </conditionalFormatting>
  <conditionalFormatting sqref="C70">
    <cfRule type="cellIs" dxfId="7249" priority="8621" stopIfTrue="1" operator="equal">
      <formula>"Towel"</formula>
    </cfRule>
    <cfRule type="cellIs" dxfId="7248" priority="8622" stopIfTrue="1" operator="equal">
      <formula>"Napkin Hs"</formula>
    </cfRule>
  </conditionalFormatting>
  <conditionalFormatting sqref="C70">
    <cfRule type="cellIs" dxfId="7247" priority="8569" stopIfTrue="1" operator="equal">
      <formula>"Towel"</formula>
    </cfRule>
    <cfRule type="cellIs" dxfId="7246" priority="8570" stopIfTrue="1" operator="equal">
      <formula>"Napkin Hs"</formula>
    </cfRule>
  </conditionalFormatting>
  <conditionalFormatting sqref="B70:C70">
    <cfRule type="cellIs" dxfId="7245" priority="8617" stopIfTrue="1" operator="equal">
      <formula>"Towel"</formula>
    </cfRule>
    <cfRule type="cellIs" dxfId="7244" priority="8618" stopIfTrue="1" operator="equal">
      <formula>"Napkin Hs"</formula>
    </cfRule>
  </conditionalFormatting>
  <conditionalFormatting sqref="C70">
    <cfRule type="cellIs" dxfId="7243" priority="8613" stopIfTrue="1" operator="equal">
      <formula>"Towel"</formula>
    </cfRule>
    <cfRule type="cellIs" dxfId="7242" priority="8614" stopIfTrue="1" operator="equal">
      <formula>"Napkin Hs"</formula>
    </cfRule>
  </conditionalFormatting>
  <conditionalFormatting sqref="C70">
    <cfRule type="cellIs" dxfId="7241" priority="8615" stopIfTrue="1" operator="equal">
      <formula>"Towel"</formula>
    </cfRule>
    <cfRule type="cellIs" dxfId="7240" priority="8616" stopIfTrue="1" operator="equal">
      <formula>"Napkin Hs"</formula>
    </cfRule>
  </conditionalFormatting>
  <conditionalFormatting sqref="B70:C70">
    <cfRule type="cellIs" dxfId="7239" priority="8611" stopIfTrue="1" operator="equal">
      <formula>"Towel"</formula>
    </cfRule>
    <cfRule type="cellIs" dxfId="7238" priority="8612" stopIfTrue="1" operator="equal">
      <formula>"Napkin Hs"</formula>
    </cfRule>
  </conditionalFormatting>
  <conditionalFormatting sqref="C70">
    <cfRule type="cellIs" dxfId="7237" priority="8607" stopIfTrue="1" operator="equal">
      <formula>"Towel"</formula>
    </cfRule>
    <cfRule type="cellIs" dxfId="7236" priority="8608" stopIfTrue="1" operator="equal">
      <formula>"Napkin Hs"</formula>
    </cfRule>
  </conditionalFormatting>
  <conditionalFormatting sqref="C70">
    <cfRule type="cellIs" dxfId="7235" priority="8609" stopIfTrue="1" operator="equal">
      <formula>"Towel"</formula>
    </cfRule>
    <cfRule type="cellIs" dxfId="7234" priority="8610" stopIfTrue="1" operator="equal">
      <formula>"Napkin Hs"</formula>
    </cfRule>
  </conditionalFormatting>
  <conditionalFormatting sqref="B70:C70">
    <cfRule type="cellIs" dxfId="7233" priority="8605" stopIfTrue="1" operator="equal">
      <formula>"Towel"</formula>
    </cfRule>
    <cfRule type="cellIs" dxfId="7232" priority="8606" stopIfTrue="1" operator="equal">
      <formula>"Napkin Hs"</formula>
    </cfRule>
  </conditionalFormatting>
  <conditionalFormatting sqref="C70">
    <cfRule type="cellIs" dxfId="7231" priority="8603" stopIfTrue="1" operator="equal">
      <formula>"Towel"</formula>
    </cfRule>
    <cfRule type="cellIs" dxfId="7230" priority="8604" stopIfTrue="1" operator="equal">
      <formula>"Napkin Hs"</formula>
    </cfRule>
  </conditionalFormatting>
  <conditionalFormatting sqref="C70">
    <cfRule type="cellIs" dxfId="7229" priority="8601" stopIfTrue="1" operator="equal">
      <formula>"Towel"</formula>
    </cfRule>
    <cfRule type="cellIs" dxfId="7228" priority="8602" stopIfTrue="1" operator="equal">
      <formula>"Napkin Hs"</formula>
    </cfRule>
  </conditionalFormatting>
  <conditionalFormatting sqref="B70:C70">
    <cfRule type="cellIs" dxfId="7227" priority="8600" stopIfTrue="1" operator="equal">
      <formula>"Napkin Hs"</formula>
    </cfRule>
  </conditionalFormatting>
  <conditionalFormatting sqref="B70:C70">
    <cfRule type="cellIs" dxfId="7226" priority="8599" stopIfTrue="1" operator="equal">
      <formula>"Towel"</formula>
    </cfRule>
  </conditionalFormatting>
  <conditionalFormatting sqref="C70">
    <cfRule type="cellIs" dxfId="7225" priority="8598" stopIfTrue="1" operator="equal">
      <formula>"Napkin Hs"</formula>
    </cfRule>
  </conditionalFormatting>
  <conditionalFormatting sqref="C70">
    <cfRule type="cellIs" dxfId="7224" priority="8597" stopIfTrue="1" operator="equal">
      <formula>"Towel"</formula>
    </cfRule>
  </conditionalFormatting>
  <conditionalFormatting sqref="C70">
    <cfRule type="cellIs" dxfId="7223" priority="8595" stopIfTrue="1" operator="equal">
      <formula>"Towel"</formula>
    </cfRule>
    <cfRule type="cellIs" dxfId="7222" priority="8596" stopIfTrue="1" operator="equal">
      <formula>"Napkin Hs"</formula>
    </cfRule>
  </conditionalFormatting>
  <conditionalFormatting sqref="C70">
    <cfRule type="cellIs" dxfId="7221" priority="8593" stopIfTrue="1" operator="equal">
      <formula>"Towel"</formula>
    </cfRule>
    <cfRule type="cellIs" dxfId="7220" priority="8594" stopIfTrue="1" operator="equal">
      <formula>"Napkin Hs"</formula>
    </cfRule>
  </conditionalFormatting>
  <conditionalFormatting sqref="B70:C70">
    <cfRule type="cellIs" dxfId="7219" priority="8591" stopIfTrue="1" operator="equal">
      <formula>"Towel"</formula>
    </cfRule>
    <cfRule type="cellIs" dxfId="7218" priority="8592" stopIfTrue="1" operator="equal">
      <formula>"Napkin Hs"</formula>
    </cfRule>
  </conditionalFormatting>
  <conditionalFormatting sqref="C70">
    <cfRule type="cellIs" dxfId="7217" priority="8587" stopIfTrue="1" operator="equal">
      <formula>"Towel"</formula>
    </cfRule>
    <cfRule type="cellIs" dxfId="7216" priority="8588" stopIfTrue="1" operator="equal">
      <formula>"Napkin Hs"</formula>
    </cfRule>
  </conditionalFormatting>
  <conditionalFormatting sqref="C70">
    <cfRule type="cellIs" dxfId="7215" priority="8589" stopIfTrue="1" operator="equal">
      <formula>"Towel"</formula>
    </cfRule>
    <cfRule type="cellIs" dxfId="7214" priority="8590" stopIfTrue="1" operator="equal">
      <formula>"Napkin Hs"</formula>
    </cfRule>
  </conditionalFormatting>
  <conditionalFormatting sqref="B70:C70">
    <cfRule type="cellIs" dxfId="7213" priority="8585" stopIfTrue="1" operator="equal">
      <formula>"Towel"</formula>
    </cfRule>
    <cfRule type="cellIs" dxfId="7212" priority="8586" stopIfTrue="1" operator="equal">
      <formula>"Napkin Hs"</formula>
    </cfRule>
  </conditionalFormatting>
  <conditionalFormatting sqref="C70">
    <cfRule type="cellIs" dxfId="7211" priority="8581" stopIfTrue="1" operator="equal">
      <formula>"Towel"</formula>
    </cfRule>
    <cfRule type="cellIs" dxfId="7210" priority="8582" stopIfTrue="1" operator="equal">
      <formula>"Napkin Hs"</formula>
    </cfRule>
  </conditionalFormatting>
  <conditionalFormatting sqref="C70">
    <cfRule type="cellIs" dxfId="7209" priority="8583" stopIfTrue="1" operator="equal">
      <formula>"Towel"</formula>
    </cfRule>
    <cfRule type="cellIs" dxfId="7208" priority="8584" stopIfTrue="1" operator="equal">
      <formula>"Napkin Hs"</formula>
    </cfRule>
  </conditionalFormatting>
  <conditionalFormatting sqref="B70:C70">
    <cfRule type="cellIs" dxfId="7207" priority="8579" stopIfTrue="1" operator="equal">
      <formula>"Towel"</formula>
    </cfRule>
    <cfRule type="cellIs" dxfId="7206" priority="8580" stopIfTrue="1" operator="equal">
      <formula>"Napkin Hs"</formula>
    </cfRule>
  </conditionalFormatting>
  <conditionalFormatting sqref="C70">
    <cfRule type="cellIs" dxfId="7205" priority="8575" stopIfTrue="1" operator="equal">
      <formula>"Towel"</formula>
    </cfRule>
    <cfRule type="cellIs" dxfId="7204" priority="8576" stopIfTrue="1" operator="equal">
      <formula>"Napkin Hs"</formula>
    </cfRule>
  </conditionalFormatting>
  <conditionalFormatting sqref="C70">
    <cfRule type="cellIs" dxfId="7203" priority="8577" stopIfTrue="1" operator="equal">
      <formula>"Towel"</formula>
    </cfRule>
    <cfRule type="cellIs" dxfId="7202" priority="8578" stopIfTrue="1" operator="equal">
      <formula>"Napkin Hs"</formula>
    </cfRule>
  </conditionalFormatting>
  <conditionalFormatting sqref="B70:C70">
    <cfRule type="cellIs" dxfId="7201" priority="8573" stopIfTrue="1" operator="equal">
      <formula>"Towel"</formula>
    </cfRule>
    <cfRule type="cellIs" dxfId="7200" priority="8574" stopIfTrue="1" operator="equal">
      <formula>"Napkin Hs"</formula>
    </cfRule>
  </conditionalFormatting>
  <conditionalFormatting sqref="C70">
    <cfRule type="cellIs" dxfId="7199" priority="8571" stopIfTrue="1" operator="equal">
      <formula>"Towel"</formula>
    </cfRule>
    <cfRule type="cellIs" dxfId="7198" priority="8572" stopIfTrue="1" operator="equal">
      <formula>"Napkin Hs"</formula>
    </cfRule>
  </conditionalFormatting>
  <conditionalFormatting sqref="B70:C70">
    <cfRule type="cellIs" dxfId="7197" priority="8568" stopIfTrue="1" operator="equal">
      <formula>"Napkin Hs"</formula>
    </cfRule>
  </conditionalFormatting>
  <conditionalFormatting sqref="B70:C70">
    <cfRule type="cellIs" dxfId="7196" priority="8567" stopIfTrue="1" operator="equal">
      <formula>"Towel"</formula>
    </cfRule>
  </conditionalFormatting>
  <conditionalFormatting sqref="C70">
    <cfRule type="cellIs" dxfId="7195" priority="8566" stopIfTrue="1" operator="equal">
      <formula>"Napkin Hs"</formula>
    </cfRule>
  </conditionalFormatting>
  <conditionalFormatting sqref="C70">
    <cfRule type="cellIs" dxfId="7194" priority="8565" stopIfTrue="1" operator="equal">
      <formula>"Towel"</formula>
    </cfRule>
  </conditionalFormatting>
  <conditionalFormatting sqref="C70">
    <cfRule type="cellIs" dxfId="7193" priority="8563" stopIfTrue="1" operator="equal">
      <formula>"Towel"</formula>
    </cfRule>
    <cfRule type="cellIs" dxfId="7192" priority="8564" stopIfTrue="1" operator="equal">
      <formula>"Napkin Hs"</formula>
    </cfRule>
  </conditionalFormatting>
  <conditionalFormatting sqref="C70">
    <cfRule type="cellIs" dxfId="7191" priority="8561" stopIfTrue="1" operator="equal">
      <formula>"Towel"</formula>
    </cfRule>
    <cfRule type="cellIs" dxfId="7190" priority="8562" stopIfTrue="1" operator="equal">
      <formula>"Napkin Hs"</formula>
    </cfRule>
  </conditionalFormatting>
  <conditionalFormatting sqref="B67:C67">
    <cfRule type="cellIs" dxfId="7189" priority="8560" stopIfTrue="1" operator="equal">
      <formula>"Napkin Hs"</formula>
    </cfRule>
  </conditionalFormatting>
  <conditionalFormatting sqref="B67:C67">
    <cfRule type="cellIs" dxfId="7188" priority="8559" stopIfTrue="1" operator="equal">
      <formula>"Towel"</formula>
    </cfRule>
  </conditionalFormatting>
  <conditionalFormatting sqref="C67">
    <cfRule type="cellIs" dxfId="7187" priority="8558" stopIfTrue="1" operator="equal">
      <formula>"Napkin Hs"</formula>
    </cfRule>
  </conditionalFormatting>
  <conditionalFormatting sqref="C67">
    <cfRule type="cellIs" dxfId="7186" priority="8557" stopIfTrue="1" operator="equal">
      <formula>"Towel"</formula>
    </cfRule>
  </conditionalFormatting>
  <conditionalFormatting sqref="C67">
    <cfRule type="cellIs" dxfId="7185" priority="8555" stopIfTrue="1" operator="equal">
      <formula>"Towel"</formula>
    </cfRule>
    <cfRule type="cellIs" dxfId="7184" priority="8556" stopIfTrue="1" operator="equal">
      <formula>"Napkin Hs"</formula>
    </cfRule>
  </conditionalFormatting>
  <conditionalFormatting sqref="C67">
    <cfRule type="cellIs" dxfId="7183" priority="8549" stopIfTrue="1" operator="equal">
      <formula>"Towel"</formula>
    </cfRule>
    <cfRule type="cellIs" dxfId="7182" priority="8550" stopIfTrue="1" operator="equal">
      <formula>"Napkin Hs"</formula>
    </cfRule>
  </conditionalFormatting>
  <conditionalFormatting sqref="B67:C67">
    <cfRule type="cellIs" dxfId="7181" priority="8548" stopIfTrue="1" operator="equal">
      <formula>"Napkin Hs"</formula>
    </cfRule>
  </conditionalFormatting>
  <conditionalFormatting sqref="B67:C67">
    <cfRule type="cellIs" dxfId="7180" priority="8547" stopIfTrue="1" operator="equal">
      <formula>"Towel"</formula>
    </cfRule>
  </conditionalFormatting>
  <conditionalFormatting sqref="C67">
    <cfRule type="cellIs" dxfId="7179" priority="8546" stopIfTrue="1" operator="equal">
      <formula>"Napkin Hs"</formula>
    </cfRule>
  </conditionalFormatting>
  <conditionalFormatting sqref="C67">
    <cfRule type="cellIs" dxfId="7178" priority="8545" stopIfTrue="1" operator="equal">
      <formula>"Towel"</formula>
    </cfRule>
  </conditionalFormatting>
  <conditionalFormatting sqref="C67">
    <cfRule type="cellIs" dxfId="7177" priority="8543" stopIfTrue="1" operator="equal">
      <formula>"Towel"</formula>
    </cfRule>
    <cfRule type="cellIs" dxfId="7176" priority="8544" stopIfTrue="1" operator="equal">
      <formula>"Napkin Hs"</formula>
    </cfRule>
  </conditionalFormatting>
  <conditionalFormatting sqref="C67">
    <cfRule type="cellIs" dxfId="7175" priority="8537" stopIfTrue="1" operator="equal">
      <formula>"Towel"</formula>
    </cfRule>
    <cfRule type="cellIs" dxfId="7174" priority="8538" stopIfTrue="1" operator="equal">
      <formula>"Napkin Hs"</formula>
    </cfRule>
  </conditionalFormatting>
  <conditionalFormatting sqref="C67">
    <cfRule type="cellIs" dxfId="7173" priority="8531" stopIfTrue="1" operator="equal">
      <formula>"Towel"</formula>
    </cfRule>
    <cfRule type="cellIs" dxfId="7172" priority="8532" stopIfTrue="1" operator="equal">
      <formula>"Napkin Hs"</formula>
    </cfRule>
  </conditionalFormatting>
  <conditionalFormatting sqref="C67">
    <cfRule type="cellIs" dxfId="7171" priority="8525" stopIfTrue="1" operator="equal">
      <formula>"Towel"</formula>
    </cfRule>
    <cfRule type="cellIs" dxfId="7170" priority="8526" stopIfTrue="1" operator="equal">
      <formula>"Napkin Hs"</formula>
    </cfRule>
  </conditionalFormatting>
  <conditionalFormatting sqref="C67">
    <cfRule type="cellIs" dxfId="7169" priority="8519" stopIfTrue="1" operator="equal">
      <formula>"Towel"</formula>
    </cfRule>
    <cfRule type="cellIs" dxfId="7168" priority="8520" stopIfTrue="1" operator="equal">
      <formula>"Napkin Hs"</formula>
    </cfRule>
  </conditionalFormatting>
  <conditionalFormatting sqref="C67">
    <cfRule type="cellIs" dxfId="7167" priority="8513" stopIfTrue="1" operator="equal">
      <formula>"Towel"</formula>
    </cfRule>
    <cfRule type="cellIs" dxfId="7166" priority="8514" stopIfTrue="1" operator="equal">
      <formula>"Napkin Hs"</formula>
    </cfRule>
  </conditionalFormatting>
  <conditionalFormatting sqref="B67:C67">
    <cfRule type="cellIs" dxfId="7165" priority="8512" stopIfTrue="1" operator="equal">
      <formula>"Napkin Hs"</formula>
    </cfRule>
  </conditionalFormatting>
  <conditionalFormatting sqref="B67:C67">
    <cfRule type="cellIs" dxfId="7164" priority="8511" stopIfTrue="1" operator="equal">
      <formula>"Towel"</formula>
    </cfRule>
  </conditionalFormatting>
  <conditionalFormatting sqref="C67">
    <cfRule type="cellIs" dxfId="7163" priority="8510" stopIfTrue="1" operator="equal">
      <formula>"Napkin Hs"</formula>
    </cfRule>
  </conditionalFormatting>
  <conditionalFormatting sqref="C67">
    <cfRule type="cellIs" dxfId="7162" priority="8507" stopIfTrue="1" operator="equal">
      <formula>"Towel"</formula>
    </cfRule>
    <cfRule type="cellIs" dxfId="7161" priority="8508" stopIfTrue="1" operator="equal">
      <formula>"Napkin Hs"</formula>
    </cfRule>
  </conditionalFormatting>
  <conditionalFormatting sqref="C67">
    <cfRule type="cellIs" dxfId="7160" priority="8509" stopIfTrue="1" operator="equal">
      <formula>"Towel"</formula>
    </cfRule>
  </conditionalFormatting>
  <conditionalFormatting sqref="B67:C67">
    <cfRule type="cellIs" dxfId="7159" priority="8506" stopIfTrue="1" operator="equal">
      <formula>"Napkin Hs"</formula>
    </cfRule>
  </conditionalFormatting>
  <conditionalFormatting sqref="B67:C67">
    <cfRule type="cellIs" dxfId="7158" priority="8505" stopIfTrue="1" operator="equal">
      <formula>"Towel"</formula>
    </cfRule>
  </conditionalFormatting>
  <conditionalFormatting sqref="C67">
    <cfRule type="cellIs" dxfId="7157" priority="8504" stopIfTrue="1" operator="equal">
      <formula>"Napkin Hs"</formula>
    </cfRule>
  </conditionalFormatting>
  <conditionalFormatting sqref="C67">
    <cfRule type="cellIs" dxfId="7156" priority="8501" stopIfTrue="1" operator="equal">
      <formula>"Towel"</formula>
    </cfRule>
    <cfRule type="cellIs" dxfId="7155" priority="8502" stopIfTrue="1" operator="equal">
      <formula>"Napkin Hs"</formula>
    </cfRule>
  </conditionalFormatting>
  <conditionalFormatting sqref="C67">
    <cfRule type="cellIs" dxfId="7154" priority="8503" stopIfTrue="1" operator="equal">
      <formula>"Towel"</formula>
    </cfRule>
  </conditionalFormatting>
  <conditionalFormatting sqref="B68:C69">
    <cfRule type="cellIs" dxfId="7153" priority="8434" stopIfTrue="1" operator="equal">
      <formula>"Napkin Hs"</formula>
    </cfRule>
  </conditionalFormatting>
  <conditionalFormatting sqref="B68:C69">
    <cfRule type="cellIs" dxfId="7152" priority="8433" stopIfTrue="1" operator="equal">
      <formula>"Towel"</formula>
    </cfRule>
  </conditionalFormatting>
  <conditionalFormatting sqref="C68:C69">
    <cfRule type="cellIs" dxfId="7151" priority="8432" stopIfTrue="1" operator="equal">
      <formula>"Napkin Hs"</formula>
    </cfRule>
  </conditionalFormatting>
  <conditionalFormatting sqref="C68:C69">
    <cfRule type="cellIs" dxfId="7150" priority="8429" stopIfTrue="1" operator="equal">
      <formula>"Towel"</formula>
    </cfRule>
    <cfRule type="cellIs" dxfId="7149" priority="8430" stopIfTrue="1" operator="equal">
      <formula>"Napkin Hs"</formula>
    </cfRule>
  </conditionalFormatting>
  <conditionalFormatting sqref="C68:C69">
    <cfRule type="cellIs" dxfId="7148" priority="8431" stopIfTrue="1" operator="equal">
      <formula>"Towel"</formula>
    </cfRule>
  </conditionalFormatting>
  <conditionalFormatting sqref="B67:C67">
    <cfRule type="cellIs" dxfId="7147" priority="8553" stopIfTrue="1" operator="equal">
      <formula>"Towel"</formula>
    </cfRule>
    <cfRule type="cellIs" dxfId="7146" priority="8554" stopIfTrue="1" operator="equal">
      <formula>"Napkin Hs"</formula>
    </cfRule>
  </conditionalFormatting>
  <conditionalFormatting sqref="C67">
    <cfRule type="cellIs" dxfId="7145" priority="8551" stopIfTrue="1" operator="equal">
      <formula>"Towel"</formula>
    </cfRule>
    <cfRule type="cellIs" dxfId="7144" priority="8552" stopIfTrue="1" operator="equal">
      <formula>"Napkin Hs"</formula>
    </cfRule>
  </conditionalFormatting>
  <conditionalFormatting sqref="B67:C67">
    <cfRule type="cellIs" dxfId="7143" priority="8541" stopIfTrue="1" operator="equal">
      <formula>"Towel"</formula>
    </cfRule>
    <cfRule type="cellIs" dxfId="7142" priority="8542" stopIfTrue="1" operator="equal">
      <formula>"Napkin Hs"</formula>
    </cfRule>
  </conditionalFormatting>
  <conditionalFormatting sqref="C67">
    <cfRule type="cellIs" dxfId="7141" priority="8539" stopIfTrue="1" operator="equal">
      <formula>"Towel"</formula>
    </cfRule>
    <cfRule type="cellIs" dxfId="7140" priority="8540" stopIfTrue="1" operator="equal">
      <formula>"Napkin Hs"</formula>
    </cfRule>
  </conditionalFormatting>
  <conditionalFormatting sqref="B67:C67">
    <cfRule type="cellIs" dxfId="7139" priority="8535" stopIfTrue="1" operator="equal">
      <formula>"Towel"</formula>
    </cfRule>
    <cfRule type="cellIs" dxfId="7138" priority="8536" stopIfTrue="1" operator="equal">
      <formula>"Napkin Hs"</formula>
    </cfRule>
  </conditionalFormatting>
  <conditionalFormatting sqref="C67">
    <cfRule type="cellIs" dxfId="7137" priority="8533" stopIfTrue="1" operator="equal">
      <formula>"Towel"</formula>
    </cfRule>
    <cfRule type="cellIs" dxfId="7136" priority="8534" stopIfTrue="1" operator="equal">
      <formula>"Napkin Hs"</formula>
    </cfRule>
  </conditionalFormatting>
  <conditionalFormatting sqref="B67:C67">
    <cfRule type="cellIs" dxfId="7135" priority="8529" stopIfTrue="1" operator="equal">
      <formula>"Towel"</formula>
    </cfRule>
    <cfRule type="cellIs" dxfId="7134" priority="8530" stopIfTrue="1" operator="equal">
      <formula>"Napkin Hs"</formula>
    </cfRule>
  </conditionalFormatting>
  <conditionalFormatting sqref="C67">
    <cfRule type="cellIs" dxfId="7133" priority="8527" stopIfTrue="1" operator="equal">
      <formula>"Towel"</formula>
    </cfRule>
    <cfRule type="cellIs" dxfId="7132" priority="8528" stopIfTrue="1" operator="equal">
      <formula>"Napkin Hs"</formula>
    </cfRule>
  </conditionalFormatting>
  <conditionalFormatting sqref="B67:C67">
    <cfRule type="cellIs" dxfId="7131" priority="8523" stopIfTrue="1" operator="equal">
      <formula>"Towel"</formula>
    </cfRule>
    <cfRule type="cellIs" dxfId="7130" priority="8524" stopIfTrue="1" operator="equal">
      <formula>"Napkin Hs"</formula>
    </cfRule>
  </conditionalFormatting>
  <conditionalFormatting sqref="C67">
    <cfRule type="cellIs" dxfId="7129" priority="8521" stopIfTrue="1" operator="equal">
      <formula>"Towel"</formula>
    </cfRule>
    <cfRule type="cellIs" dxfId="7128" priority="8522" stopIfTrue="1" operator="equal">
      <formula>"Napkin Hs"</formula>
    </cfRule>
  </conditionalFormatting>
  <conditionalFormatting sqref="B67:C67">
    <cfRule type="cellIs" dxfId="7127" priority="8517" stopIfTrue="1" operator="equal">
      <formula>"Towel"</formula>
    </cfRule>
    <cfRule type="cellIs" dxfId="7126" priority="8518" stopIfTrue="1" operator="equal">
      <formula>"Napkin Hs"</formula>
    </cfRule>
  </conditionalFormatting>
  <conditionalFormatting sqref="C67">
    <cfRule type="cellIs" dxfId="7125" priority="8515" stopIfTrue="1" operator="equal">
      <formula>"Towel"</formula>
    </cfRule>
    <cfRule type="cellIs" dxfId="7124" priority="8516" stopIfTrue="1" operator="equal">
      <formula>"Napkin Hs"</formula>
    </cfRule>
  </conditionalFormatting>
  <conditionalFormatting sqref="B67:C67">
    <cfRule type="cellIs" dxfId="7123" priority="8500" stopIfTrue="1" operator="equal">
      <formula>"Napkin Hs"</formula>
    </cfRule>
  </conditionalFormatting>
  <conditionalFormatting sqref="B67:C67">
    <cfRule type="cellIs" dxfId="7122" priority="8499" stopIfTrue="1" operator="equal">
      <formula>"Towel"</formula>
    </cfRule>
  </conditionalFormatting>
  <conditionalFormatting sqref="C67">
    <cfRule type="cellIs" dxfId="7121" priority="8498" stopIfTrue="1" operator="equal">
      <formula>"Napkin Hs"</formula>
    </cfRule>
  </conditionalFormatting>
  <conditionalFormatting sqref="C67">
    <cfRule type="cellIs" dxfId="7120" priority="8495" stopIfTrue="1" operator="equal">
      <formula>"Towel"</formula>
    </cfRule>
    <cfRule type="cellIs" dxfId="7119" priority="8496" stopIfTrue="1" operator="equal">
      <formula>"Napkin Hs"</formula>
    </cfRule>
  </conditionalFormatting>
  <conditionalFormatting sqref="C67">
    <cfRule type="cellIs" dxfId="7118" priority="8497" stopIfTrue="1" operator="equal">
      <formula>"Towel"</formula>
    </cfRule>
  </conditionalFormatting>
  <conditionalFormatting sqref="B68:C69">
    <cfRule type="cellIs" dxfId="7117" priority="8494" stopIfTrue="1" operator="equal">
      <formula>"Napkin Hs"</formula>
    </cfRule>
  </conditionalFormatting>
  <conditionalFormatting sqref="B68:C69">
    <cfRule type="cellIs" dxfId="7116" priority="8493" stopIfTrue="1" operator="equal">
      <formula>"Towel"</formula>
    </cfRule>
  </conditionalFormatting>
  <conditionalFormatting sqref="C68:C69">
    <cfRule type="cellIs" dxfId="7115" priority="8492" stopIfTrue="1" operator="equal">
      <formula>"Napkin Hs"</formula>
    </cfRule>
  </conditionalFormatting>
  <conditionalFormatting sqref="C68:C69">
    <cfRule type="cellIs" dxfId="7114" priority="8491" stopIfTrue="1" operator="equal">
      <formula>"Towel"</formula>
    </cfRule>
  </conditionalFormatting>
  <conditionalFormatting sqref="C68:C69">
    <cfRule type="cellIs" dxfId="7113" priority="8489" stopIfTrue="1" operator="equal">
      <formula>"Towel"</formula>
    </cfRule>
    <cfRule type="cellIs" dxfId="7112" priority="8490" stopIfTrue="1" operator="equal">
      <formula>"Napkin Hs"</formula>
    </cfRule>
  </conditionalFormatting>
  <conditionalFormatting sqref="B68:C69">
    <cfRule type="cellIs" dxfId="7111" priority="8487" stopIfTrue="1" operator="equal">
      <formula>"Towel"</formula>
    </cfRule>
    <cfRule type="cellIs" dxfId="7110" priority="8488" stopIfTrue="1" operator="equal">
      <formula>"Napkin Hs"</formula>
    </cfRule>
  </conditionalFormatting>
  <conditionalFormatting sqref="C68:C69">
    <cfRule type="cellIs" dxfId="7109" priority="8483" stopIfTrue="1" operator="equal">
      <formula>"Towel"</formula>
    </cfRule>
    <cfRule type="cellIs" dxfId="7108" priority="8484" stopIfTrue="1" operator="equal">
      <formula>"Napkin Hs"</formula>
    </cfRule>
  </conditionalFormatting>
  <conditionalFormatting sqref="C68:C69">
    <cfRule type="cellIs" dxfId="7107" priority="8485" stopIfTrue="1" operator="equal">
      <formula>"Towel"</formula>
    </cfRule>
    <cfRule type="cellIs" dxfId="7106" priority="8486" stopIfTrue="1" operator="equal">
      <formula>"Napkin Hs"</formula>
    </cfRule>
  </conditionalFormatting>
  <conditionalFormatting sqref="B68:C69">
    <cfRule type="cellIs" dxfId="7105" priority="8482" stopIfTrue="1" operator="equal">
      <formula>"Napkin Hs"</formula>
    </cfRule>
  </conditionalFormatting>
  <conditionalFormatting sqref="B68:C69">
    <cfRule type="cellIs" dxfId="7104" priority="8481" stopIfTrue="1" operator="equal">
      <formula>"Towel"</formula>
    </cfRule>
  </conditionalFormatting>
  <conditionalFormatting sqref="C68:C69">
    <cfRule type="cellIs" dxfId="7103" priority="8480" stopIfTrue="1" operator="equal">
      <formula>"Napkin Hs"</formula>
    </cfRule>
  </conditionalFormatting>
  <conditionalFormatting sqref="C68:C69">
    <cfRule type="cellIs" dxfId="7102" priority="8479" stopIfTrue="1" operator="equal">
      <formula>"Towel"</formula>
    </cfRule>
  </conditionalFormatting>
  <conditionalFormatting sqref="C68:C69">
    <cfRule type="cellIs" dxfId="7101" priority="8477" stopIfTrue="1" operator="equal">
      <formula>"Towel"</formula>
    </cfRule>
    <cfRule type="cellIs" dxfId="7100" priority="8478" stopIfTrue="1" operator="equal">
      <formula>"Napkin Hs"</formula>
    </cfRule>
  </conditionalFormatting>
  <conditionalFormatting sqref="B68:C69">
    <cfRule type="cellIs" dxfId="7099" priority="8475" stopIfTrue="1" operator="equal">
      <formula>"Towel"</formula>
    </cfRule>
    <cfRule type="cellIs" dxfId="7098" priority="8476" stopIfTrue="1" operator="equal">
      <formula>"Napkin Hs"</formula>
    </cfRule>
  </conditionalFormatting>
  <conditionalFormatting sqref="C68:C69">
    <cfRule type="cellIs" dxfId="7097" priority="8473" stopIfTrue="1" operator="equal">
      <formula>"Towel"</formula>
    </cfRule>
    <cfRule type="cellIs" dxfId="7096" priority="8474" stopIfTrue="1" operator="equal">
      <formula>"Napkin Hs"</formula>
    </cfRule>
  </conditionalFormatting>
  <conditionalFormatting sqref="C68:C69">
    <cfRule type="cellIs" dxfId="7095" priority="8471" stopIfTrue="1" operator="equal">
      <formula>"Towel"</formula>
    </cfRule>
    <cfRule type="cellIs" dxfId="7094" priority="8472" stopIfTrue="1" operator="equal">
      <formula>"Napkin Hs"</formula>
    </cfRule>
  </conditionalFormatting>
  <conditionalFormatting sqref="B68:C69">
    <cfRule type="cellIs" dxfId="7093" priority="8469" stopIfTrue="1" operator="equal">
      <formula>"Towel"</formula>
    </cfRule>
    <cfRule type="cellIs" dxfId="7092" priority="8470" stopIfTrue="1" operator="equal">
      <formula>"Napkin Hs"</formula>
    </cfRule>
  </conditionalFormatting>
  <conditionalFormatting sqref="C68:C69">
    <cfRule type="cellIs" dxfId="7091" priority="8467" stopIfTrue="1" operator="equal">
      <formula>"Towel"</formula>
    </cfRule>
    <cfRule type="cellIs" dxfId="7090" priority="8468" stopIfTrue="1" operator="equal">
      <formula>"Napkin Hs"</formula>
    </cfRule>
  </conditionalFormatting>
  <conditionalFormatting sqref="C68:C69">
    <cfRule type="cellIs" dxfId="7089" priority="8465" stopIfTrue="1" operator="equal">
      <formula>"Towel"</formula>
    </cfRule>
    <cfRule type="cellIs" dxfId="7088" priority="8466" stopIfTrue="1" operator="equal">
      <formula>"Napkin Hs"</formula>
    </cfRule>
  </conditionalFormatting>
  <conditionalFormatting sqref="B68:C69">
    <cfRule type="cellIs" dxfId="7087" priority="8463" stopIfTrue="1" operator="equal">
      <formula>"Towel"</formula>
    </cfRule>
    <cfRule type="cellIs" dxfId="7086" priority="8464" stopIfTrue="1" operator="equal">
      <formula>"Napkin Hs"</formula>
    </cfRule>
  </conditionalFormatting>
  <conditionalFormatting sqref="C68:C69">
    <cfRule type="cellIs" dxfId="7085" priority="8461" stopIfTrue="1" operator="equal">
      <formula>"Towel"</formula>
    </cfRule>
    <cfRule type="cellIs" dxfId="7084" priority="8462" stopIfTrue="1" operator="equal">
      <formula>"Napkin Hs"</formula>
    </cfRule>
  </conditionalFormatting>
  <conditionalFormatting sqref="C68:C69">
    <cfRule type="cellIs" dxfId="7083" priority="8459" stopIfTrue="1" operator="equal">
      <formula>"Towel"</formula>
    </cfRule>
    <cfRule type="cellIs" dxfId="7082" priority="8460" stopIfTrue="1" operator="equal">
      <formula>"Napkin Hs"</formula>
    </cfRule>
  </conditionalFormatting>
  <conditionalFormatting sqref="B68:C69">
    <cfRule type="cellIs" dxfId="7081" priority="8457" stopIfTrue="1" operator="equal">
      <formula>"Towel"</formula>
    </cfRule>
    <cfRule type="cellIs" dxfId="7080" priority="8458" stopIfTrue="1" operator="equal">
      <formula>"Napkin Hs"</formula>
    </cfRule>
  </conditionalFormatting>
  <conditionalFormatting sqref="C68:C69">
    <cfRule type="cellIs" dxfId="7079" priority="8455" stopIfTrue="1" operator="equal">
      <formula>"Towel"</formula>
    </cfRule>
    <cfRule type="cellIs" dxfId="7078" priority="8456" stopIfTrue="1" operator="equal">
      <formula>"Napkin Hs"</formula>
    </cfRule>
  </conditionalFormatting>
  <conditionalFormatting sqref="C68:C69">
    <cfRule type="cellIs" dxfId="7077" priority="8453" stopIfTrue="1" operator="equal">
      <formula>"Towel"</formula>
    </cfRule>
    <cfRule type="cellIs" dxfId="7076" priority="8454" stopIfTrue="1" operator="equal">
      <formula>"Napkin Hs"</formula>
    </cfRule>
  </conditionalFormatting>
  <conditionalFormatting sqref="B68:C69">
    <cfRule type="cellIs" dxfId="7075" priority="8451" stopIfTrue="1" operator="equal">
      <formula>"Towel"</formula>
    </cfRule>
    <cfRule type="cellIs" dxfId="7074" priority="8452" stopIfTrue="1" operator="equal">
      <formula>"Napkin Hs"</formula>
    </cfRule>
  </conditionalFormatting>
  <conditionalFormatting sqref="C68:C69">
    <cfRule type="cellIs" dxfId="7073" priority="8449" stopIfTrue="1" operator="equal">
      <formula>"Towel"</formula>
    </cfRule>
    <cfRule type="cellIs" dxfId="7072" priority="8450" stopIfTrue="1" operator="equal">
      <formula>"Napkin Hs"</formula>
    </cfRule>
  </conditionalFormatting>
  <conditionalFormatting sqref="C68:C69">
    <cfRule type="cellIs" dxfId="7071" priority="8447" stopIfTrue="1" operator="equal">
      <formula>"Towel"</formula>
    </cfRule>
    <cfRule type="cellIs" dxfId="7070" priority="8448" stopIfTrue="1" operator="equal">
      <formula>"Napkin Hs"</formula>
    </cfRule>
  </conditionalFormatting>
  <conditionalFormatting sqref="B68:C69">
    <cfRule type="cellIs" dxfId="7069" priority="8446" stopIfTrue="1" operator="equal">
      <formula>"Napkin Hs"</formula>
    </cfRule>
  </conditionalFormatting>
  <conditionalFormatting sqref="B68:C69">
    <cfRule type="cellIs" dxfId="7068" priority="8445" stopIfTrue="1" operator="equal">
      <formula>"Towel"</formula>
    </cfRule>
  </conditionalFormatting>
  <conditionalFormatting sqref="C68:C69">
    <cfRule type="cellIs" dxfId="7067" priority="8444" stopIfTrue="1" operator="equal">
      <formula>"Napkin Hs"</formula>
    </cfRule>
  </conditionalFormatting>
  <conditionalFormatting sqref="C68:C69">
    <cfRule type="cellIs" dxfId="7066" priority="8441" stopIfTrue="1" operator="equal">
      <formula>"Towel"</formula>
    </cfRule>
    <cfRule type="cellIs" dxfId="7065" priority="8442" stopIfTrue="1" operator="equal">
      <formula>"Napkin Hs"</formula>
    </cfRule>
  </conditionalFormatting>
  <conditionalFormatting sqref="C68:C69">
    <cfRule type="cellIs" dxfId="7064" priority="8443" stopIfTrue="1" operator="equal">
      <formula>"Towel"</formula>
    </cfRule>
  </conditionalFormatting>
  <conditionalFormatting sqref="B68:C69">
    <cfRule type="cellIs" dxfId="7063" priority="8440" stopIfTrue="1" operator="equal">
      <formula>"Napkin Hs"</formula>
    </cfRule>
  </conditionalFormatting>
  <conditionalFormatting sqref="B68:C69">
    <cfRule type="cellIs" dxfId="7062" priority="8439" stopIfTrue="1" operator="equal">
      <formula>"Towel"</formula>
    </cfRule>
  </conditionalFormatting>
  <conditionalFormatting sqref="C68:C69">
    <cfRule type="cellIs" dxfId="7061" priority="8438" stopIfTrue="1" operator="equal">
      <formula>"Napkin Hs"</formula>
    </cfRule>
  </conditionalFormatting>
  <conditionalFormatting sqref="C68:C69">
    <cfRule type="cellIs" dxfId="7060" priority="8435" stopIfTrue="1" operator="equal">
      <formula>"Towel"</formula>
    </cfRule>
    <cfRule type="cellIs" dxfId="7059" priority="8436" stopIfTrue="1" operator="equal">
      <formula>"Napkin Hs"</formula>
    </cfRule>
  </conditionalFormatting>
  <conditionalFormatting sqref="C68:C69">
    <cfRule type="cellIs" dxfId="7058" priority="8437" stopIfTrue="1" operator="equal">
      <formula>"Towel"</formula>
    </cfRule>
  </conditionalFormatting>
  <conditionalFormatting sqref="B75:C75">
    <cfRule type="cellIs" dxfId="7057" priority="8427" stopIfTrue="1" operator="equal">
      <formula>"Towel"</formula>
    </cfRule>
    <cfRule type="cellIs" dxfId="7056" priority="8428" stopIfTrue="1" operator="equal">
      <formula>"Napkin Hs"</formula>
    </cfRule>
  </conditionalFormatting>
  <conditionalFormatting sqref="C75">
    <cfRule type="cellIs" dxfId="7055" priority="8423" stopIfTrue="1" operator="equal">
      <formula>"Towel"</formula>
    </cfRule>
    <cfRule type="cellIs" dxfId="7054" priority="8424" stopIfTrue="1" operator="equal">
      <formula>"Napkin Hs"</formula>
    </cfRule>
  </conditionalFormatting>
  <conditionalFormatting sqref="C75">
    <cfRule type="cellIs" dxfId="7053" priority="8425" stopIfTrue="1" operator="equal">
      <formula>"Towel"</formula>
    </cfRule>
    <cfRule type="cellIs" dxfId="7052" priority="8426" stopIfTrue="1" operator="equal">
      <formula>"Napkin Hs"</formula>
    </cfRule>
  </conditionalFormatting>
  <conditionalFormatting sqref="C76">
    <cfRule type="cellIs" dxfId="7051" priority="8339" stopIfTrue="1" operator="equal">
      <formula>"Towel"</formula>
    </cfRule>
    <cfRule type="cellIs" dxfId="7050" priority="8340" stopIfTrue="1" operator="equal">
      <formula>"Napkin Hs"</formula>
    </cfRule>
  </conditionalFormatting>
  <conditionalFormatting sqref="B76:C76">
    <cfRule type="cellIs" dxfId="7049" priority="8337" stopIfTrue="1" operator="equal">
      <formula>"Towel"</formula>
    </cfRule>
    <cfRule type="cellIs" dxfId="7048" priority="8338" stopIfTrue="1" operator="equal">
      <formula>"Napkin Hs"</formula>
    </cfRule>
  </conditionalFormatting>
  <conditionalFormatting sqref="C76">
    <cfRule type="cellIs" dxfId="7047" priority="8335" stopIfTrue="1" operator="equal">
      <formula>"Towel"</formula>
    </cfRule>
    <cfRule type="cellIs" dxfId="7046" priority="8336" stopIfTrue="1" operator="equal">
      <formula>"Napkin Hs"</formula>
    </cfRule>
  </conditionalFormatting>
  <conditionalFormatting sqref="C76">
    <cfRule type="cellIs" dxfId="7045" priority="8327" stopIfTrue="1" operator="equal">
      <formula>"Towel"</formula>
    </cfRule>
    <cfRule type="cellIs" dxfId="7044" priority="8328" stopIfTrue="1" operator="equal">
      <formula>"Napkin Hs"</formula>
    </cfRule>
  </conditionalFormatting>
  <conditionalFormatting sqref="B76:C76">
    <cfRule type="cellIs" dxfId="7043" priority="8368" stopIfTrue="1" operator="equal">
      <formula>"Napkin Hs"</formula>
    </cfRule>
  </conditionalFormatting>
  <conditionalFormatting sqref="B76:C76">
    <cfRule type="cellIs" dxfId="7042" priority="8367" stopIfTrue="1" operator="equal">
      <formula>"Towel"</formula>
    </cfRule>
  </conditionalFormatting>
  <conditionalFormatting sqref="C76">
    <cfRule type="cellIs" dxfId="7041" priority="8366" stopIfTrue="1" operator="equal">
      <formula>"Napkin Hs"</formula>
    </cfRule>
  </conditionalFormatting>
  <conditionalFormatting sqref="C76">
    <cfRule type="cellIs" dxfId="7040" priority="8365" stopIfTrue="1" operator="equal">
      <formula>"Towel"</formula>
    </cfRule>
  </conditionalFormatting>
  <conditionalFormatting sqref="C76">
    <cfRule type="cellIs" dxfId="7039" priority="8363" stopIfTrue="1" operator="equal">
      <formula>"Towel"</formula>
    </cfRule>
    <cfRule type="cellIs" dxfId="7038" priority="8364" stopIfTrue="1" operator="equal">
      <formula>"Napkin Hs"</formula>
    </cfRule>
  </conditionalFormatting>
  <conditionalFormatting sqref="B76:C76">
    <cfRule type="cellIs" dxfId="7037" priority="8361" stopIfTrue="1" operator="equal">
      <formula>"Towel"</formula>
    </cfRule>
    <cfRule type="cellIs" dxfId="7036" priority="8362" stopIfTrue="1" operator="equal">
      <formula>"Napkin Hs"</formula>
    </cfRule>
  </conditionalFormatting>
  <conditionalFormatting sqref="C76">
    <cfRule type="cellIs" dxfId="7035" priority="8359" stopIfTrue="1" operator="equal">
      <formula>"Towel"</formula>
    </cfRule>
    <cfRule type="cellIs" dxfId="7034" priority="8360" stopIfTrue="1" operator="equal">
      <formula>"Napkin Hs"</formula>
    </cfRule>
  </conditionalFormatting>
  <conditionalFormatting sqref="C76">
    <cfRule type="cellIs" dxfId="7033" priority="8357" stopIfTrue="1" operator="equal">
      <formula>"Towel"</formula>
    </cfRule>
    <cfRule type="cellIs" dxfId="7032" priority="8358" stopIfTrue="1" operator="equal">
      <formula>"Napkin Hs"</formula>
    </cfRule>
  </conditionalFormatting>
  <conditionalFormatting sqref="B76:C76">
    <cfRule type="cellIs" dxfId="7031" priority="8355" stopIfTrue="1" operator="equal">
      <formula>"Towel"</formula>
    </cfRule>
    <cfRule type="cellIs" dxfId="7030" priority="8356" stopIfTrue="1" operator="equal">
      <formula>"Napkin Hs"</formula>
    </cfRule>
  </conditionalFormatting>
  <conditionalFormatting sqref="C76">
    <cfRule type="cellIs" dxfId="7029" priority="8353" stopIfTrue="1" operator="equal">
      <formula>"Towel"</formula>
    </cfRule>
    <cfRule type="cellIs" dxfId="7028" priority="8354" stopIfTrue="1" operator="equal">
      <formula>"Napkin Hs"</formula>
    </cfRule>
  </conditionalFormatting>
  <conditionalFormatting sqref="C76">
    <cfRule type="cellIs" dxfId="7027" priority="8351" stopIfTrue="1" operator="equal">
      <formula>"Towel"</formula>
    </cfRule>
    <cfRule type="cellIs" dxfId="7026" priority="8352" stopIfTrue="1" operator="equal">
      <formula>"Napkin Hs"</formula>
    </cfRule>
  </conditionalFormatting>
  <conditionalFormatting sqref="B76:C76">
    <cfRule type="cellIs" dxfId="7025" priority="8349" stopIfTrue="1" operator="equal">
      <formula>"Towel"</formula>
    </cfRule>
    <cfRule type="cellIs" dxfId="7024" priority="8350" stopIfTrue="1" operator="equal">
      <formula>"Napkin Hs"</formula>
    </cfRule>
  </conditionalFormatting>
  <conditionalFormatting sqref="C76">
    <cfRule type="cellIs" dxfId="7023" priority="8347" stopIfTrue="1" operator="equal">
      <formula>"Towel"</formula>
    </cfRule>
    <cfRule type="cellIs" dxfId="7022" priority="8348" stopIfTrue="1" operator="equal">
      <formula>"Napkin Hs"</formula>
    </cfRule>
  </conditionalFormatting>
  <conditionalFormatting sqref="C76">
    <cfRule type="cellIs" dxfId="7021" priority="8345" stopIfTrue="1" operator="equal">
      <formula>"Towel"</formula>
    </cfRule>
    <cfRule type="cellIs" dxfId="7020" priority="8346" stopIfTrue="1" operator="equal">
      <formula>"Napkin Hs"</formula>
    </cfRule>
  </conditionalFormatting>
  <conditionalFormatting sqref="B76:C76">
    <cfRule type="cellIs" dxfId="7019" priority="8343" stopIfTrue="1" operator="equal">
      <formula>"Towel"</formula>
    </cfRule>
    <cfRule type="cellIs" dxfId="7018" priority="8344" stopIfTrue="1" operator="equal">
      <formula>"Napkin Hs"</formula>
    </cfRule>
  </conditionalFormatting>
  <conditionalFormatting sqref="C76">
    <cfRule type="cellIs" dxfId="7017" priority="8341" stopIfTrue="1" operator="equal">
      <formula>"Towel"</formula>
    </cfRule>
    <cfRule type="cellIs" dxfId="7016" priority="8342" stopIfTrue="1" operator="equal">
      <formula>"Napkin Hs"</formula>
    </cfRule>
  </conditionalFormatting>
  <conditionalFormatting sqref="C76">
    <cfRule type="cellIs" dxfId="7015" priority="8333" stopIfTrue="1" operator="equal">
      <formula>"Towel"</formula>
    </cfRule>
    <cfRule type="cellIs" dxfId="7014" priority="8334" stopIfTrue="1" operator="equal">
      <formula>"Napkin Hs"</formula>
    </cfRule>
  </conditionalFormatting>
  <conditionalFormatting sqref="B76:C76">
    <cfRule type="cellIs" dxfId="7013" priority="8332" stopIfTrue="1" operator="equal">
      <formula>"Napkin Hs"</formula>
    </cfRule>
  </conditionalFormatting>
  <conditionalFormatting sqref="B76:C76">
    <cfRule type="cellIs" dxfId="7012" priority="8331" stopIfTrue="1" operator="equal">
      <formula>"Towel"</formula>
    </cfRule>
  </conditionalFormatting>
  <conditionalFormatting sqref="C76">
    <cfRule type="cellIs" dxfId="7011" priority="8330" stopIfTrue="1" operator="equal">
      <formula>"Napkin Hs"</formula>
    </cfRule>
  </conditionalFormatting>
  <conditionalFormatting sqref="C76">
    <cfRule type="cellIs" dxfId="7010" priority="8329" stopIfTrue="1" operator="equal">
      <formula>"Towel"</formula>
    </cfRule>
  </conditionalFormatting>
  <conditionalFormatting sqref="B76:C76">
    <cfRule type="cellIs" dxfId="7009" priority="8373" stopIfTrue="1" operator="equal">
      <formula>"Towel"</formula>
    </cfRule>
    <cfRule type="cellIs" dxfId="7008" priority="8374" stopIfTrue="1" operator="equal">
      <formula>"Napkin Hs"</formula>
    </cfRule>
  </conditionalFormatting>
  <conditionalFormatting sqref="C76">
    <cfRule type="cellIs" dxfId="7007" priority="8369" stopIfTrue="1" operator="equal">
      <formula>"Towel"</formula>
    </cfRule>
    <cfRule type="cellIs" dxfId="7006" priority="8370" stopIfTrue="1" operator="equal">
      <formula>"Napkin Hs"</formula>
    </cfRule>
  </conditionalFormatting>
  <conditionalFormatting sqref="C76">
    <cfRule type="cellIs" dxfId="7005" priority="8371" stopIfTrue="1" operator="equal">
      <formula>"Towel"</formula>
    </cfRule>
    <cfRule type="cellIs" dxfId="7004" priority="8372" stopIfTrue="1" operator="equal">
      <formula>"Napkin Hs"</formula>
    </cfRule>
  </conditionalFormatting>
  <conditionalFormatting sqref="B72:C72">
    <cfRule type="cellIs" dxfId="7003" priority="8146" stopIfTrue="1" operator="equal">
      <formula>"Napkin Hs"</formula>
    </cfRule>
  </conditionalFormatting>
  <conditionalFormatting sqref="B72:C72">
    <cfRule type="cellIs" dxfId="7002" priority="8145" stopIfTrue="1" operator="equal">
      <formula>"Towel"</formula>
    </cfRule>
  </conditionalFormatting>
  <conditionalFormatting sqref="C72">
    <cfRule type="cellIs" dxfId="7001" priority="8144" stopIfTrue="1" operator="equal">
      <formula>"Napkin Hs"</formula>
    </cfRule>
  </conditionalFormatting>
  <conditionalFormatting sqref="C72">
    <cfRule type="cellIs" dxfId="7000" priority="8143" stopIfTrue="1" operator="equal">
      <formula>"Towel"</formula>
    </cfRule>
  </conditionalFormatting>
  <conditionalFormatting sqref="C72">
    <cfRule type="cellIs" dxfId="6999" priority="8141" stopIfTrue="1" operator="equal">
      <formula>"Towel"</formula>
    </cfRule>
    <cfRule type="cellIs" dxfId="6998" priority="8142" stopIfTrue="1" operator="equal">
      <formula>"Napkin Hs"</formula>
    </cfRule>
  </conditionalFormatting>
  <conditionalFormatting sqref="C72">
    <cfRule type="cellIs" dxfId="6997" priority="8135" stopIfTrue="1" operator="equal">
      <formula>"Towel"</formula>
    </cfRule>
    <cfRule type="cellIs" dxfId="6996" priority="8136" stopIfTrue="1" operator="equal">
      <formula>"Napkin Hs"</formula>
    </cfRule>
  </conditionalFormatting>
  <conditionalFormatting sqref="B72:C72">
    <cfRule type="cellIs" dxfId="6995" priority="8134" stopIfTrue="1" operator="equal">
      <formula>"Napkin Hs"</formula>
    </cfRule>
  </conditionalFormatting>
  <conditionalFormatting sqref="B72:C72">
    <cfRule type="cellIs" dxfId="6994" priority="8133" stopIfTrue="1" operator="equal">
      <formula>"Towel"</formula>
    </cfRule>
  </conditionalFormatting>
  <conditionalFormatting sqref="C72">
    <cfRule type="cellIs" dxfId="6993" priority="8132" stopIfTrue="1" operator="equal">
      <formula>"Napkin Hs"</formula>
    </cfRule>
  </conditionalFormatting>
  <conditionalFormatting sqref="C72">
    <cfRule type="cellIs" dxfId="6992" priority="8131" stopIfTrue="1" operator="equal">
      <formula>"Towel"</formula>
    </cfRule>
  </conditionalFormatting>
  <conditionalFormatting sqref="C72">
    <cfRule type="cellIs" dxfId="6991" priority="8129" stopIfTrue="1" operator="equal">
      <formula>"Towel"</formula>
    </cfRule>
    <cfRule type="cellIs" dxfId="6990" priority="8130" stopIfTrue="1" operator="equal">
      <formula>"Napkin Hs"</formula>
    </cfRule>
  </conditionalFormatting>
  <conditionalFormatting sqref="C72">
    <cfRule type="cellIs" dxfId="6989" priority="8123" stopIfTrue="1" operator="equal">
      <formula>"Towel"</formula>
    </cfRule>
    <cfRule type="cellIs" dxfId="6988" priority="8124" stopIfTrue="1" operator="equal">
      <formula>"Napkin Hs"</formula>
    </cfRule>
  </conditionalFormatting>
  <conditionalFormatting sqref="C72">
    <cfRule type="cellIs" dxfId="6987" priority="8117" stopIfTrue="1" operator="equal">
      <formula>"Towel"</formula>
    </cfRule>
    <cfRule type="cellIs" dxfId="6986" priority="8118" stopIfTrue="1" operator="equal">
      <formula>"Napkin Hs"</formula>
    </cfRule>
  </conditionalFormatting>
  <conditionalFormatting sqref="C72">
    <cfRule type="cellIs" dxfId="6985" priority="8111" stopIfTrue="1" operator="equal">
      <formula>"Towel"</formula>
    </cfRule>
    <cfRule type="cellIs" dxfId="6984" priority="8112" stopIfTrue="1" operator="equal">
      <formula>"Napkin Hs"</formula>
    </cfRule>
  </conditionalFormatting>
  <conditionalFormatting sqref="C72">
    <cfRule type="cellIs" dxfId="6983" priority="8105" stopIfTrue="1" operator="equal">
      <formula>"Towel"</formula>
    </cfRule>
    <cfRule type="cellIs" dxfId="6982" priority="8106" stopIfTrue="1" operator="equal">
      <formula>"Napkin Hs"</formula>
    </cfRule>
  </conditionalFormatting>
  <conditionalFormatting sqref="C72">
    <cfRule type="cellIs" dxfId="6981" priority="8099" stopIfTrue="1" operator="equal">
      <formula>"Towel"</formula>
    </cfRule>
    <cfRule type="cellIs" dxfId="6980" priority="8100" stopIfTrue="1" operator="equal">
      <formula>"Napkin Hs"</formula>
    </cfRule>
  </conditionalFormatting>
  <conditionalFormatting sqref="B72:C72">
    <cfRule type="cellIs" dxfId="6979" priority="8098" stopIfTrue="1" operator="equal">
      <formula>"Napkin Hs"</formula>
    </cfRule>
  </conditionalFormatting>
  <conditionalFormatting sqref="B72:C72">
    <cfRule type="cellIs" dxfId="6978" priority="8097" stopIfTrue="1" operator="equal">
      <formula>"Towel"</formula>
    </cfRule>
  </conditionalFormatting>
  <conditionalFormatting sqref="C72">
    <cfRule type="cellIs" dxfId="6977" priority="8096" stopIfTrue="1" operator="equal">
      <formula>"Napkin Hs"</formula>
    </cfRule>
  </conditionalFormatting>
  <conditionalFormatting sqref="C72">
    <cfRule type="cellIs" dxfId="6976" priority="8093" stopIfTrue="1" operator="equal">
      <formula>"Towel"</formula>
    </cfRule>
    <cfRule type="cellIs" dxfId="6975" priority="8094" stopIfTrue="1" operator="equal">
      <formula>"Napkin Hs"</formula>
    </cfRule>
  </conditionalFormatting>
  <conditionalFormatting sqref="C72">
    <cfRule type="cellIs" dxfId="6974" priority="8095" stopIfTrue="1" operator="equal">
      <formula>"Towel"</formula>
    </cfRule>
  </conditionalFormatting>
  <conditionalFormatting sqref="B72:C72">
    <cfRule type="cellIs" dxfId="6973" priority="8092" stopIfTrue="1" operator="equal">
      <formula>"Napkin Hs"</formula>
    </cfRule>
  </conditionalFormatting>
  <conditionalFormatting sqref="B72:C72">
    <cfRule type="cellIs" dxfId="6972" priority="8091" stopIfTrue="1" operator="equal">
      <formula>"Towel"</formula>
    </cfRule>
  </conditionalFormatting>
  <conditionalFormatting sqref="C72">
    <cfRule type="cellIs" dxfId="6971" priority="8090" stopIfTrue="1" operator="equal">
      <formula>"Napkin Hs"</formula>
    </cfRule>
  </conditionalFormatting>
  <conditionalFormatting sqref="C72">
    <cfRule type="cellIs" dxfId="6970" priority="8087" stopIfTrue="1" operator="equal">
      <formula>"Towel"</formula>
    </cfRule>
    <cfRule type="cellIs" dxfId="6969" priority="8088" stopIfTrue="1" operator="equal">
      <formula>"Napkin Hs"</formula>
    </cfRule>
  </conditionalFormatting>
  <conditionalFormatting sqref="C72">
    <cfRule type="cellIs" dxfId="6968" priority="8089" stopIfTrue="1" operator="equal">
      <formula>"Towel"</formula>
    </cfRule>
  </conditionalFormatting>
  <conditionalFormatting sqref="B73:C74">
    <cfRule type="cellIs" dxfId="6967" priority="8020" stopIfTrue="1" operator="equal">
      <formula>"Napkin Hs"</formula>
    </cfRule>
  </conditionalFormatting>
  <conditionalFormatting sqref="B73:C74">
    <cfRule type="cellIs" dxfId="6966" priority="8019" stopIfTrue="1" operator="equal">
      <formula>"Towel"</formula>
    </cfRule>
  </conditionalFormatting>
  <conditionalFormatting sqref="C73:C74">
    <cfRule type="cellIs" dxfId="6965" priority="8018" stopIfTrue="1" operator="equal">
      <formula>"Napkin Hs"</formula>
    </cfRule>
  </conditionalFormatting>
  <conditionalFormatting sqref="C73:C74">
    <cfRule type="cellIs" dxfId="6964" priority="8015" stopIfTrue="1" operator="equal">
      <formula>"Towel"</formula>
    </cfRule>
    <cfRule type="cellIs" dxfId="6963" priority="8016" stopIfTrue="1" operator="equal">
      <formula>"Napkin Hs"</formula>
    </cfRule>
  </conditionalFormatting>
  <conditionalFormatting sqref="C73:C74">
    <cfRule type="cellIs" dxfId="6962" priority="8017" stopIfTrue="1" operator="equal">
      <formula>"Towel"</formula>
    </cfRule>
  </conditionalFormatting>
  <conditionalFormatting sqref="B72:C72">
    <cfRule type="cellIs" dxfId="6961" priority="8139" stopIfTrue="1" operator="equal">
      <formula>"Towel"</formula>
    </cfRule>
    <cfRule type="cellIs" dxfId="6960" priority="8140" stopIfTrue="1" operator="equal">
      <formula>"Napkin Hs"</formula>
    </cfRule>
  </conditionalFormatting>
  <conditionalFormatting sqref="C72">
    <cfRule type="cellIs" dxfId="6959" priority="8137" stopIfTrue="1" operator="equal">
      <formula>"Towel"</formula>
    </cfRule>
    <cfRule type="cellIs" dxfId="6958" priority="8138" stopIfTrue="1" operator="equal">
      <formula>"Napkin Hs"</formula>
    </cfRule>
  </conditionalFormatting>
  <conditionalFormatting sqref="B72:C72">
    <cfRule type="cellIs" dxfId="6957" priority="8127" stopIfTrue="1" operator="equal">
      <formula>"Towel"</formula>
    </cfRule>
    <cfRule type="cellIs" dxfId="6956" priority="8128" stopIfTrue="1" operator="equal">
      <formula>"Napkin Hs"</formula>
    </cfRule>
  </conditionalFormatting>
  <conditionalFormatting sqref="C72">
    <cfRule type="cellIs" dxfId="6955" priority="8125" stopIfTrue="1" operator="equal">
      <formula>"Towel"</formula>
    </cfRule>
    <cfRule type="cellIs" dxfId="6954" priority="8126" stopIfTrue="1" operator="equal">
      <formula>"Napkin Hs"</formula>
    </cfRule>
  </conditionalFormatting>
  <conditionalFormatting sqref="B72:C72">
    <cfRule type="cellIs" dxfId="6953" priority="8121" stopIfTrue="1" operator="equal">
      <formula>"Towel"</formula>
    </cfRule>
    <cfRule type="cellIs" dxfId="6952" priority="8122" stopIfTrue="1" operator="equal">
      <formula>"Napkin Hs"</formula>
    </cfRule>
  </conditionalFormatting>
  <conditionalFormatting sqref="C72">
    <cfRule type="cellIs" dxfId="6951" priority="8119" stopIfTrue="1" operator="equal">
      <formula>"Towel"</formula>
    </cfRule>
    <cfRule type="cellIs" dxfId="6950" priority="8120" stopIfTrue="1" operator="equal">
      <formula>"Napkin Hs"</formula>
    </cfRule>
  </conditionalFormatting>
  <conditionalFormatting sqref="B72:C72">
    <cfRule type="cellIs" dxfId="6949" priority="8115" stopIfTrue="1" operator="equal">
      <formula>"Towel"</formula>
    </cfRule>
    <cfRule type="cellIs" dxfId="6948" priority="8116" stopIfTrue="1" operator="equal">
      <formula>"Napkin Hs"</formula>
    </cfRule>
  </conditionalFormatting>
  <conditionalFormatting sqref="C72">
    <cfRule type="cellIs" dxfId="6947" priority="8113" stopIfTrue="1" operator="equal">
      <formula>"Towel"</formula>
    </cfRule>
    <cfRule type="cellIs" dxfId="6946" priority="8114" stopIfTrue="1" operator="equal">
      <formula>"Napkin Hs"</formula>
    </cfRule>
  </conditionalFormatting>
  <conditionalFormatting sqref="B72:C72">
    <cfRule type="cellIs" dxfId="6945" priority="8109" stopIfTrue="1" operator="equal">
      <formula>"Towel"</formula>
    </cfRule>
    <cfRule type="cellIs" dxfId="6944" priority="8110" stopIfTrue="1" operator="equal">
      <formula>"Napkin Hs"</formula>
    </cfRule>
  </conditionalFormatting>
  <conditionalFormatting sqref="C72">
    <cfRule type="cellIs" dxfId="6943" priority="8107" stopIfTrue="1" operator="equal">
      <formula>"Towel"</formula>
    </cfRule>
    <cfRule type="cellIs" dxfId="6942" priority="8108" stopIfTrue="1" operator="equal">
      <formula>"Napkin Hs"</formula>
    </cfRule>
  </conditionalFormatting>
  <conditionalFormatting sqref="B72:C72">
    <cfRule type="cellIs" dxfId="6941" priority="8103" stopIfTrue="1" operator="equal">
      <formula>"Towel"</formula>
    </cfRule>
    <cfRule type="cellIs" dxfId="6940" priority="8104" stopIfTrue="1" operator="equal">
      <formula>"Napkin Hs"</formula>
    </cfRule>
  </conditionalFormatting>
  <conditionalFormatting sqref="C72">
    <cfRule type="cellIs" dxfId="6939" priority="8101" stopIfTrue="1" operator="equal">
      <formula>"Towel"</formula>
    </cfRule>
    <cfRule type="cellIs" dxfId="6938" priority="8102" stopIfTrue="1" operator="equal">
      <formula>"Napkin Hs"</formula>
    </cfRule>
  </conditionalFormatting>
  <conditionalFormatting sqref="B72:C72">
    <cfRule type="cellIs" dxfId="6937" priority="8086" stopIfTrue="1" operator="equal">
      <formula>"Napkin Hs"</formula>
    </cfRule>
  </conditionalFormatting>
  <conditionalFormatting sqref="B72:C72">
    <cfRule type="cellIs" dxfId="6936" priority="8085" stopIfTrue="1" operator="equal">
      <formula>"Towel"</formula>
    </cfRule>
  </conditionalFormatting>
  <conditionalFormatting sqref="C72">
    <cfRule type="cellIs" dxfId="6935" priority="8084" stopIfTrue="1" operator="equal">
      <formula>"Napkin Hs"</formula>
    </cfRule>
  </conditionalFormatting>
  <conditionalFormatting sqref="C72">
    <cfRule type="cellIs" dxfId="6934" priority="8081" stopIfTrue="1" operator="equal">
      <formula>"Towel"</formula>
    </cfRule>
    <cfRule type="cellIs" dxfId="6933" priority="8082" stopIfTrue="1" operator="equal">
      <formula>"Napkin Hs"</formula>
    </cfRule>
  </conditionalFormatting>
  <conditionalFormatting sqref="C72">
    <cfRule type="cellIs" dxfId="6932" priority="8083" stopIfTrue="1" operator="equal">
      <formula>"Towel"</formula>
    </cfRule>
  </conditionalFormatting>
  <conditionalFormatting sqref="B73:C74">
    <cfRule type="cellIs" dxfId="6931" priority="8080" stopIfTrue="1" operator="equal">
      <formula>"Napkin Hs"</formula>
    </cfRule>
  </conditionalFormatting>
  <conditionalFormatting sqref="B73:C74">
    <cfRule type="cellIs" dxfId="6930" priority="8079" stopIfTrue="1" operator="equal">
      <formula>"Towel"</formula>
    </cfRule>
  </conditionalFormatting>
  <conditionalFormatting sqref="C73:C74">
    <cfRule type="cellIs" dxfId="6929" priority="8078" stopIfTrue="1" operator="equal">
      <formula>"Napkin Hs"</formula>
    </cfRule>
  </conditionalFormatting>
  <conditionalFormatting sqref="C73:C74">
    <cfRule type="cellIs" dxfId="6928" priority="8077" stopIfTrue="1" operator="equal">
      <formula>"Towel"</formula>
    </cfRule>
  </conditionalFormatting>
  <conditionalFormatting sqref="C73:C74">
    <cfRule type="cellIs" dxfId="6927" priority="8075" stopIfTrue="1" operator="equal">
      <formula>"Towel"</formula>
    </cfRule>
    <cfRule type="cellIs" dxfId="6926" priority="8076" stopIfTrue="1" operator="equal">
      <formula>"Napkin Hs"</formula>
    </cfRule>
  </conditionalFormatting>
  <conditionalFormatting sqref="B73:C74">
    <cfRule type="cellIs" dxfId="6925" priority="8073" stopIfTrue="1" operator="equal">
      <formula>"Towel"</formula>
    </cfRule>
    <cfRule type="cellIs" dxfId="6924" priority="8074" stopIfTrue="1" operator="equal">
      <formula>"Napkin Hs"</formula>
    </cfRule>
  </conditionalFormatting>
  <conditionalFormatting sqref="C73:C74">
    <cfRule type="cellIs" dxfId="6923" priority="8069" stopIfTrue="1" operator="equal">
      <formula>"Towel"</formula>
    </cfRule>
    <cfRule type="cellIs" dxfId="6922" priority="8070" stopIfTrue="1" operator="equal">
      <formula>"Napkin Hs"</formula>
    </cfRule>
  </conditionalFormatting>
  <conditionalFormatting sqref="C73:C74">
    <cfRule type="cellIs" dxfId="6921" priority="8071" stopIfTrue="1" operator="equal">
      <formula>"Towel"</formula>
    </cfRule>
    <cfRule type="cellIs" dxfId="6920" priority="8072" stopIfTrue="1" operator="equal">
      <formula>"Napkin Hs"</formula>
    </cfRule>
  </conditionalFormatting>
  <conditionalFormatting sqref="B73:C74">
    <cfRule type="cellIs" dxfId="6919" priority="8068" stopIfTrue="1" operator="equal">
      <formula>"Napkin Hs"</formula>
    </cfRule>
  </conditionalFormatting>
  <conditionalFormatting sqref="B73:C74">
    <cfRule type="cellIs" dxfId="6918" priority="8067" stopIfTrue="1" operator="equal">
      <formula>"Towel"</formula>
    </cfRule>
  </conditionalFormatting>
  <conditionalFormatting sqref="C73:C74">
    <cfRule type="cellIs" dxfId="6917" priority="8066" stopIfTrue="1" operator="equal">
      <formula>"Napkin Hs"</formula>
    </cfRule>
  </conditionalFormatting>
  <conditionalFormatting sqref="C73:C74">
    <cfRule type="cellIs" dxfId="6916" priority="8065" stopIfTrue="1" operator="equal">
      <formula>"Towel"</formula>
    </cfRule>
  </conditionalFormatting>
  <conditionalFormatting sqref="C73:C74">
    <cfRule type="cellIs" dxfId="6915" priority="8063" stopIfTrue="1" operator="equal">
      <formula>"Towel"</formula>
    </cfRule>
    <cfRule type="cellIs" dxfId="6914" priority="8064" stopIfTrue="1" operator="equal">
      <formula>"Napkin Hs"</formula>
    </cfRule>
  </conditionalFormatting>
  <conditionalFormatting sqref="B73:C74">
    <cfRule type="cellIs" dxfId="6913" priority="8061" stopIfTrue="1" operator="equal">
      <formula>"Towel"</formula>
    </cfRule>
    <cfRule type="cellIs" dxfId="6912" priority="8062" stopIfTrue="1" operator="equal">
      <formula>"Napkin Hs"</formula>
    </cfRule>
  </conditionalFormatting>
  <conditionalFormatting sqref="C73:C74">
    <cfRule type="cellIs" dxfId="6911" priority="8059" stopIfTrue="1" operator="equal">
      <formula>"Towel"</formula>
    </cfRule>
    <cfRule type="cellIs" dxfId="6910" priority="8060" stopIfTrue="1" operator="equal">
      <formula>"Napkin Hs"</formula>
    </cfRule>
  </conditionalFormatting>
  <conditionalFormatting sqref="C73:C74">
    <cfRule type="cellIs" dxfId="6909" priority="8057" stopIfTrue="1" operator="equal">
      <formula>"Towel"</formula>
    </cfRule>
    <cfRule type="cellIs" dxfId="6908" priority="8058" stopIfTrue="1" operator="equal">
      <formula>"Napkin Hs"</formula>
    </cfRule>
  </conditionalFormatting>
  <conditionalFormatting sqref="B73:C74">
    <cfRule type="cellIs" dxfId="6907" priority="8055" stopIfTrue="1" operator="equal">
      <formula>"Towel"</formula>
    </cfRule>
    <cfRule type="cellIs" dxfId="6906" priority="8056" stopIfTrue="1" operator="equal">
      <formula>"Napkin Hs"</formula>
    </cfRule>
  </conditionalFormatting>
  <conditionalFormatting sqref="C73:C74">
    <cfRule type="cellIs" dxfId="6905" priority="8053" stopIfTrue="1" operator="equal">
      <formula>"Towel"</formula>
    </cfRule>
    <cfRule type="cellIs" dxfId="6904" priority="8054" stopIfTrue="1" operator="equal">
      <formula>"Napkin Hs"</formula>
    </cfRule>
  </conditionalFormatting>
  <conditionalFormatting sqref="C73:C74">
    <cfRule type="cellIs" dxfId="6903" priority="8051" stopIfTrue="1" operator="equal">
      <formula>"Towel"</formula>
    </cfRule>
    <cfRule type="cellIs" dxfId="6902" priority="8052" stopIfTrue="1" operator="equal">
      <formula>"Napkin Hs"</formula>
    </cfRule>
  </conditionalFormatting>
  <conditionalFormatting sqref="B73:C74">
    <cfRule type="cellIs" dxfId="6901" priority="8049" stopIfTrue="1" operator="equal">
      <formula>"Towel"</formula>
    </cfRule>
    <cfRule type="cellIs" dxfId="6900" priority="8050" stopIfTrue="1" operator="equal">
      <formula>"Napkin Hs"</formula>
    </cfRule>
  </conditionalFormatting>
  <conditionalFormatting sqref="C73:C74">
    <cfRule type="cellIs" dxfId="6899" priority="8047" stopIfTrue="1" operator="equal">
      <formula>"Towel"</formula>
    </cfRule>
    <cfRule type="cellIs" dxfId="6898" priority="8048" stopIfTrue="1" operator="equal">
      <formula>"Napkin Hs"</formula>
    </cfRule>
  </conditionalFormatting>
  <conditionalFormatting sqref="C73:C74">
    <cfRule type="cellIs" dxfId="6897" priority="8045" stopIfTrue="1" operator="equal">
      <formula>"Towel"</formula>
    </cfRule>
    <cfRule type="cellIs" dxfId="6896" priority="8046" stopIfTrue="1" operator="equal">
      <formula>"Napkin Hs"</formula>
    </cfRule>
  </conditionalFormatting>
  <conditionalFormatting sqref="B73:C74">
    <cfRule type="cellIs" dxfId="6895" priority="8043" stopIfTrue="1" operator="equal">
      <formula>"Towel"</formula>
    </cfRule>
    <cfRule type="cellIs" dxfId="6894" priority="8044" stopIfTrue="1" operator="equal">
      <formula>"Napkin Hs"</formula>
    </cfRule>
  </conditionalFormatting>
  <conditionalFormatting sqref="C73:C74">
    <cfRule type="cellIs" dxfId="6893" priority="8041" stopIfTrue="1" operator="equal">
      <formula>"Towel"</formula>
    </cfRule>
    <cfRule type="cellIs" dxfId="6892" priority="8042" stopIfTrue="1" operator="equal">
      <formula>"Napkin Hs"</formula>
    </cfRule>
  </conditionalFormatting>
  <conditionalFormatting sqref="C73:C74">
    <cfRule type="cellIs" dxfId="6891" priority="8039" stopIfTrue="1" operator="equal">
      <formula>"Towel"</formula>
    </cfRule>
    <cfRule type="cellIs" dxfId="6890" priority="8040" stopIfTrue="1" operator="equal">
      <formula>"Napkin Hs"</formula>
    </cfRule>
  </conditionalFormatting>
  <conditionalFormatting sqref="B73:C74">
    <cfRule type="cellIs" dxfId="6889" priority="8037" stopIfTrue="1" operator="equal">
      <formula>"Towel"</formula>
    </cfRule>
    <cfRule type="cellIs" dxfId="6888" priority="8038" stopIfTrue="1" operator="equal">
      <formula>"Napkin Hs"</formula>
    </cfRule>
  </conditionalFormatting>
  <conditionalFormatting sqref="C73:C74">
    <cfRule type="cellIs" dxfId="6887" priority="8035" stopIfTrue="1" operator="equal">
      <formula>"Towel"</formula>
    </cfRule>
    <cfRule type="cellIs" dxfId="6886" priority="8036" stopIfTrue="1" operator="equal">
      <formula>"Napkin Hs"</formula>
    </cfRule>
  </conditionalFormatting>
  <conditionalFormatting sqref="C73:C74">
    <cfRule type="cellIs" dxfId="6885" priority="8033" stopIfTrue="1" operator="equal">
      <formula>"Towel"</formula>
    </cfRule>
    <cfRule type="cellIs" dxfId="6884" priority="8034" stopIfTrue="1" operator="equal">
      <formula>"Napkin Hs"</formula>
    </cfRule>
  </conditionalFormatting>
  <conditionalFormatting sqref="B73:C74">
    <cfRule type="cellIs" dxfId="6883" priority="8032" stopIfTrue="1" operator="equal">
      <formula>"Napkin Hs"</formula>
    </cfRule>
  </conditionalFormatting>
  <conditionalFormatting sqref="B73:C74">
    <cfRule type="cellIs" dxfId="6882" priority="8031" stopIfTrue="1" operator="equal">
      <formula>"Towel"</formula>
    </cfRule>
  </conditionalFormatting>
  <conditionalFormatting sqref="C73:C74">
    <cfRule type="cellIs" dxfId="6881" priority="8030" stopIfTrue="1" operator="equal">
      <formula>"Napkin Hs"</formula>
    </cfRule>
  </conditionalFormatting>
  <conditionalFormatting sqref="C73:C74">
    <cfRule type="cellIs" dxfId="6880" priority="8027" stopIfTrue="1" operator="equal">
      <formula>"Towel"</formula>
    </cfRule>
    <cfRule type="cellIs" dxfId="6879" priority="8028" stopIfTrue="1" operator="equal">
      <formula>"Napkin Hs"</formula>
    </cfRule>
  </conditionalFormatting>
  <conditionalFormatting sqref="C73:C74">
    <cfRule type="cellIs" dxfId="6878" priority="8029" stopIfTrue="1" operator="equal">
      <formula>"Towel"</formula>
    </cfRule>
  </conditionalFormatting>
  <conditionalFormatting sqref="B73:C74">
    <cfRule type="cellIs" dxfId="6877" priority="8026" stopIfTrue="1" operator="equal">
      <formula>"Napkin Hs"</formula>
    </cfRule>
  </conditionalFormatting>
  <conditionalFormatting sqref="B73:C74">
    <cfRule type="cellIs" dxfId="6876" priority="8025" stopIfTrue="1" operator="equal">
      <formula>"Towel"</formula>
    </cfRule>
  </conditionalFormatting>
  <conditionalFormatting sqref="C73:C74">
    <cfRule type="cellIs" dxfId="6875" priority="8024" stopIfTrue="1" operator="equal">
      <formula>"Napkin Hs"</formula>
    </cfRule>
  </conditionalFormatting>
  <conditionalFormatting sqref="C73:C74">
    <cfRule type="cellIs" dxfId="6874" priority="8021" stopIfTrue="1" operator="equal">
      <formula>"Towel"</formula>
    </cfRule>
    <cfRule type="cellIs" dxfId="6873" priority="8022" stopIfTrue="1" operator="equal">
      <formula>"Napkin Hs"</formula>
    </cfRule>
  </conditionalFormatting>
  <conditionalFormatting sqref="C73:C74">
    <cfRule type="cellIs" dxfId="6872" priority="8023" stopIfTrue="1" operator="equal">
      <formula>"Towel"</formula>
    </cfRule>
  </conditionalFormatting>
  <conditionalFormatting sqref="B81:C81">
    <cfRule type="cellIs" dxfId="6871" priority="7967" stopIfTrue="1" operator="equal">
      <formula>"Towel"</formula>
    </cfRule>
    <cfRule type="cellIs" dxfId="6870" priority="7968" stopIfTrue="1" operator="equal">
      <formula>"Napkin Hs"</formula>
    </cfRule>
  </conditionalFormatting>
  <conditionalFormatting sqref="C81">
    <cfRule type="cellIs" dxfId="6869" priority="7963" stopIfTrue="1" operator="equal">
      <formula>"Towel"</formula>
    </cfRule>
    <cfRule type="cellIs" dxfId="6868" priority="7964" stopIfTrue="1" operator="equal">
      <formula>"Napkin Hs"</formula>
    </cfRule>
  </conditionalFormatting>
  <conditionalFormatting sqref="C81">
    <cfRule type="cellIs" dxfId="6867" priority="7965" stopIfTrue="1" operator="equal">
      <formula>"Towel"</formula>
    </cfRule>
    <cfRule type="cellIs" dxfId="6866" priority="7966" stopIfTrue="1" operator="equal">
      <formula>"Napkin Hs"</formula>
    </cfRule>
  </conditionalFormatting>
  <conditionalFormatting sqref="B81:C81">
    <cfRule type="cellIs" dxfId="6865" priority="7962" stopIfTrue="1" operator="equal">
      <formula>"Napkin Hs"</formula>
    </cfRule>
  </conditionalFormatting>
  <conditionalFormatting sqref="B81:C81">
    <cfRule type="cellIs" dxfId="6864" priority="7961" stopIfTrue="1" operator="equal">
      <formula>"Towel"</formula>
    </cfRule>
  </conditionalFormatting>
  <conditionalFormatting sqref="C81">
    <cfRule type="cellIs" dxfId="6863" priority="7960" stopIfTrue="1" operator="equal">
      <formula>"Napkin Hs"</formula>
    </cfRule>
  </conditionalFormatting>
  <conditionalFormatting sqref="C81">
    <cfRule type="cellIs" dxfId="6862" priority="7959" stopIfTrue="1" operator="equal">
      <formula>"Towel"</formula>
    </cfRule>
  </conditionalFormatting>
  <conditionalFormatting sqref="C81">
    <cfRule type="cellIs" dxfId="6861" priority="7957" stopIfTrue="1" operator="equal">
      <formula>"Towel"</formula>
    </cfRule>
    <cfRule type="cellIs" dxfId="6860" priority="7958" stopIfTrue="1" operator="equal">
      <formula>"Napkin Hs"</formula>
    </cfRule>
  </conditionalFormatting>
  <conditionalFormatting sqref="B81:C81">
    <cfRule type="cellIs" dxfId="6859" priority="7955" stopIfTrue="1" operator="equal">
      <formula>"Towel"</formula>
    </cfRule>
    <cfRule type="cellIs" dxfId="6858" priority="7956" stopIfTrue="1" operator="equal">
      <formula>"Napkin Hs"</formula>
    </cfRule>
  </conditionalFormatting>
  <conditionalFormatting sqref="C81">
    <cfRule type="cellIs" dxfId="6857" priority="7953" stopIfTrue="1" operator="equal">
      <formula>"Towel"</formula>
    </cfRule>
    <cfRule type="cellIs" dxfId="6856" priority="7954" stopIfTrue="1" operator="equal">
      <formula>"Napkin Hs"</formula>
    </cfRule>
  </conditionalFormatting>
  <conditionalFormatting sqref="C81">
    <cfRule type="cellIs" dxfId="6855" priority="7951" stopIfTrue="1" operator="equal">
      <formula>"Towel"</formula>
    </cfRule>
    <cfRule type="cellIs" dxfId="6854" priority="7952" stopIfTrue="1" operator="equal">
      <formula>"Napkin Hs"</formula>
    </cfRule>
  </conditionalFormatting>
  <conditionalFormatting sqref="B81:C81">
    <cfRule type="cellIs" dxfId="6853" priority="7949" stopIfTrue="1" operator="equal">
      <formula>"Towel"</formula>
    </cfRule>
    <cfRule type="cellIs" dxfId="6852" priority="7950" stopIfTrue="1" operator="equal">
      <formula>"Napkin Hs"</formula>
    </cfRule>
  </conditionalFormatting>
  <conditionalFormatting sqref="C81">
    <cfRule type="cellIs" dxfId="6851" priority="7947" stopIfTrue="1" operator="equal">
      <formula>"Towel"</formula>
    </cfRule>
    <cfRule type="cellIs" dxfId="6850" priority="7948" stopIfTrue="1" operator="equal">
      <formula>"Napkin Hs"</formula>
    </cfRule>
  </conditionalFormatting>
  <conditionalFormatting sqref="C81">
    <cfRule type="cellIs" dxfId="6849" priority="7945" stopIfTrue="1" operator="equal">
      <formula>"Towel"</formula>
    </cfRule>
    <cfRule type="cellIs" dxfId="6848" priority="7946" stopIfTrue="1" operator="equal">
      <formula>"Napkin Hs"</formula>
    </cfRule>
  </conditionalFormatting>
  <conditionalFormatting sqref="B81:C81">
    <cfRule type="cellIs" dxfId="6847" priority="7943" stopIfTrue="1" operator="equal">
      <formula>"Towel"</formula>
    </cfRule>
    <cfRule type="cellIs" dxfId="6846" priority="7944" stopIfTrue="1" operator="equal">
      <formula>"Napkin Hs"</formula>
    </cfRule>
  </conditionalFormatting>
  <conditionalFormatting sqref="C81">
    <cfRule type="cellIs" dxfId="6845" priority="7941" stopIfTrue="1" operator="equal">
      <formula>"Towel"</formula>
    </cfRule>
    <cfRule type="cellIs" dxfId="6844" priority="7942" stopIfTrue="1" operator="equal">
      <formula>"Napkin Hs"</formula>
    </cfRule>
  </conditionalFormatting>
  <conditionalFormatting sqref="C81">
    <cfRule type="cellIs" dxfId="6843" priority="7939" stopIfTrue="1" operator="equal">
      <formula>"Towel"</formula>
    </cfRule>
    <cfRule type="cellIs" dxfId="6842" priority="7940" stopIfTrue="1" operator="equal">
      <formula>"Napkin Hs"</formula>
    </cfRule>
  </conditionalFormatting>
  <conditionalFormatting sqref="B81:C81">
    <cfRule type="cellIs" dxfId="6841" priority="7937" stopIfTrue="1" operator="equal">
      <formula>"Towel"</formula>
    </cfRule>
    <cfRule type="cellIs" dxfId="6840" priority="7938" stopIfTrue="1" operator="equal">
      <formula>"Napkin Hs"</formula>
    </cfRule>
  </conditionalFormatting>
  <conditionalFormatting sqref="C81">
    <cfRule type="cellIs" dxfId="6839" priority="7935" stopIfTrue="1" operator="equal">
      <formula>"Towel"</formula>
    </cfRule>
    <cfRule type="cellIs" dxfId="6838" priority="7936" stopIfTrue="1" operator="equal">
      <formula>"Napkin Hs"</formula>
    </cfRule>
  </conditionalFormatting>
  <conditionalFormatting sqref="C81">
    <cfRule type="cellIs" dxfId="6837" priority="7933" stopIfTrue="1" operator="equal">
      <formula>"Towel"</formula>
    </cfRule>
    <cfRule type="cellIs" dxfId="6836" priority="7934" stopIfTrue="1" operator="equal">
      <formula>"Napkin Hs"</formula>
    </cfRule>
  </conditionalFormatting>
  <conditionalFormatting sqref="B81:C81">
    <cfRule type="cellIs" dxfId="6835" priority="7931" stopIfTrue="1" operator="equal">
      <formula>"Towel"</formula>
    </cfRule>
    <cfRule type="cellIs" dxfId="6834" priority="7932" stopIfTrue="1" operator="equal">
      <formula>"Napkin Hs"</formula>
    </cfRule>
  </conditionalFormatting>
  <conditionalFormatting sqref="C81">
    <cfRule type="cellIs" dxfId="6833" priority="7929" stopIfTrue="1" operator="equal">
      <formula>"Towel"</formula>
    </cfRule>
    <cfRule type="cellIs" dxfId="6832" priority="7930" stopIfTrue="1" operator="equal">
      <formula>"Napkin Hs"</formula>
    </cfRule>
  </conditionalFormatting>
  <conditionalFormatting sqref="C81">
    <cfRule type="cellIs" dxfId="6831" priority="7927" stopIfTrue="1" operator="equal">
      <formula>"Towel"</formula>
    </cfRule>
    <cfRule type="cellIs" dxfId="6830" priority="7928" stopIfTrue="1" operator="equal">
      <formula>"Napkin Hs"</formula>
    </cfRule>
  </conditionalFormatting>
  <conditionalFormatting sqref="B81:C81">
    <cfRule type="cellIs" dxfId="6829" priority="7926" stopIfTrue="1" operator="equal">
      <formula>"Napkin Hs"</formula>
    </cfRule>
  </conditionalFormatting>
  <conditionalFormatting sqref="B81:C81">
    <cfRule type="cellIs" dxfId="6828" priority="7925" stopIfTrue="1" operator="equal">
      <formula>"Towel"</formula>
    </cfRule>
  </conditionalFormatting>
  <conditionalFormatting sqref="C81">
    <cfRule type="cellIs" dxfId="6827" priority="7924" stopIfTrue="1" operator="equal">
      <formula>"Napkin Hs"</formula>
    </cfRule>
  </conditionalFormatting>
  <conditionalFormatting sqref="C81">
    <cfRule type="cellIs" dxfId="6826" priority="7921" stopIfTrue="1" operator="equal">
      <formula>"Towel"</formula>
    </cfRule>
    <cfRule type="cellIs" dxfId="6825" priority="7922" stopIfTrue="1" operator="equal">
      <formula>"Napkin Hs"</formula>
    </cfRule>
  </conditionalFormatting>
  <conditionalFormatting sqref="C81">
    <cfRule type="cellIs" dxfId="6824" priority="7923" stopIfTrue="1" operator="equal">
      <formula>"Towel"</formula>
    </cfRule>
  </conditionalFormatting>
  <conditionalFormatting sqref="B80:C80">
    <cfRule type="cellIs" dxfId="6823" priority="7871" stopIfTrue="1" operator="equal">
      <formula>"Towel"</formula>
    </cfRule>
    <cfRule type="cellIs" dxfId="6822" priority="7872" stopIfTrue="1" operator="equal">
      <formula>"Napkin Hs"</formula>
    </cfRule>
  </conditionalFormatting>
  <conditionalFormatting sqref="C80">
    <cfRule type="cellIs" dxfId="6821" priority="7867" stopIfTrue="1" operator="equal">
      <formula>"Towel"</formula>
    </cfRule>
    <cfRule type="cellIs" dxfId="6820" priority="7868" stopIfTrue="1" operator="equal">
      <formula>"Napkin Hs"</formula>
    </cfRule>
  </conditionalFormatting>
  <conditionalFormatting sqref="C80">
    <cfRule type="cellIs" dxfId="6819" priority="7869" stopIfTrue="1" operator="equal">
      <formula>"Towel"</formula>
    </cfRule>
    <cfRule type="cellIs" dxfId="6818" priority="7870" stopIfTrue="1" operator="equal">
      <formula>"Napkin Hs"</formula>
    </cfRule>
  </conditionalFormatting>
  <conditionalFormatting sqref="B77:C77">
    <cfRule type="cellIs" dxfId="6817" priority="7866" stopIfTrue="1" operator="equal">
      <formula>"Napkin Hs"</formula>
    </cfRule>
  </conditionalFormatting>
  <conditionalFormatting sqref="B77:C77">
    <cfRule type="cellIs" dxfId="6816" priority="7865" stopIfTrue="1" operator="equal">
      <formula>"Towel"</formula>
    </cfRule>
  </conditionalFormatting>
  <conditionalFormatting sqref="C77">
    <cfRule type="cellIs" dxfId="6815" priority="7864" stopIfTrue="1" operator="equal">
      <formula>"Napkin Hs"</formula>
    </cfRule>
  </conditionalFormatting>
  <conditionalFormatting sqref="C77">
    <cfRule type="cellIs" dxfId="6814" priority="7863" stopIfTrue="1" operator="equal">
      <formula>"Towel"</formula>
    </cfRule>
  </conditionalFormatting>
  <conditionalFormatting sqref="C77">
    <cfRule type="cellIs" dxfId="6813" priority="7861" stopIfTrue="1" operator="equal">
      <formula>"Towel"</formula>
    </cfRule>
    <cfRule type="cellIs" dxfId="6812" priority="7862" stopIfTrue="1" operator="equal">
      <formula>"Napkin Hs"</formula>
    </cfRule>
  </conditionalFormatting>
  <conditionalFormatting sqref="C77">
    <cfRule type="cellIs" dxfId="6811" priority="7855" stopIfTrue="1" operator="equal">
      <formula>"Towel"</formula>
    </cfRule>
    <cfRule type="cellIs" dxfId="6810" priority="7856" stopIfTrue="1" operator="equal">
      <formula>"Napkin Hs"</formula>
    </cfRule>
  </conditionalFormatting>
  <conditionalFormatting sqref="B77:C77">
    <cfRule type="cellIs" dxfId="6809" priority="7854" stopIfTrue="1" operator="equal">
      <formula>"Napkin Hs"</formula>
    </cfRule>
  </conditionalFormatting>
  <conditionalFormatting sqref="B77:C77">
    <cfRule type="cellIs" dxfId="6808" priority="7853" stopIfTrue="1" operator="equal">
      <formula>"Towel"</formula>
    </cfRule>
  </conditionalFormatting>
  <conditionalFormatting sqref="C77">
    <cfRule type="cellIs" dxfId="6807" priority="7852" stopIfTrue="1" operator="equal">
      <formula>"Napkin Hs"</formula>
    </cfRule>
  </conditionalFormatting>
  <conditionalFormatting sqref="C77">
    <cfRule type="cellIs" dxfId="6806" priority="7851" stopIfTrue="1" operator="equal">
      <formula>"Towel"</formula>
    </cfRule>
  </conditionalFormatting>
  <conditionalFormatting sqref="C77">
    <cfRule type="cellIs" dxfId="6805" priority="7849" stopIfTrue="1" operator="equal">
      <formula>"Towel"</formula>
    </cfRule>
    <cfRule type="cellIs" dxfId="6804" priority="7850" stopIfTrue="1" operator="equal">
      <formula>"Napkin Hs"</formula>
    </cfRule>
  </conditionalFormatting>
  <conditionalFormatting sqref="C77">
    <cfRule type="cellIs" dxfId="6803" priority="7843" stopIfTrue="1" operator="equal">
      <formula>"Towel"</formula>
    </cfRule>
    <cfRule type="cellIs" dxfId="6802" priority="7844" stopIfTrue="1" operator="equal">
      <formula>"Napkin Hs"</formula>
    </cfRule>
  </conditionalFormatting>
  <conditionalFormatting sqref="C77">
    <cfRule type="cellIs" dxfId="6801" priority="7837" stopIfTrue="1" operator="equal">
      <formula>"Towel"</formula>
    </cfRule>
    <cfRule type="cellIs" dxfId="6800" priority="7838" stopIfTrue="1" operator="equal">
      <formula>"Napkin Hs"</formula>
    </cfRule>
  </conditionalFormatting>
  <conditionalFormatting sqref="C77">
    <cfRule type="cellIs" dxfId="6799" priority="7831" stopIfTrue="1" operator="equal">
      <formula>"Towel"</formula>
    </cfRule>
    <cfRule type="cellIs" dxfId="6798" priority="7832" stopIfTrue="1" operator="equal">
      <formula>"Napkin Hs"</formula>
    </cfRule>
  </conditionalFormatting>
  <conditionalFormatting sqref="C77">
    <cfRule type="cellIs" dxfId="6797" priority="7825" stopIfTrue="1" operator="equal">
      <formula>"Towel"</formula>
    </cfRule>
    <cfRule type="cellIs" dxfId="6796" priority="7826" stopIfTrue="1" operator="equal">
      <formula>"Napkin Hs"</formula>
    </cfRule>
  </conditionalFormatting>
  <conditionalFormatting sqref="C77">
    <cfRule type="cellIs" dxfId="6795" priority="7819" stopIfTrue="1" operator="equal">
      <formula>"Towel"</formula>
    </cfRule>
    <cfRule type="cellIs" dxfId="6794" priority="7820" stopIfTrue="1" operator="equal">
      <formula>"Napkin Hs"</formula>
    </cfRule>
  </conditionalFormatting>
  <conditionalFormatting sqref="B77:C77">
    <cfRule type="cellIs" dxfId="6793" priority="7818" stopIfTrue="1" operator="equal">
      <formula>"Napkin Hs"</formula>
    </cfRule>
  </conditionalFormatting>
  <conditionalFormatting sqref="B77:C77">
    <cfRule type="cellIs" dxfId="6792" priority="7817" stopIfTrue="1" operator="equal">
      <formula>"Towel"</formula>
    </cfRule>
  </conditionalFormatting>
  <conditionalFormatting sqref="C77">
    <cfRule type="cellIs" dxfId="6791" priority="7816" stopIfTrue="1" operator="equal">
      <formula>"Napkin Hs"</formula>
    </cfRule>
  </conditionalFormatting>
  <conditionalFormatting sqref="C77">
    <cfRule type="cellIs" dxfId="6790" priority="7813" stopIfTrue="1" operator="equal">
      <formula>"Towel"</formula>
    </cfRule>
    <cfRule type="cellIs" dxfId="6789" priority="7814" stopIfTrue="1" operator="equal">
      <formula>"Napkin Hs"</formula>
    </cfRule>
  </conditionalFormatting>
  <conditionalFormatting sqref="C77">
    <cfRule type="cellIs" dxfId="6788" priority="7815" stopIfTrue="1" operator="equal">
      <formula>"Towel"</formula>
    </cfRule>
  </conditionalFormatting>
  <conditionalFormatting sqref="B77:C77">
    <cfRule type="cellIs" dxfId="6787" priority="7812" stopIfTrue="1" operator="equal">
      <formula>"Napkin Hs"</formula>
    </cfRule>
  </conditionalFormatting>
  <conditionalFormatting sqref="B77:C77">
    <cfRule type="cellIs" dxfId="6786" priority="7811" stopIfTrue="1" operator="equal">
      <formula>"Towel"</formula>
    </cfRule>
  </conditionalFormatting>
  <conditionalFormatting sqref="C77">
    <cfRule type="cellIs" dxfId="6785" priority="7810" stopIfTrue="1" operator="equal">
      <formula>"Napkin Hs"</formula>
    </cfRule>
  </conditionalFormatting>
  <conditionalFormatting sqref="C77">
    <cfRule type="cellIs" dxfId="6784" priority="7807" stopIfTrue="1" operator="equal">
      <formula>"Towel"</formula>
    </cfRule>
    <cfRule type="cellIs" dxfId="6783" priority="7808" stopIfTrue="1" operator="equal">
      <formula>"Napkin Hs"</formula>
    </cfRule>
  </conditionalFormatting>
  <conditionalFormatting sqref="C77">
    <cfRule type="cellIs" dxfId="6782" priority="7809" stopIfTrue="1" operator="equal">
      <formula>"Towel"</formula>
    </cfRule>
  </conditionalFormatting>
  <conditionalFormatting sqref="B78:C79">
    <cfRule type="cellIs" dxfId="6781" priority="7740" stopIfTrue="1" operator="equal">
      <formula>"Napkin Hs"</formula>
    </cfRule>
  </conditionalFormatting>
  <conditionalFormatting sqref="B78:C79">
    <cfRule type="cellIs" dxfId="6780" priority="7739" stopIfTrue="1" operator="equal">
      <formula>"Towel"</formula>
    </cfRule>
  </conditionalFormatting>
  <conditionalFormatting sqref="C78:C79">
    <cfRule type="cellIs" dxfId="6779" priority="7738" stopIfTrue="1" operator="equal">
      <formula>"Napkin Hs"</formula>
    </cfRule>
  </conditionalFormatting>
  <conditionalFormatting sqref="C78:C79">
    <cfRule type="cellIs" dxfId="6778" priority="7735" stopIfTrue="1" operator="equal">
      <formula>"Towel"</formula>
    </cfRule>
    <cfRule type="cellIs" dxfId="6777" priority="7736" stopIfTrue="1" operator="equal">
      <formula>"Napkin Hs"</formula>
    </cfRule>
  </conditionalFormatting>
  <conditionalFormatting sqref="C78:C79">
    <cfRule type="cellIs" dxfId="6776" priority="7737" stopIfTrue="1" operator="equal">
      <formula>"Towel"</formula>
    </cfRule>
  </conditionalFormatting>
  <conditionalFormatting sqref="B77:C77">
    <cfRule type="cellIs" dxfId="6775" priority="7859" stopIfTrue="1" operator="equal">
      <formula>"Towel"</formula>
    </cfRule>
    <cfRule type="cellIs" dxfId="6774" priority="7860" stopIfTrue="1" operator="equal">
      <formula>"Napkin Hs"</formula>
    </cfRule>
  </conditionalFormatting>
  <conditionalFormatting sqref="C77">
    <cfRule type="cellIs" dxfId="6773" priority="7857" stopIfTrue="1" operator="equal">
      <formula>"Towel"</formula>
    </cfRule>
    <cfRule type="cellIs" dxfId="6772" priority="7858" stopIfTrue="1" operator="equal">
      <formula>"Napkin Hs"</formula>
    </cfRule>
  </conditionalFormatting>
  <conditionalFormatting sqref="B77:C77">
    <cfRule type="cellIs" dxfId="6771" priority="7847" stopIfTrue="1" operator="equal">
      <formula>"Towel"</formula>
    </cfRule>
    <cfRule type="cellIs" dxfId="6770" priority="7848" stopIfTrue="1" operator="equal">
      <formula>"Napkin Hs"</formula>
    </cfRule>
  </conditionalFormatting>
  <conditionalFormatting sqref="C77">
    <cfRule type="cellIs" dxfId="6769" priority="7845" stopIfTrue="1" operator="equal">
      <formula>"Towel"</formula>
    </cfRule>
    <cfRule type="cellIs" dxfId="6768" priority="7846" stopIfTrue="1" operator="equal">
      <formula>"Napkin Hs"</formula>
    </cfRule>
  </conditionalFormatting>
  <conditionalFormatting sqref="B77:C77">
    <cfRule type="cellIs" dxfId="6767" priority="7841" stopIfTrue="1" operator="equal">
      <formula>"Towel"</formula>
    </cfRule>
    <cfRule type="cellIs" dxfId="6766" priority="7842" stopIfTrue="1" operator="equal">
      <formula>"Napkin Hs"</formula>
    </cfRule>
  </conditionalFormatting>
  <conditionalFormatting sqref="C77">
    <cfRule type="cellIs" dxfId="6765" priority="7839" stopIfTrue="1" operator="equal">
      <formula>"Towel"</formula>
    </cfRule>
    <cfRule type="cellIs" dxfId="6764" priority="7840" stopIfTrue="1" operator="equal">
      <formula>"Napkin Hs"</formula>
    </cfRule>
  </conditionalFormatting>
  <conditionalFormatting sqref="B77:C77">
    <cfRule type="cellIs" dxfId="6763" priority="7835" stopIfTrue="1" operator="equal">
      <formula>"Towel"</formula>
    </cfRule>
    <cfRule type="cellIs" dxfId="6762" priority="7836" stopIfTrue="1" operator="equal">
      <formula>"Napkin Hs"</formula>
    </cfRule>
  </conditionalFormatting>
  <conditionalFormatting sqref="C77">
    <cfRule type="cellIs" dxfId="6761" priority="7833" stopIfTrue="1" operator="equal">
      <formula>"Towel"</formula>
    </cfRule>
    <cfRule type="cellIs" dxfId="6760" priority="7834" stopIfTrue="1" operator="equal">
      <formula>"Napkin Hs"</formula>
    </cfRule>
  </conditionalFormatting>
  <conditionalFormatting sqref="B77:C77">
    <cfRule type="cellIs" dxfId="6759" priority="7829" stopIfTrue="1" operator="equal">
      <formula>"Towel"</formula>
    </cfRule>
    <cfRule type="cellIs" dxfId="6758" priority="7830" stopIfTrue="1" operator="equal">
      <formula>"Napkin Hs"</formula>
    </cfRule>
  </conditionalFormatting>
  <conditionalFormatting sqref="C77">
    <cfRule type="cellIs" dxfId="6757" priority="7827" stopIfTrue="1" operator="equal">
      <formula>"Towel"</formula>
    </cfRule>
    <cfRule type="cellIs" dxfId="6756" priority="7828" stopIfTrue="1" operator="equal">
      <formula>"Napkin Hs"</formula>
    </cfRule>
  </conditionalFormatting>
  <conditionalFormatting sqref="B77:C77">
    <cfRule type="cellIs" dxfId="6755" priority="7823" stopIfTrue="1" operator="equal">
      <formula>"Towel"</formula>
    </cfRule>
    <cfRule type="cellIs" dxfId="6754" priority="7824" stopIfTrue="1" operator="equal">
      <formula>"Napkin Hs"</formula>
    </cfRule>
  </conditionalFormatting>
  <conditionalFormatting sqref="C77">
    <cfRule type="cellIs" dxfId="6753" priority="7821" stopIfTrue="1" operator="equal">
      <formula>"Towel"</formula>
    </cfRule>
    <cfRule type="cellIs" dxfId="6752" priority="7822" stopIfTrue="1" operator="equal">
      <formula>"Napkin Hs"</formula>
    </cfRule>
  </conditionalFormatting>
  <conditionalFormatting sqref="B77:C77">
    <cfRule type="cellIs" dxfId="6751" priority="7806" stopIfTrue="1" operator="equal">
      <formula>"Napkin Hs"</formula>
    </cfRule>
  </conditionalFormatting>
  <conditionalFormatting sqref="B77:C77">
    <cfRule type="cellIs" dxfId="6750" priority="7805" stopIfTrue="1" operator="equal">
      <formula>"Towel"</formula>
    </cfRule>
  </conditionalFormatting>
  <conditionalFormatting sqref="C77">
    <cfRule type="cellIs" dxfId="6749" priority="7804" stopIfTrue="1" operator="equal">
      <formula>"Napkin Hs"</formula>
    </cfRule>
  </conditionalFormatting>
  <conditionalFormatting sqref="C77">
    <cfRule type="cellIs" dxfId="6748" priority="7801" stopIfTrue="1" operator="equal">
      <formula>"Towel"</formula>
    </cfRule>
    <cfRule type="cellIs" dxfId="6747" priority="7802" stopIfTrue="1" operator="equal">
      <formula>"Napkin Hs"</formula>
    </cfRule>
  </conditionalFormatting>
  <conditionalFormatting sqref="C77">
    <cfRule type="cellIs" dxfId="6746" priority="7803" stopIfTrue="1" operator="equal">
      <formula>"Towel"</formula>
    </cfRule>
  </conditionalFormatting>
  <conditionalFormatting sqref="B78:C79">
    <cfRule type="cellIs" dxfId="6745" priority="7800" stopIfTrue="1" operator="equal">
      <formula>"Napkin Hs"</formula>
    </cfRule>
  </conditionalFormatting>
  <conditionalFormatting sqref="B78:C79">
    <cfRule type="cellIs" dxfId="6744" priority="7799" stopIfTrue="1" operator="equal">
      <formula>"Towel"</formula>
    </cfRule>
  </conditionalFormatting>
  <conditionalFormatting sqref="C78:C79">
    <cfRule type="cellIs" dxfId="6743" priority="7798" stopIfTrue="1" operator="equal">
      <formula>"Napkin Hs"</formula>
    </cfRule>
  </conditionalFormatting>
  <conditionalFormatting sqref="C78:C79">
    <cfRule type="cellIs" dxfId="6742" priority="7797" stopIfTrue="1" operator="equal">
      <formula>"Towel"</formula>
    </cfRule>
  </conditionalFormatting>
  <conditionalFormatting sqref="C78:C79">
    <cfRule type="cellIs" dxfId="6741" priority="7795" stopIfTrue="1" operator="equal">
      <formula>"Towel"</formula>
    </cfRule>
    <cfRule type="cellIs" dxfId="6740" priority="7796" stopIfTrue="1" operator="equal">
      <formula>"Napkin Hs"</formula>
    </cfRule>
  </conditionalFormatting>
  <conditionalFormatting sqref="B78:C79">
    <cfRule type="cellIs" dxfId="6739" priority="7793" stopIfTrue="1" operator="equal">
      <formula>"Towel"</formula>
    </cfRule>
    <cfRule type="cellIs" dxfId="6738" priority="7794" stopIfTrue="1" operator="equal">
      <formula>"Napkin Hs"</formula>
    </cfRule>
  </conditionalFormatting>
  <conditionalFormatting sqref="C78:C79">
    <cfRule type="cellIs" dxfId="6737" priority="7789" stopIfTrue="1" operator="equal">
      <formula>"Towel"</formula>
    </cfRule>
    <cfRule type="cellIs" dxfId="6736" priority="7790" stopIfTrue="1" operator="equal">
      <formula>"Napkin Hs"</formula>
    </cfRule>
  </conditionalFormatting>
  <conditionalFormatting sqref="C78:C79">
    <cfRule type="cellIs" dxfId="6735" priority="7791" stopIfTrue="1" operator="equal">
      <formula>"Towel"</formula>
    </cfRule>
    <cfRule type="cellIs" dxfId="6734" priority="7792" stopIfTrue="1" operator="equal">
      <formula>"Napkin Hs"</formula>
    </cfRule>
  </conditionalFormatting>
  <conditionalFormatting sqref="B78:C79">
    <cfRule type="cellIs" dxfId="6733" priority="7788" stopIfTrue="1" operator="equal">
      <formula>"Napkin Hs"</formula>
    </cfRule>
  </conditionalFormatting>
  <conditionalFormatting sqref="B78:C79">
    <cfRule type="cellIs" dxfId="6732" priority="7787" stopIfTrue="1" operator="equal">
      <formula>"Towel"</formula>
    </cfRule>
  </conditionalFormatting>
  <conditionalFormatting sqref="C78:C79">
    <cfRule type="cellIs" dxfId="6731" priority="7786" stopIfTrue="1" operator="equal">
      <formula>"Napkin Hs"</formula>
    </cfRule>
  </conditionalFormatting>
  <conditionalFormatting sqref="C78:C79">
    <cfRule type="cellIs" dxfId="6730" priority="7785" stopIfTrue="1" operator="equal">
      <formula>"Towel"</formula>
    </cfRule>
  </conditionalFormatting>
  <conditionalFormatting sqref="C78:C79">
    <cfRule type="cellIs" dxfId="6729" priority="7783" stopIfTrue="1" operator="equal">
      <formula>"Towel"</formula>
    </cfRule>
    <cfRule type="cellIs" dxfId="6728" priority="7784" stopIfTrue="1" operator="equal">
      <formula>"Napkin Hs"</formula>
    </cfRule>
  </conditionalFormatting>
  <conditionalFormatting sqref="B78:C79">
    <cfRule type="cellIs" dxfId="6727" priority="7781" stopIfTrue="1" operator="equal">
      <formula>"Towel"</formula>
    </cfRule>
    <cfRule type="cellIs" dxfId="6726" priority="7782" stopIfTrue="1" operator="equal">
      <formula>"Napkin Hs"</formula>
    </cfRule>
  </conditionalFormatting>
  <conditionalFormatting sqref="C78:C79">
    <cfRule type="cellIs" dxfId="6725" priority="7779" stopIfTrue="1" operator="equal">
      <formula>"Towel"</formula>
    </cfRule>
    <cfRule type="cellIs" dxfId="6724" priority="7780" stopIfTrue="1" operator="equal">
      <formula>"Napkin Hs"</formula>
    </cfRule>
  </conditionalFormatting>
  <conditionalFormatting sqref="C78:C79">
    <cfRule type="cellIs" dxfId="6723" priority="7777" stopIfTrue="1" operator="equal">
      <formula>"Towel"</formula>
    </cfRule>
    <cfRule type="cellIs" dxfId="6722" priority="7778" stopIfTrue="1" operator="equal">
      <formula>"Napkin Hs"</formula>
    </cfRule>
  </conditionalFormatting>
  <conditionalFormatting sqref="B78:C79">
    <cfRule type="cellIs" dxfId="6721" priority="7775" stopIfTrue="1" operator="equal">
      <formula>"Towel"</formula>
    </cfRule>
    <cfRule type="cellIs" dxfId="6720" priority="7776" stopIfTrue="1" operator="equal">
      <formula>"Napkin Hs"</formula>
    </cfRule>
  </conditionalFormatting>
  <conditionalFormatting sqref="C78:C79">
    <cfRule type="cellIs" dxfId="6719" priority="7773" stopIfTrue="1" operator="equal">
      <formula>"Towel"</formula>
    </cfRule>
    <cfRule type="cellIs" dxfId="6718" priority="7774" stopIfTrue="1" operator="equal">
      <formula>"Napkin Hs"</formula>
    </cfRule>
  </conditionalFormatting>
  <conditionalFormatting sqref="C78:C79">
    <cfRule type="cellIs" dxfId="6717" priority="7771" stopIfTrue="1" operator="equal">
      <formula>"Towel"</formula>
    </cfRule>
    <cfRule type="cellIs" dxfId="6716" priority="7772" stopIfTrue="1" operator="equal">
      <formula>"Napkin Hs"</formula>
    </cfRule>
  </conditionalFormatting>
  <conditionalFormatting sqref="B78:C79">
    <cfRule type="cellIs" dxfId="6715" priority="7769" stopIfTrue="1" operator="equal">
      <formula>"Towel"</formula>
    </cfRule>
    <cfRule type="cellIs" dxfId="6714" priority="7770" stopIfTrue="1" operator="equal">
      <formula>"Napkin Hs"</formula>
    </cfRule>
  </conditionalFormatting>
  <conditionalFormatting sqref="C78:C79">
    <cfRule type="cellIs" dxfId="6713" priority="7767" stopIfTrue="1" operator="equal">
      <formula>"Towel"</formula>
    </cfRule>
    <cfRule type="cellIs" dxfId="6712" priority="7768" stopIfTrue="1" operator="equal">
      <formula>"Napkin Hs"</formula>
    </cfRule>
  </conditionalFormatting>
  <conditionalFormatting sqref="C78:C79">
    <cfRule type="cellIs" dxfId="6711" priority="7765" stopIfTrue="1" operator="equal">
      <formula>"Towel"</formula>
    </cfRule>
    <cfRule type="cellIs" dxfId="6710" priority="7766" stopIfTrue="1" operator="equal">
      <formula>"Napkin Hs"</formula>
    </cfRule>
  </conditionalFormatting>
  <conditionalFormatting sqref="B78:C79">
    <cfRule type="cellIs" dxfId="6709" priority="7763" stopIfTrue="1" operator="equal">
      <formula>"Towel"</formula>
    </cfRule>
    <cfRule type="cellIs" dxfId="6708" priority="7764" stopIfTrue="1" operator="equal">
      <formula>"Napkin Hs"</formula>
    </cfRule>
  </conditionalFormatting>
  <conditionalFormatting sqref="C78:C79">
    <cfRule type="cellIs" dxfId="6707" priority="7761" stopIfTrue="1" operator="equal">
      <formula>"Towel"</formula>
    </cfRule>
    <cfRule type="cellIs" dxfId="6706" priority="7762" stopIfTrue="1" operator="equal">
      <formula>"Napkin Hs"</formula>
    </cfRule>
  </conditionalFormatting>
  <conditionalFormatting sqref="C78:C79">
    <cfRule type="cellIs" dxfId="6705" priority="7759" stopIfTrue="1" operator="equal">
      <formula>"Towel"</formula>
    </cfRule>
    <cfRule type="cellIs" dxfId="6704" priority="7760" stopIfTrue="1" operator="equal">
      <formula>"Napkin Hs"</formula>
    </cfRule>
  </conditionalFormatting>
  <conditionalFormatting sqref="B78:C79">
    <cfRule type="cellIs" dxfId="6703" priority="7757" stopIfTrue="1" operator="equal">
      <formula>"Towel"</formula>
    </cfRule>
    <cfRule type="cellIs" dxfId="6702" priority="7758" stopIfTrue="1" operator="equal">
      <formula>"Napkin Hs"</formula>
    </cfRule>
  </conditionalFormatting>
  <conditionalFormatting sqref="C78:C79">
    <cfRule type="cellIs" dxfId="6701" priority="7755" stopIfTrue="1" operator="equal">
      <formula>"Towel"</formula>
    </cfRule>
    <cfRule type="cellIs" dxfId="6700" priority="7756" stopIfTrue="1" operator="equal">
      <formula>"Napkin Hs"</formula>
    </cfRule>
  </conditionalFormatting>
  <conditionalFormatting sqref="C78:C79">
    <cfRule type="cellIs" dxfId="6699" priority="7753" stopIfTrue="1" operator="equal">
      <formula>"Towel"</formula>
    </cfRule>
    <cfRule type="cellIs" dxfId="6698" priority="7754" stopIfTrue="1" operator="equal">
      <formula>"Napkin Hs"</formula>
    </cfRule>
  </conditionalFormatting>
  <conditionalFormatting sqref="B78:C79">
    <cfRule type="cellIs" dxfId="6697" priority="7752" stopIfTrue="1" operator="equal">
      <formula>"Napkin Hs"</formula>
    </cfRule>
  </conditionalFormatting>
  <conditionalFormatting sqref="B78:C79">
    <cfRule type="cellIs" dxfId="6696" priority="7751" stopIfTrue="1" operator="equal">
      <formula>"Towel"</formula>
    </cfRule>
  </conditionalFormatting>
  <conditionalFormatting sqref="C78:C79">
    <cfRule type="cellIs" dxfId="6695" priority="7750" stopIfTrue="1" operator="equal">
      <formula>"Napkin Hs"</formula>
    </cfRule>
  </conditionalFormatting>
  <conditionalFormatting sqref="C78:C79">
    <cfRule type="cellIs" dxfId="6694" priority="7747" stopIfTrue="1" operator="equal">
      <formula>"Towel"</formula>
    </cfRule>
    <cfRule type="cellIs" dxfId="6693" priority="7748" stopIfTrue="1" operator="equal">
      <formula>"Napkin Hs"</formula>
    </cfRule>
  </conditionalFormatting>
  <conditionalFormatting sqref="C78:C79">
    <cfRule type="cellIs" dxfId="6692" priority="7749" stopIfTrue="1" operator="equal">
      <formula>"Towel"</formula>
    </cfRule>
  </conditionalFormatting>
  <conditionalFormatting sqref="B78:C79">
    <cfRule type="cellIs" dxfId="6691" priority="7746" stopIfTrue="1" operator="equal">
      <formula>"Napkin Hs"</formula>
    </cfRule>
  </conditionalFormatting>
  <conditionalFormatting sqref="B78:C79">
    <cfRule type="cellIs" dxfId="6690" priority="7745" stopIfTrue="1" operator="equal">
      <formula>"Towel"</formula>
    </cfRule>
  </conditionalFormatting>
  <conditionalFormatting sqref="C78:C79">
    <cfRule type="cellIs" dxfId="6689" priority="7744" stopIfTrue="1" operator="equal">
      <formula>"Napkin Hs"</formula>
    </cfRule>
  </conditionalFormatting>
  <conditionalFormatting sqref="C78:C79">
    <cfRule type="cellIs" dxfId="6688" priority="7741" stopIfTrue="1" operator="equal">
      <formula>"Towel"</formula>
    </cfRule>
    <cfRule type="cellIs" dxfId="6687" priority="7742" stopIfTrue="1" operator="equal">
      <formula>"Napkin Hs"</formula>
    </cfRule>
  </conditionalFormatting>
  <conditionalFormatting sqref="C78:C79">
    <cfRule type="cellIs" dxfId="6686" priority="7743" stopIfTrue="1" operator="equal">
      <formula>"Towel"</formula>
    </cfRule>
  </conditionalFormatting>
  <conditionalFormatting sqref="B85:C85">
    <cfRule type="cellIs" dxfId="6685" priority="7649" stopIfTrue="1" operator="equal">
      <formula>"Towel"</formula>
    </cfRule>
    <cfRule type="cellIs" dxfId="6684" priority="7650" stopIfTrue="1" operator="equal">
      <formula>"Napkin Hs"</formula>
    </cfRule>
  </conditionalFormatting>
  <conditionalFormatting sqref="C85">
    <cfRule type="cellIs" dxfId="6683" priority="7645" stopIfTrue="1" operator="equal">
      <formula>"Towel"</formula>
    </cfRule>
    <cfRule type="cellIs" dxfId="6682" priority="7646" stopIfTrue="1" operator="equal">
      <formula>"Napkin Hs"</formula>
    </cfRule>
  </conditionalFormatting>
  <conditionalFormatting sqref="C85">
    <cfRule type="cellIs" dxfId="6681" priority="7647" stopIfTrue="1" operator="equal">
      <formula>"Towel"</formula>
    </cfRule>
    <cfRule type="cellIs" dxfId="6680" priority="7648" stopIfTrue="1" operator="equal">
      <formula>"Napkin Hs"</formula>
    </cfRule>
  </conditionalFormatting>
  <conditionalFormatting sqref="B82:C82">
    <cfRule type="cellIs" dxfId="6679" priority="7644" stopIfTrue="1" operator="equal">
      <formula>"Napkin Hs"</formula>
    </cfRule>
  </conditionalFormatting>
  <conditionalFormatting sqref="B82:C82">
    <cfRule type="cellIs" dxfId="6678" priority="7643" stopIfTrue="1" operator="equal">
      <formula>"Towel"</formula>
    </cfRule>
  </conditionalFormatting>
  <conditionalFormatting sqref="C82">
    <cfRule type="cellIs" dxfId="6677" priority="7642" stopIfTrue="1" operator="equal">
      <formula>"Napkin Hs"</formula>
    </cfRule>
  </conditionalFormatting>
  <conditionalFormatting sqref="C82">
    <cfRule type="cellIs" dxfId="6676" priority="7641" stopIfTrue="1" operator="equal">
      <formula>"Towel"</formula>
    </cfRule>
  </conditionalFormatting>
  <conditionalFormatting sqref="C82">
    <cfRule type="cellIs" dxfId="6675" priority="7639" stopIfTrue="1" operator="equal">
      <formula>"Towel"</formula>
    </cfRule>
    <cfRule type="cellIs" dxfId="6674" priority="7640" stopIfTrue="1" operator="equal">
      <formula>"Napkin Hs"</formula>
    </cfRule>
  </conditionalFormatting>
  <conditionalFormatting sqref="C82">
    <cfRule type="cellIs" dxfId="6673" priority="7633" stopIfTrue="1" operator="equal">
      <formula>"Towel"</formula>
    </cfRule>
    <cfRule type="cellIs" dxfId="6672" priority="7634" stopIfTrue="1" operator="equal">
      <formula>"Napkin Hs"</formula>
    </cfRule>
  </conditionalFormatting>
  <conditionalFormatting sqref="B82:C82">
    <cfRule type="cellIs" dxfId="6671" priority="7632" stopIfTrue="1" operator="equal">
      <formula>"Napkin Hs"</formula>
    </cfRule>
  </conditionalFormatting>
  <conditionalFormatting sqref="B82:C82">
    <cfRule type="cellIs" dxfId="6670" priority="7631" stopIfTrue="1" operator="equal">
      <formula>"Towel"</formula>
    </cfRule>
  </conditionalFormatting>
  <conditionalFormatting sqref="C82">
    <cfRule type="cellIs" dxfId="6669" priority="7630" stopIfTrue="1" operator="equal">
      <formula>"Napkin Hs"</formula>
    </cfRule>
  </conditionalFormatting>
  <conditionalFormatting sqref="C82">
    <cfRule type="cellIs" dxfId="6668" priority="7629" stopIfTrue="1" operator="equal">
      <formula>"Towel"</formula>
    </cfRule>
  </conditionalFormatting>
  <conditionalFormatting sqref="C82">
    <cfRule type="cellIs" dxfId="6667" priority="7627" stopIfTrue="1" operator="equal">
      <formula>"Towel"</formula>
    </cfRule>
    <cfRule type="cellIs" dxfId="6666" priority="7628" stopIfTrue="1" operator="equal">
      <formula>"Napkin Hs"</formula>
    </cfRule>
  </conditionalFormatting>
  <conditionalFormatting sqref="C82">
    <cfRule type="cellIs" dxfId="6665" priority="7621" stopIfTrue="1" operator="equal">
      <formula>"Towel"</formula>
    </cfRule>
    <cfRule type="cellIs" dxfId="6664" priority="7622" stopIfTrue="1" operator="equal">
      <formula>"Napkin Hs"</formula>
    </cfRule>
  </conditionalFormatting>
  <conditionalFormatting sqref="C82">
    <cfRule type="cellIs" dxfId="6663" priority="7615" stopIfTrue="1" operator="equal">
      <formula>"Towel"</formula>
    </cfRule>
    <cfRule type="cellIs" dxfId="6662" priority="7616" stopIfTrue="1" operator="equal">
      <formula>"Napkin Hs"</formula>
    </cfRule>
  </conditionalFormatting>
  <conditionalFormatting sqref="C82">
    <cfRule type="cellIs" dxfId="6661" priority="7609" stopIfTrue="1" operator="equal">
      <formula>"Towel"</formula>
    </cfRule>
    <cfRule type="cellIs" dxfId="6660" priority="7610" stopIfTrue="1" operator="equal">
      <formula>"Napkin Hs"</formula>
    </cfRule>
  </conditionalFormatting>
  <conditionalFormatting sqref="C82">
    <cfRule type="cellIs" dxfId="6659" priority="7603" stopIfTrue="1" operator="equal">
      <formula>"Towel"</formula>
    </cfRule>
    <cfRule type="cellIs" dxfId="6658" priority="7604" stopIfTrue="1" operator="equal">
      <formula>"Napkin Hs"</formula>
    </cfRule>
  </conditionalFormatting>
  <conditionalFormatting sqref="C82">
    <cfRule type="cellIs" dxfId="6657" priority="7597" stopIfTrue="1" operator="equal">
      <formula>"Towel"</formula>
    </cfRule>
    <cfRule type="cellIs" dxfId="6656" priority="7598" stopIfTrue="1" operator="equal">
      <formula>"Napkin Hs"</formula>
    </cfRule>
  </conditionalFormatting>
  <conditionalFormatting sqref="B82:C82">
    <cfRule type="cellIs" dxfId="6655" priority="7596" stopIfTrue="1" operator="equal">
      <formula>"Napkin Hs"</formula>
    </cfRule>
  </conditionalFormatting>
  <conditionalFormatting sqref="B82:C82">
    <cfRule type="cellIs" dxfId="6654" priority="7595" stopIfTrue="1" operator="equal">
      <formula>"Towel"</formula>
    </cfRule>
  </conditionalFormatting>
  <conditionalFormatting sqref="C82">
    <cfRule type="cellIs" dxfId="6653" priority="7594" stopIfTrue="1" operator="equal">
      <formula>"Napkin Hs"</formula>
    </cfRule>
  </conditionalFormatting>
  <conditionalFormatting sqref="C82">
    <cfRule type="cellIs" dxfId="6652" priority="7591" stopIfTrue="1" operator="equal">
      <formula>"Towel"</formula>
    </cfRule>
    <cfRule type="cellIs" dxfId="6651" priority="7592" stopIfTrue="1" operator="equal">
      <formula>"Napkin Hs"</formula>
    </cfRule>
  </conditionalFormatting>
  <conditionalFormatting sqref="C82">
    <cfRule type="cellIs" dxfId="6650" priority="7593" stopIfTrue="1" operator="equal">
      <formula>"Towel"</formula>
    </cfRule>
  </conditionalFormatting>
  <conditionalFormatting sqref="B82:C82">
    <cfRule type="cellIs" dxfId="6649" priority="7590" stopIfTrue="1" operator="equal">
      <formula>"Napkin Hs"</formula>
    </cfRule>
  </conditionalFormatting>
  <conditionalFormatting sqref="B82:C82">
    <cfRule type="cellIs" dxfId="6648" priority="7589" stopIfTrue="1" operator="equal">
      <formula>"Towel"</formula>
    </cfRule>
  </conditionalFormatting>
  <conditionalFormatting sqref="C82">
    <cfRule type="cellIs" dxfId="6647" priority="7588" stopIfTrue="1" operator="equal">
      <formula>"Napkin Hs"</formula>
    </cfRule>
  </conditionalFormatting>
  <conditionalFormatting sqref="C82">
    <cfRule type="cellIs" dxfId="6646" priority="7585" stopIfTrue="1" operator="equal">
      <formula>"Towel"</formula>
    </cfRule>
    <cfRule type="cellIs" dxfId="6645" priority="7586" stopIfTrue="1" operator="equal">
      <formula>"Napkin Hs"</formula>
    </cfRule>
  </conditionalFormatting>
  <conditionalFormatting sqref="C82">
    <cfRule type="cellIs" dxfId="6644" priority="7587" stopIfTrue="1" operator="equal">
      <formula>"Towel"</formula>
    </cfRule>
  </conditionalFormatting>
  <conditionalFormatting sqref="B83:C84">
    <cfRule type="cellIs" dxfId="6643" priority="7518" stopIfTrue="1" operator="equal">
      <formula>"Napkin Hs"</formula>
    </cfRule>
  </conditionalFormatting>
  <conditionalFormatting sqref="B83:C84">
    <cfRule type="cellIs" dxfId="6642" priority="7517" stopIfTrue="1" operator="equal">
      <formula>"Towel"</formula>
    </cfRule>
  </conditionalFormatting>
  <conditionalFormatting sqref="C83:C84">
    <cfRule type="cellIs" dxfId="6641" priority="7516" stopIfTrue="1" operator="equal">
      <formula>"Napkin Hs"</formula>
    </cfRule>
  </conditionalFormatting>
  <conditionalFormatting sqref="C83:C84">
    <cfRule type="cellIs" dxfId="6640" priority="7513" stopIfTrue="1" operator="equal">
      <formula>"Towel"</formula>
    </cfRule>
    <cfRule type="cellIs" dxfId="6639" priority="7514" stopIfTrue="1" operator="equal">
      <formula>"Napkin Hs"</formula>
    </cfRule>
  </conditionalFormatting>
  <conditionalFormatting sqref="C83:C84">
    <cfRule type="cellIs" dxfId="6638" priority="7515" stopIfTrue="1" operator="equal">
      <formula>"Towel"</formula>
    </cfRule>
  </conditionalFormatting>
  <conditionalFormatting sqref="B82:C82">
    <cfRule type="cellIs" dxfId="6637" priority="7637" stopIfTrue="1" operator="equal">
      <formula>"Towel"</formula>
    </cfRule>
    <cfRule type="cellIs" dxfId="6636" priority="7638" stopIfTrue="1" operator="equal">
      <formula>"Napkin Hs"</formula>
    </cfRule>
  </conditionalFormatting>
  <conditionalFormatting sqref="C82">
    <cfRule type="cellIs" dxfId="6635" priority="7635" stopIfTrue="1" operator="equal">
      <formula>"Towel"</formula>
    </cfRule>
    <cfRule type="cellIs" dxfId="6634" priority="7636" stopIfTrue="1" operator="equal">
      <formula>"Napkin Hs"</formula>
    </cfRule>
  </conditionalFormatting>
  <conditionalFormatting sqref="B82:C82">
    <cfRule type="cellIs" dxfId="6633" priority="7625" stopIfTrue="1" operator="equal">
      <formula>"Towel"</formula>
    </cfRule>
    <cfRule type="cellIs" dxfId="6632" priority="7626" stopIfTrue="1" operator="equal">
      <formula>"Napkin Hs"</formula>
    </cfRule>
  </conditionalFormatting>
  <conditionalFormatting sqref="C82">
    <cfRule type="cellIs" dxfId="6631" priority="7623" stopIfTrue="1" operator="equal">
      <formula>"Towel"</formula>
    </cfRule>
    <cfRule type="cellIs" dxfId="6630" priority="7624" stopIfTrue="1" operator="equal">
      <formula>"Napkin Hs"</formula>
    </cfRule>
  </conditionalFormatting>
  <conditionalFormatting sqref="B82:C82">
    <cfRule type="cellIs" dxfId="6629" priority="7619" stopIfTrue="1" operator="equal">
      <formula>"Towel"</formula>
    </cfRule>
    <cfRule type="cellIs" dxfId="6628" priority="7620" stopIfTrue="1" operator="equal">
      <formula>"Napkin Hs"</formula>
    </cfRule>
  </conditionalFormatting>
  <conditionalFormatting sqref="C82">
    <cfRule type="cellIs" dxfId="6627" priority="7617" stopIfTrue="1" operator="equal">
      <formula>"Towel"</formula>
    </cfRule>
    <cfRule type="cellIs" dxfId="6626" priority="7618" stopIfTrue="1" operator="equal">
      <formula>"Napkin Hs"</formula>
    </cfRule>
  </conditionalFormatting>
  <conditionalFormatting sqref="B82:C82">
    <cfRule type="cellIs" dxfId="6625" priority="7613" stopIfTrue="1" operator="equal">
      <formula>"Towel"</formula>
    </cfRule>
    <cfRule type="cellIs" dxfId="6624" priority="7614" stopIfTrue="1" operator="equal">
      <formula>"Napkin Hs"</formula>
    </cfRule>
  </conditionalFormatting>
  <conditionalFormatting sqref="C82">
    <cfRule type="cellIs" dxfId="6623" priority="7611" stopIfTrue="1" operator="equal">
      <formula>"Towel"</formula>
    </cfRule>
    <cfRule type="cellIs" dxfId="6622" priority="7612" stopIfTrue="1" operator="equal">
      <formula>"Napkin Hs"</formula>
    </cfRule>
  </conditionalFormatting>
  <conditionalFormatting sqref="B82:C82">
    <cfRule type="cellIs" dxfId="6621" priority="7607" stopIfTrue="1" operator="equal">
      <formula>"Towel"</formula>
    </cfRule>
    <cfRule type="cellIs" dxfId="6620" priority="7608" stopIfTrue="1" operator="equal">
      <formula>"Napkin Hs"</formula>
    </cfRule>
  </conditionalFormatting>
  <conditionalFormatting sqref="C82">
    <cfRule type="cellIs" dxfId="6619" priority="7605" stopIfTrue="1" operator="equal">
      <formula>"Towel"</formula>
    </cfRule>
    <cfRule type="cellIs" dxfId="6618" priority="7606" stopIfTrue="1" operator="equal">
      <formula>"Napkin Hs"</formula>
    </cfRule>
  </conditionalFormatting>
  <conditionalFormatting sqref="B82:C82">
    <cfRule type="cellIs" dxfId="6617" priority="7601" stopIfTrue="1" operator="equal">
      <formula>"Towel"</formula>
    </cfRule>
    <cfRule type="cellIs" dxfId="6616" priority="7602" stopIfTrue="1" operator="equal">
      <formula>"Napkin Hs"</formula>
    </cfRule>
  </conditionalFormatting>
  <conditionalFormatting sqref="C82">
    <cfRule type="cellIs" dxfId="6615" priority="7599" stopIfTrue="1" operator="equal">
      <formula>"Towel"</formula>
    </cfRule>
    <cfRule type="cellIs" dxfId="6614" priority="7600" stopIfTrue="1" operator="equal">
      <formula>"Napkin Hs"</formula>
    </cfRule>
  </conditionalFormatting>
  <conditionalFormatting sqref="B82:C82">
    <cfRule type="cellIs" dxfId="6613" priority="7584" stopIfTrue="1" operator="equal">
      <formula>"Napkin Hs"</formula>
    </cfRule>
  </conditionalFormatting>
  <conditionalFormatting sqref="B82:C82">
    <cfRule type="cellIs" dxfId="6612" priority="7583" stopIfTrue="1" operator="equal">
      <formula>"Towel"</formula>
    </cfRule>
  </conditionalFormatting>
  <conditionalFormatting sqref="C82">
    <cfRule type="cellIs" dxfId="6611" priority="7582" stopIfTrue="1" operator="equal">
      <formula>"Napkin Hs"</formula>
    </cfRule>
  </conditionalFormatting>
  <conditionalFormatting sqref="C82">
    <cfRule type="cellIs" dxfId="6610" priority="7579" stopIfTrue="1" operator="equal">
      <formula>"Towel"</formula>
    </cfRule>
    <cfRule type="cellIs" dxfId="6609" priority="7580" stopIfTrue="1" operator="equal">
      <formula>"Napkin Hs"</formula>
    </cfRule>
  </conditionalFormatting>
  <conditionalFormatting sqref="C82">
    <cfRule type="cellIs" dxfId="6608" priority="7581" stopIfTrue="1" operator="equal">
      <formula>"Towel"</formula>
    </cfRule>
  </conditionalFormatting>
  <conditionalFormatting sqref="B83:C84">
    <cfRule type="cellIs" dxfId="6607" priority="7578" stopIfTrue="1" operator="equal">
      <formula>"Napkin Hs"</formula>
    </cfRule>
  </conditionalFormatting>
  <conditionalFormatting sqref="B83:C84">
    <cfRule type="cellIs" dxfId="6606" priority="7577" stopIfTrue="1" operator="equal">
      <formula>"Towel"</formula>
    </cfRule>
  </conditionalFormatting>
  <conditionalFormatting sqref="C83:C84">
    <cfRule type="cellIs" dxfId="6605" priority="7576" stopIfTrue="1" operator="equal">
      <formula>"Napkin Hs"</formula>
    </cfRule>
  </conditionalFormatting>
  <conditionalFormatting sqref="C83:C84">
    <cfRule type="cellIs" dxfId="6604" priority="7575" stopIfTrue="1" operator="equal">
      <formula>"Towel"</formula>
    </cfRule>
  </conditionalFormatting>
  <conditionalFormatting sqref="C83:C84">
    <cfRule type="cellIs" dxfId="6603" priority="7573" stopIfTrue="1" operator="equal">
      <formula>"Towel"</formula>
    </cfRule>
    <cfRule type="cellIs" dxfId="6602" priority="7574" stopIfTrue="1" operator="equal">
      <formula>"Napkin Hs"</formula>
    </cfRule>
  </conditionalFormatting>
  <conditionalFormatting sqref="B83:C84">
    <cfRule type="cellIs" dxfId="6601" priority="7571" stopIfTrue="1" operator="equal">
      <formula>"Towel"</formula>
    </cfRule>
    <cfRule type="cellIs" dxfId="6600" priority="7572" stopIfTrue="1" operator="equal">
      <formula>"Napkin Hs"</formula>
    </cfRule>
  </conditionalFormatting>
  <conditionalFormatting sqref="C83:C84">
    <cfRule type="cellIs" dxfId="6599" priority="7567" stopIfTrue="1" operator="equal">
      <formula>"Towel"</formula>
    </cfRule>
    <cfRule type="cellIs" dxfId="6598" priority="7568" stopIfTrue="1" operator="equal">
      <formula>"Napkin Hs"</formula>
    </cfRule>
  </conditionalFormatting>
  <conditionalFormatting sqref="C83:C84">
    <cfRule type="cellIs" dxfId="6597" priority="7569" stopIfTrue="1" operator="equal">
      <formula>"Towel"</formula>
    </cfRule>
    <cfRule type="cellIs" dxfId="6596" priority="7570" stopIfTrue="1" operator="equal">
      <formula>"Napkin Hs"</formula>
    </cfRule>
  </conditionalFormatting>
  <conditionalFormatting sqref="B83:C84">
    <cfRule type="cellIs" dxfId="6595" priority="7566" stopIfTrue="1" operator="equal">
      <formula>"Napkin Hs"</formula>
    </cfRule>
  </conditionalFormatting>
  <conditionalFormatting sqref="B83:C84">
    <cfRule type="cellIs" dxfId="6594" priority="7565" stopIfTrue="1" operator="equal">
      <formula>"Towel"</formula>
    </cfRule>
  </conditionalFormatting>
  <conditionalFormatting sqref="C83:C84">
    <cfRule type="cellIs" dxfId="6593" priority="7564" stopIfTrue="1" operator="equal">
      <formula>"Napkin Hs"</formula>
    </cfRule>
  </conditionalFormatting>
  <conditionalFormatting sqref="C83:C84">
    <cfRule type="cellIs" dxfId="6592" priority="7563" stopIfTrue="1" operator="equal">
      <formula>"Towel"</formula>
    </cfRule>
  </conditionalFormatting>
  <conditionalFormatting sqref="C83:C84">
    <cfRule type="cellIs" dxfId="6591" priority="7561" stopIfTrue="1" operator="equal">
      <formula>"Towel"</formula>
    </cfRule>
    <cfRule type="cellIs" dxfId="6590" priority="7562" stopIfTrue="1" operator="equal">
      <formula>"Napkin Hs"</formula>
    </cfRule>
  </conditionalFormatting>
  <conditionalFormatting sqref="B83:C84">
    <cfRule type="cellIs" dxfId="6589" priority="7559" stopIfTrue="1" operator="equal">
      <formula>"Towel"</formula>
    </cfRule>
    <cfRule type="cellIs" dxfId="6588" priority="7560" stopIfTrue="1" operator="equal">
      <formula>"Napkin Hs"</formula>
    </cfRule>
  </conditionalFormatting>
  <conditionalFormatting sqref="C83:C84">
    <cfRule type="cellIs" dxfId="6587" priority="7557" stopIfTrue="1" operator="equal">
      <formula>"Towel"</formula>
    </cfRule>
    <cfRule type="cellIs" dxfId="6586" priority="7558" stopIfTrue="1" operator="equal">
      <formula>"Napkin Hs"</formula>
    </cfRule>
  </conditionalFormatting>
  <conditionalFormatting sqref="C83:C84">
    <cfRule type="cellIs" dxfId="6585" priority="7555" stopIfTrue="1" operator="equal">
      <formula>"Towel"</formula>
    </cfRule>
    <cfRule type="cellIs" dxfId="6584" priority="7556" stopIfTrue="1" operator="equal">
      <formula>"Napkin Hs"</formula>
    </cfRule>
  </conditionalFormatting>
  <conditionalFormatting sqref="B83:C84">
    <cfRule type="cellIs" dxfId="6583" priority="7553" stopIfTrue="1" operator="equal">
      <formula>"Towel"</formula>
    </cfRule>
    <cfRule type="cellIs" dxfId="6582" priority="7554" stopIfTrue="1" operator="equal">
      <formula>"Napkin Hs"</formula>
    </cfRule>
  </conditionalFormatting>
  <conditionalFormatting sqref="C83:C84">
    <cfRule type="cellIs" dxfId="6581" priority="7551" stopIfTrue="1" operator="equal">
      <formula>"Towel"</formula>
    </cfRule>
    <cfRule type="cellIs" dxfId="6580" priority="7552" stopIfTrue="1" operator="equal">
      <formula>"Napkin Hs"</formula>
    </cfRule>
  </conditionalFormatting>
  <conditionalFormatting sqref="C83:C84">
    <cfRule type="cellIs" dxfId="6579" priority="7549" stopIfTrue="1" operator="equal">
      <formula>"Towel"</formula>
    </cfRule>
    <cfRule type="cellIs" dxfId="6578" priority="7550" stopIfTrue="1" operator="equal">
      <formula>"Napkin Hs"</formula>
    </cfRule>
  </conditionalFormatting>
  <conditionalFormatting sqref="B83:C84">
    <cfRule type="cellIs" dxfId="6577" priority="7547" stopIfTrue="1" operator="equal">
      <formula>"Towel"</formula>
    </cfRule>
    <cfRule type="cellIs" dxfId="6576" priority="7548" stopIfTrue="1" operator="equal">
      <formula>"Napkin Hs"</formula>
    </cfRule>
  </conditionalFormatting>
  <conditionalFormatting sqref="C83:C84">
    <cfRule type="cellIs" dxfId="6575" priority="7545" stopIfTrue="1" operator="equal">
      <formula>"Towel"</formula>
    </cfRule>
    <cfRule type="cellIs" dxfId="6574" priority="7546" stopIfTrue="1" operator="equal">
      <formula>"Napkin Hs"</formula>
    </cfRule>
  </conditionalFormatting>
  <conditionalFormatting sqref="C83:C84">
    <cfRule type="cellIs" dxfId="6573" priority="7543" stopIfTrue="1" operator="equal">
      <formula>"Towel"</formula>
    </cfRule>
    <cfRule type="cellIs" dxfId="6572" priority="7544" stopIfTrue="1" operator="equal">
      <formula>"Napkin Hs"</formula>
    </cfRule>
  </conditionalFormatting>
  <conditionalFormatting sqref="B83:C84">
    <cfRule type="cellIs" dxfId="6571" priority="7541" stopIfTrue="1" operator="equal">
      <formula>"Towel"</formula>
    </cfRule>
    <cfRule type="cellIs" dxfId="6570" priority="7542" stopIfTrue="1" operator="equal">
      <formula>"Napkin Hs"</formula>
    </cfRule>
  </conditionalFormatting>
  <conditionalFormatting sqref="C83:C84">
    <cfRule type="cellIs" dxfId="6569" priority="7539" stopIfTrue="1" operator="equal">
      <formula>"Towel"</formula>
    </cfRule>
    <cfRule type="cellIs" dxfId="6568" priority="7540" stopIfTrue="1" operator="equal">
      <formula>"Napkin Hs"</formula>
    </cfRule>
  </conditionalFormatting>
  <conditionalFormatting sqref="C83:C84">
    <cfRule type="cellIs" dxfId="6567" priority="7537" stopIfTrue="1" operator="equal">
      <formula>"Towel"</formula>
    </cfRule>
    <cfRule type="cellIs" dxfId="6566" priority="7538" stopIfTrue="1" operator="equal">
      <formula>"Napkin Hs"</formula>
    </cfRule>
  </conditionalFormatting>
  <conditionalFormatting sqref="B83:C84">
    <cfRule type="cellIs" dxfId="6565" priority="7535" stopIfTrue="1" operator="equal">
      <formula>"Towel"</formula>
    </cfRule>
    <cfRule type="cellIs" dxfId="6564" priority="7536" stopIfTrue="1" operator="equal">
      <formula>"Napkin Hs"</formula>
    </cfRule>
  </conditionalFormatting>
  <conditionalFormatting sqref="C83:C84">
    <cfRule type="cellIs" dxfId="6563" priority="7533" stopIfTrue="1" operator="equal">
      <formula>"Towel"</formula>
    </cfRule>
    <cfRule type="cellIs" dxfId="6562" priority="7534" stopIfTrue="1" operator="equal">
      <formula>"Napkin Hs"</formula>
    </cfRule>
  </conditionalFormatting>
  <conditionalFormatting sqref="C83:C84">
    <cfRule type="cellIs" dxfId="6561" priority="7531" stopIfTrue="1" operator="equal">
      <formula>"Towel"</formula>
    </cfRule>
    <cfRule type="cellIs" dxfId="6560" priority="7532" stopIfTrue="1" operator="equal">
      <formula>"Napkin Hs"</formula>
    </cfRule>
  </conditionalFormatting>
  <conditionalFormatting sqref="B83:C84">
    <cfRule type="cellIs" dxfId="6559" priority="7530" stopIfTrue="1" operator="equal">
      <formula>"Napkin Hs"</formula>
    </cfRule>
  </conditionalFormatting>
  <conditionalFormatting sqref="B83:C84">
    <cfRule type="cellIs" dxfId="6558" priority="7529" stopIfTrue="1" operator="equal">
      <formula>"Towel"</formula>
    </cfRule>
  </conditionalFormatting>
  <conditionalFormatting sqref="C83:C84">
    <cfRule type="cellIs" dxfId="6557" priority="7528" stopIfTrue="1" operator="equal">
      <formula>"Napkin Hs"</formula>
    </cfRule>
  </conditionalFormatting>
  <conditionalFormatting sqref="C83:C84">
    <cfRule type="cellIs" dxfId="6556" priority="7525" stopIfTrue="1" operator="equal">
      <formula>"Towel"</formula>
    </cfRule>
    <cfRule type="cellIs" dxfId="6555" priority="7526" stopIfTrue="1" operator="equal">
      <formula>"Napkin Hs"</formula>
    </cfRule>
  </conditionalFormatting>
  <conditionalFormatting sqref="C83:C84">
    <cfRule type="cellIs" dxfId="6554" priority="7527" stopIfTrue="1" operator="equal">
      <formula>"Towel"</formula>
    </cfRule>
  </conditionalFormatting>
  <conditionalFormatting sqref="B83:C84">
    <cfRule type="cellIs" dxfId="6553" priority="7524" stopIfTrue="1" operator="equal">
      <formula>"Napkin Hs"</formula>
    </cfRule>
  </conditionalFormatting>
  <conditionalFormatting sqref="B83:C84">
    <cfRule type="cellIs" dxfId="6552" priority="7523" stopIfTrue="1" operator="equal">
      <formula>"Towel"</formula>
    </cfRule>
  </conditionalFormatting>
  <conditionalFormatting sqref="C83:C84">
    <cfRule type="cellIs" dxfId="6551" priority="7522" stopIfTrue="1" operator="equal">
      <formula>"Napkin Hs"</formula>
    </cfRule>
  </conditionalFormatting>
  <conditionalFormatting sqref="C83:C84">
    <cfRule type="cellIs" dxfId="6550" priority="7519" stopIfTrue="1" operator="equal">
      <formula>"Towel"</formula>
    </cfRule>
    <cfRule type="cellIs" dxfId="6549" priority="7520" stopIfTrue="1" operator="equal">
      <formula>"Napkin Hs"</formula>
    </cfRule>
  </conditionalFormatting>
  <conditionalFormatting sqref="C83:C84">
    <cfRule type="cellIs" dxfId="6548" priority="7521" stopIfTrue="1" operator="equal">
      <formula>"Towel"</formula>
    </cfRule>
  </conditionalFormatting>
  <conditionalFormatting sqref="B88:C88">
    <cfRule type="cellIs" dxfId="6547" priority="7511" stopIfTrue="1" operator="equal">
      <formula>"Towel"</formula>
    </cfRule>
    <cfRule type="cellIs" dxfId="6546" priority="7512" stopIfTrue="1" operator="equal">
      <formula>"Napkin Hs"</formula>
    </cfRule>
  </conditionalFormatting>
  <conditionalFormatting sqref="C88">
    <cfRule type="cellIs" dxfId="6545" priority="7509" stopIfTrue="1" operator="equal">
      <formula>"Towel"</formula>
    </cfRule>
    <cfRule type="cellIs" dxfId="6544" priority="7510" stopIfTrue="1" operator="equal">
      <formula>"Napkin Hs"</formula>
    </cfRule>
  </conditionalFormatting>
  <conditionalFormatting sqref="C88">
    <cfRule type="cellIs" dxfId="6543" priority="7507" stopIfTrue="1" operator="equal">
      <formula>"Towel"</formula>
    </cfRule>
    <cfRule type="cellIs" dxfId="6542" priority="7508" stopIfTrue="1" operator="equal">
      <formula>"Napkin Hs"</formula>
    </cfRule>
  </conditionalFormatting>
  <conditionalFormatting sqref="B89:C89">
    <cfRule type="cellIs" dxfId="6541" priority="7463" stopIfTrue="1" operator="equal">
      <formula>"Towel"</formula>
    </cfRule>
    <cfRule type="cellIs" dxfId="6540" priority="7464" stopIfTrue="1" operator="equal">
      <formula>"Napkin Hs"</formula>
    </cfRule>
  </conditionalFormatting>
  <conditionalFormatting sqref="C89">
    <cfRule type="cellIs" dxfId="6539" priority="7459" stopIfTrue="1" operator="equal">
      <formula>"Towel"</formula>
    </cfRule>
    <cfRule type="cellIs" dxfId="6538" priority="7460" stopIfTrue="1" operator="equal">
      <formula>"Napkin Hs"</formula>
    </cfRule>
  </conditionalFormatting>
  <conditionalFormatting sqref="C89">
    <cfRule type="cellIs" dxfId="6537" priority="7461" stopIfTrue="1" operator="equal">
      <formula>"Towel"</formula>
    </cfRule>
    <cfRule type="cellIs" dxfId="6536" priority="7462" stopIfTrue="1" operator="equal">
      <formula>"Napkin Hs"</formula>
    </cfRule>
  </conditionalFormatting>
  <conditionalFormatting sqref="B89:C89">
    <cfRule type="cellIs" dxfId="6535" priority="7458" stopIfTrue="1" operator="equal">
      <formula>"Napkin Hs"</formula>
    </cfRule>
  </conditionalFormatting>
  <conditionalFormatting sqref="B89:C89">
    <cfRule type="cellIs" dxfId="6534" priority="7457" stopIfTrue="1" operator="equal">
      <formula>"Towel"</formula>
    </cfRule>
  </conditionalFormatting>
  <conditionalFormatting sqref="C89">
    <cfRule type="cellIs" dxfId="6533" priority="7456" stopIfTrue="1" operator="equal">
      <formula>"Napkin Hs"</formula>
    </cfRule>
  </conditionalFormatting>
  <conditionalFormatting sqref="C89">
    <cfRule type="cellIs" dxfId="6532" priority="7455" stopIfTrue="1" operator="equal">
      <formula>"Towel"</formula>
    </cfRule>
  </conditionalFormatting>
  <conditionalFormatting sqref="C89">
    <cfRule type="cellIs" dxfId="6531" priority="7453" stopIfTrue="1" operator="equal">
      <formula>"Towel"</formula>
    </cfRule>
    <cfRule type="cellIs" dxfId="6530" priority="7454" stopIfTrue="1" operator="equal">
      <formula>"Napkin Hs"</formula>
    </cfRule>
  </conditionalFormatting>
  <conditionalFormatting sqref="B89:C89">
    <cfRule type="cellIs" dxfId="6529" priority="7451" stopIfTrue="1" operator="equal">
      <formula>"Towel"</formula>
    </cfRule>
    <cfRule type="cellIs" dxfId="6528" priority="7452" stopIfTrue="1" operator="equal">
      <formula>"Napkin Hs"</formula>
    </cfRule>
  </conditionalFormatting>
  <conditionalFormatting sqref="C89">
    <cfRule type="cellIs" dxfId="6527" priority="7449" stopIfTrue="1" operator="equal">
      <formula>"Towel"</formula>
    </cfRule>
    <cfRule type="cellIs" dxfId="6526" priority="7450" stopIfTrue="1" operator="equal">
      <formula>"Napkin Hs"</formula>
    </cfRule>
  </conditionalFormatting>
  <conditionalFormatting sqref="C89">
    <cfRule type="cellIs" dxfId="6525" priority="7447" stopIfTrue="1" operator="equal">
      <formula>"Towel"</formula>
    </cfRule>
    <cfRule type="cellIs" dxfId="6524" priority="7448" stopIfTrue="1" operator="equal">
      <formula>"Napkin Hs"</formula>
    </cfRule>
  </conditionalFormatting>
  <conditionalFormatting sqref="B89:C89">
    <cfRule type="cellIs" dxfId="6523" priority="7445" stopIfTrue="1" operator="equal">
      <formula>"Towel"</formula>
    </cfRule>
    <cfRule type="cellIs" dxfId="6522" priority="7446" stopIfTrue="1" operator="equal">
      <formula>"Napkin Hs"</formula>
    </cfRule>
  </conditionalFormatting>
  <conditionalFormatting sqref="C89">
    <cfRule type="cellIs" dxfId="6521" priority="7443" stopIfTrue="1" operator="equal">
      <formula>"Towel"</formula>
    </cfRule>
    <cfRule type="cellIs" dxfId="6520" priority="7444" stopIfTrue="1" operator="equal">
      <formula>"Napkin Hs"</formula>
    </cfRule>
  </conditionalFormatting>
  <conditionalFormatting sqref="C89">
    <cfRule type="cellIs" dxfId="6519" priority="7441" stopIfTrue="1" operator="equal">
      <formula>"Towel"</formula>
    </cfRule>
    <cfRule type="cellIs" dxfId="6518" priority="7442" stopIfTrue="1" operator="equal">
      <formula>"Napkin Hs"</formula>
    </cfRule>
  </conditionalFormatting>
  <conditionalFormatting sqref="B89:C89">
    <cfRule type="cellIs" dxfId="6517" priority="7439" stopIfTrue="1" operator="equal">
      <formula>"Towel"</formula>
    </cfRule>
    <cfRule type="cellIs" dxfId="6516" priority="7440" stopIfTrue="1" operator="equal">
      <formula>"Napkin Hs"</formula>
    </cfRule>
  </conditionalFormatting>
  <conditionalFormatting sqref="C89">
    <cfRule type="cellIs" dxfId="6515" priority="7437" stopIfTrue="1" operator="equal">
      <formula>"Towel"</formula>
    </cfRule>
    <cfRule type="cellIs" dxfId="6514" priority="7438" stopIfTrue="1" operator="equal">
      <formula>"Napkin Hs"</formula>
    </cfRule>
  </conditionalFormatting>
  <conditionalFormatting sqref="C89">
    <cfRule type="cellIs" dxfId="6513" priority="7435" stopIfTrue="1" operator="equal">
      <formula>"Towel"</formula>
    </cfRule>
    <cfRule type="cellIs" dxfId="6512" priority="7436" stopIfTrue="1" operator="equal">
      <formula>"Napkin Hs"</formula>
    </cfRule>
  </conditionalFormatting>
  <conditionalFormatting sqref="B89:C89">
    <cfRule type="cellIs" dxfId="6511" priority="7433" stopIfTrue="1" operator="equal">
      <formula>"Towel"</formula>
    </cfRule>
    <cfRule type="cellIs" dxfId="6510" priority="7434" stopIfTrue="1" operator="equal">
      <formula>"Napkin Hs"</formula>
    </cfRule>
  </conditionalFormatting>
  <conditionalFormatting sqref="C89">
    <cfRule type="cellIs" dxfId="6509" priority="7431" stopIfTrue="1" operator="equal">
      <formula>"Towel"</formula>
    </cfRule>
    <cfRule type="cellIs" dxfId="6508" priority="7432" stopIfTrue="1" operator="equal">
      <formula>"Napkin Hs"</formula>
    </cfRule>
  </conditionalFormatting>
  <conditionalFormatting sqref="C89">
    <cfRule type="cellIs" dxfId="6507" priority="7429" stopIfTrue="1" operator="equal">
      <formula>"Towel"</formula>
    </cfRule>
    <cfRule type="cellIs" dxfId="6506" priority="7430" stopIfTrue="1" operator="equal">
      <formula>"Napkin Hs"</formula>
    </cfRule>
  </conditionalFormatting>
  <conditionalFormatting sqref="B89:C89">
    <cfRule type="cellIs" dxfId="6505" priority="7427" stopIfTrue="1" operator="equal">
      <formula>"Towel"</formula>
    </cfRule>
    <cfRule type="cellIs" dxfId="6504" priority="7428" stopIfTrue="1" operator="equal">
      <formula>"Napkin Hs"</formula>
    </cfRule>
  </conditionalFormatting>
  <conditionalFormatting sqref="C89">
    <cfRule type="cellIs" dxfId="6503" priority="7425" stopIfTrue="1" operator="equal">
      <formula>"Towel"</formula>
    </cfRule>
    <cfRule type="cellIs" dxfId="6502" priority="7426" stopIfTrue="1" operator="equal">
      <formula>"Napkin Hs"</formula>
    </cfRule>
  </conditionalFormatting>
  <conditionalFormatting sqref="C89">
    <cfRule type="cellIs" dxfId="6501" priority="7423" stopIfTrue="1" operator="equal">
      <formula>"Towel"</formula>
    </cfRule>
    <cfRule type="cellIs" dxfId="6500" priority="7424" stopIfTrue="1" operator="equal">
      <formula>"Napkin Hs"</formula>
    </cfRule>
  </conditionalFormatting>
  <conditionalFormatting sqref="B89:C89">
    <cfRule type="cellIs" dxfId="6499" priority="7422" stopIfTrue="1" operator="equal">
      <formula>"Napkin Hs"</formula>
    </cfRule>
  </conditionalFormatting>
  <conditionalFormatting sqref="B89:C89">
    <cfRule type="cellIs" dxfId="6498" priority="7421" stopIfTrue="1" operator="equal">
      <formula>"Towel"</formula>
    </cfRule>
  </conditionalFormatting>
  <conditionalFormatting sqref="C89">
    <cfRule type="cellIs" dxfId="6497" priority="7420" stopIfTrue="1" operator="equal">
      <formula>"Napkin Hs"</formula>
    </cfRule>
  </conditionalFormatting>
  <conditionalFormatting sqref="C89">
    <cfRule type="cellIs" dxfId="6496" priority="7417" stopIfTrue="1" operator="equal">
      <formula>"Towel"</formula>
    </cfRule>
    <cfRule type="cellIs" dxfId="6495" priority="7418" stopIfTrue="1" operator="equal">
      <formula>"Napkin Hs"</formula>
    </cfRule>
  </conditionalFormatting>
  <conditionalFormatting sqref="C89">
    <cfRule type="cellIs" dxfId="6494" priority="7419" stopIfTrue="1" operator="equal">
      <formula>"Towel"</formula>
    </cfRule>
  </conditionalFormatting>
  <conditionalFormatting sqref="B90:C90">
    <cfRule type="cellIs" dxfId="6493" priority="7415" stopIfTrue="1" operator="equal">
      <formula>"Towel"</formula>
    </cfRule>
    <cfRule type="cellIs" dxfId="6492" priority="7416" stopIfTrue="1" operator="equal">
      <formula>"Napkin Hs"</formula>
    </cfRule>
  </conditionalFormatting>
  <conditionalFormatting sqref="C90">
    <cfRule type="cellIs" dxfId="6491" priority="7411" stopIfTrue="1" operator="equal">
      <formula>"Towel"</formula>
    </cfRule>
    <cfRule type="cellIs" dxfId="6490" priority="7412" stopIfTrue="1" operator="equal">
      <formula>"Napkin Hs"</formula>
    </cfRule>
  </conditionalFormatting>
  <conditionalFormatting sqref="C90">
    <cfRule type="cellIs" dxfId="6489" priority="7413" stopIfTrue="1" operator="equal">
      <formula>"Towel"</formula>
    </cfRule>
    <cfRule type="cellIs" dxfId="6488" priority="7414" stopIfTrue="1" operator="equal">
      <formula>"Napkin Hs"</formula>
    </cfRule>
  </conditionalFormatting>
  <conditionalFormatting sqref="B90:C90">
    <cfRule type="cellIs" dxfId="6487" priority="7410" stopIfTrue="1" operator="equal">
      <formula>"Napkin Hs"</formula>
    </cfRule>
  </conditionalFormatting>
  <conditionalFormatting sqref="B90:C90">
    <cfRule type="cellIs" dxfId="6486" priority="7409" stopIfTrue="1" operator="equal">
      <formula>"Towel"</formula>
    </cfRule>
  </conditionalFormatting>
  <conditionalFormatting sqref="C90">
    <cfRule type="cellIs" dxfId="6485" priority="7408" stopIfTrue="1" operator="equal">
      <formula>"Napkin Hs"</formula>
    </cfRule>
  </conditionalFormatting>
  <conditionalFormatting sqref="C90">
    <cfRule type="cellIs" dxfId="6484" priority="7407" stopIfTrue="1" operator="equal">
      <formula>"Towel"</formula>
    </cfRule>
  </conditionalFormatting>
  <conditionalFormatting sqref="C90">
    <cfRule type="cellIs" dxfId="6483" priority="7405" stopIfTrue="1" operator="equal">
      <formula>"Towel"</formula>
    </cfRule>
    <cfRule type="cellIs" dxfId="6482" priority="7406" stopIfTrue="1" operator="equal">
      <formula>"Napkin Hs"</formula>
    </cfRule>
  </conditionalFormatting>
  <conditionalFormatting sqref="B90:C90">
    <cfRule type="cellIs" dxfId="6481" priority="7403" stopIfTrue="1" operator="equal">
      <formula>"Towel"</formula>
    </cfRule>
    <cfRule type="cellIs" dxfId="6480" priority="7404" stopIfTrue="1" operator="equal">
      <formula>"Napkin Hs"</formula>
    </cfRule>
  </conditionalFormatting>
  <conditionalFormatting sqref="C90">
    <cfRule type="cellIs" dxfId="6479" priority="7401" stopIfTrue="1" operator="equal">
      <formula>"Towel"</formula>
    </cfRule>
    <cfRule type="cellIs" dxfId="6478" priority="7402" stopIfTrue="1" operator="equal">
      <formula>"Napkin Hs"</formula>
    </cfRule>
  </conditionalFormatting>
  <conditionalFormatting sqref="C90">
    <cfRule type="cellIs" dxfId="6477" priority="7399" stopIfTrue="1" operator="equal">
      <formula>"Towel"</formula>
    </cfRule>
    <cfRule type="cellIs" dxfId="6476" priority="7400" stopIfTrue="1" operator="equal">
      <formula>"Napkin Hs"</formula>
    </cfRule>
  </conditionalFormatting>
  <conditionalFormatting sqref="B90:C90">
    <cfRule type="cellIs" dxfId="6475" priority="7397" stopIfTrue="1" operator="equal">
      <formula>"Towel"</formula>
    </cfRule>
    <cfRule type="cellIs" dxfId="6474" priority="7398" stopIfTrue="1" operator="equal">
      <formula>"Napkin Hs"</formula>
    </cfRule>
  </conditionalFormatting>
  <conditionalFormatting sqref="C90">
    <cfRule type="cellIs" dxfId="6473" priority="7395" stopIfTrue="1" operator="equal">
      <formula>"Towel"</formula>
    </cfRule>
    <cfRule type="cellIs" dxfId="6472" priority="7396" stopIfTrue="1" operator="equal">
      <formula>"Napkin Hs"</formula>
    </cfRule>
  </conditionalFormatting>
  <conditionalFormatting sqref="C90">
    <cfRule type="cellIs" dxfId="6471" priority="7393" stopIfTrue="1" operator="equal">
      <formula>"Towel"</formula>
    </cfRule>
    <cfRule type="cellIs" dxfId="6470" priority="7394" stopIfTrue="1" operator="equal">
      <formula>"Napkin Hs"</formula>
    </cfRule>
  </conditionalFormatting>
  <conditionalFormatting sqref="B90:C90">
    <cfRule type="cellIs" dxfId="6469" priority="7391" stopIfTrue="1" operator="equal">
      <formula>"Towel"</formula>
    </cfRule>
    <cfRule type="cellIs" dxfId="6468" priority="7392" stopIfTrue="1" operator="equal">
      <formula>"Napkin Hs"</formula>
    </cfRule>
  </conditionalFormatting>
  <conditionalFormatting sqref="C90">
    <cfRule type="cellIs" dxfId="6467" priority="7389" stopIfTrue="1" operator="equal">
      <formula>"Towel"</formula>
    </cfRule>
    <cfRule type="cellIs" dxfId="6466" priority="7390" stopIfTrue="1" operator="equal">
      <formula>"Napkin Hs"</formula>
    </cfRule>
  </conditionalFormatting>
  <conditionalFormatting sqref="C90">
    <cfRule type="cellIs" dxfId="6465" priority="7387" stopIfTrue="1" operator="equal">
      <formula>"Towel"</formula>
    </cfRule>
    <cfRule type="cellIs" dxfId="6464" priority="7388" stopIfTrue="1" operator="equal">
      <formula>"Napkin Hs"</formula>
    </cfRule>
  </conditionalFormatting>
  <conditionalFormatting sqref="B90:C90">
    <cfRule type="cellIs" dxfId="6463" priority="7385" stopIfTrue="1" operator="equal">
      <formula>"Towel"</formula>
    </cfRule>
    <cfRule type="cellIs" dxfId="6462" priority="7386" stopIfTrue="1" operator="equal">
      <formula>"Napkin Hs"</formula>
    </cfRule>
  </conditionalFormatting>
  <conditionalFormatting sqref="C90">
    <cfRule type="cellIs" dxfId="6461" priority="7383" stopIfTrue="1" operator="equal">
      <formula>"Towel"</formula>
    </cfRule>
    <cfRule type="cellIs" dxfId="6460" priority="7384" stopIfTrue="1" operator="equal">
      <formula>"Napkin Hs"</formula>
    </cfRule>
  </conditionalFormatting>
  <conditionalFormatting sqref="C90">
    <cfRule type="cellIs" dxfId="6459" priority="7381" stopIfTrue="1" operator="equal">
      <formula>"Towel"</formula>
    </cfRule>
    <cfRule type="cellIs" dxfId="6458" priority="7382" stopIfTrue="1" operator="equal">
      <formula>"Napkin Hs"</formula>
    </cfRule>
  </conditionalFormatting>
  <conditionalFormatting sqref="B90:C90">
    <cfRule type="cellIs" dxfId="6457" priority="7379" stopIfTrue="1" operator="equal">
      <formula>"Towel"</formula>
    </cfRule>
    <cfRule type="cellIs" dxfId="6456" priority="7380" stopIfTrue="1" operator="equal">
      <formula>"Napkin Hs"</formula>
    </cfRule>
  </conditionalFormatting>
  <conditionalFormatting sqref="C90">
    <cfRule type="cellIs" dxfId="6455" priority="7377" stopIfTrue="1" operator="equal">
      <formula>"Towel"</formula>
    </cfRule>
    <cfRule type="cellIs" dxfId="6454" priority="7378" stopIfTrue="1" operator="equal">
      <formula>"Napkin Hs"</formula>
    </cfRule>
  </conditionalFormatting>
  <conditionalFormatting sqref="C90">
    <cfRule type="cellIs" dxfId="6453" priority="7375" stopIfTrue="1" operator="equal">
      <formula>"Towel"</formula>
    </cfRule>
    <cfRule type="cellIs" dxfId="6452" priority="7376" stopIfTrue="1" operator="equal">
      <formula>"Napkin Hs"</formula>
    </cfRule>
  </conditionalFormatting>
  <conditionalFormatting sqref="B90:C90">
    <cfRule type="cellIs" dxfId="6451" priority="7374" stopIfTrue="1" operator="equal">
      <formula>"Napkin Hs"</formula>
    </cfRule>
  </conditionalFormatting>
  <conditionalFormatting sqref="B90:C90">
    <cfRule type="cellIs" dxfId="6450" priority="7373" stopIfTrue="1" operator="equal">
      <formula>"Towel"</formula>
    </cfRule>
  </conditionalFormatting>
  <conditionalFormatting sqref="C90">
    <cfRule type="cellIs" dxfId="6449" priority="7372" stopIfTrue="1" operator="equal">
      <formula>"Napkin Hs"</formula>
    </cfRule>
  </conditionalFormatting>
  <conditionalFormatting sqref="C90">
    <cfRule type="cellIs" dxfId="6448" priority="7369" stopIfTrue="1" operator="equal">
      <formula>"Towel"</formula>
    </cfRule>
    <cfRule type="cellIs" dxfId="6447" priority="7370" stopIfTrue="1" operator="equal">
      <formula>"Napkin Hs"</formula>
    </cfRule>
  </conditionalFormatting>
  <conditionalFormatting sqref="C90">
    <cfRule type="cellIs" dxfId="6446" priority="7371" stopIfTrue="1" operator="equal">
      <formula>"Towel"</formula>
    </cfRule>
  </conditionalFormatting>
  <conditionalFormatting sqref="B86:C87">
    <cfRule type="cellIs" dxfId="6445" priority="7367" stopIfTrue="1" operator="equal">
      <formula>"Towel"</formula>
    </cfRule>
    <cfRule type="cellIs" dxfId="6444" priority="7368" stopIfTrue="1" operator="equal">
      <formula>"Napkin Hs"</formula>
    </cfRule>
  </conditionalFormatting>
  <conditionalFormatting sqref="C86:C87">
    <cfRule type="cellIs" dxfId="6443" priority="7363" stopIfTrue="1" operator="equal">
      <formula>"Towel"</formula>
    </cfRule>
    <cfRule type="cellIs" dxfId="6442" priority="7364" stopIfTrue="1" operator="equal">
      <formula>"Napkin Hs"</formula>
    </cfRule>
  </conditionalFormatting>
  <conditionalFormatting sqref="C86:C87">
    <cfRule type="cellIs" dxfId="6441" priority="7365" stopIfTrue="1" operator="equal">
      <formula>"Towel"</formula>
    </cfRule>
    <cfRule type="cellIs" dxfId="6440" priority="7366" stopIfTrue="1" operator="equal">
      <formula>"Napkin Hs"</formula>
    </cfRule>
  </conditionalFormatting>
  <conditionalFormatting sqref="B86:C87">
    <cfRule type="cellIs" dxfId="6439" priority="7362" stopIfTrue="1" operator="equal">
      <formula>"Napkin Hs"</formula>
    </cfRule>
  </conditionalFormatting>
  <conditionalFormatting sqref="B86:C87">
    <cfRule type="cellIs" dxfId="6438" priority="7361" stopIfTrue="1" operator="equal">
      <formula>"Towel"</formula>
    </cfRule>
  </conditionalFormatting>
  <conditionalFormatting sqref="C86:C87">
    <cfRule type="cellIs" dxfId="6437" priority="7360" stopIfTrue="1" operator="equal">
      <formula>"Napkin Hs"</formula>
    </cfRule>
  </conditionalFormatting>
  <conditionalFormatting sqref="C86:C87">
    <cfRule type="cellIs" dxfId="6436" priority="7359" stopIfTrue="1" operator="equal">
      <formula>"Towel"</formula>
    </cfRule>
  </conditionalFormatting>
  <conditionalFormatting sqref="C86:C87">
    <cfRule type="cellIs" dxfId="6435" priority="7357" stopIfTrue="1" operator="equal">
      <formula>"Towel"</formula>
    </cfRule>
    <cfRule type="cellIs" dxfId="6434" priority="7358" stopIfTrue="1" operator="equal">
      <formula>"Napkin Hs"</formula>
    </cfRule>
  </conditionalFormatting>
  <conditionalFormatting sqref="B86:C87">
    <cfRule type="cellIs" dxfId="6433" priority="7355" stopIfTrue="1" operator="equal">
      <formula>"Towel"</formula>
    </cfRule>
    <cfRule type="cellIs" dxfId="6432" priority="7356" stopIfTrue="1" operator="equal">
      <formula>"Napkin Hs"</formula>
    </cfRule>
  </conditionalFormatting>
  <conditionalFormatting sqref="C86:C87">
    <cfRule type="cellIs" dxfId="6431" priority="7353" stopIfTrue="1" operator="equal">
      <formula>"Towel"</formula>
    </cfRule>
    <cfRule type="cellIs" dxfId="6430" priority="7354" stopIfTrue="1" operator="equal">
      <formula>"Napkin Hs"</formula>
    </cfRule>
  </conditionalFormatting>
  <conditionalFormatting sqref="C86:C87">
    <cfRule type="cellIs" dxfId="6429" priority="7351" stopIfTrue="1" operator="equal">
      <formula>"Towel"</formula>
    </cfRule>
    <cfRule type="cellIs" dxfId="6428" priority="7352" stopIfTrue="1" operator="equal">
      <formula>"Napkin Hs"</formula>
    </cfRule>
  </conditionalFormatting>
  <conditionalFormatting sqref="B86:C87">
    <cfRule type="cellIs" dxfId="6427" priority="7349" stopIfTrue="1" operator="equal">
      <formula>"Towel"</formula>
    </cfRule>
    <cfRule type="cellIs" dxfId="6426" priority="7350" stopIfTrue="1" operator="equal">
      <formula>"Napkin Hs"</formula>
    </cfRule>
  </conditionalFormatting>
  <conditionalFormatting sqref="C86:C87">
    <cfRule type="cellIs" dxfId="6425" priority="7347" stopIfTrue="1" operator="equal">
      <formula>"Towel"</formula>
    </cfRule>
    <cfRule type="cellIs" dxfId="6424" priority="7348" stopIfTrue="1" operator="equal">
      <formula>"Napkin Hs"</formula>
    </cfRule>
  </conditionalFormatting>
  <conditionalFormatting sqref="C86:C87">
    <cfRule type="cellIs" dxfId="6423" priority="7345" stopIfTrue="1" operator="equal">
      <formula>"Towel"</formula>
    </cfRule>
    <cfRule type="cellIs" dxfId="6422" priority="7346" stopIfTrue="1" operator="equal">
      <formula>"Napkin Hs"</formula>
    </cfRule>
  </conditionalFormatting>
  <conditionalFormatting sqref="B86:C87">
    <cfRule type="cellIs" dxfId="6421" priority="7343" stopIfTrue="1" operator="equal">
      <formula>"Towel"</formula>
    </cfRule>
    <cfRule type="cellIs" dxfId="6420" priority="7344" stopIfTrue="1" operator="equal">
      <formula>"Napkin Hs"</formula>
    </cfRule>
  </conditionalFormatting>
  <conditionalFormatting sqref="C86:C87">
    <cfRule type="cellIs" dxfId="6419" priority="7341" stopIfTrue="1" operator="equal">
      <formula>"Towel"</formula>
    </cfRule>
    <cfRule type="cellIs" dxfId="6418" priority="7342" stopIfTrue="1" operator="equal">
      <formula>"Napkin Hs"</formula>
    </cfRule>
  </conditionalFormatting>
  <conditionalFormatting sqref="C86:C87">
    <cfRule type="cellIs" dxfId="6417" priority="7339" stopIfTrue="1" operator="equal">
      <formula>"Towel"</formula>
    </cfRule>
    <cfRule type="cellIs" dxfId="6416" priority="7340" stopIfTrue="1" operator="equal">
      <formula>"Napkin Hs"</formula>
    </cfRule>
  </conditionalFormatting>
  <conditionalFormatting sqref="B86:C87">
    <cfRule type="cellIs" dxfId="6415" priority="7337" stopIfTrue="1" operator="equal">
      <formula>"Towel"</formula>
    </cfRule>
    <cfRule type="cellIs" dxfId="6414" priority="7338" stopIfTrue="1" operator="equal">
      <formula>"Napkin Hs"</formula>
    </cfRule>
  </conditionalFormatting>
  <conditionalFormatting sqref="C86:C87">
    <cfRule type="cellIs" dxfId="6413" priority="7335" stopIfTrue="1" operator="equal">
      <formula>"Towel"</formula>
    </cfRule>
    <cfRule type="cellIs" dxfId="6412" priority="7336" stopIfTrue="1" operator="equal">
      <formula>"Napkin Hs"</formula>
    </cfRule>
  </conditionalFormatting>
  <conditionalFormatting sqref="C86:C87">
    <cfRule type="cellIs" dxfId="6411" priority="7333" stopIfTrue="1" operator="equal">
      <formula>"Towel"</formula>
    </cfRule>
    <cfRule type="cellIs" dxfId="6410" priority="7334" stopIfTrue="1" operator="equal">
      <formula>"Napkin Hs"</formula>
    </cfRule>
  </conditionalFormatting>
  <conditionalFormatting sqref="B86:C87">
    <cfRule type="cellIs" dxfId="6409" priority="7331" stopIfTrue="1" operator="equal">
      <formula>"Towel"</formula>
    </cfRule>
    <cfRule type="cellIs" dxfId="6408" priority="7332" stopIfTrue="1" operator="equal">
      <formula>"Napkin Hs"</formula>
    </cfRule>
  </conditionalFormatting>
  <conditionalFormatting sqref="C86:C87">
    <cfRule type="cellIs" dxfId="6407" priority="7329" stopIfTrue="1" operator="equal">
      <formula>"Towel"</formula>
    </cfRule>
    <cfRule type="cellIs" dxfId="6406" priority="7330" stopIfTrue="1" operator="equal">
      <formula>"Napkin Hs"</formula>
    </cfRule>
  </conditionalFormatting>
  <conditionalFormatting sqref="C86:C87">
    <cfRule type="cellIs" dxfId="6405" priority="7327" stopIfTrue="1" operator="equal">
      <formula>"Towel"</formula>
    </cfRule>
    <cfRule type="cellIs" dxfId="6404" priority="7328" stopIfTrue="1" operator="equal">
      <formula>"Napkin Hs"</formula>
    </cfRule>
  </conditionalFormatting>
  <conditionalFormatting sqref="B86:C87">
    <cfRule type="cellIs" dxfId="6403" priority="7326" stopIfTrue="1" operator="equal">
      <formula>"Napkin Hs"</formula>
    </cfRule>
  </conditionalFormatting>
  <conditionalFormatting sqref="B86:C87">
    <cfRule type="cellIs" dxfId="6402" priority="7325" stopIfTrue="1" operator="equal">
      <formula>"Towel"</formula>
    </cfRule>
  </conditionalFormatting>
  <conditionalFormatting sqref="C86:C87">
    <cfRule type="cellIs" dxfId="6401" priority="7324" stopIfTrue="1" operator="equal">
      <formula>"Napkin Hs"</formula>
    </cfRule>
  </conditionalFormatting>
  <conditionalFormatting sqref="C86:C87">
    <cfRule type="cellIs" dxfId="6400" priority="7321" stopIfTrue="1" operator="equal">
      <formula>"Towel"</formula>
    </cfRule>
    <cfRule type="cellIs" dxfId="6399" priority="7322" stopIfTrue="1" operator="equal">
      <formula>"Napkin Hs"</formula>
    </cfRule>
  </conditionalFormatting>
  <conditionalFormatting sqref="C86:C87">
    <cfRule type="cellIs" dxfId="6398" priority="7323" stopIfTrue="1" operator="equal">
      <formula>"Towel"</formula>
    </cfRule>
  </conditionalFormatting>
  <conditionalFormatting sqref="B90:C90">
    <cfRule type="cellIs" dxfId="6397" priority="7319" stopIfTrue="1" operator="equal">
      <formula>"Towel"</formula>
    </cfRule>
    <cfRule type="cellIs" dxfId="6396" priority="7320" stopIfTrue="1" operator="equal">
      <formula>"Napkin Hs"</formula>
    </cfRule>
  </conditionalFormatting>
  <conditionalFormatting sqref="C90">
    <cfRule type="cellIs" dxfId="6395" priority="7315" stopIfTrue="1" operator="equal">
      <formula>"Towel"</formula>
    </cfRule>
    <cfRule type="cellIs" dxfId="6394" priority="7316" stopIfTrue="1" operator="equal">
      <formula>"Napkin Hs"</formula>
    </cfRule>
  </conditionalFormatting>
  <conditionalFormatting sqref="C90">
    <cfRule type="cellIs" dxfId="6393" priority="7317" stopIfTrue="1" operator="equal">
      <formula>"Towel"</formula>
    </cfRule>
    <cfRule type="cellIs" dxfId="6392" priority="7318" stopIfTrue="1" operator="equal">
      <formula>"Napkin Hs"</formula>
    </cfRule>
  </conditionalFormatting>
  <conditionalFormatting sqref="B90:C90">
    <cfRule type="cellIs" dxfId="6391" priority="7314" stopIfTrue="1" operator="equal">
      <formula>"Napkin Hs"</formula>
    </cfRule>
  </conditionalFormatting>
  <conditionalFormatting sqref="B90:C90">
    <cfRule type="cellIs" dxfId="6390" priority="7313" stopIfTrue="1" operator="equal">
      <formula>"Towel"</formula>
    </cfRule>
  </conditionalFormatting>
  <conditionalFormatting sqref="C90">
    <cfRule type="cellIs" dxfId="6389" priority="7312" stopIfTrue="1" operator="equal">
      <formula>"Napkin Hs"</formula>
    </cfRule>
  </conditionalFormatting>
  <conditionalFormatting sqref="C90">
    <cfRule type="cellIs" dxfId="6388" priority="7311" stopIfTrue="1" operator="equal">
      <formula>"Towel"</formula>
    </cfRule>
  </conditionalFormatting>
  <conditionalFormatting sqref="C90">
    <cfRule type="cellIs" dxfId="6387" priority="7309" stopIfTrue="1" operator="equal">
      <formula>"Towel"</formula>
    </cfRule>
    <cfRule type="cellIs" dxfId="6386" priority="7310" stopIfTrue="1" operator="equal">
      <formula>"Napkin Hs"</formula>
    </cfRule>
  </conditionalFormatting>
  <conditionalFormatting sqref="B90:C90">
    <cfRule type="cellIs" dxfId="6385" priority="7307" stopIfTrue="1" operator="equal">
      <formula>"Towel"</formula>
    </cfRule>
    <cfRule type="cellIs" dxfId="6384" priority="7308" stopIfTrue="1" operator="equal">
      <formula>"Napkin Hs"</formula>
    </cfRule>
  </conditionalFormatting>
  <conditionalFormatting sqref="C90">
    <cfRule type="cellIs" dxfId="6383" priority="7305" stopIfTrue="1" operator="equal">
      <formula>"Towel"</formula>
    </cfRule>
    <cfRule type="cellIs" dxfId="6382" priority="7306" stopIfTrue="1" operator="equal">
      <formula>"Napkin Hs"</formula>
    </cfRule>
  </conditionalFormatting>
  <conditionalFormatting sqref="C90">
    <cfRule type="cellIs" dxfId="6381" priority="7303" stopIfTrue="1" operator="equal">
      <formula>"Towel"</formula>
    </cfRule>
    <cfRule type="cellIs" dxfId="6380" priority="7304" stopIfTrue="1" operator="equal">
      <formula>"Napkin Hs"</formula>
    </cfRule>
  </conditionalFormatting>
  <conditionalFormatting sqref="B90:C90">
    <cfRule type="cellIs" dxfId="6379" priority="7301" stopIfTrue="1" operator="equal">
      <formula>"Towel"</formula>
    </cfRule>
    <cfRule type="cellIs" dxfId="6378" priority="7302" stopIfTrue="1" operator="equal">
      <formula>"Napkin Hs"</formula>
    </cfRule>
  </conditionalFormatting>
  <conditionalFormatting sqref="C90">
    <cfRule type="cellIs" dxfId="6377" priority="7299" stopIfTrue="1" operator="equal">
      <formula>"Towel"</formula>
    </cfRule>
    <cfRule type="cellIs" dxfId="6376" priority="7300" stopIfTrue="1" operator="equal">
      <formula>"Napkin Hs"</formula>
    </cfRule>
  </conditionalFormatting>
  <conditionalFormatting sqref="C90">
    <cfRule type="cellIs" dxfId="6375" priority="7297" stopIfTrue="1" operator="equal">
      <formula>"Towel"</formula>
    </cfRule>
    <cfRule type="cellIs" dxfId="6374" priority="7298" stopIfTrue="1" operator="equal">
      <formula>"Napkin Hs"</formula>
    </cfRule>
  </conditionalFormatting>
  <conditionalFormatting sqref="B90:C90">
    <cfRule type="cellIs" dxfId="6373" priority="7295" stopIfTrue="1" operator="equal">
      <formula>"Towel"</formula>
    </cfRule>
    <cfRule type="cellIs" dxfId="6372" priority="7296" stopIfTrue="1" operator="equal">
      <formula>"Napkin Hs"</formula>
    </cfRule>
  </conditionalFormatting>
  <conditionalFormatting sqref="C90">
    <cfRule type="cellIs" dxfId="6371" priority="7293" stopIfTrue="1" operator="equal">
      <formula>"Towel"</formula>
    </cfRule>
    <cfRule type="cellIs" dxfId="6370" priority="7294" stopIfTrue="1" operator="equal">
      <formula>"Napkin Hs"</formula>
    </cfRule>
  </conditionalFormatting>
  <conditionalFormatting sqref="C90">
    <cfRule type="cellIs" dxfId="6369" priority="7291" stopIfTrue="1" operator="equal">
      <formula>"Towel"</formula>
    </cfRule>
    <cfRule type="cellIs" dxfId="6368" priority="7292" stopIfTrue="1" operator="equal">
      <formula>"Napkin Hs"</formula>
    </cfRule>
  </conditionalFormatting>
  <conditionalFormatting sqref="B90:C90">
    <cfRule type="cellIs" dxfId="6367" priority="7289" stopIfTrue="1" operator="equal">
      <formula>"Towel"</formula>
    </cfRule>
    <cfRule type="cellIs" dxfId="6366" priority="7290" stopIfTrue="1" operator="equal">
      <formula>"Napkin Hs"</formula>
    </cfRule>
  </conditionalFormatting>
  <conditionalFormatting sqref="C90">
    <cfRule type="cellIs" dxfId="6365" priority="7287" stopIfTrue="1" operator="equal">
      <formula>"Towel"</formula>
    </cfRule>
    <cfRule type="cellIs" dxfId="6364" priority="7288" stopIfTrue="1" operator="equal">
      <formula>"Napkin Hs"</formula>
    </cfRule>
  </conditionalFormatting>
  <conditionalFormatting sqref="C90">
    <cfRule type="cellIs" dxfId="6363" priority="7285" stopIfTrue="1" operator="equal">
      <formula>"Towel"</formula>
    </cfRule>
    <cfRule type="cellIs" dxfId="6362" priority="7286" stopIfTrue="1" operator="equal">
      <formula>"Napkin Hs"</formula>
    </cfRule>
  </conditionalFormatting>
  <conditionalFormatting sqref="B90:C90">
    <cfRule type="cellIs" dxfId="6361" priority="7283" stopIfTrue="1" operator="equal">
      <formula>"Towel"</formula>
    </cfRule>
    <cfRule type="cellIs" dxfId="6360" priority="7284" stopIfTrue="1" operator="equal">
      <formula>"Napkin Hs"</formula>
    </cfRule>
  </conditionalFormatting>
  <conditionalFormatting sqref="C90">
    <cfRule type="cellIs" dxfId="6359" priority="7281" stopIfTrue="1" operator="equal">
      <formula>"Towel"</formula>
    </cfRule>
    <cfRule type="cellIs" dxfId="6358" priority="7282" stopIfTrue="1" operator="equal">
      <formula>"Napkin Hs"</formula>
    </cfRule>
  </conditionalFormatting>
  <conditionalFormatting sqref="C90">
    <cfRule type="cellIs" dxfId="6357" priority="7279" stopIfTrue="1" operator="equal">
      <formula>"Towel"</formula>
    </cfRule>
    <cfRule type="cellIs" dxfId="6356" priority="7280" stopIfTrue="1" operator="equal">
      <formula>"Napkin Hs"</formula>
    </cfRule>
  </conditionalFormatting>
  <conditionalFormatting sqref="B90:C90">
    <cfRule type="cellIs" dxfId="6355" priority="7278" stopIfTrue="1" operator="equal">
      <formula>"Napkin Hs"</formula>
    </cfRule>
  </conditionalFormatting>
  <conditionalFormatting sqref="B90:C90">
    <cfRule type="cellIs" dxfId="6354" priority="7277" stopIfTrue="1" operator="equal">
      <formula>"Towel"</formula>
    </cfRule>
  </conditionalFormatting>
  <conditionalFormatting sqref="C90">
    <cfRule type="cellIs" dxfId="6353" priority="7276" stopIfTrue="1" operator="equal">
      <formula>"Napkin Hs"</formula>
    </cfRule>
  </conditionalFormatting>
  <conditionalFormatting sqref="C90">
    <cfRule type="cellIs" dxfId="6352" priority="7273" stopIfTrue="1" operator="equal">
      <formula>"Towel"</formula>
    </cfRule>
    <cfRule type="cellIs" dxfId="6351" priority="7274" stopIfTrue="1" operator="equal">
      <formula>"Napkin Hs"</formula>
    </cfRule>
  </conditionalFormatting>
  <conditionalFormatting sqref="C90">
    <cfRule type="cellIs" dxfId="6350" priority="7275" stopIfTrue="1" operator="equal">
      <formula>"Towel"</formula>
    </cfRule>
  </conditionalFormatting>
  <conditionalFormatting sqref="B89:C89">
    <cfRule type="cellIs" dxfId="6349" priority="7271" stopIfTrue="1" operator="equal">
      <formula>"Towel"</formula>
    </cfRule>
    <cfRule type="cellIs" dxfId="6348" priority="7272" stopIfTrue="1" operator="equal">
      <formula>"Napkin Hs"</formula>
    </cfRule>
  </conditionalFormatting>
  <conditionalFormatting sqref="C89">
    <cfRule type="cellIs" dxfId="6347" priority="7267" stopIfTrue="1" operator="equal">
      <formula>"Towel"</formula>
    </cfRule>
    <cfRule type="cellIs" dxfId="6346" priority="7268" stopIfTrue="1" operator="equal">
      <formula>"Napkin Hs"</formula>
    </cfRule>
  </conditionalFormatting>
  <conditionalFormatting sqref="C89">
    <cfRule type="cellIs" dxfId="6345" priority="7269" stopIfTrue="1" operator="equal">
      <formula>"Towel"</formula>
    </cfRule>
    <cfRule type="cellIs" dxfId="6344" priority="7270" stopIfTrue="1" operator="equal">
      <formula>"Napkin Hs"</formula>
    </cfRule>
  </conditionalFormatting>
  <conditionalFormatting sqref="B86:C87">
    <cfRule type="cellIs" dxfId="6343" priority="7266" stopIfTrue="1" operator="equal">
      <formula>"Napkin Hs"</formula>
    </cfRule>
  </conditionalFormatting>
  <conditionalFormatting sqref="B86:C87">
    <cfRule type="cellIs" dxfId="6342" priority="7265" stopIfTrue="1" operator="equal">
      <formula>"Towel"</formula>
    </cfRule>
  </conditionalFormatting>
  <conditionalFormatting sqref="C86:C87">
    <cfRule type="cellIs" dxfId="6341" priority="7264" stopIfTrue="1" operator="equal">
      <formula>"Napkin Hs"</formula>
    </cfRule>
  </conditionalFormatting>
  <conditionalFormatting sqref="C86:C87">
    <cfRule type="cellIs" dxfId="6340" priority="7263" stopIfTrue="1" operator="equal">
      <formula>"Towel"</formula>
    </cfRule>
  </conditionalFormatting>
  <conditionalFormatting sqref="C86:C87">
    <cfRule type="cellIs" dxfId="6339" priority="7261" stopIfTrue="1" operator="equal">
      <formula>"Towel"</formula>
    </cfRule>
    <cfRule type="cellIs" dxfId="6338" priority="7262" stopIfTrue="1" operator="equal">
      <formula>"Napkin Hs"</formula>
    </cfRule>
  </conditionalFormatting>
  <conditionalFormatting sqref="C86:C87">
    <cfRule type="cellIs" dxfId="6337" priority="7255" stopIfTrue="1" operator="equal">
      <formula>"Towel"</formula>
    </cfRule>
    <cfRule type="cellIs" dxfId="6336" priority="7256" stopIfTrue="1" operator="equal">
      <formula>"Napkin Hs"</formula>
    </cfRule>
  </conditionalFormatting>
  <conditionalFormatting sqref="B86:C87">
    <cfRule type="cellIs" dxfId="6335" priority="7254" stopIfTrue="1" operator="equal">
      <formula>"Napkin Hs"</formula>
    </cfRule>
  </conditionalFormatting>
  <conditionalFormatting sqref="B86:C87">
    <cfRule type="cellIs" dxfId="6334" priority="7253" stopIfTrue="1" operator="equal">
      <formula>"Towel"</formula>
    </cfRule>
  </conditionalFormatting>
  <conditionalFormatting sqref="C86:C87">
    <cfRule type="cellIs" dxfId="6333" priority="7252" stopIfTrue="1" operator="equal">
      <formula>"Napkin Hs"</formula>
    </cfRule>
  </conditionalFormatting>
  <conditionalFormatting sqref="C86:C87">
    <cfRule type="cellIs" dxfId="6332" priority="7251" stopIfTrue="1" operator="equal">
      <formula>"Towel"</formula>
    </cfRule>
  </conditionalFormatting>
  <conditionalFormatting sqref="C86:C87">
    <cfRule type="cellIs" dxfId="6331" priority="7249" stopIfTrue="1" operator="equal">
      <formula>"Towel"</formula>
    </cfRule>
    <cfRule type="cellIs" dxfId="6330" priority="7250" stopIfTrue="1" operator="equal">
      <formula>"Napkin Hs"</formula>
    </cfRule>
  </conditionalFormatting>
  <conditionalFormatting sqref="C86:C87">
    <cfRule type="cellIs" dxfId="6329" priority="7243" stopIfTrue="1" operator="equal">
      <formula>"Towel"</formula>
    </cfRule>
    <cfRule type="cellIs" dxfId="6328" priority="7244" stopIfTrue="1" operator="equal">
      <formula>"Napkin Hs"</formula>
    </cfRule>
  </conditionalFormatting>
  <conditionalFormatting sqref="C86:C87">
    <cfRule type="cellIs" dxfId="6327" priority="7237" stopIfTrue="1" operator="equal">
      <formula>"Towel"</formula>
    </cfRule>
    <cfRule type="cellIs" dxfId="6326" priority="7238" stopIfTrue="1" operator="equal">
      <formula>"Napkin Hs"</formula>
    </cfRule>
  </conditionalFormatting>
  <conditionalFormatting sqref="C86:C87">
    <cfRule type="cellIs" dxfId="6325" priority="7231" stopIfTrue="1" operator="equal">
      <formula>"Towel"</formula>
    </cfRule>
    <cfRule type="cellIs" dxfId="6324" priority="7232" stopIfTrue="1" operator="equal">
      <formula>"Napkin Hs"</formula>
    </cfRule>
  </conditionalFormatting>
  <conditionalFormatting sqref="C86:C87">
    <cfRule type="cellIs" dxfId="6323" priority="7225" stopIfTrue="1" operator="equal">
      <formula>"Towel"</formula>
    </cfRule>
    <cfRule type="cellIs" dxfId="6322" priority="7226" stopIfTrue="1" operator="equal">
      <formula>"Napkin Hs"</formula>
    </cfRule>
  </conditionalFormatting>
  <conditionalFormatting sqref="C86:C87">
    <cfRule type="cellIs" dxfId="6321" priority="7219" stopIfTrue="1" operator="equal">
      <formula>"Towel"</formula>
    </cfRule>
    <cfRule type="cellIs" dxfId="6320" priority="7220" stopIfTrue="1" operator="equal">
      <formula>"Napkin Hs"</formula>
    </cfRule>
  </conditionalFormatting>
  <conditionalFormatting sqref="B86:C87">
    <cfRule type="cellIs" dxfId="6319" priority="7218" stopIfTrue="1" operator="equal">
      <formula>"Napkin Hs"</formula>
    </cfRule>
  </conditionalFormatting>
  <conditionalFormatting sqref="B86:C87">
    <cfRule type="cellIs" dxfId="6318" priority="7217" stopIfTrue="1" operator="equal">
      <formula>"Towel"</formula>
    </cfRule>
  </conditionalFormatting>
  <conditionalFormatting sqref="C86:C87">
    <cfRule type="cellIs" dxfId="6317" priority="7216" stopIfTrue="1" operator="equal">
      <formula>"Napkin Hs"</formula>
    </cfRule>
  </conditionalFormatting>
  <conditionalFormatting sqref="C86:C87">
    <cfRule type="cellIs" dxfId="6316" priority="7213" stopIfTrue="1" operator="equal">
      <formula>"Towel"</formula>
    </cfRule>
    <cfRule type="cellIs" dxfId="6315" priority="7214" stopIfTrue="1" operator="equal">
      <formula>"Napkin Hs"</formula>
    </cfRule>
  </conditionalFormatting>
  <conditionalFormatting sqref="C86:C87">
    <cfRule type="cellIs" dxfId="6314" priority="7215" stopIfTrue="1" operator="equal">
      <formula>"Towel"</formula>
    </cfRule>
  </conditionalFormatting>
  <conditionalFormatting sqref="B86:C87">
    <cfRule type="cellIs" dxfId="6313" priority="7212" stopIfTrue="1" operator="equal">
      <formula>"Napkin Hs"</formula>
    </cfRule>
  </conditionalFormatting>
  <conditionalFormatting sqref="B86:C87">
    <cfRule type="cellIs" dxfId="6312" priority="7211" stopIfTrue="1" operator="equal">
      <formula>"Towel"</formula>
    </cfRule>
  </conditionalFormatting>
  <conditionalFormatting sqref="C86:C87">
    <cfRule type="cellIs" dxfId="6311" priority="7210" stopIfTrue="1" operator="equal">
      <formula>"Napkin Hs"</formula>
    </cfRule>
  </conditionalFormatting>
  <conditionalFormatting sqref="C86:C87">
    <cfRule type="cellIs" dxfId="6310" priority="7207" stopIfTrue="1" operator="equal">
      <formula>"Towel"</formula>
    </cfRule>
    <cfRule type="cellIs" dxfId="6309" priority="7208" stopIfTrue="1" operator="equal">
      <formula>"Napkin Hs"</formula>
    </cfRule>
  </conditionalFormatting>
  <conditionalFormatting sqref="C86:C87">
    <cfRule type="cellIs" dxfId="6308" priority="7209" stopIfTrue="1" operator="equal">
      <formula>"Towel"</formula>
    </cfRule>
  </conditionalFormatting>
  <conditionalFormatting sqref="B88:C88">
    <cfRule type="cellIs" dxfId="6307" priority="7140" stopIfTrue="1" operator="equal">
      <formula>"Napkin Hs"</formula>
    </cfRule>
  </conditionalFormatting>
  <conditionalFormatting sqref="B88:C88">
    <cfRule type="cellIs" dxfId="6306" priority="7139" stopIfTrue="1" operator="equal">
      <formula>"Towel"</formula>
    </cfRule>
  </conditionalFormatting>
  <conditionalFormatting sqref="C88">
    <cfRule type="cellIs" dxfId="6305" priority="7138" stopIfTrue="1" operator="equal">
      <formula>"Napkin Hs"</formula>
    </cfRule>
  </conditionalFormatting>
  <conditionalFormatting sqref="C88">
    <cfRule type="cellIs" dxfId="6304" priority="7135" stopIfTrue="1" operator="equal">
      <formula>"Towel"</formula>
    </cfRule>
    <cfRule type="cellIs" dxfId="6303" priority="7136" stopIfTrue="1" operator="equal">
      <formula>"Napkin Hs"</formula>
    </cfRule>
  </conditionalFormatting>
  <conditionalFormatting sqref="C88">
    <cfRule type="cellIs" dxfId="6302" priority="7137" stopIfTrue="1" operator="equal">
      <formula>"Towel"</formula>
    </cfRule>
  </conditionalFormatting>
  <conditionalFormatting sqref="B86:C87">
    <cfRule type="cellIs" dxfId="6301" priority="7259" stopIfTrue="1" operator="equal">
      <formula>"Towel"</formula>
    </cfRule>
    <cfRule type="cellIs" dxfId="6300" priority="7260" stopIfTrue="1" operator="equal">
      <formula>"Napkin Hs"</formula>
    </cfRule>
  </conditionalFormatting>
  <conditionalFormatting sqref="C86:C87">
    <cfRule type="cellIs" dxfId="6299" priority="7257" stopIfTrue="1" operator="equal">
      <formula>"Towel"</formula>
    </cfRule>
    <cfRule type="cellIs" dxfId="6298" priority="7258" stopIfTrue="1" operator="equal">
      <formula>"Napkin Hs"</formula>
    </cfRule>
  </conditionalFormatting>
  <conditionalFormatting sqref="B86:C87">
    <cfRule type="cellIs" dxfId="6297" priority="7247" stopIfTrue="1" operator="equal">
      <formula>"Towel"</formula>
    </cfRule>
    <cfRule type="cellIs" dxfId="6296" priority="7248" stopIfTrue="1" operator="equal">
      <formula>"Napkin Hs"</formula>
    </cfRule>
  </conditionalFormatting>
  <conditionalFormatting sqref="C86:C87">
    <cfRule type="cellIs" dxfId="6295" priority="7245" stopIfTrue="1" operator="equal">
      <formula>"Towel"</formula>
    </cfRule>
    <cfRule type="cellIs" dxfId="6294" priority="7246" stopIfTrue="1" operator="equal">
      <formula>"Napkin Hs"</formula>
    </cfRule>
  </conditionalFormatting>
  <conditionalFormatting sqref="B86:C87">
    <cfRule type="cellIs" dxfId="6293" priority="7241" stopIfTrue="1" operator="equal">
      <formula>"Towel"</formula>
    </cfRule>
    <cfRule type="cellIs" dxfId="6292" priority="7242" stopIfTrue="1" operator="equal">
      <formula>"Napkin Hs"</formula>
    </cfRule>
  </conditionalFormatting>
  <conditionalFormatting sqref="C86:C87">
    <cfRule type="cellIs" dxfId="6291" priority="7239" stopIfTrue="1" operator="equal">
      <formula>"Towel"</formula>
    </cfRule>
    <cfRule type="cellIs" dxfId="6290" priority="7240" stopIfTrue="1" operator="equal">
      <formula>"Napkin Hs"</formula>
    </cfRule>
  </conditionalFormatting>
  <conditionalFormatting sqref="B86:C87">
    <cfRule type="cellIs" dxfId="6289" priority="7235" stopIfTrue="1" operator="equal">
      <formula>"Towel"</formula>
    </cfRule>
    <cfRule type="cellIs" dxfId="6288" priority="7236" stopIfTrue="1" operator="equal">
      <formula>"Napkin Hs"</formula>
    </cfRule>
  </conditionalFormatting>
  <conditionalFormatting sqref="C86:C87">
    <cfRule type="cellIs" dxfId="6287" priority="7233" stopIfTrue="1" operator="equal">
      <formula>"Towel"</formula>
    </cfRule>
    <cfRule type="cellIs" dxfId="6286" priority="7234" stopIfTrue="1" operator="equal">
      <formula>"Napkin Hs"</formula>
    </cfRule>
  </conditionalFormatting>
  <conditionalFormatting sqref="B86:C87">
    <cfRule type="cellIs" dxfId="6285" priority="7229" stopIfTrue="1" operator="equal">
      <formula>"Towel"</formula>
    </cfRule>
    <cfRule type="cellIs" dxfId="6284" priority="7230" stopIfTrue="1" operator="equal">
      <formula>"Napkin Hs"</formula>
    </cfRule>
  </conditionalFormatting>
  <conditionalFormatting sqref="C86:C87">
    <cfRule type="cellIs" dxfId="6283" priority="7227" stopIfTrue="1" operator="equal">
      <formula>"Towel"</formula>
    </cfRule>
    <cfRule type="cellIs" dxfId="6282" priority="7228" stopIfTrue="1" operator="equal">
      <formula>"Napkin Hs"</formula>
    </cfRule>
  </conditionalFormatting>
  <conditionalFormatting sqref="B86:C87">
    <cfRule type="cellIs" dxfId="6281" priority="7223" stopIfTrue="1" operator="equal">
      <formula>"Towel"</formula>
    </cfRule>
    <cfRule type="cellIs" dxfId="6280" priority="7224" stopIfTrue="1" operator="equal">
      <formula>"Napkin Hs"</formula>
    </cfRule>
  </conditionalFormatting>
  <conditionalFormatting sqref="C86:C87">
    <cfRule type="cellIs" dxfId="6279" priority="7221" stopIfTrue="1" operator="equal">
      <formula>"Towel"</formula>
    </cfRule>
    <cfRule type="cellIs" dxfId="6278" priority="7222" stopIfTrue="1" operator="equal">
      <formula>"Napkin Hs"</formula>
    </cfRule>
  </conditionalFormatting>
  <conditionalFormatting sqref="B86:C87">
    <cfRule type="cellIs" dxfId="6277" priority="7206" stopIfTrue="1" operator="equal">
      <formula>"Napkin Hs"</formula>
    </cfRule>
  </conditionalFormatting>
  <conditionalFormatting sqref="B86:C87">
    <cfRule type="cellIs" dxfId="6276" priority="7205" stopIfTrue="1" operator="equal">
      <formula>"Towel"</formula>
    </cfRule>
  </conditionalFormatting>
  <conditionalFormatting sqref="C86:C87">
    <cfRule type="cellIs" dxfId="6275" priority="7204" stopIfTrue="1" operator="equal">
      <formula>"Napkin Hs"</formula>
    </cfRule>
  </conditionalFormatting>
  <conditionalFormatting sqref="C86:C87">
    <cfRule type="cellIs" dxfId="6274" priority="7201" stopIfTrue="1" operator="equal">
      <formula>"Towel"</formula>
    </cfRule>
    <cfRule type="cellIs" dxfId="6273" priority="7202" stopIfTrue="1" operator="equal">
      <formula>"Napkin Hs"</formula>
    </cfRule>
  </conditionalFormatting>
  <conditionalFormatting sqref="C86:C87">
    <cfRule type="cellIs" dxfId="6272" priority="7203" stopIfTrue="1" operator="equal">
      <formula>"Towel"</formula>
    </cfRule>
  </conditionalFormatting>
  <conditionalFormatting sqref="B88:C88">
    <cfRule type="cellIs" dxfId="6271" priority="7200" stopIfTrue="1" operator="equal">
      <formula>"Napkin Hs"</formula>
    </cfRule>
  </conditionalFormatting>
  <conditionalFormatting sqref="B88:C88">
    <cfRule type="cellIs" dxfId="6270" priority="7199" stopIfTrue="1" operator="equal">
      <formula>"Towel"</formula>
    </cfRule>
  </conditionalFormatting>
  <conditionalFormatting sqref="C88">
    <cfRule type="cellIs" dxfId="6269" priority="7198" stopIfTrue="1" operator="equal">
      <formula>"Napkin Hs"</formula>
    </cfRule>
  </conditionalFormatting>
  <conditionalFormatting sqref="C88">
    <cfRule type="cellIs" dxfId="6268" priority="7197" stopIfTrue="1" operator="equal">
      <formula>"Towel"</formula>
    </cfRule>
  </conditionalFormatting>
  <conditionalFormatting sqref="C88">
    <cfRule type="cellIs" dxfId="6267" priority="7195" stopIfTrue="1" operator="equal">
      <formula>"Towel"</formula>
    </cfRule>
    <cfRule type="cellIs" dxfId="6266" priority="7196" stopIfTrue="1" operator="equal">
      <formula>"Napkin Hs"</formula>
    </cfRule>
  </conditionalFormatting>
  <conditionalFormatting sqref="B88:C88">
    <cfRule type="cellIs" dxfId="6265" priority="7193" stopIfTrue="1" operator="equal">
      <formula>"Towel"</formula>
    </cfRule>
    <cfRule type="cellIs" dxfId="6264" priority="7194" stopIfTrue="1" operator="equal">
      <formula>"Napkin Hs"</formula>
    </cfRule>
  </conditionalFormatting>
  <conditionalFormatting sqref="C88">
    <cfRule type="cellIs" dxfId="6263" priority="7189" stopIfTrue="1" operator="equal">
      <formula>"Towel"</formula>
    </cfRule>
    <cfRule type="cellIs" dxfId="6262" priority="7190" stopIfTrue="1" operator="equal">
      <formula>"Napkin Hs"</formula>
    </cfRule>
  </conditionalFormatting>
  <conditionalFormatting sqref="C88">
    <cfRule type="cellIs" dxfId="6261" priority="7191" stopIfTrue="1" operator="equal">
      <formula>"Towel"</formula>
    </cfRule>
    <cfRule type="cellIs" dxfId="6260" priority="7192" stopIfTrue="1" operator="equal">
      <formula>"Napkin Hs"</formula>
    </cfRule>
  </conditionalFormatting>
  <conditionalFormatting sqref="B88:C88">
    <cfRule type="cellIs" dxfId="6259" priority="7188" stopIfTrue="1" operator="equal">
      <formula>"Napkin Hs"</formula>
    </cfRule>
  </conditionalFormatting>
  <conditionalFormatting sqref="B88:C88">
    <cfRule type="cellIs" dxfId="6258" priority="7187" stopIfTrue="1" operator="equal">
      <formula>"Towel"</formula>
    </cfRule>
  </conditionalFormatting>
  <conditionalFormatting sqref="C88">
    <cfRule type="cellIs" dxfId="6257" priority="7186" stopIfTrue="1" operator="equal">
      <formula>"Napkin Hs"</formula>
    </cfRule>
  </conditionalFormatting>
  <conditionalFormatting sqref="C88">
    <cfRule type="cellIs" dxfId="6256" priority="7185" stopIfTrue="1" operator="equal">
      <formula>"Towel"</formula>
    </cfRule>
  </conditionalFormatting>
  <conditionalFormatting sqref="C88">
    <cfRule type="cellIs" dxfId="6255" priority="7183" stopIfTrue="1" operator="equal">
      <formula>"Towel"</formula>
    </cfRule>
    <cfRule type="cellIs" dxfId="6254" priority="7184" stopIfTrue="1" operator="equal">
      <formula>"Napkin Hs"</formula>
    </cfRule>
  </conditionalFormatting>
  <conditionalFormatting sqref="B88:C88">
    <cfRule type="cellIs" dxfId="6253" priority="7181" stopIfTrue="1" operator="equal">
      <formula>"Towel"</formula>
    </cfRule>
    <cfRule type="cellIs" dxfId="6252" priority="7182" stopIfTrue="1" operator="equal">
      <formula>"Napkin Hs"</formula>
    </cfRule>
  </conditionalFormatting>
  <conditionalFormatting sqref="C88">
    <cfRule type="cellIs" dxfId="6251" priority="7179" stopIfTrue="1" operator="equal">
      <formula>"Towel"</formula>
    </cfRule>
    <cfRule type="cellIs" dxfId="6250" priority="7180" stopIfTrue="1" operator="equal">
      <formula>"Napkin Hs"</formula>
    </cfRule>
  </conditionalFormatting>
  <conditionalFormatting sqref="C88">
    <cfRule type="cellIs" dxfId="6249" priority="7177" stopIfTrue="1" operator="equal">
      <formula>"Towel"</formula>
    </cfRule>
    <cfRule type="cellIs" dxfId="6248" priority="7178" stopIfTrue="1" operator="equal">
      <formula>"Napkin Hs"</formula>
    </cfRule>
  </conditionalFormatting>
  <conditionalFormatting sqref="B88:C88">
    <cfRule type="cellIs" dxfId="6247" priority="7175" stopIfTrue="1" operator="equal">
      <formula>"Towel"</formula>
    </cfRule>
    <cfRule type="cellIs" dxfId="6246" priority="7176" stopIfTrue="1" operator="equal">
      <formula>"Napkin Hs"</formula>
    </cfRule>
  </conditionalFormatting>
  <conditionalFormatting sqref="C88">
    <cfRule type="cellIs" dxfId="6245" priority="7173" stopIfTrue="1" operator="equal">
      <formula>"Towel"</formula>
    </cfRule>
    <cfRule type="cellIs" dxfId="6244" priority="7174" stopIfTrue="1" operator="equal">
      <formula>"Napkin Hs"</formula>
    </cfRule>
  </conditionalFormatting>
  <conditionalFormatting sqref="C88">
    <cfRule type="cellIs" dxfId="6243" priority="7171" stopIfTrue="1" operator="equal">
      <formula>"Towel"</formula>
    </cfRule>
    <cfRule type="cellIs" dxfId="6242" priority="7172" stopIfTrue="1" operator="equal">
      <formula>"Napkin Hs"</formula>
    </cfRule>
  </conditionalFormatting>
  <conditionalFormatting sqref="B88:C88">
    <cfRule type="cellIs" dxfId="6241" priority="7169" stopIfTrue="1" operator="equal">
      <formula>"Towel"</formula>
    </cfRule>
    <cfRule type="cellIs" dxfId="6240" priority="7170" stopIfTrue="1" operator="equal">
      <formula>"Napkin Hs"</formula>
    </cfRule>
  </conditionalFormatting>
  <conditionalFormatting sqref="C88">
    <cfRule type="cellIs" dxfId="6239" priority="7167" stopIfTrue="1" operator="equal">
      <formula>"Towel"</formula>
    </cfRule>
    <cfRule type="cellIs" dxfId="6238" priority="7168" stopIfTrue="1" operator="equal">
      <formula>"Napkin Hs"</formula>
    </cfRule>
  </conditionalFormatting>
  <conditionalFormatting sqref="C88">
    <cfRule type="cellIs" dxfId="6237" priority="7165" stopIfTrue="1" operator="equal">
      <formula>"Towel"</formula>
    </cfRule>
    <cfRule type="cellIs" dxfId="6236" priority="7166" stopIfTrue="1" operator="equal">
      <formula>"Napkin Hs"</formula>
    </cfRule>
  </conditionalFormatting>
  <conditionalFormatting sqref="B88:C88">
    <cfRule type="cellIs" dxfId="6235" priority="7163" stopIfTrue="1" operator="equal">
      <formula>"Towel"</formula>
    </cfRule>
    <cfRule type="cellIs" dxfId="6234" priority="7164" stopIfTrue="1" operator="equal">
      <formula>"Napkin Hs"</formula>
    </cfRule>
  </conditionalFormatting>
  <conditionalFormatting sqref="C88">
    <cfRule type="cellIs" dxfId="6233" priority="7161" stopIfTrue="1" operator="equal">
      <formula>"Towel"</formula>
    </cfRule>
    <cfRule type="cellIs" dxfId="6232" priority="7162" stopIfTrue="1" operator="equal">
      <formula>"Napkin Hs"</formula>
    </cfRule>
  </conditionalFormatting>
  <conditionalFormatting sqref="C88">
    <cfRule type="cellIs" dxfId="6231" priority="7159" stopIfTrue="1" operator="equal">
      <formula>"Towel"</formula>
    </cfRule>
    <cfRule type="cellIs" dxfId="6230" priority="7160" stopIfTrue="1" operator="equal">
      <formula>"Napkin Hs"</formula>
    </cfRule>
  </conditionalFormatting>
  <conditionalFormatting sqref="B88:C88">
    <cfRule type="cellIs" dxfId="6229" priority="7157" stopIfTrue="1" operator="equal">
      <formula>"Towel"</formula>
    </cfRule>
    <cfRule type="cellIs" dxfId="6228" priority="7158" stopIfTrue="1" operator="equal">
      <formula>"Napkin Hs"</formula>
    </cfRule>
  </conditionalFormatting>
  <conditionalFormatting sqref="C88">
    <cfRule type="cellIs" dxfId="6227" priority="7155" stopIfTrue="1" operator="equal">
      <formula>"Towel"</formula>
    </cfRule>
    <cfRule type="cellIs" dxfId="6226" priority="7156" stopIfTrue="1" operator="equal">
      <formula>"Napkin Hs"</formula>
    </cfRule>
  </conditionalFormatting>
  <conditionalFormatting sqref="C88">
    <cfRule type="cellIs" dxfId="6225" priority="7153" stopIfTrue="1" operator="equal">
      <formula>"Towel"</formula>
    </cfRule>
    <cfRule type="cellIs" dxfId="6224" priority="7154" stopIfTrue="1" operator="equal">
      <formula>"Napkin Hs"</formula>
    </cfRule>
  </conditionalFormatting>
  <conditionalFormatting sqref="B88:C88">
    <cfRule type="cellIs" dxfId="6223" priority="7152" stopIfTrue="1" operator="equal">
      <formula>"Napkin Hs"</formula>
    </cfRule>
  </conditionalFormatting>
  <conditionalFormatting sqref="B88:C88">
    <cfRule type="cellIs" dxfId="6222" priority="7151" stopIfTrue="1" operator="equal">
      <formula>"Towel"</formula>
    </cfRule>
  </conditionalFormatting>
  <conditionalFormatting sqref="C88">
    <cfRule type="cellIs" dxfId="6221" priority="7150" stopIfTrue="1" operator="equal">
      <formula>"Napkin Hs"</formula>
    </cfRule>
  </conditionalFormatting>
  <conditionalFormatting sqref="C88">
    <cfRule type="cellIs" dxfId="6220" priority="7147" stopIfTrue="1" operator="equal">
      <formula>"Towel"</formula>
    </cfRule>
    <cfRule type="cellIs" dxfId="6219" priority="7148" stopIfTrue="1" operator="equal">
      <formula>"Napkin Hs"</formula>
    </cfRule>
  </conditionalFormatting>
  <conditionalFormatting sqref="C88">
    <cfRule type="cellIs" dxfId="6218" priority="7149" stopIfTrue="1" operator="equal">
      <formula>"Towel"</formula>
    </cfRule>
  </conditionalFormatting>
  <conditionalFormatting sqref="B88:C88">
    <cfRule type="cellIs" dxfId="6217" priority="7146" stopIfTrue="1" operator="equal">
      <formula>"Napkin Hs"</formula>
    </cfRule>
  </conditionalFormatting>
  <conditionalFormatting sqref="B88:C88">
    <cfRule type="cellIs" dxfId="6216" priority="7145" stopIfTrue="1" operator="equal">
      <formula>"Towel"</formula>
    </cfRule>
  </conditionalFormatting>
  <conditionalFormatting sqref="C88">
    <cfRule type="cellIs" dxfId="6215" priority="7144" stopIfTrue="1" operator="equal">
      <formula>"Napkin Hs"</formula>
    </cfRule>
  </conditionalFormatting>
  <conditionalFormatting sqref="C88">
    <cfRule type="cellIs" dxfId="6214" priority="7141" stopIfTrue="1" operator="equal">
      <formula>"Towel"</formula>
    </cfRule>
    <cfRule type="cellIs" dxfId="6213" priority="7142" stopIfTrue="1" operator="equal">
      <formula>"Napkin Hs"</formula>
    </cfRule>
  </conditionalFormatting>
  <conditionalFormatting sqref="C88">
    <cfRule type="cellIs" dxfId="6212" priority="7143" stopIfTrue="1" operator="equal">
      <formula>"Towel"</formula>
    </cfRule>
  </conditionalFormatting>
  <conditionalFormatting sqref="B93:C93">
    <cfRule type="cellIs" dxfId="6211" priority="7085" stopIfTrue="1" operator="equal">
      <formula>"Towel"</formula>
    </cfRule>
    <cfRule type="cellIs" dxfId="6210" priority="7086" stopIfTrue="1" operator="equal">
      <formula>"Napkin Hs"</formula>
    </cfRule>
  </conditionalFormatting>
  <conditionalFormatting sqref="C93">
    <cfRule type="cellIs" dxfId="6209" priority="7083" stopIfTrue="1" operator="equal">
      <formula>"Towel"</formula>
    </cfRule>
    <cfRule type="cellIs" dxfId="6208" priority="7084" stopIfTrue="1" operator="equal">
      <formula>"Napkin Hs"</formula>
    </cfRule>
  </conditionalFormatting>
  <conditionalFormatting sqref="C93">
    <cfRule type="cellIs" dxfId="6207" priority="7081" stopIfTrue="1" operator="equal">
      <formula>"Towel"</formula>
    </cfRule>
    <cfRule type="cellIs" dxfId="6206" priority="7082" stopIfTrue="1" operator="equal">
      <formula>"Napkin Hs"</formula>
    </cfRule>
  </conditionalFormatting>
  <conditionalFormatting sqref="B94:C94">
    <cfRule type="cellIs" dxfId="6205" priority="7079" stopIfTrue="1" operator="equal">
      <formula>"Towel"</formula>
    </cfRule>
    <cfRule type="cellIs" dxfId="6204" priority="7080" stopIfTrue="1" operator="equal">
      <formula>"Napkin Hs"</formula>
    </cfRule>
  </conditionalFormatting>
  <conditionalFormatting sqref="C94">
    <cfRule type="cellIs" dxfId="6203" priority="7075" stopIfTrue="1" operator="equal">
      <formula>"Towel"</formula>
    </cfRule>
    <cfRule type="cellIs" dxfId="6202" priority="7076" stopIfTrue="1" operator="equal">
      <formula>"Napkin Hs"</formula>
    </cfRule>
  </conditionalFormatting>
  <conditionalFormatting sqref="C94">
    <cfRule type="cellIs" dxfId="6201" priority="7077" stopIfTrue="1" operator="equal">
      <formula>"Towel"</formula>
    </cfRule>
    <cfRule type="cellIs" dxfId="6200" priority="7078" stopIfTrue="1" operator="equal">
      <formula>"Napkin Hs"</formula>
    </cfRule>
  </conditionalFormatting>
  <conditionalFormatting sqref="B94:C94">
    <cfRule type="cellIs" dxfId="6199" priority="7074" stopIfTrue="1" operator="equal">
      <formula>"Napkin Hs"</formula>
    </cfRule>
  </conditionalFormatting>
  <conditionalFormatting sqref="B94:C94">
    <cfRule type="cellIs" dxfId="6198" priority="7073" stopIfTrue="1" operator="equal">
      <formula>"Towel"</formula>
    </cfRule>
  </conditionalFormatting>
  <conditionalFormatting sqref="C94">
    <cfRule type="cellIs" dxfId="6197" priority="7072" stopIfTrue="1" operator="equal">
      <formula>"Napkin Hs"</formula>
    </cfRule>
  </conditionalFormatting>
  <conditionalFormatting sqref="C94">
    <cfRule type="cellIs" dxfId="6196" priority="7071" stopIfTrue="1" operator="equal">
      <formula>"Towel"</formula>
    </cfRule>
  </conditionalFormatting>
  <conditionalFormatting sqref="C94">
    <cfRule type="cellIs" dxfId="6195" priority="7069" stopIfTrue="1" operator="equal">
      <formula>"Towel"</formula>
    </cfRule>
    <cfRule type="cellIs" dxfId="6194" priority="7070" stopIfTrue="1" operator="equal">
      <formula>"Napkin Hs"</formula>
    </cfRule>
  </conditionalFormatting>
  <conditionalFormatting sqref="B94:C94">
    <cfRule type="cellIs" dxfId="6193" priority="7067" stopIfTrue="1" operator="equal">
      <formula>"Towel"</formula>
    </cfRule>
    <cfRule type="cellIs" dxfId="6192" priority="7068" stopIfTrue="1" operator="equal">
      <formula>"Napkin Hs"</formula>
    </cfRule>
  </conditionalFormatting>
  <conditionalFormatting sqref="C94">
    <cfRule type="cellIs" dxfId="6191" priority="7065" stopIfTrue="1" operator="equal">
      <formula>"Towel"</formula>
    </cfRule>
    <cfRule type="cellIs" dxfId="6190" priority="7066" stopIfTrue="1" operator="equal">
      <formula>"Napkin Hs"</formula>
    </cfRule>
  </conditionalFormatting>
  <conditionalFormatting sqref="C94">
    <cfRule type="cellIs" dxfId="6189" priority="7063" stopIfTrue="1" operator="equal">
      <formula>"Towel"</formula>
    </cfRule>
    <cfRule type="cellIs" dxfId="6188" priority="7064" stopIfTrue="1" operator="equal">
      <formula>"Napkin Hs"</formula>
    </cfRule>
  </conditionalFormatting>
  <conditionalFormatting sqref="B94:C94">
    <cfRule type="cellIs" dxfId="6187" priority="7061" stopIfTrue="1" operator="equal">
      <formula>"Towel"</formula>
    </cfRule>
    <cfRule type="cellIs" dxfId="6186" priority="7062" stopIfTrue="1" operator="equal">
      <formula>"Napkin Hs"</formula>
    </cfRule>
  </conditionalFormatting>
  <conditionalFormatting sqref="C94">
    <cfRule type="cellIs" dxfId="6185" priority="7059" stopIfTrue="1" operator="equal">
      <formula>"Towel"</formula>
    </cfRule>
    <cfRule type="cellIs" dxfId="6184" priority="7060" stopIfTrue="1" operator="equal">
      <formula>"Napkin Hs"</formula>
    </cfRule>
  </conditionalFormatting>
  <conditionalFormatting sqref="C94">
    <cfRule type="cellIs" dxfId="6183" priority="7057" stopIfTrue="1" operator="equal">
      <formula>"Towel"</formula>
    </cfRule>
    <cfRule type="cellIs" dxfId="6182" priority="7058" stopIfTrue="1" operator="equal">
      <formula>"Napkin Hs"</formula>
    </cfRule>
  </conditionalFormatting>
  <conditionalFormatting sqref="B94:C94">
    <cfRule type="cellIs" dxfId="6181" priority="7055" stopIfTrue="1" operator="equal">
      <formula>"Towel"</formula>
    </cfRule>
    <cfRule type="cellIs" dxfId="6180" priority="7056" stopIfTrue="1" operator="equal">
      <formula>"Napkin Hs"</formula>
    </cfRule>
  </conditionalFormatting>
  <conditionalFormatting sqref="C94">
    <cfRule type="cellIs" dxfId="6179" priority="7053" stopIfTrue="1" operator="equal">
      <formula>"Towel"</formula>
    </cfRule>
    <cfRule type="cellIs" dxfId="6178" priority="7054" stopIfTrue="1" operator="equal">
      <formula>"Napkin Hs"</formula>
    </cfRule>
  </conditionalFormatting>
  <conditionalFormatting sqref="C94">
    <cfRule type="cellIs" dxfId="6177" priority="7051" stopIfTrue="1" operator="equal">
      <formula>"Towel"</formula>
    </cfRule>
    <cfRule type="cellIs" dxfId="6176" priority="7052" stopIfTrue="1" operator="equal">
      <formula>"Napkin Hs"</formula>
    </cfRule>
  </conditionalFormatting>
  <conditionalFormatting sqref="B94:C94">
    <cfRule type="cellIs" dxfId="6175" priority="7049" stopIfTrue="1" operator="equal">
      <formula>"Towel"</formula>
    </cfRule>
    <cfRule type="cellIs" dxfId="6174" priority="7050" stopIfTrue="1" operator="equal">
      <formula>"Napkin Hs"</formula>
    </cfRule>
  </conditionalFormatting>
  <conditionalFormatting sqref="C94">
    <cfRule type="cellIs" dxfId="6173" priority="7047" stopIfTrue="1" operator="equal">
      <formula>"Towel"</formula>
    </cfRule>
    <cfRule type="cellIs" dxfId="6172" priority="7048" stopIfTrue="1" operator="equal">
      <formula>"Napkin Hs"</formula>
    </cfRule>
  </conditionalFormatting>
  <conditionalFormatting sqref="C94">
    <cfRule type="cellIs" dxfId="6171" priority="7045" stopIfTrue="1" operator="equal">
      <formula>"Towel"</formula>
    </cfRule>
    <cfRule type="cellIs" dxfId="6170" priority="7046" stopIfTrue="1" operator="equal">
      <formula>"Napkin Hs"</formula>
    </cfRule>
  </conditionalFormatting>
  <conditionalFormatting sqref="B94:C94">
    <cfRule type="cellIs" dxfId="6169" priority="7043" stopIfTrue="1" operator="equal">
      <formula>"Towel"</formula>
    </cfRule>
    <cfRule type="cellIs" dxfId="6168" priority="7044" stopIfTrue="1" operator="equal">
      <formula>"Napkin Hs"</formula>
    </cfRule>
  </conditionalFormatting>
  <conditionalFormatting sqref="C94">
    <cfRule type="cellIs" dxfId="6167" priority="7041" stopIfTrue="1" operator="equal">
      <formula>"Towel"</formula>
    </cfRule>
    <cfRule type="cellIs" dxfId="6166" priority="7042" stopIfTrue="1" operator="equal">
      <formula>"Napkin Hs"</formula>
    </cfRule>
  </conditionalFormatting>
  <conditionalFormatting sqref="C94">
    <cfRule type="cellIs" dxfId="6165" priority="7039" stopIfTrue="1" operator="equal">
      <formula>"Towel"</formula>
    </cfRule>
    <cfRule type="cellIs" dxfId="6164" priority="7040" stopIfTrue="1" operator="equal">
      <formula>"Napkin Hs"</formula>
    </cfRule>
  </conditionalFormatting>
  <conditionalFormatting sqref="B94:C94">
    <cfRule type="cellIs" dxfId="6163" priority="7038" stopIfTrue="1" operator="equal">
      <formula>"Napkin Hs"</formula>
    </cfRule>
  </conditionalFormatting>
  <conditionalFormatting sqref="B94:C94">
    <cfRule type="cellIs" dxfId="6162" priority="7037" stopIfTrue="1" operator="equal">
      <formula>"Towel"</formula>
    </cfRule>
  </conditionalFormatting>
  <conditionalFormatting sqref="C94">
    <cfRule type="cellIs" dxfId="6161" priority="7036" stopIfTrue="1" operator="equal">
      <formula>"Napkin Hs"</formula>
    </cfRule>
  </conditionalFormatting>
  <conditionalFormatting sqref="C94">
    <cfRule type="cellIs" dxfId="6160" priority="7033" stopIfTrue="1" operator="equal">
      <formula>"Towel"</formula>
    </cfRule>
    <cfRule type="cellIs" dxfId="6159" priority="7034" stopIfTrue="1" operator="equal">
      <formula>"Napkin Hs"</formula>
    </cfRule>
  </conditionalFormatting>
  <conditionalFormatting sqref="C94">
    <cfRule type="cellIs" dxfId="6158" priority="7035" stopIfTrue="1" operator="equal">
      <formula>"Towel"</formula>
    </cfRule>
  </conditionalFormatting>
  <conditionalFormatting sqref="B92:C92">
    <cfRule type="cellIs" dxfId="6157" priority="7031" stopIfTrue="1" operator="equal">
      <formula>"Towel"</formula>
    </cfRule>
    <cfRule type="cellIs" dxfId="6156" priority="7032" stopIfTrue="1" operator="equal">
      <formula>"Napkin Hs"</formula>
    </cfRule>
  </conditionalFormatting>
  <conditionalFormatting sqref="C92">
    <cfRule type="cellIs" dxfId="6155" priority="7027" stopIfTrue="1" operator="equal">
      <formula>"Towel"</formula>
    </cfRule>
    <cfRule type="cellIs" dxfId="6154" priority="7028" stopIfTrue="1" operator="equal">
      <formula>"Napkin Hs"</formula>
    </cfRule>
  </conditionalFormatting>
  <conditionalFormatting sqref="C92">
    <cfRule type="cellIs" dxfId="6153" priority="7029" stopIfTrue="1" operator="equal">
      <formula>"Towel"</formula>
    </cfRule>
    <cfRule type="cellIs" dxfId="6152" priority="7030" stopIfTrue="1" operator="equal">
      <formula>"Napkin Hs"</formula>
    </cfRule>
  </conditionalFormatting>
  <conditionalFormatting sqref="B92:C92">
    <cfRule type="cellIs" dxfId="6151" priority="7026" stopIfTrue="1" operator="equal">
      <formula>"Napkin Hs"</formula>
    </cfRule>
  </conditionalFormatting>
  <conditionalFormatting sqref="B92:C92">
    <cfRule type="cellIs" dxfId="6150" priority="7025" stopIfTrue="1" operator="equal">
      <formula>"Towel"</formula>
    </cfRule>
  </conditionalFormatting>
  <conditionalFormatting sqref="C92">
    <cfRule type="cellIs" dxfId="6149" priority="7024" stopIfTrue="1" operator="equal">
      <formula>"Napkin Hs"</formula>
    </cfRule>
  </conditionalFormatting>
  <conditionalFormatting sqref="C92">
    <cfRule type="cellIs" dxfId="6148" priority="7023" stopIfTrue="1" operator="equal">
      <formula>"Towel"</formula>
    </cfRule>
  </conditionalFormatting>
  <conditionalFormatting sqref="C92">
    <cfRule type="cellIs" dxfId="6147" priority="7021" stopIfTrue="1" operator="equal">
      <formula>"Towel"</formula>
    </cfRule>
    <cfRule type="cellIs" dxfId="6146" priority="7022" stopIfTrue="1" operator="equal">
      <formula>"Napkin Hs"</formula>
    </cfRule>
  </conditionalFormatting>
  <conditionalFormatting sqref="B92:C92">
    <cfRule type="cellIs" dxfId="6145" priority="7019" stopIfTrue="1" operator="equal">
      <formula>"Towel"</formula>
    </cfRule>
    <cfRule type="cellIs" dxfId="6144" priority="7020" stopIfTrue="1" operator="equal">
      <formula>"Napkin Hs"</formula>
    </cfRule>
  </conditionalFormatting>
  <conditionalFormatting sqref="C92">
    <cfRule type="cellIs" dxfId="6143" priority="7017" stopIfTrue="1" operator="equal">
      <formula>"Towel"</formula>
    </cfRule>
    <cfRule type="cellIs" dxfId="6142" priority="7018" stopIfTrue="1" operator="equal">
      <formula>"Napkin Hs"</formula>
    </cfRule>
  </conditionalFormatting>
  <conditionalFormatting sqref="C92">
    <cfRule type="cellIs" dxfId="6141" priority="7015" stopIfTrue="1" operator="equal">
      <formula>"Towel"</formula>
    </cfRule>
    <cfRule type="cellIs" dxfId="6140" priority="7016" stopIfTrue="1" operator="equal">
      <formula>"Napkin Hs"</formula>
    </cfRule>
  </conditionalFormatting>
  <conditionalFormatting sqref="B92:C92">
    <cfRule type="cellIs" dxfId="6139" priority="7013" stopIfTrue="1" operator="equal">
      <formula>"Towel"</formula>
    </cfRule>
    <cfRule type="cellIs" dxfId="6138" priority="7014" stopIfTrue="1" operator="equal">
      <formula>"Napkin Hs"</formula>
    </cfRule>
  </conditionalFormatting>
  <conditionalFormatting sqref="C92">
    <cfRule type="cellIs" dxfId="6137" priority="7011" stopIfTrue="1" operator="equal">
      <formula>"Towel"</formula>
    </cfRule>
    <cfRule type="cellIs" dxfId="6136" priority="7012" stopIfTrue="1" operator="equal">
      <formula>"Napkin Hs"</formula>
    </cfRule>
  </conditionalFormatting>
  <conditionalFormatting sqref="C92">
    <cfRule type="cellIs" dxfId="6135" priority="7009" stopIfTrue="1" operator="equal">
      <formula>"Towel"</formula>
    </cfRule>
    <cfRule type="cellIs" dxfId="6134" priority="7010" stopIfTrue="1" operator="equal">
      <formula>"Napkin Hs"</formula>
    </cfRule>
  </conditionalFormatting>
  <conditionalFormatting sqref="B92:C92">
    <cfRule type="cellIs" dxfId="6133" priority="7007" stopIfTrue="1" operator="equal">
      <formula>"Towel"</formula>
    </cfRule>
    <cfRule type="cellIs" dxfId="6132" priority="7008" stopIfTrue="1" operator="equal">
      <formula>"Napkin Hs"</formula>
    </cfRule>
  </conditionalFormatting>
  <conditionalFormatting sqref="C92">
    <cfRule type="cellIs" dxfId="6131" priority="7005" stopIfTrue="1" operator="equal">
      <formula>"Towel"</formula>
    </cfRule>
    <cfRule type="cellIs" dxfId="6130" priority="7006" stopIfTrue="1" operator="equal">
      <formula>"Napkin Hs"</formula>
    </cfRule>
  </conditionalFormatting>
  <conditionalFormatting sqref="C92">
    <cfRule type="cellIs" dxfId="6129" priority="7003" stopIfTrue="1" operator="equal">
      <formula>"Towel"</formula>
    </cfRule>
    <cfRule type="cellIs" dxfId="6128" priority="7004" stopIfTrue="1" operator="equal">
      <formula>"Napkin Hs"</formula>
    </cfRule>
  </conditionalFormatting>
  <conditionalFormatting sqref="B92:C92">
    <cfRule type="cellIs" dxfId="6127" priority="7001" stopIfTrue="1" operator="equal">
      <formula>"Towel"</formula>
    </cfRule>
    <cfRule type="cellIs" dxfId="6126" priority="7002" stopIfTrue="1" operator="equal">
      <formula>"Napkin Hs"</formula>
    </cfRule>
  </conditionalFormatting>
  <conditionalFormatting sqref="C92">
    <cfRule type="cellIs" dxfId="6125" priority="6999" stopIfTrue="1" operator="equal">
      <formula>"Towel"</formula>
    </cfRule>
    <cfRule type="cellIs" dxfId="6124" priority="7000" stopIfTrue="1" operator="equal">
      <formula>"Napkin Hs"</formula>
    </cfRule>
  </conditionalFormatting>
  <conditionalFormatting sqref="C92">
    <cfRule type="cellIs" dxfId="6123" priority="6997" stopIfTrue="1" operator="equal">
      <formula>"Towel"</formula>
    </cfRule>
    <cfRule type="cellIs" dxfId="6122" priority="6998" stopIfTrue="1" operator="equal">
      <formula>"Napkin Hs"</formula>
    </cfRule>
  </conditionalFormatting>
  <conditionalFormatting sqref="B92:C92">
    <cfRule type="cellIs" dxfId="6121" priority="6995" stopIfTrue="1" operator="equal">
      <formula>"Towel"</formula>
    </cfRule>
    <cfRule type="cellIs" dxfId="6120" priority="6996" stopIfTrue="1" operator="equal">
      <formula>"Napkin Hs"</formula>
    </cfRule>
  </conditionalFormatting>
  <conditionalFormatting sqref="C92">
    <cfRule type="cellIs" dxfId="6119" priority="6993" stopIfTrue="1" operator="equal">
      <formula>"Towel"</formula>
    </cfRule>
    <cfRule type="cellIs" dxfId="6118" priority="6994" stopIfTrue="1" operator="equal">
      <formula>"Napkin Hs"</formula>
    </cfRule>
  </conditionalFormatting>
  <conditionalFormatting sqref="C92">
    <cfRule type="cellIs" dxfId="6117" priority="6991" stopIfTrue="1" operator="equal">
      <formula>"Towel"</formula>
    </cfRule>
    <cfRule type="cellIs" dxfId="6116" priority="6992" stopIfTrue="1" operator="equal">
      <formula>"Napkin Hs"</formula>
    </cfRule>
  </conditionalFormatting>
  <conditionalFormatting sqref="B92:C92">
    <cfRule type="cellIs" dxfId="6115" priority="6990" stopIfTrue="1" operator="equal">
      <formula>"Napkin Hs"</formula>
    </cfRule>
  </conditionalFormatting>
  <conditionalFormatting sqref="B92:C92">
    <cfRule type="cellIs" dxfId="6114" priority="6989" stopIfTrue="1" operator="equal">
      <formula>"Towel"</formula>
    </cfRule>
  </conditionalFormatting>
  <conditionalFormatting sqref="C92">
    <cfRule type="cellIs" dxfId="6113" priority="6988" stopIfTrue="1" operator="equal">
      <formula>"Napkin Hs"</formula>
    </cfRule>
  </conditionalFormatting>
  <conditionalFormatting sqref="C92">
    <cfRule type="cellIs" dxfId="6112" priority="6985" stopIfTrue="1" operator="equal">
      <formula>"Towel"</formula>
    </cfRule>
    <cfRule type="cellIs" dxfId="6111" priority="6986" stopIfTrue="1" operator="equal">
      <formula>"Napkin Hs"</formula>
    </cfRule>
  </conditionalFormatting>
  <conditionalFormatting sqref="C92">
    <cfRule type="cellIs" dxfId="6110" priority="6987" stopIfTrue="1" operator="equal">
      <formula>"Towel"</formula>
    </cfRule>
  </conditionalFormatting>
  <conditionalFormatting sqref="B94:C94">
    <cfRule type="cellIs" dxfId="6109" priority="6983" stopIfTrue="1" operator="equal">
      <formula>"Towel"</formula>
    </cfRule>
    <cfRule type="cellIs" dxfId="6108" priority="6984" stopIfTrue="1" operator="equal">
      <formula>"Napkin Hs"</formula>
    </cfRule>
  </conditionalFormatting>
  <conditionalFormatting sqref="C94">
    <cfRule type="cellIs" dxfId="6107" priority="6979" stopIfTrue="1" operator="equal">
      <formula>"Towel"</formula>
    </cfRule>
    <cfRule type="cellIs" dxfId="6106" priority="6980" stopIfTrue="1" operator="equal">
      <formula>"Napkin Hs"</formula>
    </cfRule>
  </conditionalFormatting>
  <conditionalFormatting sqref="C94">
    <cfRule type="cellIs" dxfId="6105" priority="6981" stopIfTrue="1" operator="equal">
      <formula>"Towel"</formula>
    </cfRule>
    <cfRule type="cellIs" dxfId="6104" priority="6982" stopIfTrue="1" operator="equal">
      <formula>"Napkin Hs"</formula>
    </cfRule>
  </conditionalFormatting>
  <conditionalFormatting sqref="B92:C92">
    <cfRule type="cellIs" dxfId="6103" priority="6978" stopIfTrue="1" operator="equal">
      <formula>"Napkin Hs"</formula>
    </cfRule>
  </conditionalFormatting>
  <conditionalFormatting sqref="B92:C92">
    <cfRule type="cellIs" dxfId="6102" priority="6977" stopIfTrue="1" operator="equal">
      <formula>"Towel"</formula>
    </cfRule>
  </conditionalFormatting>
  <conditionalFormatting sqref="C92">
    <cfRule type="cellIs" dxfId="6101" priority="6976" stopIfTrue="1" operator="equal">
      <formula>"Napkin Hs"</formula>
    </cfRule>
  </conditionalFormatting>
  <conditionalFormatting sqref="C92">
    <cfRule type="cellIs" dxfId="6100" priority="6975" stopIfTrue="1" operator="equal">
      <formula>"Towel"</formula>
    </cfRule>
  </conditionalFormatting>
  <conditionalFormatting sqref="C92">
    <cfRule type="cellIs" dxfId="6099" priority="6973" stopIfTrue="1" operator="equal">
      <formula>"Towel"</formula>
    </cfRule>
    <cfRule type="cellIs" dxfId="6098" priority="6974" stopIfTrue="1" operator="equal">
      <formula>"Napkin Hs"</formula>
    </cfRule>
  </conditionalFormatting>
  <conditionalFormatting sqref="C92">
    <cfRule type="cellIs" dxfId="6097" priority="6967" stopIfTrue="1" operator="equal">
      <formula>"Towel"</formula>
    </cfRule>
    <cfRule type="cellIs" dxfId="6096" priority="6968" stopIfTrue="1" operator="equal">
      <formula>"Napkin Hs"</formula>
    </cfRule>
  </conditionalFormatting>
  <conditionalFormatting sqref="B92:C92">
    <cfRule type="cellIs" dxfId="6095" priority="6966" stopIfTrue="1" operator="equal">
      <formula>"Napkin Hs"</formula>
    </cfRule>
  </conditionalFormatting>
  <conditionalFormatting sqref="B92:C92">
    <cfRule type="cellIs" dxfId="6094" priority="6965" stopIfTrue="1" operator="equal">
      <formula>"Towel"</formula>
    </cfRule>
  </conditionalFormatting>
  <conditionalFormatting sqref="C92">
    <cfRule type="cellIs" dxfId="6093" priority="6964" stopIfTrue="1" operator="equal">
      <formula>"Napkin Hs"</formula>
    </cfRule>
  </conditionalFormatting>
  <conditionalFormatting sqref="C92">
    <cfRule type="cellIs" dxfId="6092" priority="6963" stopIfTrue="1" operator="equal">
      <formula>"Towel"</formula>
    </cfRule>
  </conditionalFormatting>
  <conditionalFormatting sqref="C92">
    <cfRule type="cellIs" dxfId="6091" priority="6961" stopIfTrue="1" operator="equal">
      <formula>"Towel"</formula>
    </cfRule>
    <cfRule type="cellIs" dxfId="6090" priority="6962" stopIfTrue="1" operator="equal">
      <formula>"Napkin Hs"</formula>
    </cfRule>
  </conditionalFormatting>
  <conditionalFormatting sqref="C92">
    <cfRule type="cellIs" dxfId="6089" priority="6955" stopIfTrue="1" operator="equal">
      <formula>"Towel"</formula>
    </cfRule>
    <cfRule type="cellIs" dxfId="6088" priority="6956" stopIfTrue="1" operator="equal">
      <formula>"Napkin Hs"</formula>
    </cfRule>
  </conditionalFormatting>
  <conditionalFormatting sqref="C92">
    <cfRule type="cellIs" dxfId="6087" priority="6949" stopIfTrue="1" operator="equal">
      <formula>"Towel"</formula>
    </cfRule>
    <cfRule type="cellIs" dxfId="6086" priority="6950" stopIfTrue="1" operator="equal">
      <formula>"Napkin Hs"</formula>
    </cfRule>
  </conditionalFormatting>
  <conditionalFormatting sqref="C92">
    <cfRule type="cellIs" dxfId="6085" priority="6943" stopIfTrue="1" operator="equal">
      <formula>"Towel"</formula>
    </cfRule>
    <cfRule type="cellIs" dxfId="6084" priority="6944" stopIfTrue="1" operator="equal">
      <formula>"Napkin Hs"</formula>
    </cfRule>
  </conditionalFormatting>
  <conditionalFormatting sqref="C92">
    <cfRule type="cellIs" dxfId="6083" priority="6937" stopIfTrue="1" operator="equal">
      <formula>"Towel"</formula>
    </cfRule>
    <cfRule type="cellIs" dxfId="6082" priority="6938" stopIfTrue="1" operator="equal">
      <formula>"Napkin Hs"</formula>
    </cfRule>
  </conditionalFormatting>
  <conditionalFormatting sqref="C92">
    <cfRule type="cellIs" dxfId="6081" priority="6931" stopIfTrue="1" operator="equal">
      <formula>"Towel"</formula>
    </cfRule>
    <cfRule type="cellIs" dxfId="6080" priority="6932" stopIfTrue="1" operator="equal">
      <formula>"Napkin Hs"</formula>
    </cfRule>
  </conditionalFormatting>
  <conditionalFormatting sqref="B92:C92">
    <cfRule type="cellIs" dxfId="6079" priority="6930" stopIfTrue="1" operator="equal">
      <formula>"Napkin Hs"</formula>
    </cfRule>
  </conditionalFormatting>
  <conditionalFormatting sqref="B92:C92">
    <cfRule type="cellIs" dxfId="6078" priority="6929" stopIfTrue="1" operator="equal">
      <formula>"Towel"</formula>
    </cfRule>
  </conditionalFormatting>
  <conditionalFormatting sqref="C92">
    <cfRule type="cellIs" dxfId="6077" priority="6928" stopIfTrue="1" operator="equal">
      <formula>"Napkin Hs"</formula>
    </cfRule>
  </conditionalFormatting>
  <conditionalFormatting sqref="C92">
    <cfRule type="cellIs" dxfId="6076" priority="6925" stopIfTrue="1" operator="equal">
      <formula>"Towel"</formula>
    </cfRule>
    <cfRule type="cellIs" dxfId="6075" priority="6926" stopIfTrue="1" operator="equal">
      <formula>"Napkin Hs"</formula>
    </cfRule>
  </conditionalFormatting>
  <conditionalFormatting sqref="C92">
    <cfRule type="cellIs" dxfId="6074" priority="6927" stopIfTrue="1" operator="equal">
      <formula>"Towel"</formula>
    </cfRule>
  </conditionalFormatting>
  <conditionalFormatting sqref="B92:C92">
    <cfRule type="cellIs" dxfId="6073" priority="6924" stopIfTrue="1" operator="equal">
      <formula>"Napkin Hs"</formula>
    </cfRule>
  </conditionalFormatting>
  <conditionalFormatting sqref="B92:C92">
    <cfRule type="cellIs" dxfId="6072" priority="6923" stopIfTrue="1" operator="equal">
      <formula>"Towel"</formula>
    </cfRule>
  </conditionalFormatting>
  <conditionalFormatting sqref="C92">
    <cfRule type="cellIs" dxfId="6071" priority="6922" stopIfTrue="1" operator="equal">
      <formula>"Napkin Hs"</formula>
    </cfRule>
  </conditionalFormatting>
  <conditionalFormatting sqref="C92">
    <cfRule type="cellIs" dxfId="6070" priority="6919" stopIfTrue="1" operator="equal">
      <formula>"Towel"</formula>
    </cfRule>
    <cfRule type="cellIs" dxfId="6069" priority="6920" stopIfTrue="1" operator="equal">
      <formula>"Napkin Hs"</formula>
    </cfRule>
  </conditionalFormatting>
  <conditionalFormatting sqref="C92">
    <cfRule type="cellIs" dxfId="6068" priority="6921" stopIfTrue="1" operator="equal">
      <formula>"Towel"</formula>
    </cfRule>
  </conditionalFormatting>
  <conditionalFormatting sqref="B93:C93">
    <cfRule type="cellIs" dxfId="6067" priority="6852" stopIfTrue="1" operator="equal">
      <formula>"Napkin Hs"</formula>
    </cfRule>
  </conditionalFormatting>
  <conditionalFormatting sqref="B93:C93">
    <cfRule type="cellIs" dxfId="6066" priority="6851" stopIfTrue="1" operator="equal">
      <formula>"Towel"</formula>
    </cfRule>
  </conditionalFormatting>
  <conditionalFormatting sqref="C93">
    <cfRule type="cellIs" dxfId="6065" priority="6850" stopIfTrue="1" operator="equal">
      <formula>"Napkin Hs"</formula>
    </cfRule>
  </conditionalFormatting>
  <conditionalFormatting sqref="C93">
    <cfRule type="cellIs" dxfId="6064" priority="6847" stopIfTrue="1" operator="equal">
      <formula>"Towel"</formula>
    </cfRule>
    <cfRule type="cellIs" dxfId="6063" priority="6848" stopIfTrue="1" operator="equal">
      <formula>"Napkin Hs"</formula>
    </cfRule>
  </conditionalFormatting>
  <conditionalFormatting sqref="C93">
    <cfRule type="cellIs" dxfId="6062" priority="6849" stopIfTrue="1" operator="equal">
      <formula>"Towel"</formula>
    </cfRule>
  </conditionalFormatting>
  <conditionalFormatting sqref="B92:C92">
    <cfRule type="cellIs" dxfId="6061" priority="6971" stopIfTrue="1" operator="equal">
      <formula>"Towel"</formula>
    </cfRule>
    <cfRule type="cellIs" dxfId="6060" priority="6972" stopIfTrue="1" operator="equal">
      <formula>"Napkin Hs"</formula>
    </cfRule>
  </conditionalFormatting>
  <conditionalFormatting sqref="C92">
    <cfRule type="cellIs" dxfId="6059" priority="6969" stopIfTrue="1" operator="equal">
      <formula>"Towel"</formula>
    </cfRule>
    <cfRule type="cellIs" dxfId="6058" priority="6970" stopIfTrue="1" operator="equal">
      <formula>"Napkin Hs"</formula>
    </cfRule>
  </conditionalFormatting>
  <conditionalFormatting sqref="B92:C92">
    <cfRule type="cellIs" dxfId="6057" priority="6959" stopIfTrue="1" operator="equal">
      <formula>"Towel"</formula>
    </cfRule>
    <cfRule type="cellIs" dxfId="6056" priority="6960" stopIfTrue="1" operator="equal">
      <formula>"Napkin Hs"</formula>
    </cfRule>
  </conditionalFormatting>
  <conditionalFormatting sqref="C92">
    <cfRule type="cellIs" dxfId="6055" priority="6957" stopIfTrue="1" operator="equal">
      <formula>"Towel"</formula>
    </cfRule>
    <cfRule type="cellIs" dxfId="6054" priority="6958" stopIfTrue="1" operator="equal">
      <formula>"Napkin Hs"</formula>
    </cfRule>
  </conditionalFormatting>
  <conditionalFormatting sqref="B92:C92">
    <cfRule type="cellIs" dxfId="6053" priority="6953" stopIfTrue="1" operator="equal">
      <formula>"Towel"</formula>
    </cfRule>
    <cfRule type="cellIs" dxfId="6052" priority="6954" stopIfTrue="1" operator="equal">
      <formula>"Napkin Hs"</formula>
    </cfRule>
  </conditionalFormatting>
  <conditionalFormatting sqref="C92">
    <cfRule type="cellIs" dxfId="6051" priority="6951" stopIfTrue="1" operator="equal">
      <formula>"Towel"</formula>
    </cfRule>
    <cfRule type="cellIs" dxfId="6050" priority="6952" stopIfTrue="1" operator="equal">
      <formula>"Napkin Hs"</formula>
    </cfRule>
  </conditionalFormatting>
  <conditionalFormatting sqref="B92:C92">
    <cfRule type="cellIs" dxfId="6049" priority="6947" stopIfTrue="1" operator="equal">
      <formula>"Towel"</formula>
    </cfRule>
    <cfRule type="cellIs" dxfId="6048" priority="6948" stopIfTrue="1" operator="equal">
      <formula>"Napkin Hs"</formula>
    </cfRule>
  </conditionalFormatting>
  <conditionalFormatting sqref="C92">
    <cfRule type="cellIs" dxfId="6047" priority="6945" stopIfTrue="1" operator="equal">
      <formula>"Towel"</formula>
    </cfRule>
    <cfRule type="cellIs" dxfId="6046" priority="6946" stopIfTrue="1" operator="equal">
      <formula>"Napkin Hs"</formula>
    </cfRule>
  </conditionalFormatting>
  <conditionalFormatting sqref="B92:C92">
    <cfRule type="cellIs" dxfId="6045" priority="6941" stopIfTrue="1" operator="equal">
      <formula>"Towel"</formula>
    </cfRule>
    <cfRule type="cellIs" dxfId="6044" priority="6942" stopIfTrue="1" operator="equal">
      <formula>"Napkin Hs"</formula>
    </cfRule>
  </conditionalFormatting>
  <conditionalFormatting sqref="C92">
    <cfRule type="cellIs" dxfId="6043" priority="6939" stopIfTrue="1" operator="equal">
      <formula>"Towel"</formula>
    </cfRule>
    <cfRule type="cellIs" dxfId="6042" priority="6940" stopIfTrue="1" operator="equal">
      <formula>"Napkin Hs"</formula>
    </cfRule>
  </conditionalFormatting>
  <conditionalFormatting sqref="B92:C92">
    <cfRule type="cellIs" dxfId="6041" priority="6935" stopIfTrue="1" operator="equal">
      <formula>"Towel"</formula>
    </cfRule>
    <cfRule type="cellIs" dxfId="6040" priority="6936" stopIfTrue="1" operator="equal">
      <formula>"Napkin Hs"</formula>
    </cfRule>
  </conditionalFormatting>
  <conditionalFormatting sqref="C92">
    <cfRule type="cellIs" dxfId="6039" priority="6933" stopIfTrue="1" operator="equal">
      <formula>"Towel"</formula>
    </cfRule>
    <cfRule type="cellIs" dxfId="6038" priority="6934" stopIfTrue="1" operator="equal">
      <formula>"Napkin Hs"</formula>
    </cfRule>
  </conditionalFormatting>
  <conditionalFormatting sqref="B92:C92">
    <cfRule type="cellIs" dxfId="6037" priority="6918" stopIfTrue="1" operator="equal">
      <formula>"Napkin Hs"</formula>
    </cfRule>
  </conditionalFormatting>
  <conditionalFormatting sqref="B92:C92">
    <cfRule type="cellIs" dxfId="6036" priority="6917" stopIfTrue="1" operator="equal">
      <formula>"Towel"</formula>
    </cfRule>
  </conditionalFormatting>
  <conditionalFormatting sqref="C92">
    <cfRule type="cellIs" dxfId="6035" priority="6916" stopIfTrue="1" operator="equal">
      <formula>"Napkin Hs"</formula>
    </cfRule>
  </conditionalFormatting>
  <conditionalFormatting sqref="C92">
    <cfRule type="cellIs" dxfId="6034" priority="6913" stopIfTrue="1" operator="equal">
      <formula>"Towel"</formula>
    </cfRule>
    <cfRule type="cellIs" dxfId="6033" priority="6914" stopIfTrue="1" operator="equal">
      <formula>"Napkin Hs"</formula>
    </cfRule>
  </conditionalFormatting>
  <conditionalFormatting sqref="C92">
    <cfRule type="cellIs" dxfId="6032" priority="6915" stopIfTrue="1" operator="equal">
      <formula>"Towel"</formula>
    </cfRule>
  </conditionalFormatting>
  <conditionalFormatting sqref="B93:C93">
    <cfRule type="cellIs" dxfId="6031" priority="6912" stopIfTrue="1" operator="equal">
      <formula>"Napkin Hs"</formula>
    </cfRule>
  </conditionalFormatting>
  <conditionalFormatting sqref="B93:C93">
    <cfRule type="cellIs" dxfId="6030" priority="6911" stopIfTrue="1" operator="equal">
      <formula>"Towel"</formula>
    </cfRule>
  </conditionalFormatting>
  <conditionalFormatting sqref="C93">
    <cfRule type="cellIs" dxfId="6029" priority="6910" stopIfTrue="1" operator="equal">
      <formula>"Napkin Hs"</formula>
    </cfRule>
  </conditionalFormatting>
  <conditionalFormatting sqref="C93">
    <cfRule type="cellIs" dxfId="6028" priority="6909" stopIfTrue="1" operator="equal">
      <formula>"Towel"</formula>
    </cfRule>
  </conditionalFormatting>
  <conditionalFormatting sqref="C93">
    <cfRule type="cellIs" dxfId="6027" priority="6907" stopIfTrue="1" operator="equal">
      <formula>"Towel"</formula>
    </cfRule>
    <cfRule type="cellIs" dxfId="6026" priority="6908" stopIfTrue="1" operator="equal">
      <formula>"Napkin Hs"</formula>
    </cfRule>
  </conditionalFormatting>
  <conditionalFormatting sqref="B93:C93">
    <cfRule type="cellIs" dxfId="6025" priority="6905" stopIfTrue="1" operator="equal">
      <formula>"Towel"</formula>
    </cfRule>
    <cfRule type="cellIs" dxfId="6024" priority="6906" stopIfTrue="1" operator="equal">
      <formula>"Napkin Hs"</formula>
    </cfRule>
  </conditionalFormatting>
  <conditionalFormatting sqref="C93">
    <cfRule type="cellIs" dxfId="6023" priority="6901" stopIfTrue="1" operator="equal">
      <formula>"Towel"</formula>
    </cfRule>
    <cfRule type="cellIs" dxfId="6022" priority="6902" stopIfTrue="1" operator="equal">
      <formula>"Napkin Hs"</formula>
    </cfRule>
  </conditionalFormatting>
  <conditionalFormatting sqref="C93">
    <cfRule type="cellIs" dxfId="6021" priority="6903" stopIfTrue="1" operator="equal">
      <formula>"Towel"</formula>
    </cfRule>
    <cfRule type="cellIs" dxfId="6020" priority="6904" stopIfTrue="1" operator="equal">
      <formula>"Napkin Hs"</formula>
    </cfRule>
  </conditionalFormatting>
  <conditionalFormatting sqref="B93:C93">
    <cfRule type="cellIs" dxfId="6019" priority="6900" stopIfTrue="1" operator="equal">
      <formula>"Napkin Hs"</formula>
    </cfRule>
  </conditionalFormatting>
  <conditionalFormatting sqref="B93:C93">
    <cfRule type="cellIs" dxfId="6018" priority="6899" stopIfTrue="1" operator="equal">
      <formula>"Towel"</formula>
    </cfRule>
  </conditionalFormatting>
  <conditionalFormatting sqref="C93">
    <cfRule type="cellIs" dxfId="6017" priority="6898" stopIfTrue="1" operator="equal">
      <formula>"Napkin Hs"</formula>
    </cfRule>
  </conditionalFormatting>
  <conditionalFormatting sqref="C93">
    <cfRule type="cellIs" dxfId="6016" priority="6897" stopIfTrue="1" operator="equal">
      <formula>"Towel"</formula>
    </cfRule>
  </conditionalFormatting>
  <conditionalFormatting sqref="C93">
    <cfRule type="cellIs" dxfId="6015" priority="6895" stopIfTrue="1" operator="equal">
      <formula>"Towel"</formula>
    </cfRule>
    <cfRule type="cellIs" dxfId="6014" priority="6896" stopIfTrue="1" operator="equal">
      <formula>"Napkin Hs"</formula>
    </cfRule>
  </conditionalFormatting>
  <conditionalFormatting sqref="B93:C93">
    <cfRule type="cellIs" dxfId="6013" priority="6893" stopIfTrue="1" operator="equal">
      <formula>"Towel"</formula>
    </cfRule>
    <cfRule type="cellIs" dxfId="6012" priority="6894" stopIfTrue="1" operator="equal">
      <formula>"Napkin Hs"</formula>
    </cfRule>
  </conditionalFormatting>
  <conditionalFormatting sqref="C93">
    <cfRule type="cellIs" dxfId="6011" priority="6891" stopIfTrue="1" operator="equal">
      <formula>"Towel"</formula>
    </cfRule>
    <cfRule type="cellIs" dxfId="6010" priority="6892" stopIfTrue="1" operator="equal">
      <formula>"Napkin Hs"</formula>
    </cfRule>
  </conditionalFormatting>
  <conditionalFormatting sqref="C93">
    <cfRule type="cellIs" dxfId="6009" priority="6889" stopIfTrue="1" operator="equal">
      <formula>"Towel"</formula>
    </cfRule>
    <cfRule type="cellIs" dxfId="6008" priority="6890" stopIfTrue="1" operator="equal">
      <formula>"Napkin Hs"</formula>
    </cfRule>
  </conditionalFormatting>
  <conditionalFormatting sqref="B93:C93">
    <cfRule type="cellIs" dxfId="6007" priority="6887" stopIfTrue="1" operator="equal">
      <formula>"Towel"</formula>
    </cfRule>
    <cfRule type="cellIs" dxfId="6006" priority="6888" stopIfTrue="1" operator="equal">
      <formula>"Napkin Hs"</formula>
    </cfRule>
  </conditionalFormatting>
  <conditionalFormatting sqref="C93">
    <cfRule type="cellIs" dxfId="6005" priority="6885" stopIfTrue="1" operator="equal">
      <formula>"Towel"</formula>
    </cfRule>
    <cfRule type="cellIs" dxfId="6004" priority="6886" stopIfTrue="1" operator="equal">
      <formula>"Napkin Hs"</formula>
    </cfRule>
  </conditionalFormatting>
  <conditionalFormatting sqref="C93">
    <cfRule type="cellIs" dxfId="6003" priority="6883" stopIfTrue="1" operator="equal">
      <formula>"Towel"</formula>
    </cfRule>
    <cfRule type="cellIs" dxfId="6002" priority="6884" stopIfTrue="1" operator="equal">
      <formula>"Napkin Hs"</formula>
    </cfRule>
  </conditionalFormatting>
  <conditionalFormatting sqref="B93:C93">
    <cfRule type="cellIs" dxfId="6001" priority="6881" stopIfTrue="1" operator="equal">
      <formula>"Towel"</formula>
    </cfRule>
    <cfRule type="cellIs" dxfId="6000" priority="6882" stopIfTrue="1" operator="equal">
      <formula>"Napkin Hs"</formula>
    </cfRule>
  </conditionalFormatting>
  <conditionalFormatting sqref="C93">
    <cfRule type="cellIs" dxfId="5999" priority="6879" stopIfTrue="1" operator="equal">
      <formula>"Towel"</formula>
    </cfRule>
    <cfRule type="cellIs" dxfId="5998" priority="6880" stopIfTrue="1" operator="equal">
      <formula>"Napkin Hs"</formula>
    </cfRule>
  </conditionalFormatting>
  <conditionalFormatting sqref="C93">
    <cfRule type="cellIs" dxfId="5997" priority="6877" stopIfTrue="1" operator="equal">
      <formula>"Towel"</formula>
    </cfRule>
    <cfRule type="cellIs" dxfId="5996" priority="6878" stopIfTrue="1" operator="equal">
      <formula>"Napkin Hs"</formula>
    </cfRule>
  </conditionalFormatting>
  <conditionalFormatting sqref="B93:C93">
    <cfRule type="cellIs" dxfId="5995" priority="6875" stopIfTrue="1" operator="equal">
      <formula>"Towel"</formula>
    </cfRule>
    <cfRule type="cellIs" dxfId="5994" priority="6876" stopIfTrue="1" operator="equal">
      <formula>"Napkin Hs"</formula>
    </cfRule>
  </conditionalFormatting>
  <conditionalFormatting sqref="C93">
    <cfRule type="cellIs" dxfId="5993" priority="6873" stopIfTrue="1" operator="equal">
      <formula>"Towel"</formula>
    </cfRule>
    <cfRule type="cellIs" dxfId="5992" priority="6874" stopIfTrue="1" operator="equal">
      <formula>"Napkin Hs"</formula>
    </cfRule>
  </conditionalFormatting>
  <conditionalFormatting sqref="C93">
    <cfRule type="cellIs" dxfId="5991" priority="6871" stopIfTrue="1" operator="equal">
      <formula>"Towel"</formula>
    </cfRule>
    <cfRule type="cellIs" dxfId="5990" priority="6872" stopIfTrue="1" operator="equal">
      <formula>"Napkin Hs"</formula>
    </cfRule>
  </conditionalFormatting>
  <conditionalFormatting sqref="B93:C93">
    <cfRule type="cellIs" dxfId="5989" priority="6869" stopIfTrue="1" operator="equal">
      <formula>"Towel"</formula>
    </cfRule>
    <cfRule type="cellIs" dxfId="5988" priority="6870" stopIfTrue="1" operator="equal">
      <formula>"Napkin Hs"</formula>
    </cfRule>
  </conditionalFormatting>
  <conditionalFormatting sqref="C93">
    <cfRule type="cellIs" dxfId="5987" priority="6867" stopIfTrue="1" operator="equal">
      <formula>"Towel"</formula>
    </cfRule>
    <cfRule type="cellIs" dxfId="5986" priority="6868" stopIfTrue="1" operator="equal">
      <formula>"Napkin Hs"</formula>
    </cfRule>
  </conditionalFormatting>
  <conditionalFormatting sqref="C93">
    <cfRule type="cellIs" dxfId="5985" priority="6865" stopIfTrue="1" operator="equal">
      <formula>"Towel"</formula>
    </cfRule>
    <cfRule type="cellIs" dxfId="5984" priority="6866" stopIfTrue="1" operator="equal">
      <formula>"Napkin Hs"</formula>
    </cfRule>
  </conditionalFormatting>
  <conditionalFormatting sqref="B93:C93">
    <cfRule type="cellIs" dxfId="5983" priority="6864" stopIfTrue="1" operator="equal">
      <formula>"Napkin Hs"</formula>
    </cfRule>
  </conditionalFormatting>
  <conditionalFormatting sqref="B93:C93">
    <cfRule type="cellIs" dxfId="5982" priority="6863" stopIfTrue="1" operator="equal">
      <formula>"Towel"</formula>
    </cfRule>
  </conditionalFormatting>
  <conditionalFormatting sqref="C93">
    <cfRule type="cellIs" dxfId="5981" priority="6862" stopIfTrue="1" operator="equal">
      <formula>"Napkin Hs"</formula>
    </cfRule>
  </conditionalFormatting>
  <conditionalFormatting sqref="C93">
    <cfRule type="cellIs" dxfId="5980" priority="6859" stopIfTrue="1" operator="equal">
      <formula>"Towel"</formula>
    </cfRule>
    <cfRule type="cellIs" dxfId="5979" priority="6860" stopIfTrue="1" operator="equal">
      <formula>"Napkin Hs"</formula>
    </cfRule>
  </conditionalFormatting>
  <conditionalFormatting sqref="C93">
    <cfRule type="cellIs" dxfId="5978" priority="6861" stopIfTrue="1" operator="equal">
      <formula>"Towel"</formula>
    </cfRule>
  </conditionalFormatting>
  <conditionalFormatting sqref="B93:C93">
    <cfRule type="cellIs" dxfId="5977" priority="6858" stopIfTrue="1" operator="equal">
      <formula>"Napkin Hs"</formula>
    </cfRule>
  </conditionalFormatting>
  <conditionalFormatting sqref="B93:C93">
    <cfRule type="cellIs" dxfId="5976" priority="6857" stopIfTrue="1" operator="equal">
      <formula>"Towel"</formula>
    </cfRule>
  </conditionalFormatting>
  <conditionalFormatting sqref="C93">
    <cfRule type="cellIs" dxfId="5975" priority="6856" stopIfTrue="1" operator="equal">
      <formula>"Napkin Hs"</formula>
    </cfRule>
  </conditionalFormatting>
  <conditionalFormatting sqref="C93">
    <cfRule type="cellIs" dxfId="5974" priority="6853" stopIfTrue="1" operator="equal">
      <formula>"Towel"</formula>
    </cfRule>
    <cfRule type="cellIs" dxfId="5973" priority="6854" stopIfTrue="1" operator="equal">
      <formula>"Napkin Hs"</formula>
    </cfRule>
  </conditionalFormatting>
  <conditionalFormatting sqref="C93">
    <cfRule type="cellIs" dxfId="5972" priority="6855" stopIfTrue="1" operator="equal">
      <formula>"Towel"</formula>
    </cfRule>
  </conditionalFormatting>
  <conditionalFormatting sqref="B91:C91">
    <cfRule type="cellIs" dxfId="5971" priority="6845" stopIfTrue="1" operator="equal">
      <formula>"Towel"</formula>
    </cfRule>
    <cfRule type="cellIs" dxfId="5970" priority="6846" stopIfTrue="1" operator="equal">
      <formula>"Napkin Hs"</formula>
    </cfRule>
  </conditionalFormatting>
  <conditionalFormatting sqref="C91">
    <cfRule type="cellIs" dxfId="5969" priority="6841" stopIfTrue="1" operator="equal">
      <formula>"Towel"</formula>
    </cfRule>
    <cfRule type="cellIs" dxfId="5968" priority="6842" stopIfTrue="1" operator="equal">
      <formula>"Napkin Hs"</formula>
    </cfRule>
  </conditionalFormatting>
  <conditionalFormatting sqref="C91">
    <cfRule type="cellIs" dxfId="5967" priority="6843" stopIfTrue="1" operator="equal">
      <formula>"Towel"</formula>
    </cfRule>
    <cfRule type="cellIs" dxfId="5966" priority="6844" stopIfTrue="1" operator="equal">
      <formula>"Napkin Hs"</formula>
    </cfRule>
  </conditionalFormatting>
  <conditionalFormatting sqref="B91:C91">
    <cfRule type="cellIs" dxfId="5965" priority="6840" stopIfTrue="1" operator="equal">
      <formula>"Napkin Hs"</formula>
    </cfRule>
  </conditionalFormatting>
  <conditionalFormatting sqref="B91:C91">
    <cfRule type="cellIs" dxfId="5964" priority="6839" stopIfTrue="1" operator="equal">
      <formula>"Towel"</formula>
    </cfRule>
  </conditionalFormatting>
  <conditionalFormatting sqref="C91">
    <cfRule type="cellIs" dxfId="5963" priority="6838" stopIfTrue="1" operator="equal">
      <formula>"Napkin Hs"</formula>
    </cfRule>
  </conditionalFormatting>
  <conditionalFormatting sqref="C91">
    <cfRule type="cellIs" dxfId="5962" priority="6837" stopIfTrue="1" operator="equal">
      <formula>"Towel"</formula>
    </cfRule>
  </conditionalFormatting>
  <conditionalFormatting sqref="C91">
    <cfRule type="cellIs" dxfId="5961" priority="6835" stopIfTrue="1" operator="equal">
      <formula>"Towel"</formula>
    </cfRule>
    <cfRule type="cellIs" dxfId="5960" priority="6836" stopIfTrue="1" operator="equal">
      <formula>"Napkin Hs"</formula>
    </cfRule>
  </conditionalFormatting>
  <conditionalFormatting sqref="B91:C91">
    <cfRule type="cellIs" dxfId="5959" priority="6833" stopIfTrue="1" operator="equal">
      <formula>"Towel"</formula>
    </cfRule>
    <cfRule type="cellIs" dxfId="5958" priority="6834" stopIfTrue="1" operator="equal">
      <formula>"Napkin Hs"</formula>
    </cfRule>
  </conditionalFormatting>
  <conditionalFormatting sqref="C91">
    <cfRule type="cellIs" dxfId="5957" priority="6831" stopIfTrue="1" operator="equal">
      <formula>"Towel"</formula>
    </cfRule>
    <cfRule type="cellIs" dxfId="5956" priority="6832" stopIfTrue="1" operator="equal">
      <formula>"Napkin Hs"</formula>
    </cfRule>
  </conditionalFormatting>
  <conditionalFormatting sqref="C91">
    <cfRule type="cellIs" dxfId="5955" priority="6829" stopIfTrue="1" operator="equal">
      <formula>"Towel"</formula>
    </cfRule>
    <cfRule type="cellIs" dxfId="5954" priority="6830" stopIfTrue="1" operator="equal">
      <formula>"Napkin Hs"</formula>
    </cfRule>
  </conditionalFormatting>
  <conditionalFormatting sqref="B91:C91">
    <cfRule type="cellIs" dxfId="5953" priority="6827" stopIfTrue="1" operator="equal">
      <formula>"Towel"</formula>
    </cfRule>
    <cfRule type="cellIs" dxfId="5952" priority="6828" stopIfTrue="1" operator="equal">
      <formula>"Napkin Hs"</formula>
    </cfRule>
  </conditionalFormatting>
  <conditionalFormatting sqref="C91">
    <cfRule type="cellIs" dxfId="5951" priority="6825" stopIfTrue="1" operator="equal">
      <formula>"Towel"</formula>
    </cfRule>
    <cfRule type="cellIs" dxfId="5950" priority="6826" stopIfTrue="1" operator="equal">
      <formula>"Napkin Hs"</formula>
    </cfRule>
  </conditionalFormatting>
  <conditionalFormatting sqref="C91">
    <cfRule type="cellIs" dxfId="5949" priority="6823" stopIfTrue="1" operator="equal">
      <formula>"Towel"</formula>
    </cfRule>
    <cfRule type="cellIs" dxfId="5948" priority="6824" stopIfTrue="1" operator="equal">
      <formula>"Napkin Hs"</formula>
    </cfRule>
  </conditionalFormatting>
  <conditionalFormatting sqref="B91:C91">
    <cfRule type="cellIs" dxfId="5947" priority="6821" stopIfTrue="1" operator="equal">
      <formula>"Towel"</formula>
    </cfRule>
    <cfRule type="cellIs" dxfId="5946" priority="6822" stopIfTrue="1" operator="equal">
      <formula>"Napkin Hs"</formula>
    </cfRule>
  </conditionalFormatting>
  <conditionalFormatting sqref="C91">
    <cfRule type="cellIs" dxfId="5945" priority="6819" stopIfTrue="1" operator="equal">
      <formula>"Towel"</formula>
    </cfRule>
    <cfRule type="cellIs" dxfId="5944" priority="6820" stopIfTrue="1" operator="equal">
      <formula>"Napkin Hs"</formula>
    </cfRule>
  </conditionalFormatting>
  <conditionalFormatting sqref="C91">
    <cfRule type="cellIs" dxfId="5943" priority="6817" stopIfTrue="1" operator="equal">
      <formula>"Towel"</formula>
    </cfRule>
    <cfRule type="cellIs" dxfId="5942" priority="6818" stopIfTrue="1" operator="equal">
      <formula>"Napkin Hs"</formula>
    </cfRule>
  </conditionalFormatting>
  <conditionalFormatting sqref="B91:C91">
    <cfRule type="cellIs" dxfId="5941" priority="6815" stopIfTrue="1" operator="equal">
      <formula>"Towel"</formula>
    </cfRule>
    <cfRule type="cellIs" dxfId="5940" priority="6816" stopIfTrue="1" operator="equal">
      <formula>"Napkin Hs"</formula>
    </cfRule>
  </conditionalFormatting>
  <conditionalFormatting sqref="C91">
    <cfRule type="cellIs" dxfId="5939" priority="6813" stopIfTrue="1" operator="equal">
      <formula>"Towel"</formula>
    </cfRule>
    <cfRule type="cellIs" dxfId="5938" priority="6814" stopIfTrue="1" operator="equal">
      <formula>"Napkin Hs"</formula>
    </cfRule>
  </conditionalFormatting>
  <conditionalFormatting sqref="C91">
    <cfRule type="cellIs" dxfId="5937" priority="6811" stopIfTrue="1" operator="equal">
      <formula>"Towel"</formula>
    </cfRule>
    <cfRule type="cellIs" dxfId="5936" priority="6812" stopIfTrue="1" operator="equal">
      <formula>"Napkin Hs"</formula>
    </cfRule>
  </conditionalFormatting>
  <conditionalFormatting sqref="B91:C91">
    <cfRule type="cellIs" dxfId="5935" priority="6809" stopIfTrue="1" operator="equal">
      <formula>"Towel"</formula>
    </cfRule>
    <cfRule type="cellIs" dxfId="5934" priority="6810" stopIfTrue="1" operator="equal">
      <formula>"Napkin Hs"</formula>
    </cfRule>
  </conditionalFormatting>
  <conditionalFormatting sqref="C91">
    <cfRule type="cellIs" dxfId="5933" priority="6807" stopIfTrue="1" operator="equal">
      <formula>"Towel"</formula>
    </cfRule>
    <cfRule type="cellIs" dxfId="5932" priority="6808" stopIfTrue="1" operator="equal">
      <formula>"Napkin Hs"</formula>
    </cfRule>
  </conditionalFormatting>
  <conditionalFormatting sqref="C91">
    <cfRule type="cellIs" dxfId="5931" priority="6805" stopIfTrue="1" operator="equal">
      <formula>"Towel"</formula>
    </cfRule>
    <cfRule type="cellIs" dxfId="5930" priority="6806" stopIfTrue="1" operator="equal">
      <formula>"Napkin Hs"</formula>
    </cfRule>
  </conditionalFormatting>
  <conditionalFormatting sqref="B91:C91">
    <cfRule type="cellIs" dxfId="5929" priority="6804" stopIfTrue="1" operator="equal">
      <formula>"Napkin Hs"</formula>
    </cfRule>
  </conditionalFormatting>
  <conditionalFormatting sqref="B91:C91">
    <cfRule type="cellIs" dxfId="5928" priority="6803" stopIfTrue="1" operator="equal">
      <formula>"Towel"</formula>
    </cfRule>
  </conditionalFormatting>
  <conditionalFormatting sqref="C91">
    <cfRule type="cellIs" dxfId="5927" priority="6802" stopIfTrue="1" operator="equal">
      <formula>"Napkin Hs"</formula>
    </cfRule>
  </conditionalFormatting>
  <conditionalFormatting sqref="C91">
    <cfRule type="cellIs" dxfId="5926" priority="6799" stopIfTrue="1" operator="equal">
      <formula>"Towel"</formula>
    </cfRule>
    <cfRule type="cellIs" dxfId="5925" priority="6800" stopIfTrue="1" operator="equal">
      <formula>"Napkin Hs"</formula>
    </cfRule>
  </conditionalFormatting>
  <conditionalFormatting sqref="C91">
    <cfRule type="cellIs" dxfId="5924" priority="6801" stopIfTrue="1" operator="equal">
      <formula>"Towel"</formula>
    </cfRule>
  </conditionalFormatting>
  <conditionalFormatting sqref="B91:C91">
    <cfRule type="cellIs" dxfId="5923" priority="6798" stopIfTrue="1" operator="equal">
      <formula>"Napkin Hs"</formula>
    </cfRule>
  </conditionalFormatting>
  <conditionalFormatting sqref="B91:C91">
    <cfRule type="cellIs" dxfId="5922" priority="6797" stopIfTrue="1" operator="equal">
      <formula>"Towel"</formula>
    </cfRule>
  </conditionalFormatting>
  <conditionalFormatting sqref="C91">
    <cfRule type="cellIs" dxfId="5921" priority="6796" stopIfTrue="1" operator="equal">
      <formula>"Napkin Hs"</formula>
    </cfRule>
  </conditionalFormatting>
  <conditionalFormatting sqref="C91">
    <cfRule type="cellIs" dxfId="5920" priority="6795" stopIfTrue="1" operator="equal">
      <formula>"Towel"</formula>
    </cfRule>
  </conditionalFormatting>
  <conditionalFormatting sqref="C91">
    <cfRule type="cellIs" dxfId="5919" priority="6793" stopIfTrue="1" operator="equal">
      <formula>"Towel"</formula>
    </cfRule>
    <cfRule type="cellIs" dxfId="5918" priority="6794" stopIfTrue="1" operator="equal">
      <formula>"Napkin Hs"</formula>
    </cfRule>
  </conditionalFormatting>
  <conditionalFormatting sqref="C91">
    <cfRule type="cellIs" dxfId="5917" priority="6787" stopIfTrue="1" operator="equal">
      <formula>"Towel"</formula>
    </cfRule>
    <cfRule type="cellIs" dxfId="5916" priority="6788" stopIfTrue="1" operator="equal">
      <formula>"Napkin Hs"</formula>
    </cfRule>
  </conditionalFormatting>
  <conditionalFormatting sqref="B91:C91">
    <cfRule type="cellIs" dxfId="5915" priority="6786" stopIfTrue="1" operator="equal">
      <formula>"Napkin Hs"</formula>
    </cfRule>
  </conditionalFormatting>
  <conditionalFormatting sqref="B91:C91">
    <cfRule type="cellIs" dxfId="5914" priority="6785" stopIfTrue="1" operator="equal">
      <formula>"Towel"</formula>
    </cfRule>
  </conditionalFormatting>
  <conditionalFormatting sqref="C91">
    <cfRule type="cellIs" dxfId="5913" priority="6784" stopIfTrue="1" operator="equal">
      <formula>"Napkin Hs"</formula>
    </cfRule>
  </conditionalFormatting>
  <conditionalFormatting sqref="C91">
    <cfRule type="cellIs" dxfId="5912" priority="6783" stopIfTrue="1" operator="equal">
      <formula>"Towel"</formula>
    </cfRule>
  </conditionalFormatting>
  <conditionalFormatting sqref="C91">
    <cfRule type="cellIs" dxfId="5911" priority="6781" stopIfTrue="1" operator="equal">
      <formula>"Towel"</formula>
    </cfRule>
    <cfRule type="cellIs" dxfId="5910" priority="6782" stopIfTrue="1" operator="equal">
      <formula>"Napkin Hs"</formula>
    </cfRule>
  </conditionalFormatting>
  <conditionalFormatting sqref="C91">
    <cfRule type="cellIs" dxfId="5909" priority="6775" stopIfTrue="1" operator="equal">
      <formula>"Towel"</formula>
    </cfRule>
    <cfRule type="cellIs" dxfId="5908" priority="6776" stopIfTrue="1" operator="equal">
      <formula>"Napkin Hs"</formula>
    </cfRule>
  </conditionalFormatting>
  <conditionalFormatting sqref="C91">
    <cfRule type="cellIs" dxfId="5907" priority="6769" stopIfTrue="1" operator="equal">
      <formula>"Towel"</formula>
    </cfRule>
    <cfRule type="cellIs" dxfId="5906" priority="6770" stopIfTrue="1" operator="equal">
      <formula>"Napkin Hs"</formula>
    </cfRule>
  </conditionalFormatting>
  <conditionalFormatting sqref="C91">
    <cfRule type="cellIs" dxfId="5905" priority="6763" stopIfTrue="1" operator="equal">
      <formula>"Towel"</formula>
    </cfRule>
    <cfRule type="cellIs" dxfId="5904" priority="6764" stopIfTrue="1" operator="equal">
      <formula>"Napkin Hs"</formula>
    </cfRule>
  </conditionalFormatting>
  <conditionalFormatting sqref="C91">
    <cfRule type="cellIs" dxfId="5903" priority="6757" stopIfTrue="1" operator="equal">
      <formula>"Towel"</formula>
    </cfRule>
    <cfRule type="cellIs" dxfId="5902" priority="6758" stopIfTrue="1" operator="equal">
      <formula>"Napkin Hs"</formula>
    </cfRule>
  </conditionalFormatting>
  <conditionalFormatting sqref="C91">
    <cfRule type="cellIs" dxfId="5901" priority="6751" stopIfTrue="1" operator="equal">
      <formula>"Towel"</formula>
    </cfRule>
    <cfRule type="cellIs" dxfId="5900" priority="6752" stopIfTrue="1" operator="equal">
      <formula>"Napkin Hs"</formula>
    </cfRule>
  </conditionalFormatting>
  <conditionalFormatting sqref="B91:C91">
    <cfRule type="cellIs" dxfId="5899" priority="6750" stopIfTrue="1" operator="equal">
      <formula>"Napkin Hs"</formula>
    </cfRule>
  </conditionalFormatting>
  <conditionalFormatting sqref="B91:C91">
    <cfRule type="cellIs" dxfId="5898" priority="6749" stopIfTrue="1" operator="equal">
      <formula>"Towel"</formula>
    </cfRule>
  </conditionalFormatting>
  <conditionalFormatting sqref="C91">
    <cfRule type="cellIs" dxfId="5897" priority="6748" stopIfTrue="1" operator="equal">
      <formula>"Napkin Hs"</formula>
    </cfRule>
  </conditionalFormatting>
  <conditionalFormatting sqref="C91">
    <cfRule type="cellIs" dxfId="5896" priority="6745" stopIfTrue="1" operator="equal">
      <formula>"Towel"</formula>
    </cfRule>
    <cfRule type="cellIs" dxfId="5895" priority="6746" stopIfTrue="1" operator="equal">
      <formula>"Napkin Hs"</formula>
    </cfRule>
  </conditionalFormatting>
  <conditionalFormatting sqref="C91">
    <cfRule type="cellIs" dxfId="5894" priority="6747" stopIfTrue="1" operator="equal">
      <formula>"Towel"</formula>
    </cfRule>
  </conditionalFormatting>
  <conditionalFormatting sqref="B91:C91">
    <cfRule type="cellIs" dxfId="5893" priority="6744" stopIfTrue="1" operator="equal">
      <formula>"Napkin Hs"</formula>
    </cfRule>
  </conditionalFormatting>
  <conditionalFormatting sqref="B91:C91">
    <cfRule type="cellIs" dxfId="5892" priority="6743" stopIfTrue="1" operator="equal">
      <formula>"Towel"</formula>
    </cfRule>
  </conditionalFormatting>
  <conditionalFormatting sqref="C91">
    <cfRule type="cellIs" dxfId="5891" priority="6742" stopIfTrue="1" operator="equal">
      <formula>"Napkin Hs"</formula>
    </cfRule>
  </conditionalFormatting>
  <conditionalFormatting sqref="C91">
    <cfRule type="cellIs" dxfId="5890" priority="6739" stopIfTrue="1" operator="equal">
      <formula>"Towel"</formula>
    </cfRule>
    <cfRule type="cellIs" dxfId="5889" priority="6740" stopIfTrue="1" operator="equal">
      <formula>"Napkin Hs"</formula>
    </cfRule>
  </conditionalFormatting>
  <conditionalFormatting sqref="C91">
    <cfRule type="cellIs" dxfId="5888" priority="6741" stopIfTrue="1" operator="equal">
      <formula>"Towel"</formula>
    </cfRule>
  </conditionalFormatting>
  <conditionalFormatting sqref="B91:C91">
    <cfRule type="cellIs" dxfId="5887" priority="6791" stopIfTrue="1" operator="equal">
      <formula>"Towel"</formula>
    </cfRule>
    <cfRule type="cellIs" dxfId="5886" priority="6792" stopIfTrue="1" operator="equal">
      <formula>"Napkin Hs"</formula>
    </cfRule>
  </conditionalFormatting>
  <conditionalFormatting sqref="C91">
    <cfRule type="cellIs" dxfId="5885" priority="6789" stopIfTrue="1" operator="equal">
      <formula>"Towel"</formula>
    </cfRule>
    <cfRule type="cellIs" dxfId="5884" priority="6790" stopIfTrue="1" operator="equal">
      <formula>"Napkin Hs"</formula>
    </cfRule>
  </conditionalFormatting>
  <conditionalFormatting sqref="B91:C91">
    <cfRule type="cellIs" dxfId="5883" priority="6779" stopIfTrue="1" operator="equal">
      <formula>"Towel"</formula>
    </cfRule>
    <cfRule type="cellIs" dxfId="5882" priority="6780" stopIfTrue="1" operator="equal">
      <formula>"Napkin Hs"</formula>
    </cfRule>
  </conditionalFormatting>
  <conditionalFormatting sqref="C91">
    <cfRule type="cellIs" dxfId="5881" priority="6777" stopIfTrue="1" operator="equal">
      <formula>"Towel"</formula>
    </cfRule>
    <cfRule type="cellIs" dxfId="5880" priority="6778" stopIfTrue="1" operator="equal">
      <formula>"Napkin Hs"</formula>
    </cfRule>
  </conditionalFormatting>
  <conditionalFormatting sqref="B91:C91">
    <cfRule type="cellIs" dxfId="5879" priority="6773" stopIfTrue="1" operator="equal">
      <formula>"Towel"</formula>
    </cfRule>
    <cfRule type="cellIs" dxfId="5878" priority="6774" stopIfTrue="1" operator="equal">
      <formula>"Napkin Hs"</formula>
    </cfRule>
  </conditionalFormatting>
  <conditionalFormatting sqref="C91">
    <cfRule type="cellIs" dxfId="5877" priority="6771" stopIfTrue="1" operator="equal">
      <formula>"Towel"</formula>
    </cfRule>
    <cfRule type="cellIs" dxfId="5876" priority="6772" stopIfTrue="1" operator="equal">
      <formula>"Napkin Hs"</formula>
    </cfRule>
  </conditionalFormatting>
  <conditionalFormatting sqref="B91:C91">
    <cfRule type="cellIs" dxfId="5875" priority="6767" stopIfTrue="1" operator="equal">
      <formula>"Towel"</formula>
    </cfRule>
    <cfRule type="cellIs" dxfId="5874" priority="6768" stopIfTrue="1" operator="equal">
      <formula>"Napkin Hs"</formula>
    </cfRule>
  </conditionalFormatting>
  <conditionalFormatting sqref="C91">
    <cfRule type="cellIs" dxfId="5873" priority="6765" stopIfTrue="1" operator="equal">
      <formula>"Towel"</formula>
    </cfRule>
    <cfRule type="cellIs" dxfId="5872" priority="6766" stopIfTrue="1" operator="equal">
      <formula>"Napkin Hs"</formula>
    </cfRule>
  </conditionalFormatting>
  <conditionalFormatting sqref="B91:C91">
    <cfRule type="cellIs" dxfId="5871" priority="6761" stopIfTrue="1" operator="equal">
      <formula>"Towel"</formula>
    </cfRule>
    <cfRule type="cellIs" dxfId="5870" priority="6762" stopIfTrue="1" operator="equal">
      <formula>"Napkin Hs"</formula>
    </cfRule>
  </conditionalFormatting>
  <conditionalFormatting sqref="C91">
    <cfRule type="cellIs" dxfId="5869" priority="6759" stopIfTrue="1" operator="equal">
      <formula>"Towel"</formula>
    </cfRule>
    <cfRule type="cellIs" dxfId="5868" priority="6760" stopIfTrue="1" operator="equal">
      <formula>"Napkin Hs"</formula>
    </cfRule>
  </conditionalFormatting>
  <conditionalFormatting sqref="B91:C91">
    <cfRule type="cellIs" dxfId="5867" priority="6755" stopIfTrue="1" operator="equal">
      <formula>"Towel"</formula>
    </cfRule>
    <cfRule type="cellIs" dxfId="5866" priority="6756" stopIfTrue="1" operator="equal">
      <formula>"Napkin Hs"</formula>
    </cfRule>
  </conditionalFormatting>
  <conditionalFormatting sqref="C91">
    <cfRule type="cellIs" dxfId="5865" priority="6753" stopIfTrue="1" operator="equal">
      <formula>"Towel"</formula>
    </cfRule>
    <cfRule type="cellIs" dxfId="5864" priority="6754" stopIfTrue="1" operator="equal">
      <formula>"Napkin Hs"</formula>
    </cfRule>
  </conditionalFormatting>
  <conditionalFormatting sqref="B91:C91">
    <cfRule type="cellIs" dxfId="5863" priority="6738" stopIfTrue="1" operator="equal">
      <formula>"Napkin Hs"</formula>
    </cfRule>
  </conditionalFormatting>
  <conditionalFormatting sqref="B91:C91">
    <cfRule type="cellIs" dxfId="5862" priority="6737" stopIfTrue="1" operator="equal">
      <formula>"Towel"</formula>
    </cfRule>
  </conditionalFormatting>
  <conditionalFormatting sqref="C91">
    <cfRule type="cellIs" dxfId="5861" priority="6736" stopIfTrue="1" operator="equal">
      <formula>"Napkin Hs"</formula>
    </cfRule>
  </conditionalFormatting>
  <conditionalFormatting sqref="C91">
    <cfRule type="cellIs" dxfId="5860" priority="6733" stopIfTrue="1" operator="equal">
      <formula>"Towel"</formula>
    </cfRule>
    <cfRule type="cellIs" dxfId="5859" priority="6734" stopIfTrue="1" operator="equal">
      <formula>"Napkin Hs"</formula>
    </cfRule>
  </conditionalFormatting>
  <conditionalFormatting sqref="C91">
    <cfRule type="cellIs" dxfId="5858" priority="6735" stopIfTrue="1" operator="equal">
      <formula>"Towel"</formula>
    </cfRule>
  </conditionalFormatting>
  <conditionalFormatting sqref="B102:C102">
    <cfRule type="cellIs" dxfId="5857" priority="6729" stopIfTrue="1" operator="equal">
      <formula>"Towel"</formula>
    </cfRule>
    <cfRule type="cellIs" dxfId="5856" priority="6730" stopIfTrue="1" operator="equal">
      <formula>"Napkin Hs"</formula>
    </cfRule>
  </conditionalFormatting>
  <conditionalFormatting sqref="C102">
    <cfRule type="cellIs" dxfId="5855" priority="6731" stopIfTrue="1" operator="equal">
      <formula>"Towel"</formula>
    </cfRule>
    <cfRule type="cellIs" dxfId="5854" priority="6732" stopIfTrue="1" operator="equal">
      <formula>"Napkin Hs"</formula>
    </cfRule>
  </conditionalFormatting>
  <conditionalFormatting sqref="C102">
    <cfRule type="cellIs" dxfId="5853" priority="6727" stopIfTrue="1" operator="equal">
      <formula>"Towel"</formula>
    </cfRule>
    <cfRule type="cellIs" dxfId="5852" priority="6728" stopIfTrue="1" operator="equal">
      <formula>"Napkin Hs"</formula>
    </cfRule>
  </conditionalFormatting>
  <conditionalFormatting sqref="B102:C102">
    <cfRule type="cellIs" dxfId="5851" priority="6722" stopIfTrue="1" operator="equal">
      <formula>"Napkin Hs"</formula>
    </cfRule>
  </conditionalFormatting>
  <conditionalFormatting sqref="B102:C102">
    <cfRule type="cellIs" dxfId="5850" priority="6721" stopIfTrue="1" operator="equal">
      <formula>"Towel"</formula>
    </cfRule>
  </conditionalFormatting>
  <conditionalFormatting sqref="C102">
    <cfRule type="cellIs" dxfId="5849" priority="6720" stopIfTrue="1" operator="equal">
      <formula>"Napkin Hs"</formula>
    </cfRule>
  </conditionalFormatting>
  <conditionalFormatting sqref="C102">
    <cfRule type="cellIs" dxfId="5848" priority="6719" stopIfTrue="1" operator="equal">
      <formula>"Towel"</formula>
    </cfRule>
  </conditionalFormatting>
  <conditionalFormatting sqref="C102">
    <cfRule type="cellIs" dxfId="5847" priority="6717" stopIfTrue="1" operator="equal">
      <formula>"Towel"</formula>
    </cfRule>
    <cfRule type="cellIs" dxfId="5846" priority="6718" stopIfTrue="1" operator="equal">
      <formula>"Napkin Hs"</formula>
    </cfRule>
  </conditionalFormatting>
  <conditionalFormatting sqref="B97:C97">
    <cfRule type="cellIs" dxfId="5845" priority="6661" stopIfTrue="1" operator="equal">
      <formula>"Towel"</formula>
    </cfRule>
    <cfRule type="cellIs" dxfId="5844" priority="6662" stopIfTrue="1" operator="equal">
      <formula>"Napkin Hs"</formula>
    </cfRule>
  </conditionalFormatting>
  <conditionalFormatting sqref="C97">
    <cfRule type="cellIs" dxfId="5843" priority="6659" stopIfTrue="1" operator="equal">
      <formula>"Towel"</formula>
    </cfRule>
    <cfRule type="cellIs" dxfId="5842" priority="6660" stopIfTrue="1" operator="equal">
      <formula>"Napkin Hs"</formula>
    </cfRule>
  </conditionalFormatting>
  <conditionalFormatting sqref="C97">
    <cfRule type="cellIs" dxfId="5841" priority="6657" stopIfTrue="1" operator="equal">
      <formula>"Towel"</formula>
    </cfRule>
    <cfRule type="cellIs" dxfId="5840" priority="6658" stopIfTrue="1" operator="equal">
      <formula>"Napkin Hs"</formula>
    </cfRule>
  </conditionalFormatting>
  <conditionalFormatting sqref="B98:C98">
    <cfRule type="cellIs" dxfId="5839" priority="6655" stopIfTrue="1" operator="equal">
      <formula>"Towel"</formula>
    </cfRule>
    <cfRule type="cellIs" dxfId="5838" priority="6656" stopIfTrue="1" operator="equal">
      <formula>"Napkin Hs"</formula>
    </cfRule>
  </conditionalFormatting>
  <conditionalFormatting sqref="C98">
    <cfRule type="cellIs" dxfId="5837" priority="6651" stopIfTrue="1" operator="equal">
      <formula>"Towel"</formula>
    </cfRule>
    <cfRule type="cellIs" dxfId="5836" priority="6652" stopIfTrue="1" operator="equal">
      <formula>"Napkin Hs"</formula>
    </cfRule>
  </conditionalFormatting>
  <conditionalFormatting sqref="C98">
    <cfRule type="cellIs" dxfId="5835" priority="6653" stopIfTrue="1" operator="equal">
      <formula>"Towel"</formula>
    </cfRule>
    <cfRule type="cellIs" dxfId="5834" priority="6654" stopIfTrue="1" operator="equal">
      <formula>"Napkin Hs"</formula>
    </cfRule>
  </conditionalFormatting>
  <conditionalFormatting sqref="B98:C98">
    <cfRule type="cellIs" dxfId="5833" priority="6650" stopIfTrue="1" operator="equal">
      <formula>"Napkin Hs"</formula>
    </cfRule>
  </conditionalFormatting>
  <conditionalFormatting sqref="B98:C98">
    <cfRule type="cellIs" dxfId="5832" priority="6649" stopIfTrue="1" operator="equal">
      <formula>"Towel"</formula>
    </cfRule>
  </conditionalFormatting>
  <conditionalFormatting sqref="C98">
    <cfRule type="cellIs" dxfId="5831" priority="6648" stopIfTrue="1" operator="equal">
      <formula>"Napkin Hs"</formula>
    </cfRule>
  </conditionalFormatting>
  <conditionalFormatting sqref="C98">
    <cfRule type="cellIs" dxfId="5830" priority="6647" stopIfTrue="1" operator="equal">
      <formula>"Towel"</formula>
    </cfRule>
  </conditionalFormatting>
  <conditionalFormatting sqref="C98">
    <cfRule type="cellIs" dxfId="5829" priority="6645" stopIfTrue="1" operator="equal">
      <formula>"Towel"</formula>
    </cfRule>
    <cfRule type="cellIs" dxfId="5828" priority="6646" stopIfTrue="1" operator="equal">
      <formula>"Napkin Hs"</formula>
    </cfRule>
  </conditionalFormatting>
  <conditionalFormatting sqref="B98:C98">
    <cfRule type="cellIs" dxfId="5827" priority="6643" stopIfTrue="1" operator="equal">
      <formula>"Towel"</formula>
    </cfRule>
    <cfRule type="cellIs" dxfId="5826" priority="6644" stopIfTrue="1" operator="equal">
      <formula>"Napkin Hs"</formula>
    </cfRule>
  </conditionalFormatting>
  <conditionalFormatting sqref="C98">
    <cfRule type="cellIs" dxfId="5825" priority="6641" stopIfTrue="1" operator="equal">
      <formula>"Towel"</formula>
    </cfRule>
    <cfRule type="cellIs" dxfId="5824" priority="6642" stopIfTrue="1" operator="equal">
      <formula>"Napkin Hs"</formula>
    </cfRule>
  </conditionalFormatting>
  <conditionalFormatting sqref="C98">
    <cfRule type="cellIs" dxfId="5823" priority="6639" stopIfTrue="1" operator="equal">
      <formula>"Towel"</formula>
    </cfRule>
    <cfRule type="cellIs" dxfId="5822" priority="6640" stopIfTrue="1" operator="equal">
      <formula>"Napkin Hs"</formula>
    </cfRule>
  </conditionalFormatting>
  <conditionalFormatting sqref="B98:C98">
    <cfRule type="cellIs" dxfId="5821" priority="6637" stopIfTrue="1" operator="equal">
      <formula>"Towel"</formula>
    </cfRule>
    <cfRule type="cellIs" dxfId="5820" priority="6638" stopIfTrue="1" operator="equal">
      <formula>"Napkin Hs"</formula>
    </cfRule>
  </conditionalFormatting>
  <conditionalFormatting sqref="C98">
    <cfRule type="cellIs" dxfId="5819" priority="6635" stopIfTrue="1" operator="equal">
      <formula>"Towel"</formula>
    </cfRule>
    <cfRule type="cellIs" dxfId="5818" priority="6636" stopIfTrue="1" operator="equal">
      <formula>"Napkin Hs"</formula>
    </cfRule>
  </conditionalFormatting>
  <conditionalFormatting sqref="C98">
    <cfRule type="cellIs" dxfId="5817" priority="6633" stopIfTrue="1" operator="equal">
      <formula>"Towel"</formula>
    </cfRule>
    <cfRule type="cellIs" dxfId="5816" priority="6634" stopIfTrue="1" operator="equal">
      <formula>"Napkin Hs"</formula>
    </cfRule>
  </conditionalFormatting>
  <conditionalFormatting sqref="B98:C98">
    <cfRule type="cellIs" dxfId="5815" priority="6631" stopIfTrue="1" operator="equal">
      <formula>"Towel"</formula>
    </cfRule>
    <cfRule type="cellIs" dxfId="5814" priority="6632" stopIfTrue="1" operator="equal">
      <formula>"Napkin Hs"</formula>
    </cfRule>
  </conditionalFormatting>
  <conditionalFormatting sqref="C98">
    <cfRule type="cellIs" dxfId="5813" priority="6629" stopIfTrue="1" operator="equal">
      <formula>"Towel"</formula>
    </cfRule>
    <cfRule type="cellIs" dxfId="5812" priority="6630" stopIfTrue="1" operator="equal">
      <formula>"Napkin Hs"</formula>
    </cfRule>
  </conditionalFormatting>
  <conditionalFormatting sqref="C98">
    <cfRule type="cellIs" dxfId="5811" priority="6627" stopIfTrue="1" operator="equal">
      <formula>"Towel"</formula>
    </cfRule>
    <cfRule type="cellIs" dxfId="5810" priority="6628" stopIfTrue="1" operator="equal">
      <formula>"Napkin Hs"</formula>
    </cfRule>
  </conditionalFormatting>
  <conditionalFormatting sqref="B98:C98">
    <cfRule type="cellIs" dxfId="5809" priority="6625" stopIfTrue="1" operator="equal">
      <formula>"Towel"</formula>
    </cfRule>
    <cfRule type="cellIs" dxfId="5808" priority="6626" stopIfTrue="1" operator="equal">
      <formula>"Napkin Hs"</formula>
    </cfRule>
  </conditionalFormatting>
  <conditionalFormatting sqref="C98">
    <cfRule type="cellIs" dxfId="5807" priority="6623" stopIfTrue="1" operator="equal">
      <formula>"Towel"</formula>
    </cfRule>
    <cfRule type="cellIs" dxfId="5806" priority="6624" stopIfTrue="1" operator="equal">
      <formula>"Napkin Hs"</formula>
    </cfRule>
  </conditionalFormatting>
  <conditionalFormatting sqref="C98">
    <cfRule type="cellIs" dxfId="5805" priority="6621" stopIfTrue="1" operator="equal">
      <formula>"Towel"</formula>
    </cfRule>
    <cfRule type="cellIs" dxfId="5804" priority="6622" stopIfTrue="1" operator="equal">
      <formula>"Napkin Hs"</formula>
    </cfRule>
  </conditionalFormatting>
  <conditionalFormatting sqref="B98:C98">
    <cfRule type="cellIs" dxfId="5803" priority="6619" stopIfTrue="1" operator="equal">
      <formula>"Towel"</formula>
    </cfRule>
    <cfRule type="cellIs" dxfId="5802" priority="6620" stopIfTrue="1" operator="equal">
      <formula>"Napkin Hs"</formula>
    </cfRule>
  </conditionalFormatting>
  <conditionalFormatting sqref="C98">
    <cfRule type="cellIs" dxfId="5801" priority="6617" stopIfTrue="1" operator="equal">
      <formula>"Towel"</formula>
    </cfRule>
    <cfRule type="cellIs" dxfId="5800" priority="6618" stopIfTrue="1" operator="equal">
      <formula>"Napkin Hs"</formula>
    </cfRule>
  </conditionalFormatting>
  <conditionalFormatting sqref="C98">
    <cfRule type="cellIs" dxfId="5799" priority="6615" stopIfTrue="1" operator="equal">
      <formula>"Towel"</formula>
    </cfRule>
    <cfRule type="cellIs" dxfId="5798" priority="6616" stopIfTrue="1" operator="equal">
      <formula>"Napkin Hs"</formula>
    </cfRule>
  </conditionalFormatting>
  <conditionalFormatting sqref="B98:C98">
    <cfRule type="cellIs" dxfId="5797" priority="6614" stopIfTrue="1" operator="equal">
      <formula>"Napkin Hs"</formula>
    </cfRule>
  </conditionalFormatting>
  <conditionalFormatting sqref="B98:C98">
    <cfRule type="cellIs" dxfId="5796" priority="6613" stopIfTrue="1" operator="equal">
      <formula>"Towel"</formula>
    </cfRule>
  </conditionalFormatting>
  <conditionalFormatting sqref="C98">
    <cfRule type="cellIs" dxfId="5795" priority="6612" stopIfTrue="1" operator="equal">
      <formula>"Napkin Hs"</formula>
    </cfRule>
  </conditionalFormatting>
  <conditionalFormatting sqref="C98">
    <cfRule type="cellIs" dxfId="5794" priority="6609" stopIfTrue="1" operator="equal">
      <formula>"Towel"</formula>
    </cfRule>
    <cfRule type="cellIs" dxfId="5793" priority="6610" stopIfTrue="1" operator="equal">
      <formula>"Napkin Hs"</formula>
    </cfRule>
  </conditionalFormatting>
  <conditionalFormatting sqref="C98">
    <cfRule type="cellIs" dxfId="5792" priority="6611" stopIfTrue="1" operator="equal">
      <formula>"Towel"</formula>
    </cfRule>
  </conditionalFormatting>
  <conditionalFormatting sqref="B98:C98">
    <cfRule type="cellIs" dxfId="5791" priority="6607" stopIfTrue="1" operator="equal">
      <formula>"Towel"</formula>
    </cfRule>
    <cfRule type="cellIs" dxfId="5790" priority="6608" stopIfTrue="1" operator="equal">
      <formula>"Napkin Hs"</formula>
    </cfRule>
  </conditionalFormatting>
  <conditionalFormatting sqref="C98">
    <cfRule type="cellIs" dxfId="5789" priority="6603" stopIfTrue="1" operator="equal">
      <formula>"Towel"</formula>
    </cfRule>
    <cfRule type="cellIs" dxfId="5788" priority="6604" stopIfTrue="1" operator="equal">
      <formula>"Napkin Hs"</formula>
    </cfRule>
  </conditionalFormatting>
  <conditionalFormatting sqref="C98">
    <cfRule type="cellIs" dxfId="5787" priority="6605" stopIfTrue="1" operator="equal">
      <formula>"Towel"</formula>
    </cfRule>
    <cfRule type="cellIs" dxfId="5786" priority="6606" stopIfTrue="1" operator="equal">
      <formula>"Napkin Hs"</formula>
    </cfRule>
  </conditionalFormatting>
  <conditionalFormatting sqref="B97:C97">
    <cfRule type="cellIs" dxfId="5785" priority="6542" stopIfTrue="1" operator="equal">
      <formula>"Napkin Hs"</formula>
    </cfRule>
  </conditionalFormatting>
  <conditionalFormatting sqref="B97:C97">
    <cfRule type="cellIs" dxfId="5784" priority="6541" stopIfTrue="1" operator="equal">
      <formula>"Towel"</formula>
    </cfRule>
  </conditionalFormatting>
  <conditionalFormatting sqref="C97">
    <cfRule type="cellIs" dxfId="5783" priority="6540" stopIfTrue="1" operator="equal">
      <formula>"Napkin Hs"</formula>
    </cfRule>
  </conditionalFormatting>
  <conditionalFormatting sqref="C97">
    <cfRule type="cellIs" dxfId="5782" priority="6537" stopIfTrue="1" operator="equal">
      <formula>"Towel"</formula>
    </cfRule>
    <cfRule type="cellIs" dxfId="5781" priority="6538" stopIfTrue="1" operator="equal">
      <formula>"Napkin Hs"</formula>
    </cfRule>
  </conditionalFormatting>
  <conditionalFormatting sqref="C97">
    <cfRule type="cellIs" dxfId="5780" priority="6539" stopIfTrue="1" operator="equal">
      <formula>"Towel"</formula>
    </cfRule>
  </conditionalFormatting>
  <conditionalFormatting sqref="B97:C97">
    <cfRule type="cellIs" dxfId="5779" priority="6602" stopIfTrue="1" operator="equal">
      <formula>"Napkin Hs"</formula>
    </cfRule>
  </conditionalFormatting>
  <conditionalFormatting sqref="B97:C97">
    <cfRule type="cellIs" dxfId="5778" priority="6601" stopIfTrue="1" operator="equal">
      <formula>"Towel"</formula>
    </cfRule>
  </conditionalFormatting>
  <conditionalFormatting sqref="C97">
    <cfRule type="cellIs" dxfId="5777" priority="6600" stopIfTrue="1" operator="equal">
      <formula>"Napkin Hs"</formula>
    </cfRule>
  </conditionalFormatting>
  <conditionalFormatting sqref="C97">
    <cfRule type="cellIs" dxfId="5776" priority="6599" stopIfTrue="1" operator="equal">
      <formula>"Towel"</formula>
    </cfRule>
  </conditionalFormatting>
  <conditionalFormatting sqref="C97">
    <cfRule type="cellIs" dxfId="5775" priority="6597" stopIfTrue="1" operator="equal">
      <formula>"Towel"</formula>
    </cfRule>
    <cfRule type="cellIs" dxfId="5774" priority="6598" stopIfTrue="1" operator="equal">
      <formula>"Napkin Hs"</formula>
    </cfRule>
  </conditionalFormatting>
  <conditionalFormatting sqref="B97:C97">
    <cfRule type="cellIs" dxfId="5773" priority="6595" stopIfTrue="1" operator="equal">
      <formula>"Towel"</formula>
    </cfRule>
    <cfRule type="cellIs" dxfId="5772" priority="6596" stopIfTrue="1" operator="equal">
      <formula>"Napkin Hs"</formula>
    </cfRule>
  </conditionalFormatting>
  <conditionalFormatting sqref="C97">
    <cfRule type="cellIs" dxfId="5771" priority="6591" stopIfTrue="1" operator="equal">
      <formula>"Towel"</formula>
    </cfRule>
    <cfRule type="cellIs" dxfId="5770" priority="6592" stopIfTrue="1" operator="equal">
      <formula>"Napkin Hs"</formula>
    </cfRule>
  </conditionalFormatting>
  <conditionalFormatting sqref="C97">
    <cfRule type="cellIs" dxfId="5769" priority="6593" stopIfTrue="1" operator="equal">
      <formula>"Towel"</formula>
    </cfRule>
    <cfRule type="cellIs" dxfId="5768" priority="6594" stopIfTrue="1" operator="equal">
      <formula>"Napkin Hs"</formula>
    </cfRule>
  </conditionalFormatting>
  <conditionalFormatting sqref="B97:C97">
    <cfRule type="cellIs" dxfId="5767" priority="6590" stopIfTrue="1" operator="equal">
      <formula>"Napkin Hs"</formula>
    </cfRule>
  </conditionalFormatting>
  <conditionalFormatting sqref="B97:C97">
    <cfRule type="cellIs" dxfId="5766" priority="6589" stopIfTrue="1" operator="equal">
      <formula>"Towel"</formula>
    </cfRule>
  </conditionalFormatting>
  <conditionalFormatting sqref="C97">
    <cfRule type="cellIs" dxfId="5765" priority="6588" stopIfTrue="1" operator="equal">
      <formula>"Napkin Hs"</formula>
    </cfRule>
  </conditionalFormatting>
  <conditionalFormatting sqref="C97">
    <cfRule type="cellIs" dxfId="5764" priority="6587" stopIfTrue="1" operator="equal">
      <formula>"Towel"</formula>
    </cfRule>
  </conditionalFormatting>
  <conditionalFormatting sqref="C97">
    <cfRule type="cellIs" dxfId="5763" priority="6585" stopIfTrue="1" operator="equal">
      <formula>"Towel"</formula>
    </cfRule>
    <cfRule type="cellIs" dxfId="5762" priority="6586" stopIfTrue="1" operator="equal">
      <formula>"Napkin Hs"</formula>
    </cfRule>
  </conditionalFormatting>
  <conditionalFormatting sqref="B97:C97">
    <cfRule type="cellIs" dxfId="5761" priority="6583" stopIfTrue="1" operator="equal">
      <formula>"Towel"</formula>
    </cfRule>
    <cfRule type="cellIs" dxfId="5760" priority="6584" stopIfTrue="1" operator="equal">
      <formula>"Napkin Hs"</formula>
    </cfRule>
  </conditionalFormatting>
  <conditionalFormatting sqref="C97">
    <cfRule type="cellIs" dxfId="5759" priority="6581" stopIfTrue="1" operator="equal">
      <formula>"Towel"</formula>
    </cfRule>
    <cfRule type="cellIs" dxfId="5758" priority="6582" stopIfTrue="1" operator="equal">
      <formula>"Napkin Hs"</formula>
    </cfRule>
  </conditionalFormatting>
  <conditionalFormatting sqref="C97">
    <cfRule type="cellIs" dxfId="5757" priority="6579" stopIfTrue="1" operator="equal">
      <formula>"Towel"</formula>
    </cfRule>
    <cfRule type="cellIs" dxfId="5756" priority="6580" stopIfTrue="1" operator="equal">
      <formula>"Napkin Hs"</formula>
    </cfRule>
  </conditionalFormatting>
  <conditionalFormatting sqref="B97:C97">
    <cfRule type="cellIs" dxfId="5755" priority="6577" stopIfTrue="1" operator="equal">
      <formula>"Towel"</formula>
    </cfRule>
    <cfRule type="cellIs" dxfId="5754" priority="6578" stopIfTrue="1" operator="equal">
      <formula>"Napkin Hs"</formula>
    </cfRule>
  </conditionalFormatting>
  <conditionalFormatting sqref="C97">
    <cfRule type="cellIs" dxfId="5753" priority="6575" stopIfTrue="1" operator="equal">
      <formula>"Towel"</formula>
    </cfRule>
    <cfRule type="cellIs" dxfId="5752" priority="6576" stopIfTrue="1" operator="equal">
      <formula>"Napkin Hs"</formula>
    </cfRule>
  </conditionalFormatting>
  <conditionalFormatting sqref="C97">
    <cfRule type="cellIs" dxfId="5751" priority="6573" stopIfTrue="1" operator="equal">
      <formula>"Towel"</formula>
    </cfRule>
    <cfRule type="cellIs" dxfId="5750" priority="6574" stopIfTrue="1" operator="equal">
      <formula>"Napkin Hs"</formula>
    </cfRule>
  </conditionalFormatting>
  <conditionalFormatting sqref="B97:C97">
    <cfRule type="cellIs" dxfId="5749" priority="6571" stopIfTrue="1" operator="equal">
      <formula>"Towel"</formula>
    </cfRule>
    <cfRule type="cellIs" dxfId="5748" priority="6572" stopIfTrue="1" operator="equal">
      <formula>"Napkin Hs"</formula>
    </cfRule>
  </conditionalFormatting>
  <conditionalFormatting sqref="C97">
    <cfRule type="cellIs" dxfId="5747" priority="6569" stopIfTrue="1" operator="equal">
      <formula>"Towel"</formula>
    </cfRule>
    <cfRule type="cellIs" dxfId="5746" priority="6570" stopIfTrue="1" operator="equal">
      <formula>"Napkin Hs"</formula>
    </cfRule>
  </conditionalFormatting>
  <conditionalFormatting sqref="C97">
    <cfRule type="cellIs" dxfId="5745" priority="6567" stopIfTrue="1" operator="equal">
      <formula>"Towel"</formula>
    </cfRule>
    <cfRule type="cellIs" dxfId="5744" priority="6568" stopIfTrue="1" operator="equal">
      <formula>"Napkin Hs"</formula>
    </cfRule>
  </conditionalFormatting>
  <conditionalFormatting sqref="B97:C97">
    <cfRule type="cellIs" dxfId="5743" priority="6565" stopIfTrue="1" operator="equal">
      <formula>"Towel"</formula>
    </cfRule>
    <cfRule type="cellIs" dxfId="5742" priority="6566" stopIfTrue="1" operator="equal">
      <formula>"Napkin Hs"</formula>
    </cfRule>
  </conditionalFormatting>
  <conditionalFormatting sqref="C97">
    <cfRule type="cellIs" dxfId="5741" priority="6563" stopIfTrue="1" operator="equal">
      <formula>"Towel"</formula>
    </cfRule>
    <cfRule type="cellIs" dxfId="5740" priority="6564" stopIfTrue="1" operator="equal">
      <formula>"Napkin Hs"</formula>
    </cfRule>
  </conditionalFormatting>
  <conditionalFormatting sqref="C97">
    <cfRule type="cellIs" dxfId="5739" priority="6561" stopIfTrue="1" operator="equal">
      <formula>"Towel"</formula>
    </cfRule>
    <cfRule type="cellIs" dxfId="5738" priority="6562" stopIfTrue="1" operator="equal">
      <formula>"Napkin Hs"</formula>
    </cfRule>
  </conditionalFormatting>
  <conditionalFormatting sqref="B97:C97">
    <cfRule type="cellIs" dxfId="5737" priority="6559" stopIfTrue="1" operator="equal">
      <formula>"Towel"</formula>
    </cfRule>
    <cfRule type="cellIs" dxfId="5736" priority="6560" stopIfTrue="1" operator="equal">
      <formula>"Napkin Hs"</formula>
    </cfRule>
  </conditionalFormatting>
  <conditionalFormatting sqref="C97">
    <cfRule type="cellIs" dxfId="5735" priority="6557" stopIfTrue="1" operator="equal">
      <formula>"Towel"</formula>
    </cfRule>
    <cfRule type="cellIs" dxfId="5734" priority="6558" stopIfTrue="1" operator="equal">
      <formula>"Napkin Hs"</formula>
    </cfRule>
  </conditionalFormatting>
  <conditionalFormatting sqref="C97">
    <cfRule type="cellIs" dxfId="5733" priority="6555" stopIfTrue="1" operator="equal">
      <formula>"Towel"</formula>
    </cfRule>
    <cfRule type="cellIs" dxfId="5732" priority="6556" stopIfTrue="1" operator="equal">
      <formula>"Napkin Hs"</formula>
    </cfRule>
  </conditionalFormatting>
  <conditionalFormatting sqref="B97:C97">
    <cfRule type="cellIs" dxfId="5731" priority="6554" stopIfTrue="1" operator="equal">
      <formula>"Napkin Hs"</formula>
    </cfRule>
  </conditionalFormatting>
  <conditionalFormatting sqref="B97:C97">
    <cfRule type="cellIs" dxfId="5730" priority="6553" stopIfTrue="1" operator="equal">
      <formula>"Towel"</formula>
    </cfRule>
  </conditionalFormatting>
  <conditionalFormatting sqref="C97">
    <cfRule type="cellIs" dxfId="5729" priority="6552" stopIfTrue="1" operator="equal">
      <formula>"Napkin Hs"</formula>
    </cfRule>
  </conditionalFormatting>
  <conditionalFormatting sqref="C97">
    <cfRule type="cellIs" dxfId="5728" priority="6549" stopIfTrue="1" operator="equal">
      <formula>"Towel"</formula>
    </cfRule>
    <cfRule type="cellIs" dxfId="5727" priority="6550" stopIfTrue="1" operator="equal">
      <formula>"Napkin Hs"</formula>
    </cfRule>
  </conditionalFormatting>
  <conditionalFormatting sqref="C97">
    <cfRule type="cellIs" dxfId="5726" priority="6551" stopIfTrue="1" operator="equal">
      <formula>"Towel"</formula>
    </cfRule>
  </conditionalFormatting>
  <conditionalFormatting sqref="B97:C97">
    <cfRule type="cellIs" dxfId="5725" priority="6548" stopIfTrue="1" operator="equal">
      <formula>"Napkin Hs"</formula>
    </cfRule>
  </conditionalFormatting>
  <conditionalFormatting sqref="B97:C97">
    <cfRule type="cellIs" dxfId="5724" priority="6547" stopIfTrue="1" operator="equal">
      <formula>"Towel"</formula>
    </cfRule>
  </conditionalFormatting>
  <conditionalFormatting sqref="C97">
    <cfRule type="cellIs" dxfId="5723" priority="6546" stopIfTrue="1" operator="equal">
      <formula>"Napkin Hs"</formula>
    </cfRule>
  </conditionalFormatting>
  <conditionalFormatting sqref="C97">
    <cfRule type="cellIs" dxfId="5722" priority="6543" stopIfTrue="1" operator="equal">
      <formula>"Towel"</formula>
    </cfRule>
    <cfRule type="cellIs" dxfId="5721" priority="6544" stopIfTrue="1" operator="equal">
      <formula>"Napkin Hs"</formula>
    </cfRule>
  </conditionalFormatting>
  <conditionalFormatting sqref="C97">
    <cfRule type="cellIs" dxfId="5720" priority="6545" stopIfTrue="1" operator="equal">
      <formula>"Towel"</formula>
    </cfRule>
  </conditionalFormatting>
  <conditionalFormatting sqref="B95:C95">
    <cfRule type="cellIs" dxfId="5719" priority="6535" stopIfTrue="1" operator="equal">
      <formula>"Towel"</formula>
    </cfRule>
    <cfRule type="cellIs" dxfId="5718" priority="6536" stopIfTrue="1" operator="equal">
      <formula>"Napkin Hs"</formula>
    </cfRule>
  </conditionalFormatting>
  <conditionalFormatting sqref="C95">
    <cfRule type="cellIs" dxfId="5717" priority="6531" stopIfTrue="1" operator="equal">
      <formula>"Towel"</formula>
    </cfRule>
    <cfRule type="cellIs" dxfId="5716" priority="6532" stopIfTrue="1" operator="equal">
      <formula>"Napkin Hs"</formula>
    </cfRule>
  </conditionalFormatting>
  <conditionalFormatting sqref="C95">
    <cfRule type="cellIs" dxfId="5715" priority="6533" stopIfTrue="1" operator="equal">
      <formula>"Towel"</formula>
    </cfRule>
    <cfRule type="cellIs" dxfId="5714" priority="6534" stopIfTrue="1" operator="equal">
      <formula>"Napkin Hs"</formula>
    </cfRule>
  </conditionalFormatting>
  <conditionalFormatting sqref="B95:C95">
    <cfRule type="cellIs" dxfId="5713" priority="6530" stopIfTrue="1" operator="equal">
      <formula>"Napkin Hs"</formula>
    </cfRule>
  </conditionalFormatting>
  <conditionalFormatting sqref="B95:C95">
    <cfRule type="cellIs" dxfId="5712" priority="6529" stopIfTrue="1" operator="equal">
      <formula>"Towel"</formula>
    </cfRule>
  </conditionalFormatting>
  <conditionalFormatting sqref="C95">
    <cfRule type="cellIs" dxfId="5711" priority="6528" stopIfTrue="1" operator="equal">
      <formula>"Napkin Hs"</formula>
    </cfRule>
  </conditionalFormatting>
  <conditionalFormatting sqref="C95">
    <cfRule type="cellIs" dxfId="5710" priority="6527" stopIfTrue="1" operator="equal">
      <formula>"Towel"</formula>
    </cfRule>
  </conditionalFormatting>
  <conditionalFormatting sqref="C95">
    <cfRule type="cellIs" dxfId="5709" priority="6525" stopIfTrue="1" operator="equal">
      <formula>"Towel"</formula>
    </cfRule>
    <cfRule type="cellIs" dxfId="5708" priority="6526" stopIfTrue="1" operator="equal">
      <formula>"Napkin Hs"</formula>
    </cfRule>
  </conditionalFormatting>
  <conditionalFormatting sqref="B95:C95">
    <cfRule type="cellIs" dxfId="5707" priority="6523" stopIfTrue="1" operator="equal">
      <formula>"Towel"</formula>
    </cfRule>
    <cfRule type="cellIs" dxfId="5706" priority="6524" stopIfTrue="1" operator="equal">
      <formula>"Napkin Hs"</formula>
    </cfRule>
  </conditionalFormatting>
  <conditionalFormatting sqref="C95">
    <cfRule type="cellIs" dxfId="5705" priority="6521" stopIfTrue="1" operator="equal">
      <formula>"Towel"</formula>
    </cfRule>
    <cfRule type="cellIs" dxfId="5704" priority="6522" stopIfTrue="1" operator="equal">
      <formula>"Napkin Hs"</formula>
    </cfRule>
  </conditionalFormatting>
  <conditionalFormatting sqref="C95">
    <cfRule type="cellIs" dxfId="5703" priority="6519" stopIfTrue="1" operator="equal">
      <formula>"Towel"</formula>
    </cfRule>
    <cfRule type="cellIs" dxfId="5702" priority="6520" stopIfTrue="1" operator="equal">
      <formula>"Napkin Hs"</formula>
    </cfRule>
  </conditionalFormatting>
  <conditionalFormatting sqref="B95:C95">
    <cfRule type="cellIs" dxfId="5701" priority="6517" stopIfTrue="1" operator="equal">
      <formula>"Towel"</formula>
    </cfRule>
    <cfRule type="cellIs" dxfId="5700" priority="6518" stopIfTrue="1" operator="equal">
      <formula>"Napkin Hs"</formula>
    </cfRule>
  </conditionalFormatting>
  <conditionalFormatting sqref="C95">
    <cfRule type="cellIs" dxfId="5699" priority="6515" stopIfTrue="1" operator="equal">
      <formula>"Towel"</formula>
    </cfRule>
    <cfRule type="cellIs" dxfId="5698" priority="6516" stopIfTrue="1" operator="equal">
      <formula>"Napkin Hs"</formula>
    </cfRule>
  </conditionalFormatting>
  <conditionalFormatting sqref="C95">
    <cfRule type="cellIs" dxfId="5697" priority="6513" stopIfTrue="1" operator="equal">
      <formula>"Towel"</formula>
    </cfRule>
    <cfRule type="cellIs" dxfId="5696" priority="6514" stopIfTrue="1" operator="equal">
      <formula>"Napkin Hs"</formula>
    </cfRule>
  </conditionalFormatting>
  <conditionalFormatting sqref="B95:C95">
    <cfRule type="cellIs" dxfId="5695" priority="6511" stopIfTrue="1" operator="equal">
      <formula>"Towel"</formula>
    </cfRule>
    <cfRule type="cellIs" dxfId="5694" priority="6512" stopIfTrue="1" operator="equal">
      <formula>"Napkin Hs"</formula>
    </cfRule>
  </conditionalFormatting>
  <conditionalFormatting sqref="C95">
    <cfRule type="cellIs" dxfId="5693" priority="6509" stopIfTrue="1" operator="equal">
      <formula>"Towel"</formula>
    </cfRule>
    <cfRule type="cellIs" dxfId="5692" priority="6510" stopIfTrue="1" operator="equal">
      <formula>"Napkin Hs"</formula>
    </cfRule>
  </conditionalFormatting>
  <conditionalFormatting sqref="C95">
    <cfRule type="cellIs" dxfId="5691" priority="6507" stopIfTrue="1" operator="equal">
      <formula>"Towel"</formula>
    </cfRule>
    <cfRule type="cellIs" dxfId="5690" priority="6508" stopIfTrue="1" operator="equal">
      <formula>"Napkin Hs"</formula>
    </cfRule>
  </conditionalFormatting>
  <conditionalFormatting sqref="B95:C95">
    <cfRule type="cellIs" dxfId="5689" priority="6505" stopIfTrue="1" operator="equal">
      <formula>"Towel"</formula>
    </cfRule>
    <cfRule type="cellIs" dxfId="5688" priority="6506" stopIfTrue="1" operator="equal">
      <formula>"Napkin Hs"</formula>
    </cfRule>
  </conditionalFormatting>
  <conditionalFormatting sqref="C95">
    <cfRule type="cellIs" dxfId="5687" priority="6503" stopIfTrue="1" operator="equal">
      <formula>"Towel"</formula>
    </cfRule>
    <cfRule type="cellIs" dxfId="5686" priority="6504" stopIfTrue="1" operator="equal">
      <formula>"Napkin Hs"</formula>
    </cfRule>
  </conditionalFormatting>
  <conditionalFormatting sqref="C95">
    <cfRule type="cellIs" dxfId="5685" priority="6501" stopIfTrue="1" operator="equal">
      <formula>"Towel"</formula>
    </cfRule>
    <cfRule type="cellIs" dxfId="5684" priority="6502" stopIfTrue="1" operator="equal">
      <formula>"Napkin Hs"</formula>
    </cfRule>
  </conditionalFormatting>
  <conditionalFormatting sqref="B95:C95">
    <cfRule type="cellIs" dxfId="5683" priority="6499" stopIfTrue="1" operator="equal">
      <formula>"Towel"</formula>
    </cfRule>
    <cfRule type="cellIs" dxfId="5682" priority="6500" stopIfTrue="1" operator="equal">
      <formula>"Napkin Hs"</formula>
    </cfRule>
  </conditionalFormatting>
  <conditionalFormatting sqref="C95">
    <cfRule type="cellIs" dxfId="5681" priority="6497" stopIfTrue="1" operator="equal">
      <formula>"Towel"</formula>
    </cfRule>
    <cfRule type="cellIs" dxfId="5680" priority="6498" stopIfTrue="1" operator="equal">
      <formula>"Napkin Hs"</formula>
    </cfRule>
  </conditionalFormatting>
  <conditionalFormatting sqref="C95">
    <cfRule type="cellIs" dxfId="5679" priority="6495" stopIfTrue="1" operator="equal">
      <formula>"Towel"</formula>
    </cfRule>
    <cfRule type="cellIs" dxfId="5678" priority="6496" stopIfTrue="1" operator="equal">
      <formula>"Napkin Hs"</formula>
    </cfRule>
  </conditionalFormatting>
  <conditionalFormatting sqref="B95:C95">
    <cfRule type="cellIs" dxfId="5677" priority="6494" stopIfTrue="1" operator="equal">
      <formula>"Napkin Hs"</formula>
    </cfRule>
  </conditionalFormatting>
  <conditionalFormatting sqref="B95:C95">
    <cfRule type="cellIs" dxfId="5676" priority="6493" stopIfTrue="1" operator="equal">
      <formula>"Towel"</formula>
    </cfRule>
  </conditionalFormatting>
  <conditionalFormatting sqref="C95">
    <cfRule type="cellIs" dxfId="5675" priority="6492" stopIfTrue="1" operator="equal">
      <formula>"Napkin Hs"</formula>
    </cfRule>
  </conditionalFormatting>
  <conditionalFormatting sqref="C95">
    <cfRule type="cellIs" dxfId="5674" priority="6489" stopIfTrue="1" operator="equal">
      <formula>"Towel"</formula>
    </cfRule>
    <cfRule type="cellIs" dxfId="5673" priority="6490" stopIfTrue="1" operator="equal">
      <formula>"Napkin Hs"</formula>
    </cfRule>
  </conditionalFormatting>
  <conditionalFormatting sqref="C95">
    <cfRule type="cellIs" dxfId="5672" priority="6491" stopIfTrue="1" operator="equal">
      <formula>"Towel"</formula>
    </cfRule>
  </conditionalFormatting>
  <conditionalFormatting sqref="B95:C95">
    <cfRule type="cellIs" dxfId="5671" priority="6488" stopIfTrue="1" operator="equal">
      <formula>"Napkin Hs"</formula>
    </cfRule>
  </conditionalFormatting>
  <conditionalFormatting sqref="B95:C95">
    <cfRule type="cellIs" dxfId="5670" priority="6487" stopIfTrue="1" operator="equal">
      <formula>"Towel"</formula>
    </cfRule>
  </conditionalFormatting>
  <conditionalFormatting sqref="C95">
    <cfRule type="cellIs" dxfId="5669" priority="6486" stopIfTrue="1" operator="equal">
      <formula>"Napkin Hs"</formula>
    </cfRule>
  </conditionalFormatting>
  <conditionalFormatting sqref="C95">
    <cfRule type="cellIs" dxfId="5668" priority="6485" stopIfTrue="1" operator="equal">
      <formula>"Towel"</formula>
    </cfRule>
  </conditionalFormatting>
  <conditionalFormatting sqref="C95">
    <cfRule type="cellIs" dxfId="5667" priority="6483" stopIfTrue="1" operator="equal">
      <formula>"Towel"</formula>
    </cfRule>
    <cfRule type="cellIs" dxfId="5666" priority="6484" stopIfTrue="1" operator="equal">
      <formula>"Napkin Hs"</formula>
    </cfRule>
  </conditionalFormatting>
  <conditionalFormatting sqref="C95">
    <cfRule type="cellIs" dxfId="5665" priority="6477" stopIfTrue="1" operator="equal">
      <formula>"Towel"</formula>
    </cfRule>
    <cfRule type="cellIs" dxfId="5664" priority="6478" stopIfTrue="1" operator="equal">
      <formula>"Napkin Hs"</formula>
    </cfRule>
  </conditionalFormatting>
  <conditionalFormatting sqref="B95:C95">
    <cfRule type="cellIs" dxfId="5663" priority="6476" stopIfTrue="1" operator="equal">
      <formula>"Napkin Hs"</formula>
    </cfRule>
  </conditionalFormatting>
  <conditionalFormatting sqref="B95:C95">
    <cfRule type="cellIs" dxfId="5662" priority="6475" stopIfTrue="1" operator="equal">
      <formula>"Towel"</formula>
    </cfRule>
  </conditionalFormatting>
  <conditionalFormatting sqref="C95">
    <cfRule type="cellIs" dxfId="5661" priority="6474" stopIfTrue="1" operator="equal">
      <formula>"Napkin Hs"</formula>
    </cfRule>
  </conditionalFormatting>
  <conditionalFormatting sqref="C95">
    <cfRule type="cellIs" dxfId="5660" priority="6473" stopIfTrue="1" operator="equal">
      <formula>"Towel"</formula>
    </cfRule>
  </conditionalFormatting>
  <conditionalFormatting sqref="C95">
    <cfRule type="cellIs" dxfId="5659" priority="6471" stopIfTrue="1" operator="equal">
      <formula>"Towel"</formula>
    </cfRule>
    <cfRule type="cellIs" dxfId="5658" priority="6472" stopIfTrue="1" operator="equal">
      <formula>"Napkin Hs"</formula>
    </cfRule>
  </conditionalFormatting>
  <conditionalFormatting sqref="C95">
    <cfRule type="cellIs" dxfId="5657" priority="6465" stopIfTrue="1" operator="equal">
      <formula>"Towel"</formula>
    </cfRule>
    <cfRule type="cellIs" dxfId="5656" priority="6466" stopIfTrue="1" operator="equal">
      <formula>"Napkin Hs"</formula>
    </cfRule>
  </conditionalFormatting>
  <conditionalFormatting sqref="C95">
    <cfRule type="cellIs" dxfId="5655" priority="6459" stopIfTrue="1" operator="equal">
      <formula>"Towel"</formula>
    </cfRule>
    <cfRule type="cellIs" dxfId="5654" priority="6460" stopIfTrue="1" operator="equal">
      <formula>"Napkin Hs"</formula>
    </cfRule>
  </conditionalFormatting>
  <conditionalFormatting sqref="C95">
    <cfRule type="cellIs" dxfId="5653" priority="6453" stopIfTrue="1" operator="equal">
      <formula>"Towel"</formula>
    </cfRule>
    <cfRule type="cellIs" dxfId="5652" priority="6454" stopIfTrue="1" operator="equal">
      <formula>"Napkin Hs"</formula>
    </cfRule>
  </conditionalFormatting>
  <conditionalFormatting sqref="C95">
    <cfRule type="cellIs" dxfId="5651" priority="6447" stopIfTrue="1" operator="equal">
      <formula>"Towel"</formula>
    </cfRule>
    <cfRule type="cellIs" dxfId="5650" priority="6448" stopIfTrue="1" operator="equal">
      <formula>"Napkin Hs"</formula>
    </cfRule>
  </conditionalFormatting>
  <conditionalFormatting sqref="C95">
    <cfRule type="cellIs" dxfId="5649" priority="6441" stopIfTrue="1" operator="equal">
      <formula>"Towel"</formula>
    </cfRule>
    <cfRule type="cellIs" dxfId="5648" priority="6442" stopIfTrue="1" operator="equal">
      <formula>"Napkin Hs"</formula>
    </cfRule>
  </conditionalFormatting>
  <conditionalFormatting sqref="B95:C95">
    <cfRule type="cellIs" dxfId="5647" priority="6440" stopIfTrue="1" operator="equal">
      <formula>"Napkin Hs"</formula>
    </cfRule>
  </conditionalFormatting>
  <conditionalFormatting sqref="B95:C95">
    <cfRule type="cellIs" dxfId="5646" priority="6439" stopIfTrue="1" operator="equal">
      <formula>"Towel"</formula>
    </cfRule>
  </conditionalFormatting>
  <conditionalFormatting sqref="C95">
    <cfRule type="cellIs" dxfId="5645" priority="6438" stopIfTrue="1" operator="equal">
      <formula>"Napkin Hs"</formula>
    </cfRule>
  </conditionalFormatting>
  <conditionalFormatting sqref="C95">
    <cfRule type="cellIs" dxfId="5644" priority="6435" stopIfTrue="1" operator="equal">
      <formula>"Towel"</formula>
    </cfRule>
    <cfRule type="cellIs" dxfId="5643" priority="6436" stopIfTrue="1" operator="equal">
      <formula>"Napkin Hs"</formula>
    </cfRule>
  </conditionalFormatting>
  <conditionalFormatting sqref="C95">
    <cfRule type="cellIs" dxfId="5642" priority="6437" stopIfTrue="1" operator="equal">
      <formula>"Towel"</formula>
    </cfRule>
  </conditionalFormatting>
  <conditionalFormatting sqref="B95:C95">
    <cfRule type="cellIs" dxfId="5641" priority="6434" stopIfTrue="1" operator="equal">
      <formula>"Napkin Hs"</formula>
    </cfRule>
  </conditionalFormatting>
  <conditionalFormatting sqref="B95:C95">
    <cfRule type="cellIs" dxfId="5640" priority="6433" stopIfTrue="1" operator="equal">
      <formula>"Towel"</formula>
    </cfRule>
  </conditionalFormatting>
  <conditionalFormatting sqref="C95">
    <cfRule type="cellIs" dxfId="5639" priority="6432" stopIfTrue="1" operator="equal">
      <formula>"Napkin Hs"</formula>
    </cfRule>
  </conditionalFormatting>
  <conditionalFormatting sqref="C95">
    <cfRule type="cellIs" dxfId="5638" priority="6429" stopIfTrue="1" operator="equal">
      <formula>"Towel"</formula>
    </cfRule>
    <cfRule type="cellIs" dxfId="5637" priority="6430" stopIfTrue="1" operator="equal">
      <formula>"Napkin Hs"</formula>
    </cfRule>
  </conditionalFormatting>
  <conditionalFormatting sqref="C95">
    <cfRule type="cellIs" dxfId="5636" priority="6431" stopIfTrue="1" operator="equal">
      <formula>"Towel"</formula>
    </cfRule>
  </conditionalFormatting>
  <conditionalFormatting sqref="B95:C95">
    <cfRule type="cellIs" dxfId="5635" priority="6481" stopIfTrue="1" operator="equal">
      <formula>"Towel"</formula>
    </cfRule>
    <cfRule type="cellIs" dxfId="5634" priority="6482" stopIfTrue="1" operator="equal">
      <formula>"Napkin Hs"</formula>
    </cfRule>
  </conditionalFormatting>
  <conditionalFormatting sqref="C95">
    <cfRule type="cellIs" dxfId="5633" priority="6479" stopIfTrue="1" operator="equal">
      <formula>"Towel"</formula>
    </cfRule>
    <cfRule type="cellIs" dxfId="5632" priority="6480" stopIfTrue="1" operator="equal">
      <formula>"Napkin Hs"</formula>
    </cfRule>
  </conditionalFormatting>
  <conditionalFormatting sqref="B95:C95">
    <cfRule type="cellIs" dxfId="5631" priority="6469" stopIfTrue="1" operator="equal">
      <formula>"Towel"</formula>
    </cfRule>
    <cfRule type="cellIs" dxfId="5630" priority="6470" stopIfTrue="1" operator="equal">
      <formula>"Napkin Hs"</formula>
    </cfRule>
  </conditionalFormatting>
  <conditionalFormatting sqref="C95">
    <cfRule type="cellIs" dxfId="5629" priority="6467" stopIfTrue="1" operator="equal">
      <formula>"Towel"</formula>
    </cfRule>
    <cfRule type="cellIs" dxfId="5628" priority="6468" stopIfTrue="1" operator="equal">
      <formula>"Napkin Hs"</formula>
    </cfRule>
  </conditionalFormatting>
  <conditionalFormatting sqref="B95:C95">
    <cfRule type="cellIs" dxfId="5627" priority="6463" stopIfTrue="1" operator="equal">
      <formula>"Towel"</formula>
    </cfRule>
    <cfRule type="cellIs" dxfId="5626" priority="6464" stopIfTrue="1" operator="equal">
      <formula>"Napkin Hs"</formula>
    </cfRule>
  </conditionalFormatting>
  <conditionalFormatting sqref="C95">
    <cfRule type="cellIs" dxfId="5625" priority="6461" stopIfTrue="1" operator="equal">
      <formula>"Towel"</formula>
    </cfRule>
    <cfRule type="cellIs" dxfId="5624" priority="6462" stopIfTrue="1" operator="equal">
      <formula>"Napkin Hs"</formula>
    </cfRule>
  </conditionalFormatting>
  <conditionalFormatting sqref="B95:C95">
    <cfRule type="cellIs" dxfId="5623" priority="6457" stopIfTrue="1" operator="equal">
      <formula>"Towel"</formula>
    </cfRule>
    <cfRule type="cellIs" dxfId="5622" priority="6458" stopIfTrue="1" operator="equal">
      <formula>"Napkin Hs"</formula>
    </cfRule>
  </conditionalFormatting>
  <conditionalFormatting sqref="C95">
    <cfRule type="cellIs" dxfId="5621" priority="6455" stopIfTrue="1" operator="equal">
      <formula>"Towel"</formula>
    </cfRule>
    <cfRule type="cellIs" dxfId="5620" priority="6456" stopIfTrue="1" operator="equal">
      <formula>"Napkin Hs"</formula>
    </cfRule>
  </conditionalFormatting>
  <conditionalFormatting sqref="B95:C95">
    <cfRule type="cellIs" dxfId="5619" priority="6451" stopIfTrue="1" operator="equal">
      <formula>"Towel"</formula>
    </cfRule>
    <cfRule type="cellIs" dxfId="5618" priority="6452" stopIfTrue="1" operator="equal">
      <formula>"Napkin Hs"</formula>
    </cfRule>
  </conditionalFormatting>
  <conditionalFormatting sqref="C95">
    <cfRule type="cellIs" dxfId="5617" priority="6449" stopIfTrue="1" operator="equal">
      <formula>"Towel"</formula>
    </cfRule>
    <cfRule type="cellIs" dxfId="5616" priority="6450" stopIfTrue="1" operator="equal">
      <formula>"Napkin Hs"</formula>
    </cfRule>
  </conditionalFormatting>
  <conditionalFormatting sqref="B95:C95">
    <cfRule type="cellIs" dxfId="5615" priority="6445" stopIfTrue="1" operator="equal">
      <formula>"Towel"</formula>
    </cfRule>
    <cfRule type="cellIs" dxfId="5614" priority="6446" stopIfTrue="1" operator="equal">
      <formula>"Napkin Hs"</formula>
    </cfRule>
  </conditionalFormatting>
  <conditionalFormatting sqref="C95">
    <cfRule type="cellIs" dxfId="5613" priority="6443" stopIfTrue="1" operator="equal">
      <formula>"Towel"</formula>
    </cfRule>
    <cfRule type="cellIs" dxfId="5612" priority="6444" stopIfTrue="1" operator="equal">
      <formula>"Napkin Hs"</formula>
    </cfRule>
  </conditionalFormatting>
  <conditionalFormatting sqref="B95:C95">
    <cfRule type="cellIs" dxfId="5611" priority="6428" stopIfTrue="1" operator="equal">
      <formula>"Napkin Hs"</formula>
    </cfRule>
  </conditionalFormatting>
  <conditionalFormatting sqref="B95:C95">
    <cfRule type="cellIs" dxfId="5610" priority="6427" stopIfTrue="1" operator="equal">
      <formula>"Towel"</formula>
    </cfRule>
  </conditionalFormatting>
  <conditionalFormatting sqref="C95">
    <cfRule type="cellIs" dxfId="5609" priority="6426" stopIfTrue="1" operator="equal">
      <formula>"Napkin Hs"</formula>
    </cfRule>
  </conditionalFormatting>
  <conditionalFormatting sqref="C95">
    <cfRule type="cellIs" dxfId="5608" priority="6423" stopIfTrue="1" operator="equal">
      <formula>"Towel"</formula>
    </cfRule>
    <cfRule type="cellIs" dxfId="5607" priority="6424" stopIfTrue="1" operator="equal">
      <formula>"Napkin Hs"</formula>
    </cfRule>
  </conditionalFormatting>
  <conditionalFormatting sqref="C95">
    <cfRule type="cellIs" dxfId="5606" priority="6425" stopIfTrue="1" operator="equal">
      <formula>"Towel"</formula>
    </cfRule>
  </conditionalFormatting>
  <conditionalFormatting sqref="B101:C101">
    <cfRule type="cellIs" dxfId="5605" priority="6421" stopIfTrue="1" operator="equal">
      <formula>"Towel"</formula>
    </cfRule>
    <cfRule type="cellIs" dxfId="5604" priority="6422" stopIfTrue="1" operator="equal">
      <formula>"Napkin Hs"</formula>
    </cfRule>
  </conditionalFormatting>
  <conditionalFormatting sqref="C101">
    <cfRule type="cellIs" dxfId="5603" priority="6419" stopIfTrue="1" operator="equal">
      <formula>"Towel"</formula>
    </cfRule>
    <cfRule type="cellIs" dxfId="5602" priority="6420" stopIfTrue="1" operator="equal">
      <formula>"Napkin Hs"</formula>
    </cfRule>
  </conditionalFormatting>
  <conditionalFormatting sqref="C101">
    <cfRule type="cellIs" dxfId="5601" priority="6417" stopIfTrue="1" operator="equal">
      <formula>"Towel"</formula>
    </cfRule>
    <cfRule type="cellIs" dxfId="5600" priority="6418" stopIfTrue="1" operator="equal">
      <formula>"Napkin Hs"</formula>
    </cfRule>
  </conditionalFormatting>
  <conditionalFormatting sqref="B100:C100">
    <cfRule type="cellIs" dxfId="5599" priority="6415" stopIfTrue="1" operator="equal">
      <formula>"Towel"</formula>
    </cfRule>
    <cfRule type="cellIs" dxfId="5598" priority="6416" stopIfTrue="1" operator="equal">
      <formula>"Napkin Hs"</formula>
    </cfRule>
  </conditionalFormatting>
  <conditionalFormatting sqref="C100">
    <cfRule type="cellIs" dxfId="5597" priority="6411" stopIfTrue="1" operator="equal">
      <formula>"Towel"</formula>
    </cfRule>
    <cfRule type="cellIs" dxfId="5596" priority="6412" stopIfTrue="1" operator="equal">
      <formula>"Napkin Hs"</formula>
    </cfRule>
  </conditionalFormatting>
  <conditionalFormatting sqref="C100">
    <cfRule type="cellIs" dxfId="5595" priority="6413" stopIfTrue="1" operator="equal">
      <formula>"Towel"</formula>
    </cfRule>
    <cfRule type="cellIs" dxfId="5594" priority="6414" stopIfTrue="1" operator="equal">
      <formula>"Napkin Hs"</formula>
    </cfRule>
  </conditionalFormatting>
  <conditionalFormatting sqref="B100:C100">
    <cfRule type="cellIs" dxfId="5593" priority="6410" stopIfTrue="1" operator="equal">
      <formula>"Napkin Hs"</formula>
    </cfRule>
  </conditionalFormatting>
  <conditionalFormatting sqref="B100:C100">
    <cfRule type="cellIs" dxfId="5592" priority="6409" stopIfTrue="1" operator="equal">
      <formula>"Towel"</formula>
    </cfRule>
  </conditionalFormatting>
  <conditionalFormatting sqref="C100">
    <cfRule type="cellIs" dxfId="5591" priority="6408" stopIfTrue="1" operator="equal">
      <formula>"Napkin Hs"</formula>
    </cfRule>
  </conditionalFormatting>
  <conditionalFormatting sqref="C100">
    <cfRule type="cellIs" dxfId="5590" priority="6407" stopIfTrue="1" operator="equal">
      <formula>"Towel"</formula>
    </cfRule>
  </conditionalFormatting>
  <conditionalFormatting sqref="C100">
    <cfRule type="cellIs" dxfId="5589" priority="6405" stopIfTrue="1" operator="equal">
      <formula>"Towel"</formula>
    </cfRule>
    <cfRule type="cellIs" dxfId="5588" priority="6406" stopIfTrue="1" operator="equal">
      <formula>"Napkin Hs"</formula>
    </cfRule>
  </conditionalFormatting>
  <conditionalFormatting sqref="B100:C100">
    <cfRule type="cellIs" dxfId="5587" priority="6403" stopIfTrue="1" operator="equal">
      <formula>"Towel"</formula>
    </cfRule>
    <cfRule type="cellIs" dxfId="5586" priority="6404" stopIfTrue="1" operator="equal">
      <formula>"Napkin Hs"</formula>
    </cfRule>
  </conditionalFormatting>
  <conditionalFormatting sqref="C100">
    <cfRule type="cellIs" dxfId="5585" priority="6401" stopIfTrue="1" operator="equal">
      <formula>"Towel"</formula>
    </cfRule>
    <cfRule type="cellIs" dxfId="5584" priority="6402" stopIfTrue="1" operator="equal">
      <formula>"Napkin Hs"</formula>
    </cfRule>
  </conditionalFormatting>
  <conditionalFormatting sqref="C100">
    <cfRule type="cellIs" dxfId="5583" priority="6399" stopIfTrue="1" operator="equal">
      <formula>"Towel"</formula>
    </cfRule>
    <cfRule type="cellIs" dxfId="5582" priority="6400" stopIfTrue="1" operator="equal">
      <formula>"Napkin Hs"</formula>
    </cfRule>
  </conditionalFormatting>
  <conditionalFormatting sqref="B100:C100">
    <cfRule type="cellIs" dxfId="5581" priority="6397" stopIfTrue="1" operator="equal">
      <formula>"Towel"</formula>
    </cfRule>
    <cfRule type="cellIs" dxfId="5580" priority="6398" stopIfTrue="1" operator="equal">
      <formula>"Napkin Hs"</formula>
    </cfRule>
  </conditionalFormatting>
  <conditionalFormatting sqref="C100">
    <cfRule type="cellIs" dxfId="5579" priority="6395" stopIfTrue="1" operator="equal">
      <formula>"Towel"</formula>
    </cfRule>
    <cfRule type="cellIs" dxfId="5578" priority="6396" stopIfTrue="1" operator="equal">
      <formula>"Napkin Hs"</formula>
    </cfRule>
  </conditionalFormatting>
  <conditionalFormatting sqref="C100">
    <cfRule type="cellIs" dxfId="5577" priority="6393" stopIfTrue="1" operator="equal">
      <formula>"Towel"</formula>
    </cfRule>
    <cfRule type="cellIs" dxfId="5576" priority="6394" stopIfTrue="1" operator="equal">
      <formula>"Napkin Hs"</formula>
    </cfRule>
  </conditionalFormatting>
  <conditionalFormatting sqref="B100:C100">
    <cfRule type="cellIs" dxfId="5575" priority="6391" stopIfTrue="1" operator="equal">
      <formula>"Towel"</formula>
    </cfRule>
    <cfRule type="cellIs" dxfId="5574" priority="6392" stopIfTrue="1" operator="equal">
      <formula>"Napkin Hs"</formula>
    </cfRule>
  </conditionalFormatting>
  <conditionalFormatting sqref="C100">
    <cfRule type="cellIs" dxfId="5573" priority="6389" stopIfTrue="1" operator="equal">
      <formula>"Towel"</formula>
    </cfRule>
    <cfRule type="cellIs" dxfId="5572" priority="6390" stopIfTrue="1" operator="equal">
      <formula>"Napkin Hs"</formula>
    </cfRule>
  </conditionalFormatting>
  <conditionalFormatting sqref="C100">
    <cfRule type="cellIs" dxfId="5571" priority="6387" stopIfTrue="1" operator="equal">
      <formula>"Towel"</formula>
    </cfRule>
    <cfRule type="cellIs" dxfId="5570" priority="6388" stopIfTrue="1" operator="equal">
      <formula>"Napkin Hs"</formula>
    </cfRule>
  </conditionalFormatting>
  <conditionalFormatting sqref="B100:C100">
    <cfRule type="cellIs" dxfId="5569" priority="6385" stopIfTrue="1" operator="equal">
      <formula>"Towel"</formula>
    </cfRule>
    <cfRule type="cellIs" dxfId="5568" priority="6386" stopIfTrue="1" operator="equal">
      <formula>"Napkin Hs"</formula>
    </cfRule>
  </conditionalFormatting>
  <conditionalFormatting sqref="C100">
    <cfRule type="cellIs" dxfId="5567" priority="6383" stopIfTrue="1" operator="equal">
      <formula>"Towel"</formula>
    </cfRule>
    <cfRule type="cellIs" dxfId="5566" priority="6384" stopIfTrue="1" operator="equal">
      <formula>"Napkin Hs"</formula>
    </cfRule>
  </conditionalFormatting>
  <conditionalFormatting sqref="C100">
    <cfRule type="cellIs" dxfId="5565" priority="6381" stopIfTrue="1" operator="equal">
      <formula>"Towel"</formula>
    </cfRule>
    <cfRule type="cellIs" dxfId="5564" priority="6382" stopIfTrue="1" operator="equal">
      <formula>"Napkin Hs"</formula>
    </cfRule>
  </conditionalFormatting>
  <conditionalFormatting sqref="B100:C100">
    <cfRule type="cellIs" dxfId="5563" priority="6379" stopIfTrue="1" operator="equal">
      <formula>"Towel"</formula>
    </cfRule>
    <cfRule type="cellIs" dxfId="5562" priority="6380" stopIfTrue="1" operator="equal">
      <formula>"Napkin Hs"</formula>
    </cfRule>
  </conditionalFormatting>
  <conditionalFormatting sqref="C100">
    <cfRule type="cellIs" dxfId="5561" priority="6377" stopIfTrue="1" operator="equal">
      <formula>"Towel"</formula>
    </cfRule>
    <cfRule type="cellIs" dxfId="5560" priority="6378" stopIfTrue="1" operator="equal">
      <formula>"Napkin Hs"</formula>
    </cfRule>
  </conditionalFormatting>
  <conditionalFormatting sqref="C100">
    <cfRule type="cellIs" dxfId="5559" priority="6375" stopIfTrue="1" operator="equal">
      <formula>"Towel"</formula>
    </cfRule>
    <cfRule type="cellIs" dxfId="5558" priority="6376" stopIfTrue="1" operator="equal">
      <formula>"Napkin Hs"</formula>
    </cfRule>
  </conditionalFormatting>
  <conditionalFormatting sqref="B100:C100">
    <cfRule type="cellIs" dxfId="5557" priority="6374" stopIfTrue="1" operator="equal">
      <formula>"Napkin Hs"</formula>
    </cfRule>
  </conditionalFormatting>
  <conditionalFormatting sqref="B100:C100">
    <cfRule type="cellIs" dxfId="5556" priority="6373" stopIfTrue="1" operator="equal">
      <formula>"Towel"</formula>
    </cfRule>
  </conditionalFormatting>
  <conditionalFormatting sqref="C100">
    <cfRule type="cellIs" dxfId="5555" priority="6372" stopIfTrue="1" operator="equal">
      <formula>"Napkin Hs"</formula>
    </cfRule>
  </conditionalFormatting>
  <conditionalFormatting sqref="C100">
    <cfRule type="cellIs" dxfId="5554" priority="6369" stopIfTrue="1" operator="equal">
      <formula>"Towel"</formula>
    </cfRule>
    <cfRule type="cellIs" dxfId="5553" priority="6370" stopIfTrue="1" operator="equal">
      <formula>"Napkin Hs"</formula>
    </cfRule>
  </conditionalFormatting>
  <conditionalFormatting sqref="C100">
    <cfRule type="cellIs" dxfId="5552" priority="6371" stopIfTrue="1" operator="equal">
      <formula>"Towel"</formula>
    </cfRule>
  </conditionalFormatting>
  <conditionalFormatting sqref="B100:C100">
    <cfRule type="cellIs" dxfId="5551" priority="6368" stopIfTrue="1" operator="equal">
      <formula>"Napkin Hs"</formula>
    </cfRule>
  </conditionalFormatting>
  <conditionalFormatting sqref="B100:C100">
    <cfRule type="cellIs" dxfId="5550" priority="6367" stopIfTrue="1" operator="equal">
      <formula>"Towel"</formula>
    </cfRule>
  </conditionalFormatting>
  <conditionalFormatting sqref="C100">
    <cfRule type="cellIs" dxfId="5549" priority="6366" stopIfTrue="1" operator="equal">
      <formula>"Napkin Hs"</formula>
    </cfRule>
  </conditionalFormatting>
  <conditionalFormatting sqref="C100">
    <cfRule type="cellIs" dxfId="5548" priority="6365" stopIfTrue="1" operator="equal">
      <formula>"Towel"</formula>
    </cfRule>
  </conditionalFormatting>
  <conditionalFormatting sqref="C100">
    <cfRule type="cellIs" dxfId="5547" priority="6363" stopIfTrue="1" operator="equal">
      <formula>"Towel"</formula>
    </cfRule>
    <cfRule type="cellIs" dxfId="5546" priority="6364" stopIfTrue="1" operator="equal">
      <formula>"Napkin Hs"</formula>
    </cfRule>
  </conditionalFormatting>
  <conditionalFormatting sqref="C100">
    <cfRule type="cellIs" dxfId="5545" priority="6357" stopIfTrue="1" operator="equal">
      <formula>"Towel"</formula>
    </cfRule>
    <cfRule type="cellIs" dxfId="5544" priority="6358" stopIfTrue="1" operator="equal">
      <formula>"Napkin Hs"</formula>
    </cfRule>
  </conditionalFormatting>
  <conditionalFormatting sqref="B100:C100">
    <cfRule type="cellIs" dxfId="5543" priority="6356" stopIfTrue="1" operator="equal">
      <formula>"Napkin Hs"</formula>
    </cfRule>
  </conditionalFormatting>
  <conditionalFormatting sqref="B100:C100">
    <cfRule type="cellIs" dxfId="5542" priority="6355" stopIfTrue="1" operator="equal">
      <formula>"Towel"</formula>
    </cfRule>
  </conditionalFormatting>
  <conditionalFormatting sqref="C100">
    <cfRule type="cellIs" dxfId="5541" priority="6354" stopIfTrue="1" operator="equal">
      <formula>"Napkin Hs"</formula>
    </cfRule>
  </conditionalFormatting>
  <conditionalFormatting sqref="C100">
    <cfRule type="cellIs" dxfId="5540" priority="6353" stopIfTrue="1" operator="equal">
      <formula>"Towel"</formula>
    </cfRule>
  </conditionalFormatting>
  <conditionalFormatting sqref="C100">
    <cfRule type="cellIs" dxfId="5539" priority="6351" stopIfTrue="1" operator="equal">
      <formula>"Towel"</formula>
    </cfRule>
    <cfRule type="cellIs" dxfId="5538" priority="6352" stopIfTrue="1" operator="equal">
      <formula>"Napkin Hs"</formula>
    </cfRule>
  </conditionalFormatting>
  <conditionalFormatting sqref="C100">
    <cfRule type="cellIs" dxfId="5537" priority="6345" stopIfTrue="1" operator="equal">
      <formula>"Towel"</formula>
    </cfRule>
    <cfRule type="cellIs" dxfId="5536" priority="6346" stopIfTrue="1" operator="equal">
      <formula>"Napkin Hs"</formula>
    </cfRule>
  </conditionalFormatting>
  <conditionalFormatting sqref="C100">
    <cfRule type="cellIs" dxfId="5535" priority="6339" stopIfTrue="1" operator="equal">
      <formula>"Towel"</formula>
    </cfRule>
    <cfRule type="cellIs" dxfId="5534" priority="6340" stopIfTrue="1" operator="equal">
      <formula>"Napkin Hs"</formula>
    </cfRule>
  </conditionalFormatting>
  <conditionalFormatting sqref="C100">
    <cfRule type="cellIs" dxfId="5533" priority="6333" stopIfTrue="1" operator="equal">
      <formula>"Towel"</formula>
    </cfRule>
    <cfRule type="cellIs" dxfId="5532" priority="6334" stopIfTrue="1" operator="equal">
      <formula>"Napkin Hs"</formula>
    </cfRule>
  </conditionalFormatting>
  <conditionalFormatting sqref="C100">
    <cfRule type="cellIs" dxfId="5531" priority="6327" stopIfTrue="1" operator="equal">
      <formula>"Towel"</formula>
    </cfRule>
    <cfRule type="cellIs" dxfId="5530" priority="6328" stopIfTrue="1" operator="equal">
      <formula>"Napkin Hs"</formula>
    </cfRule>
  </conditionalFormatting>
  <conditionalFormatting sqref="C100">
    <cfRule type="cellIs" dxfId="5529" priority="6321" stopIfTrue="1" operator="equal">
      <formula>"Towel"</formula>
    </cfRule>
    <cfRule type="cellIs" dxfId="5528" priority="6322" stopIfTrue="1" operator="equal">
      <formula>"Napkin Hs"</formula>
    </cfRule>
  </conditionalFormatting>
  <conditionalFormatting sqref="B100:C100">
    <cfRule type="cellIs" dxfId="5527" priority="6320" stopIfTrue="1" operator="equal">
      <formula>"Napkin Hs"</formula>
    </cfRule>
  </conditionalFormatting>
  <conditionalFormatting sqref="B100:C100">
    <cfRule type="cellIs" dxfId="5526" priority="6319" stopIfTrue="1" operator="equal">
      <formula>"Towel"</formula>
    </cfRule>
  </conditionalFormatting>
  <conditionalFormatting sqref="C100">
    <cfRule type="cellIs" dxfId="5525" priority="6318" stopIfTrue="1" operator="equal">
      <formula>"Napkin Hs"</formula>
    </cfRule>
  </conditionalFormatting>
  <conditionalFormatting sqref="C100">
    <cfRule type="cellIs" dxfId="5524" priority="6315" stopIfTrue="1" operator="equal">
      <formula>"Towel"</formula>
    </cfRule>
    <cfRule type="cellIs" dxfId="5523" priority="6316" stopIfTrue="1" operator="equal">
      <formula>"Napkin Hs"</formula>
    </cfRule>
  </conditionalFormatting>
  <conditionalFormatting sqref="C100">
    <cfRule type="cellIs" dxfId="5522" priority="6317" stopIfTrue="1" operator="equal">
      <formula>"Towel"</formula>
    </cfRule>
  </conditionalFormatting>
  <conditionalFormatting sqref="B100:C100">
    <cfRule type="cellIs" dxfId="5521" priority="6314" stopIfTrue="1" operator="equal">
      <formula>"Napkin Hs"</formula>
    </cfRule>
  </conditionalFormatting>
  <conditionalFormatting sqref="B100:C100">
    <cfRule type="cellIs" dxfId="5520" priority="6313" stopIfTrue="1" operator="equal">
      <formula>"Towel"</formula>
    </cfRule>
  </conditionalFormatting>
  <conditionalFormatting sqref="C100">
    <cfRule type="cellIs" dxfId="5519" priority="6312" stopIfTrue="1" operator="equal">
      <formula>"Napkin Hs"</formula>
    </cfRule>
  </conditionalFormatting>
  <conditionalFormatting sqref="C100">
    <cfRule type="cellIs" dxfId="5518" priority="6309" stopIfTrue="1" operator="equal">
      <formula>"Towel"</formula>
    </cfRule>
    <cfRule type="cellIs" dxfId="5517" priority="6310" stopIfTrue="1" operator="equal">
      <formula>"Napkin Hs"</formula>
    </cfRule>
  </conditionalFormatting>
  <conditionalFormatting sqref="C100">
    <cfRule type="cellIs" dxfId="5516" priority="6311" stopIfTrue="1" operator="equal">
      <formula>"Towel"</formula>
    </cfRule>
  </conditionalFormatting>
  <conditionalFormatting sqref="B101:C101">
    <cfRule type="cellIs" dxfId="5515" priority="6242" stopIfTrue="1" operator="equal">
      <formula>"Napkin Hs"</formula>
    </cfRule>
  </conditionalFormatting>
  <conditionalFormatting sqref="B101:C101">
    <cfRule type="cellIs" dxfId="5514" priority="6241" stopIfTrue="1" operator="equal">
      <formula>"Towel"</formula>
    </cfRule>
  </conditionalFormatting>
  <conditionalFormatting sqref="C101">
    <cfRule type="cellIs" dxfId="5513" priority="6240" stopIfTrue="1" operator="equal">
      <formula>"Napkin Hs"</formula>
    </cfRule>
  </conditionalFormatting>
  <conditionalFormatting sqref="C101">
    <cfRule type="cellIs" dxfId="5512" priority="6237" stopIfTrue="1" operator="equal">
      <formula>"Towel"</formula>
    </cfRule>
    <cfRule type="cellIs" dxfId="5511" priority="6238" stopIfTrue="1" operator="equal">
      <formula>"Napkin Hs"</formula>
    </cfRule>
  </conditionalFormatting>
  <conditionalFormatting sqref="C101">
    <cfRule type="cellIs" dxfId="5510" priority="6239" stopIfTrue="1" operator="equal">
      <formula>"Towel"</formula>
    </cfRule>
  </conditionalFormatting>
  <conditionalFormatting sqref="B100:C100">
    <cfRule type="cellIs" dxfId="5509" priority="6361" stopIfTrue="1" operator="equal">
      <formula>"Towel"</formula>
    </cfRule>
    <cfRule type="cellIs" dxfId="5508" priority="6362" stopIfTrue="1" operator="equal">
      <formula>"Napkin Hs"</formula>
    </cfRule>
  </conditionalFormatting>
  <conditionalFormatting sqref="C100">
    <cfRule type="cellIs" dxfId="5507" priority="6359" stopIfTrue="1" operator="equal">
      <formula>"Towel"</formula>
    </cfRule>
    <cfRule type="cellIs" dxfId="5506" priority="6360" stopIfTrue="1" operator="equal">
      <formula>"Napkin Hs"</formula>
    </cfRule>
  </conditionalFormatting>
  <conditionalFormatting sqref="B100:C100">
    <cfRule type="cellIs" dxfId="5505" priority="6349" stopIfTrue="1" operator="equal">
      <formula>"Towel"</formula>
    </cfRule>
    <cfRule type="cellIs" dxfId="5504" priority="6350" stopIfTrue="1" operator="equal">
      <formula>"Napkin Hs"</formula>
    </cfRule>
  </conditionalFormatting>
  <conditionalFormatting sqref="C100">
    <cfRule type="cellIs" dxfId="5503" priority="6347" stopIfTrue="1" operator="equal">
      <formula>"Towel"</formula>
    </cfRule>
    <cfRule type="cellIs" dxfId="5502" priority="6348" stopIfTrue="1" operator="equal">
      <formula>"Napkin Hs"</formula>
    </cfRule>
  </conditionalFormatting>
  <conditionalFormatting sqref="B100:C100">
    <cfRule type="cellIs" dxfId="5501" priority="6343" stopIfTrue="1" operator="equal">
      <formula>"Towel"</formula>
    </cfRule>
    <cfRule type="cellIs" dxfId="5500" priority="6344" stopIfTrue="1" operator="equal">
      <formula>"Napkin Hs"</formula>
    </cfRule>
  </conditionalFormatting>
  <conditionalFormatting sqref="C100">
    <cfRule type="cellIs" dxfId="5499" priority="6341" stopIfTrue="1" operator="equal">
      <formula>"Towel"</formula>
    </cfRule>
    <cfRule type="cellIs" dxfId="5498" priority="6342" stopIfTrue="1" operator="equal">
      <formula>"Napkin Hs"</formula>
    </cfRule>
  </conditionalFormatting>
  <conditionalFormatting sqref="B100:C100">
    <cfRule type="cellIs" dxfId="5497" priority="6337" stopIfTrue="1" operator="equal">
      <formula>"Towel"</formula>
    </cfRule>
    <cfRule type="cellIs" dxfId="5496" priority="6338" stopIfTrue="1" operator="equal">
      <formula>"Napkin Hs"</formula>
    </cfRule>
  </conditionalFormatting>
  <conditionalFormatting sqref="C100">
    <cfRule type="cellIs" dxfId="5495" priority="6335" stopIfTrue="1" operator="equal">
      <formula>"Towel"</formula>
    </cfRule>
    <cfRule type="cellIs" dxfId="5494" priority="6336" stopIfTrue="1" operator="equal">
      <formula>"Napkin Hs"</formula>
    </cfRule>
  </conditionalFormatting>
  <conditionalFormatting sqref="B100:C100">
    <cfRule type="cellIs" dxfId="5493" priority="6331" stopIfTrue="1" operator="equal">
      <formula>"Towel"</formula>
    </cfRule>
    <cfRule type="cellIs" dxfId="5492" priority="6332" stopIfTrue="1" operator="equal">
      <formula>"Napkin Hs"</formula>
    </cfRule>
  </conditionalFormatting>
  <conditionalFormatting sqref="C100">
    <cfRule type="cellIs" dxfId="5491" priority="6329" stopIfTrue="1" operator="equal">
      <formula>"Towel"</formula>
    </cfRule>
    <cfRule type="cellIs" dxfId="5490" priority="6330" stopIfTrue="1" operator="equal">
      <formula>"Napkin Hs"</formula>
    </cfRule>
  </conditionalFormatting>
  <conditionalFormatting sqref="B100:C100">
    <cfRule type="cellIs" dxfId="5489" priority="6325" stopIfTrue="1" operator="equal">
      <formula>"Towel"</formula>
    </cfRule>
    <cfRule type="cellIs" dxfId="5488" priority="6326" stopIfTrue="1" operator="equal">
      <formula>"Napkin Hs"</formula>
    </cfRule>
  </conditionalFormatting>
  <conditionalFormatting sqref="C100">
    <cfRule type="cellIs" dxfId="5487" priority="6323" stopIfTrue="1" operator="equal">
      <formula>"Towel"</formula>
    </cfRule>
    <cfRule type="cellIs" dxfId="5486" priority="6324" stopIfTrue="1" operator="equal">
      <formula>"Napkin Hs"</formula>
    </cfRule>
  </conditionalFormatting>
  <conditionalFormatting sqref="B100:C100">
    <cfRule type="cellIs" dxfId="5485" priority="6308" stopIfTrue="1" operator="equal">
      <formula>"Napkin Hs"</formula>
    </cfRule>
  </conditionalFormatting>
  <conditionalFormatting sqref="B100:C100">
    <cfRule type="cellIs" dxfId="5484" priority="6307" stopIfTrue="1" operator="equal">
      <formula>"Towel"</formula>
    </cfRule>
  </conditionalFormatting>
  <conditionalFormatting sqref="C100">
    <cfRule type="cellIs" dxfId="5483" priority="6306" stopIfTrue="1" operator="equal">
      <formula>"Napkin Hs"</formula>
    </cfRule>
  </conditionalFormatting>
  <conditionalFormatting sqref="C100">
    <cfRule type="cellIs" dxfId="5482" priority="6303" stopIfTrue="1" operator="equal">
      <formula>"Towel"</formula>
    </cfRule>
    <cfRule type="cellIs" dxfId="5481" priority="6304" stopIfTrue="1" operator="equal">
      <formula>"Napkin Hs"</formula>
    </cfRule>
  </conditionalFormatting>
  <conditionalFormatting sqref="C100">
    <cfRule type="cellIs" dxfId="5480" priority="6305" stopIfTrue="1" operator="equal">
      <formula>"Towel"</formula>
    </cfRule>
  </conditionalFormatting>
  <conditionalFormatting sqref="B101:C101">
    <cfRule type="cellIs" dxfId="5479" priority="6302" stopIfTrue="1" operator="equal">
      <formula>"Napkin Hs"</formula>
    </cfRule>
  </conditionalFormatting>
  <conditionalFormatting sqref="B101:C101">
    <cfRule type="cellIs" dxfId="5478" priority="6301" stopIfTrue="1" operator="equal">
      <formula>"Towel"</formula>
    </cfRule>
  </conditionalFormatting>
  <conditionalFormatting sqref="C101">
    <cfRule type="cellIs" dxfId="5477" priority="6300" stopIfTrue="1" operator="equal">
      <formula>"Napkin Hs"</formula>
    </cfRule>
  </conditionalFormatting>
  <conditionalFormatting sqref="C101">
    <cfRule type="cellIs" dxfId="5476" priority="6299" stopIfTrue="1" operator="equal">
      <formula>"Towel"</formula>
    </cfRule>
  </conditionalFormatting>
  <conditionalFormatting sqref="C101">
    <cfRule type="cellIs" dxfId="5475" priority="6297" stopIfTrue="1" operator="equal">
      <formula>"Towel"</formula>
    </cfRule>
    <cfRule type="cellIs" dxfId="5474" priority="6298" stopIfTrue="1" operator="equal">
      <formula>"Napkin Hs"</formula>
    </cfRule>
  </conditionalFormatting>
  <conditionalFormatting sqref="B101:C101">
    <cfRule type="cellIs" dxfId="5473" priority="6295" stopIfTrue="1" operator="equal">
      <formula>"Towel"</formula>
    </cfRule>
    <cfRule type="cellIs" dxfId="5472" priority="6296" stopIfTrue="1" operator="equal">
      <formula>"Napkin Hs"</formula>
    </cfRule>
  </conditionalFormatting>
  <conditionalFormatting sqref="C101">
    <cfRule type="cellIs" dxfId="5471" priority="6291" stopIfTrue="1" operator="equal">
      <formula>"Towel"</formula>
    </cfRule>
    <cfRule type="cellIs" dxfId="5470" priority="6292" stopIfTrue="1" operator="equal">
      <formula>"Napkin Hs"</formula>
    </cfRule>
  </conditionalFormatting>
  <conditionalFormatting sqref="C101">
    <cfRule type="cellIs" dxfId="5469" priority="6293" stopIfTrue="1" operator="equal">
      <formula>"Towel"</formula>
    </cfRule>
    <cfRule type="cellIs" dxfId="5468" priority="6294" stopIfTrue="1" operator="equal">
      <formula>"Napkin Hs"</formula>
    </cfRule>
  </conditionalFormatting>
  <conditionalFormatting sqref="B101:C101">
    <cfRule type="cellIs" dxfId="5467" priority="6290" stopIfTrue="1" operator="equal">
      <formula>"Napkin Hs"</formula>
    </cfRule>
  </conditionalFormatting>
  <conditionalFormatting sqref="B101:C101">
    <cfRule type="cellIs" dxfId="5466" priority="6289" stopIfTrue="1" operator="equal">
      <formula>"Towel"</formula>
    </cfRule>
  </conditionalFormatting>
  <conditionalFormatting sqref="C101">
    <cfRule type="cellIs" dxfId="5465" priority="6288" stopIfTrue="1" operator="equal">
      <formula>"Napkin Hs"</formula>
    </cfRule>
  </conditionalFormatting>
  <conditionalFormatting sqref="C101">
    <cfRule type="cellIs" dxfId="5464" priority="6287" stopIfTrue="1" operator="equal">
      <formula>"Towel"</formula>
    </cfRule>
  </conditionalFormatting>
  <conditionalFormatting sqref="C101">
    <cfRule type="cellIs" dxfId="5463" priority="6285" stopIfTrue="1" operator="equal">
      <formula>"Towel"</formula>
    </cfRule>
    <cfRule type="cellIs" dxfId="5462" priority="6286" stopIfTrue="1" operator="equal">
      <formula>"Napkin Hs"</formula>
    </cfRule>
  </conditionalFormatting>
  <conditionalFormatting sqref="B101:C101">
    <cfRule type="cellIs" dxfId="5461" priority="6283" stopIfTrue="1" operator="equal">
      <formula>"Towel"</formula>
    </cfRule>
    <cfRule type="cellIs" dxfId="5460" priority="6284" stopIfTrue="1" operator="equal">
      <formula>"Napkin Hs"</formula>
    </cfRule>
  </conditionalFormatting>
  <conditionalFormatting sqref="C101">
    <cfRule type="cellIs" dxfId="5459" priority="6281" stopIfTrue="1" operator="equal">
      <formula>"Towel"</formula>
    </cfRule>
    <cfRule type="cellIs" dxfId="5458" priority="6282" stopIfTrue="1" operator="equal">
      <formula>"Napkin Hs"</formula>
    </cfRule>
  </conditionalFormatting>
  <conditionalFormatting sqref="C101">
    <cfRule type="cellIs" dxfId="5457" priority="6279" stopIfTrue="1" operator="equal">
      <formula>"Towel"</formula>
    </cfRule>
    <cfRule type="cellIs" dxfId="5456" priority="6280" stopIfTrue="1" operator="equal">
      <formula>"Napkin Hs"</formula>
    </cfRule>
  </conditionalFormatting>
  <conditionalFormatting sqref="B101:C101">
    <cfRule type="cellIs" dxfId="5455" priority="6277" stopIfTrue="1" operator="equal">
      <formula>"Towel"</formula>
    </cfRule>
    <cfRule type="cellIs" dxfId="5454" priority="6278" stopIfTrue="1" operator="equal">
      <formula>"Napkin Hs"</formula>
    </cfRule>
  </conditionalFormatting>
  <conditionalFormatting sqref="C101">
    <cfRule type="cellIs" dxfId="5453" priority="6275" stopIfTrue="1" operator="equal">
      <formula>"Towel"</formula>
    </cfRule>
    <cfRule type="cellIs" dxfId="5452" priority="6276" stopIfTrue="1" operator="equal">
      <formula>"Napkin Hs"</formula>
    </cfRule>
  </conditionalFormatting>
  <conditionalFormatting sqref="C101">
    <cfRule type="cellIs" dxfId="5451" priority="6273" stopIfTrue="1" operator="equal">
      <formula>"Towel"</formula>
    </cfRule>
    <cfRule type="cellIs" dxfId="5450" priority="6274" stopIfTrue="1" operator="equal">
      <formula>"Napkin Hs"</formula>
    </cfRule>
  </conditionalFormatting>
  <conditionalFormatting sqref="B101:C101">
    <cfRule type="cellIs" dxfId="5449" priority="6271" stopIfTrue="1" operator="equal">
      <formula>"Towel"</formula>
    </cfRule>
    <cfRule type="cellIs" dxfId="5448" priority="6272" stopIfTrue="1" operator="equal">
      <formula>"Napkin Hs"</formula>
    </cfRule>
  </conditionalFormatting>
  <conditionalFormatting sqref="C101">
    <cfRule type="cellIs" dxfId="5447" priority="6269" stopIfTrue="1" operator="equal">
      <formula>"Towel"</formula>
    </cfRule>
    <cfRule type="cellIs" dxfId="5446" priority="6270" stopIfTrue="1" operator="equal">
      <formula>"Napkin Hs"</formula>
    </cfRule>
  </conditionalFormatting>
  <conditionalFormatting sqref="C101">
    <cfRule type="cellIs" dxfId="5445" priority="6267" stopIfTrue="1" operator="equal">
      <formula>"Towel"</formula>
    </cfRule>
    <cfRule type="cellIs" dxfId="5444" priority="6268" stopIfTrue="1" operator="equal">
      <formula>"Napkin Hs"</formula>
    </cfRule>
  </conditionalFormatting>
  <conditionalFormatting sqref="B101:C101">
    <cfRule type="cellIs" dxfId="5443" priority="6265" stopIfTrue="1" operator="equal">
      <formula>"Towel"</formula>
    </cfRule>
    <cfRule type="cellIs" dxfId="5442" priority="6266" stopIfTrue="1" operator="equal">
      <formula>"Napkin Hs"</formula>
    </cfRule>
  </conditionalFormatting>
  <conditionalFormatting sqref="C101">
    <cfRule type="cellIs" dxfId="5441" priority="6263" stopIfTrue="1" operator="equal">
      <formula>"Towel"</formula>
    </cfRule>
    <cfRule type="cellIs" dxfId="5440" priority="6264" stopIfTrue="1" operator="equal">
      <formula>"Napkin Hs"</formula>
    </cfRule>
  </conditionalFormatting>
  <conditionalFormatting sqref="C101">
    <cfRule type="cellIs" dxfId="5439" priority="6261" stopIfTrue="1" operator="equal">
      <formula>"Towel"</formula>
    </cfRule>
    <cfRule type="cellIs" dxfId="5438" priority="6262" stopIfTrue="1" operator="equal">
      <formula>"Napkin Hs"</formula>
    </cfRule>
  </conditionalFormatting>
  <conditionalFormatting sqref="B101:C101">
    <cfRule type="cellIs" dxfId="5437" priority="6259" stopIfTrue="1" operator="equal">
      <formula>"Towel"</formula>
    </cfRule>
    <cfRule type="cellIs" dxfId="5436" priority="6260" stopIfTrue="1" operator="equal">
      <formula>"Napkin Hs"</formula>
    </cfRule>
  </conditionalFormatting>
  <conditionalFormatting sqref="C101">
    <cfRule type="cellIs" dxfId="5435" priority="6257" stopIfTrue="1" operator="equal">
      <formula>"Towel"</formula>
    </cfRule>
    <cfRule type="cellIs" dxfId="5434" priority="6258" stopIfTrue="1" operator="equal">
      <formula>"Napkin Hs"</formula>
    </cfRule>
  </conditionalFormatting>
  <conditionalFormatting sqref="C101">
    <cfRule type="cellIs" dxfId="5433" priority="6255" stopIfTrue="1" operator="equal">
      <formula>"Towel"</formula>
    </cfRule>
    <cfRule type="cellIs" dxfId="5432" priority="6256" stopIfTrue="1" operator="equal">
      <formula>"Napkin Hs"</formula>
    </cfRule>
  </conditionalFormatting>
  <conditionalFormatting sqref="B101:C101">
    <cfRule type="cellIs" dxfId="5431" priority="6254" stopIfTrue="1" operator="equal">
      <formula>"Napkin Hs"</formula>
    </cfRule>
  </conditionalFormatting>
  <conditionalFormatting sqref="B101:C101">
    <cfRule type="cellIs" dxfId="5430" priority="6253" stopIfTrue="1" operator="equal">
      <formula>"Towel"</formula>
    </cfRule>
  </conditionalFormatting>
  <conditionalFormatting sqref="C101">
    <cfRule type="cellIs" dxfId="5429" priority="6252" stopIfTrue="1" operator="equal">
      <formula>"Napkin Hs"</formula>
    </cfRule>
  </conditionalFormatting>
  <conditionalFormatting sqref="C101">
    <cfRule type="cellIs" dxfId="5428" priority="6249" stopIfTrue="1" operator="equal">
      <formula>"Towel"</formula>
    </cfRule>
    <cfRule type="cellIs" dxfId="5427" priority="6250" stopIfTrue="1" operator="equal">
      <formula>"Napkin Hs"</formula>
    </cfRule>
  </conditionalFormatting>
  <conditionalFormatting sqref="C101">
    <cfRule type="cellIs" dxfId="5426" priority="6251" stopIfTrue="1" operator="equal">
      <formula>"Towel"</formula>
    </cfRule>
  </conditionalFormatting>
  <conditionalFormatting sqref="B101:C101">
    <cfRule type="cellIs" dxfId="5425" priority="6248" stopIfTrue="1" operator="equal">
      <formula>"Napkin Hs"</formula>
    </cfRule>
  </conditionalFormatting>
  <conditionalFormatting sqref="B101:C101">
    <cfRule type="cellIs" dxfId="5424" priority="6247" stopIfTrue="1" operator="equal">
      <formula>"Towel"</formula>
    </cfRule>
  </conditionalFormatting>
  <conditionalFormatting sqref="C101">
    <cfRule type="cellIs" dxfId="5423" priority="6246" stopIfTrue="1" operator="equal">
      <formula>"Napkin Hs"</formula>
    </cfRule>
  </conditionalFormatting>
  <conditionalFormatting sqref="C101">
    <cfRule type="cellIs" dxfId="5422" priority="6243" stopIfTrue="1" operator="equal">
      <formula>"Towel"</formula>
    </cfRule>
    <cfRule type="cellIs" dxfId="5421" priority="6244" stopIfTrue="1" operator="equal">
      <formula>"Napkin Hs"</formula>
    </cfRule>
  </conditionalFormatting>
  <conditionalFormatting sqref="C101">
    <cfRule type="cellIs" dxfId="5420" priority="6245" stopIfTrue="1" operator="equal">
      <formula>"Towel"</formula>
    </cfRule>
  </conditionalFormatting>
  <conditionalFormatting sqref="B99:C99">
    <cfRule type="cellIs" dxfId="5419" priority="6235" stopIfTrue="1" operator="equal">
      <formula>"Towel"</formula>
    </cfRule>
    <cfRule type="cellIs" dxfId="5418" priority="6236" stopIfTrue="1" operator="equal">
      <formula>"Napkin Hs"</formula>
    </cfRule>
  </conditionalFormatting>
  <conditionalFormatting sqref="C99">
    <cfRule type="cellIs" dxfId="5417" priority="6231" stopIfTrue="1" operator="equal">
      <formula>"Towel"</formula>
    </cfRule>
    <cfRule type="cellIs" dxfId="5416" priority="6232" stopIfTrue="1" operator="equal">
      <formula>"Napkin Hs"</formula>
    </cfRule>
  </conditionalFormatting>
  <conditionalFormatting sqref="C99">
    <cfRule type="cellIs" dxfId="5415" priority="6233" stopIfTrue="1" operator="equal">
      <formula>"Towel"</formula>
    </cfRule>
    <cfRule type="cellIs" dxfId="5414" priority="6234" stopIfTrue="1" operator="equal">
      <formula>"Napkin Hs"</formula>
    </cfRule>
  </conditionalFormatting>
  <conditionalFormatting sqref="B99:C99">
    <cfRule type="cellIs" dxfId="5413" priority="6230" stopIfTrue="1" operator="equal">
      <formula>"Napkin Hs"</formula>
    </cfRule>
  </conditionalFormatting>
  <conditionalFormatting sqref="B99:C99">
    <cfRule type="cellIs" dxfId="5412" priority="6229" stopIfTrue="1" operator="equal">
      <formula>"Towel"</formula>
    </cfRule>
  </conditionalFormatting>
  <conditionalFormatting sqref="C99">
    <cfRule type="cellIs" dxfId="5411" priority="6228" stopIfTrue="1" operator="equal">
      <formula>"Napkin Hs"</formula>
    </cfRule>
  </conditionalFormatting>
  <conditionalFormatting sqref="C99">
    <cfRule type="cellIs" dxfId="5410" priority="6227" stopIfTrue="1" operator="equal">
      <formula>"Towel"</formula>
    </cfRule>
  </conditionalFormatting>
  <conditionalFormatting sqref="C99">
    <cfRule type="cellIs" dxfId="5409" priority="6225" stopIfTrue="1" operator="equal">
      <formula>"Towel"</formula>
    </cfRule>
    <cfRule type="cellIs" dxfId="5408" priority="6226" stopIfTrue="1" operator="equal">
      <formula>"Napkin Hs"</formula>
    </cfRule>
  </conditionalFormatting>
  <conditionalFormatting sqref="B99:C99">
    <cfRule type="cellIs" dxfId="5407" priority="6223" stopIfTrue="1" operator="equal">
      <formula>"Towel"</formula>
    </cfRule>
    <cfRule type="cellIs" dxfId="5406" priority="6224" stopIfTrue="1" operator="equal">
      <formula>"Napkin Hs"</formula>
    </cfRule>
  </conditionalFormatting>
  <conditionalFormatting sqref="C99">
    <cfRule type="cellIs" dxfId="5405" priority="6221" stopIfTrue="1" operator="equal">
      <formula>"Towel"</formula>
    </cfRule>
    <cfRule type="cellIs" dxfId="5404" priority="6222" stopIfTrue="1" operator="equal">
      <formula>"Napkin Hs"</formula>
    </cfRule>
  </conditionalFormatting>
  <conditionalFormatting sqref="C99">
    <cfRule type="cellIs" dxfId="5403" priority="6219" stopIfTrue="1" operator="equal">
      <formula>"Towel"</formula>
    </cfRule>
    <cfRule type="cellIs" dxfId="5402" priority="6220" stopIfTrue="1" operator="equal">
      <formula>"Napkin Hs"</formula>
    </cfRule>
  </conditionalFormatting>
  <conditionalFormatting sqref="B99:C99">
    <cfRule type="cellIs" dxfId="5401" priority="6217" stopIfTrue="1" operator="equal">
      <formula>"Towel"</formula>
    </cfRule>
    <cfRule type="cellIs" dxfId="5400" priority="6218" stopIfTrue="1" operator="equal">
      <formula>"Napkin Hs"</formula>
    </cfRule>
  </conditionalFormatting>
  <conditionalFormatting sqref="C99">
    <cfRule type="cellIs" dxfId="5399" priority="6215" stopIfTrue="1" operator="equal">
      <formula>"Towel"</formula>
    </cfRule>
    <cfRule type="cellIs" dxfId="5398" priority="6216" stopIfTrue="1" operator="equal">
      <formula>"Napkin Hs"</formula>
    </cfRule>
  </conditionalFormatting>
  <conditionalFormatting sqref="C99">
    <cfRule type="cellIs" dxfId="5397" priority="6213" stopIfTrue="1" operator="equal">
      <formula>"Towel"</formula>
    </cfRule>
    <cfRule type="cellIs" dxfId="5396" priority="6214" stopIfTrue="1" operator="equal">
      <formula>"Napkin Hs"</formula>
    </cfRule>
  </conditionalFormatting>
  <conditionalFormatting sqref="B99:C99">
    <cfRule type="cellIs" dxfId="5395" priority="6211" stopIfTrue="1" operator="equal">
      <formula>"Towel"</formula>
    </cfRule>
    <cfRule type="cellIs" dxfId="5394" priority="6212" stopIfTrue="1" operator="equal">
      <formula>"Napkin Hs"</formula>
    </cfRule>
  </conditionalFormatting>
  <conditionalFormatting sqref="C99">
    <cfRule type="cellIs" dxfId="5393" priority="6209" stopIfTrue="1" operator="equal">
      <formula>"Towel"</formula>
    </cfRule>
    <cfRule type="cellIs" dxfId="5392" priority="6210" stopIfTrue="1" operator="equal">
      <formula>"Napkin Hs"</formula>
    </cfRule>
  </conditionalFormatting>
  <conditionalFormatting sqref="C99">
    <cfRule type="cellIs" dxfId="5391" priority="6207" stopIfTrue="1" operator="equal">
      <formula>"Towel"</formula>
    </cfRule>
    <cfRule type="cellIs" dxfId="5390" priority="6208" stopIfTrue="1" operator="equal">
      <formula>"Napkin Hs"</formula>
    </cfRule>
  </conditionalFormatting>
  <conditionalFormatting sqref="B99:C99">
    <cfRule type="cellIs" dxfId="5389" priority="6205" stopIfTrue="1" operator="equal">
      <formula>"Towel"</formula>
    </cfRule>
    <cfRule type="cellIs" dxfId="5388" priority="6206" stopIfTrue="1" operator="equal">
      <formula>"Napkin Hs"</formula>
    </cfRule>
  </conditionalFormatting>
  <conditionalFormatting sqref="C99">
    <cfRule type="cellIs" dxfId="5387" priority="6203" stopIfTrue="1" operator="equal">
      <formula>"Towel"</formula>
    </cfRule>
    <cfRule type="cellIs" dxfId="5386" priority="6204" stopIfTrue="1" operator="equal">
      <formula>"Napkin Hs"</formula>
    </cfRule>
  </conditionalFormatting>
  <conditionalFormatting sqref="C99">
    <cfRule type="cellIs" dxfId="5385" priority="6201" stopIfTrue="1" operator="equal">
      <formula>"Towel"</formula>
    </cfRule>
    <cfRule type="cellIs" dxfId="5384" priority="6202" stopIfTrue="1" operator="equal">
      <formula>"Napkin Hs"</formula>
    </cfRule>
  </conditionalFormatting>
  <conditionalFormatting sqref="B99:C99">
    <cfRule type="cellIs" dxfId="5383" priority="6199" stopIfTrue="1" operator="equal">
      <formula>"Towel"</formula>
    </cfRule>
    <cfRule type="cellIs" dxfId="5382" priority="6200" stopIfTrue="1" operator="equal">
      <formula>"Napkin Hs"</formula>
    </cfRule>
  </conditionalFormatting>
  <conditionalFormatting sqref="C99">
    <cfRule type="cellIs" dxfId="5381" priority="6197" stopIfTrue="1" operator="equal">
      <formula>"Towel"</formula>
    </cfRule>
    <cfRule type="cellIs" dxfId="5380" priority="6198" stopIfTrue="1" operator="equal">
      <formula>"Napkin Hs"</formula>
    </cfRule>
  </conditionalFormatting>
  <conditionalFormatting sqref="C99">
    <cfRule type="cellIs" dxfId="5379" priority="6195" stopIfTrue="1" operator="equal">
      <formula>"Towel"</formula>
    </cfRule>
    <cfRule type="cellIs" dxfId="5378" priority="6196" stopIfTrue="1" operator="equal">
      <formula>"Napkin Hs"</formula>
    </cfRule>
  </conditionalFormatting>
  <conditionalFormatting sqref="B99:C99">
    <cfRule type="cellIs" dxfId="5377" priority="6194" stopIfTrue="1" operator="equal">
      <formula>"Napkin Hs"</formula>
    </cfRule>
  </conditionalFormatting>
  <conditionalFormatting sqref="B99:C99">
    <cfRule type="cellIs" dxfId="5376" priority="6193" stopIfTrue="1" operator="equal">
      <formula>"Towel"</formula>
    </cfRule>
  </conditionalFormatting>
  <conditionalFormatting sqref="C99">
    <cfRule type="cellIs" dxfId="5375" priority="6192" stopIfTrue="1" operator="equal">
      <formula>"Napkin Hs"</formula>
    </cfRule>
  </conditionalFormatting>
  <conditionalFormatting sqref="C99">
    <cfRule type="cellIs" dxfId="5374" priority="6189" stopIfTrue="1" operator="equal">
      <formula>"Towel"</formula>
    </cfRule>
    <cfRule type="cellIs" dxfId="5373" priority="6190" stopIfTrue="1" operator="equal">
      <formula>"Napkin Hs"</formula>
    </cfRule>
  </conditionalFormatting>
  <conditionalFormatting sqref="C99">
    <cfRule type="cellIs" dxfId="5372" priority="6191" stopIfTrue="1" operator="equal">
      <formula>"Towel"</formula>
    </cfRule>
  </conditionalFormatting>
  <conditionalFormatting sqref="B99:C99">
    <cfRule type="cellIs" dxfId="5371" priority="6188" stopIfTrue="1" operator="equal">
      <formula>"Napkin Hs"</formula>
    </cfRule>
  </conditionalFormatting>
  <conditionalFormatting sqref="B99:C99">
    <cfRule type="cellIs" dxfId="5370" priority="6187" stopIfTrue="1" operator="equal">
      <formula>"Towel"</formula>
    </cfRule>
  </conditionalFormatting>
  <conditionalFormatting sqref="C99">
    <cfRule type="cellIs" dxfId="5369" priority="6186" stopIfTrue="1" operator="equal">
      <formula>"Napkin Hs"</formula>
    </cfRule>
  </conditionalFormatting>
  <conditionalFormatting sqref="C99">
    <cfRule type="cellIs" dxfId="5368" priority="6185" stopIfTrue="1" operator="equal">
      <formula>"Towel"</formula>
    </cfRule>
  </conditionalFormatting>
  <conditionalFormatting sqref="C99">
    <cfRule type="cellIs" dxfId="5367" priority="6183" stopIfTrue="1" operator="equal">
      <formula>"Towel"</formula>
    </cfRule>
    <cfRule type="cellIs" dxfId="5366" priority="6184" stopIfTrue="1" operator="equal">
      <formula>"Napkin Hs"</formula>
    </cfRule>
  </conditionalFormatting>
  <conditionalFormatting sqref="C99">
    <cfRule type="cellIs" dxfId="5365" priority="6177" stopIfTrue="1" operator="equal">
      <formula>"Towel"</formula>
    </cfRule>
    <cfRule type="cellIs" dxfId="5364" priority="6178" stopIfTrue="1" operator="equal">
      <formula>"Napkin Hs"</formula>
    </cfRule>
  </conditionalFormatting>
  <conditionalFormatting sqref="B99:C99">
    <cfRule type="cellIs" dxfId="5363" priority="6176" stopIfTrue="1" operator="equal">
      <formula>"Napkin Hs"</formula>
    </cfRule>
  </conditionalFormatting>
  <conditionalFormatting sqref="B99:C99">
    <cfRule type="cellIs" dxfId="5362" priority="6175" stopIfTrue="1" operator="equal">
      <formula>"Towel"</formula>
    </cfRule>
  </conditionalFormatting>
  <conditionalFormatting sqref="C99">
    <cfRule type="cellIs" dxfId="5361" priority="6174" stopIfTrue="1" operator="equal">
      <formula>"Napkin Hs"</formula>
    </cfRule>
  </conditionalFormatting>
  <conditionalFormatting sqref="C99">
    <cfRule type="cellIs" dxfId="5360" priority="6173" stopIfTrue="1" operator="equal">
      <formula>"Towel"</formula>
    </cfRule>
  </conditionalFormatting>
  <conditionalFormatting sqref="C99">
    <cfRule type="cellIs" dxfId="5359" priority="6171" stopIfTrue="1" operator="equal">
      <formula>"Towel"</formula>
    </cfRule>
    <cfRule type="cellIs" dxfId="5358" priority="6172" stopIfTrue="1" operator="equal">
      <formula>"Napkin Hs"</formula>
    </cfRule>
  </conditionalFormatting>
  <conditionalFormatting sqref="C99">
    <cfRule type="cellIs" dxfId="5357" priority="6165" stopIfTrue="1" operator="equal">
      <formula>"Towel"</formula>
    </cfRule>
    <cfRule type="cellIs" dxfId="5356" priority="6166" stopIfTrue="1" operator="equal">
      <formula>"Napkin Hs"</formula>
    </cfRule>
  </conditionalFormatting>
  <conditionalFormatting sqref="C99">
    <cfRule type="cellIs" dxfId="5355" priority="6159" stopIfTrue="1" operator="equal">
      <formula>"Towel"</formula>
    </cfRule>
    <cfRule type="cellIs" dxfId="5354" priority="6160" stopIfTrue="1" operator="equal">
      <formula>"Napkin Hs"</formula>
    </cfRule>
  </conditionalFormatting>
  <conditionalFormatting sqref="C99">
    <cfRule type="cellIs" dxfId="5353" priority="6153" stopIfTrue="1" operator="equal">
      <formula>"Towel"</formula>
    </cfRule>
    <cfRule type="cellIs" dxfId="5352" priority="6154" stopIfTrue="1" operator="equal">
      <formula>"Napkin Hs"</formula>
    </cfRule>
  </conditionalFormatting>
  <conditionalFormatting sqref="C99">
    <cfRule type="cellIs" dxfId="5351" priority="6147" stopIfTrue="1" operator="equal">
      <formula>"Towel"</formula>
    </cfRule>
    <cfRule type="cellIs" dxfId="5350" priority="6148" stopIfTrue="1" operator="equal">
      <formula>"Napkin Hs"</formula>
    </cfRule>
  </conditionalFormatting>
  <conditionalFormatting sqref="C99">
    <cfRule type="cellIs" dxfId="5349" priority="6141" stopIfTrue="1" operator="equal">
      <formula>"Towel"</formula>
    </cfRule>
    <cfRule type="cellIs" dxfId="5348" priority="6142" stopIfTrue="1" operator="equal">
      <formula>"Napkin Hs"</formula>
    </cfRule>
  </conditionalFormatting>
  <conditionalFormatting sqref="B99:C99">
    <cfRule type="cellIs" dxfId="5347" priority="6140" stopIfTrue="1" operator="equal">
      <formula>"Napkin Hs"</formula>
    </cfRule>
  </conditionalFormatting>
  <conditionalFormatting sqref="B99:C99">
    <cfRule type="cellIs" dxfId="5346" priority="6139" stopIfTrue="1" operator="equal">
      <formula>"Towel"</formula>
    </cfRule>
  </conditionalFormatting>
  <conditionalFormatting sqref="C99">
    <cfRule type="cellIs" dxfId="5345" priority="6138" stopIfTrue="1" operator="equal">
      <formula>"Napkin Hs"</formula>
    </cfRule>
  </conditionalFormatting>
  <conditionalFormatting sqref="C99">
    <cfRule type="cellIs" dxfId="5344" priority="6135" stopIfTrue="1" operator="equal">
      <formula>"Towel"</formula>
    </cfRule>
    <cfRule type="cellIs" dxfId="5343" priority="6136" stopIfTrue="1" operator="equal">
      <formula>"Napkin Hs"</formula>
    </cfRule>
  </conditionalFormatting>
  <conditionalFormatting sqref="C99">
    <cfRule type="cellIs" dxfId="5342" priority="6137" stopIfTrue="1" operator="equal">
      <formula>"Towel"</formula>
    </cfRule>
  </conditionalFormatting>
  <conditionalFormatting sqref="B99:C99">
    <cfRule type="cellIs" dxfId="5341" priority="6134" stopIfTrue="1" operator="equal">
      <formula>"Napkin Hs"</formula>
    </cfRule>
  </conditionalFormatting>
  <conditionalFormatting sqref="B99:C99">
    <cfRule type="cellIs" dxfId="5340" priority="6133" stopIfTrue="1" operator="equal">
      <formula>"Towel"</formula>
    </cfRule>
  </conditionalFormatting>
  <conditionalFormatting sqref="C99">
    <cfRule type="cellIs" dxfId="5339" priority="6132" stopIfTrue="1" operator="equal">
      <formula>"Napkin Hs"</formula>
    </cfRule>
  </conditionalFormatting>
  <conditionalFormatting sqref="C99">
    <cfRule type="cellIs" dxfId="5338" priority="6129" stopIfTrue="1" operator="equal">
      <formula>"Towel"</formula>
    </cfRule>
    <cfRule type="cellIs" dxfId="5337" priority="6130" stopIfTrue="1" operator="equal">
      <formula>"Napkin Hs"</formula>
    </cfRule>
  </conditionalFormatting>
  <conditionalFormatting sqref="C99">
    <cfRule type="cellIs" dxfId="5336" priority="6131" stopIfTrue="1" operator="equal">
      <formula>"Towel"</formula>
    </cfRule>
  </conditionalFormatting>
  <conditionalFormatting sqref="B99:C99">
    <cfRule type="cellIs" dxfId="5335" priority="6181" stopIfTrue="1" operator="equal">
      <formula>"Towel"</formula>
    </cfRule>
    <cfRule type="cellIs" dxfId="5334" priority="6182" stopIfTrue="1" operator="equal">
      <formula>"Napkin Hs"</formula>
    </cfRule>
  </conditionalFormatting>
  <conditionalFormatting sqref="C99">
    <cfRule type="cellIs" dxfId="5333" priority="6179" stopIfTrue="1" operator="equal">
      <formula>"Towel"</formula>
    </cfRule>
    <cfRule type="cellIs" dxfId="5332" priority="6180" stopIfTrue="1" operator="equal">
      <formula>"Napkin Hs"</formula>
    </cfRule>
  </conditionalFormatting>
  <conditionalFormatting sqref="B99:C99">
    <cfRule type="cellIs" dxfId="5331" priority="6169" stopIfTrue="1" operator="equal">
      <formula>"Towel"</formula>
    </cfRule>
    <cfRule type="cellIs" dxfId="5330" priority="6170" stopIfTrue="1" operator="equal">
      <formula>"Napkin Hs"</formula>
    </cfRule>
  </conditionalFormatting>
  <conditionalFormatting sqref="C99">
    <cfRule type="cellIs" dxfId="5329" priority="6167" stopIfTrue="1" operator="equal">
      <formula>"Towel"</formula>
    </cfRule>
    <cfRule type="cellIs" dxfId="5328" priority="6168" stopIfTrue="1" operator="equal">
      <formula>"Napkin Hs"</formula>
    </cfRule>
  </conditionalFormatting>
  <conditionalFormatting sqref="B99:C99">
    <cfRule type="cellIs" dxfId="5327" priority="6163" stopIfTrue="1" operator="equal">
      <formula>"Towel"</formula>
    </cfRule>
    <cfRule type="cellIs" dxfId="5326" priority="6164" stopIfTrue="1" operator="equal">
      <formula>"Napkin Hs"</formula>
    </cfRule>
  </conditionalFormatting>
  <conditionalFormatting sqref="C99">
    <cfRule type="cellIs" dxfId="5325" priority="6161" stopIfTrue="1" operator="equal">
      <formula>"Towel"</formula>
    </cfRule>
    <cfRule type="cellIs" dxfId="5324" priority="6162" stopIfTrue="1" operator="equal">
      <formula>"Napkin Hs"</formula>
    </cfRule>
  </conditionalFormatting>
  <conditionalFormatting sqref="B99:C99">
    <cfRule type="cellIs" dxfId="5323" priority="6157" stopIfTrue="1" operator="equal">
      <formula>"Towel"</formula>
    </cfRule>
    <cfRule type="cellIs" dxfId="5322" priority="6158" stopIfTrue="1" operator="equal">
      <formula>"Napkin Hs"</formula>
    </cfRule>
  </conditionalFormatting>
  <conditionalFormatting sqref="C99">
    <cfRule type="cellIs" dxfId="5321" priority="6155" stopIfTrue="1" operator="equal">
      <formula>"Towel"</formula>
    </cfRule>
    <cfRule type="cellIs" dxfId="5320" priority="6156" stopIfTrue="1" operator="equal">
      <formula>"Napkin Hs"</formula>
    </cfRule>
  </conditionalFormatting>
  <conditionalFormatting sqref="B99:C99">
    <cfRule type="cellIs" dxfId="5319" priority="6151" stopIfTrue="1" operator="equal">
      <formula>"Towel"</formula>
    </cfRule>
    <cfRule type="cellIs" dxfId="5318" priority="6152" stopIfTrue="1" operator="equal">
      <formula>"Napkin Hs"</formula>
    </cfRule>
  </conditionalFormatting>
  <conditionalFormatting sqref="C99">
    <cfRule type="cellIs" dxfId="5317" priority="6149" stopIfTrue="1" operator="equal">
      <formula>"Towel"</formula>
    </cfRule>
    <cfRule type="cellIs" dxfId="5316" priority="6150" stopIfTrue="1" operator="equal">
      <formula>"Napkin Hs"</formula>
    </cfRule>
  </conditionalFormatting>
  <conditionalFormatting sqref="B99:C99">
    <cfRule type="cellIs" dxfId="5315" priority="6145" stopIfTrue="1" operator="equal">
      <formula>"Towel"</formula>
    </cfRule>
    <cfRule type="cellIs" dxfId="5314" priority="6146" stopIfTrue="1" operator="equal">
      <formula>"Napkin Hs"</formula>
    </cfRule>
  </conditionalFormatting>
  <conditionalFormatting sqref="C99">
    <cfRule type="cellIs" dxfId="5313" priority="6143" stopIfTrue="1" operator="equal">
      <formula>"Towel"</formula>
    </cfRule>
    <cfRule type="cellIs" dxfId="5312" priority="6144" stopIfTrue="1" operator="equal">
      <formula>"Napkin Hs"</formula>
    </cfRule>
  </conditionalFormatting>
  <conditionalFormatting sqref="B99:C99">
    <cfRule type="cellIs" dxfId="5311" priority="6128" stopIfTrue="1" operator="equal">
      <formula>"Napkin Hs"</formula>
    </cfRule>
  </conditionalFormatting>
  <conditionalFormatting sqref="B99:C99">
    <cfRule type="cellIs" dxfId="5310" priority="6127" stopIfTrue="1" operator="equal">
      <formula>"Towel"</formula>
    </cfRule>
  </conditionalFormatting>
  <conditionalFormatting sqref="C99">
    <cfRule type="cellIs" dxfId="5309" priority="6126" stopIfTrue="1" operator="equal">
      <formula>"Napkin Hs"</formula>
    </cfRule>
  </conditionalFormatting>
  <conditionalFormatting sqref="C99">
    <cfRule type="cellIs" dxfId="5308" priority="6123" stopIfTrue="1" operator="equal">
      <formula>"Towel"</formula>
    </cfRule>
    <cfRule type="cellIs" dxfId="5307" priority="6124" stopIfTrue="1" operator="equal">
      <formula>"Napkin Hs"</formula>
    </cfRule>
  </conditionalFormatting>
  <conditionalFormatting sqref="C99">
    <cfRule type="cellIs" dxfId="5306" priority="6125" stopIfTrue="1" operator="equal">
      <formula>"Towel"</formula>
    </cfRule>
  </conditionalFormatting>
  <conditionalFormatting sqref="B96:C96">
    <cfRule type="cellIs" dxfId="5305" priority="6121" stopIfTrue="1" operator="equal">
      <formula>"Towel"</formula>
    </cfRule>
    <cfRule type="cellIs" dxfId="5304" priority="6122" stopIfTrue="1" operator="equal">
      <formula>"Napkin Hs"</formula>
    </cfRule>
  </conditionalFormatting>
  <conditionalFormatting sqref="C96">
    <cfRule type="cellIs" dxfId="5303" priority="6117" stopIfTrue="1" operator="equal">
      <formula>"Towel"</formula>
    </cfRule>
    <cfRule type="cellIs" dxfId="5302" priority="6118" stopIfTrue="1" operator="equal">
      <formula>"Napkin Hs"</formula>
    </cfRule>
  </conditionalFormatting>
  <conditionalFormatting sqref="C96">
    <cfRule type="cellIs" dxfId="5301" priority="6119" stopIfTrue="1" operator="equal">
      <formula>"Towel"</formula>
    </cfRule>
    <cfRule type="cellIs" dxfId="5300" priority="6120" stopIfTrue="1" operator="equal">
      <formula>"Napkin Hs"</formula>
    </cfRule>
  </conditionalFormatting>
  <conditionalFormatting sqref="B96:C96">
    <cfRule type="cellIs" dxfId="5299" priority="6116" stopIfTrue="1" operator="equal">
      <formula>"Napkin Hs"</formula>
    </cfRule>
  </conditionalFormatting>
  <conditionalFormatting sqref="B96:C96">
    <cfRule type="cellIs" dxfId="5298" priority="6115" stopIfTrue="1" operator="equal">
      <formula>"Towel"</formula>
    </cfRule>
  </conditionalFormatting>
  <conditionalFormatting sqref="C96">
    <cfRule type="cellIs" dxfId="5297" priority="6114" stopIfTrue="1" operator="equal">
      <formula>"Napkin Hs"</formula>
    </cfRule>
  </conditionalFormatting>
  <conditionalFormatting sqref="C96">
    <cfRule type="cellIs" dxfId="5296" priority="6113" stopIfTrue="1" operator="equal">
      <formula>"Towel"</formula>
    </cfRule>
  </conditionalFormatting>
  <conditionalFormatting sqref="C96">
    <cfRule type="cellIs" dxfId="5295" priority="6111" stopIfTrue="1" operator="equal">
      <formula>"Towel"</formula>
    </cfRule>
    <cfRule type="cellIs" dxfId="5294" priority="6112" stopIfTrue="1" operator="equal">
      <formula>"Napkin Hs"</formula>
    </cfRule>
  </conditionalFormatting>
  <conditionalFormatting sqref="B96:C96">
    <cfRule type="cellIs" dxfId="5293" priority="6109" stopIfTrue="1" operator="equal">
      <formula>"Towel"</formula>
    </cfRule>
    <cfRule type="cellIs" dxfId="5292" priority="6110" stopIfTrue="1" operator="equal">
      <formula>"Napkin Hs"</formula>
    </cfRule>
  </conditionalFormatting>
  <conditionalFormatting sqref="C96">
    <cfRule type="cellIs" dxfId="5291" priority="6107" stopIfTrue="1" operator="equal">
      <formula>"Towel"</formula>
    </cfRule>
    <cfRule type="cellIs" dxfId="5290" priority="6108" stopIfTrue="1" operator="equal">
      <formula>"Napkin Hs"</formula>
    </cfRule>
  </conditionalFormatting>
  <conditionalFormatting sqref="C96">
    <cfRule type="cellIs" dxfId="5289" priority="6105" stopIfTrue="1" operator="equal">
      <formula>"Towel"</formula>
    </cfRule>
    <cfRule type="cellIs" dxfId="5288" priority="6106" stopIfTrue="1" operator="equal">
      <formula>"Napkin Hs"</formula>
    </cfRule>
  </conditionalFormatting>
  <conditionalFormatting sqref="B96:C96">
    <cfRule type="cellIs" dxfId="5287" priority="6103" stopIfTrue="1" operator="equal">
      <formula>"Towel"</formula>
    </cfRule>
    <cfRule type="cellIs" dxfId="5286" priority="6104" stopIfTrue="1" operator="equal">
      <formula>"Napkin Hs"</formula>
    </cfRule>
  </conditionalFormatting>
  <conditionalFormatting sqref="C96">
    <cfRule type="cellIs" dxfId="5285" priority="6101" stopIfTrue="1" operator="equal">
      <formula>"Towel"</formula>
    </cfRule>
    <cfRule type="cellIs" dxfId="5284" priority="6102" stopIfTrue="1" operator="equal">
      <formula>"Napkin Hs"</formula>
    </cfRule>
  </conditionalFormatting>
  <conditionalFormatting sqref="C96">
    <cfRule type="cellIs" dxfId="5283" priority="6099" stopIfTrue="1" operator="equal">
      <formula>"Towel"</formula>
    </cfRule>
    <cfRule type="cellIs" dxfId="5282" priority="6100" stopIfTrue="1" operator="equal">
      <formula>"Napkin Hs"</formula>
    </cfRule>
  </conditionalFormatting>
  <conditionalFormatting sqref="B96:C96">
    <cfRule type="cellIs" dxfId="5281" priority="6097" stopIfTrue="1" operator="equal">
      <formula>"Towel"</formula>
    </cfRule>
    <cfRule type="cellIs" dxfId="5280" priority="6098" stopIfTrue="1" operator="equal">
      <formula>"Napkin Hs"</formula>
    </cfRule>
  </conditionalFormatting>
  <conditionalFormatting sqref="C96">
    <cfRule type="cellIs" dxfId="5279" priority="6095" stopIfTrue="1" operator="equal">
      <formula>"Towel"</formula>
    </cfRule>
    <cfRule type="cellIs" dxfId="5278" priority="6096" stopIfTrue="1" operator="equal">
      <formula>"Napkin Hs"</formula>
    </cfRule>
  </conditionalFormatting>
  <conditionalFormatting sqref="C96">
    <cfRule type="cellIs" dxfId="5277" priority="6093" stopIfTrue="1" operator="equal">
      <formula>"Towel"</formula>
    </cfRule>
    <cfRule type="cellIs" dxfId="5276" priority="6094" stopIfTrue="1" operator="equal">
      <formula>"Napkin Hs"</formula>
    </cfRule>
  </conditionalFormatting>
  <conditionalFormatting sqref="B96:C96">
    <cfRule type="cellIs" dxfId="5275" priority="6091" stopIfTrue="1" operator="equal">
      <formula>"Towel"</formula>
    </cfRule>
    <cfRule type="cellIs" dxfId="5274" priority="6092" stopIfTrue="1" operator="equal">
      <formula>"Napkin Hs"</formula>
    </cfRule>
  </conditionalFormatting>
  <conditionalFormatting sqref="C96">
    <cfRule type="cellIs" dxfId="5273" priority="6089" stopIfTrue="1" operator="equal">
      <formula>"Towel"</formula>
    </cfRule>
    <cfRule type="cellIs" dxfId="5272" priority="6090" stopIfTrue="1" operator="equal">
      <formula>"Napkin Hs"</formula>
    </cfRule>
  </conditionalFormatting>
  <conditionalFormatting sqref="C96">
    <cfRule type="cellIs" dxfId="5271" priority="6087" stopIfTrue="1" operator="equal">
      <formula>"Towel"</formula>
    </cfRule>
    <cfRule type="cellIs" dxfId="5270" priority="6088" stopIfTrue="1" operator="equal">
      <formula>"Napkin Hs"</formula>
    </cfRule>
  </conditionalFormatting>
  <conditionalFormatting sqref="B96:C96">
    <cfRule type="cellIs" dxfId="5269" priority="6085" stopIfTrue="1" operator="equal">
      <formula>"Towel"</formula>
    </cfRule>
    <cfRule type="cellIs" dxfId="5268" priority="6086" stopIfTrue="1" operator="equal">
      <formula>"Napkin Hs"</formula>
    </cfRule>
  </conditionalFormatting>
  <conditionalFormatting sqref="C96">
    <cfRule type="cellIs" dxfId="5267" priority="6083" stopIfTrue="1" operator="equal">
      <formula>"Towel"</formula>
    </cfRule>
    <cfRule type="cellIs" dxfId="5266" priority="6084" stopIfTrue="1" operator="equal">
      <formula>"Napkin Hs"</formula>
    </cfRule>
  </conditionalFormatting>
  <conditionalFormatting sqref="C96">
    <cfRule type="cellIs" dxfId="5265" priority="6081" stopIfTrue="1" operator="equal">
      <formula>"Towel"</formula>
    </cfRule>
    <cfRule type="cellIs" dxfId="5264" priority="6082" stopIfTrue="1" operator="equal">
      <formula>"Napkin Hs"</formula>
    </cfRule>
  </conditionalFormatting>
  <conditionalFormatting sqref="B96:C96">
    <cfRule type="cellIs" dxfId="5263" priority="6080" stopIfTrue="1" operator="equal">
      <formula>"Napkin Hs"</formula>
    </cfRule>
  </conditionalFormatting>
  <conditionalFormatting sqref="B96:C96">
    <cfRule type="cellIs" dxfId="5262" priority="6079" stopIfTrue="1" operator="equal">
      <formula>"Towel"</formula>
    </cfRule>
  </conditionalFormatting>
  <conditionalFormatting sqref="C96">
    <cfRule type="cellIs" dxfId="5261" priority="6078" stopIfTrue="1" operator="equal">
      <formula>"Napkin Hs"</formula>
    </cfRule>
  </conditionalFormatting>
  <conditionalFormatting sqref="C96">
    <cfRule type="cellIs" dxfId="5260" priority="6075" stopIfTrue="1" operator="equal">
      <formula>"Towel"</formula>
    </cfRule>
    <cfRule type="cellIs" dxfId="5259" priority="6076" stopIfTrue="1" operator="equal">
      <formula>"Napkin Hs"</formula>
    </cfRule>
  </conditionalFormatting>
  <conditionalFormatting sqref="C96">
    <cfRule type="cellIs" dxfId="5258" priority="6077" stopIfTrue="1" operator="equal">
      <formula>"Towel"</formula>
    </cfRule>
  </conditionalFormatting>
  <conditionalFormatting sqref="B96:C96">
    <cfRule type="cellIs" dxfId="5257" priority="6074" stopIfTrue="1" operator="equal">
      <formula>"Napkin Hs"</formula>
    </cfRule>
  </conditionalFormatting>
  <conditionalFormatting sqref="B96:C96">
    <cfRule type="cellIs" dxfId="5256" priority="6073" stopIfTrue="1" operator="equal">
      <formula>"Towel"</formula>
    </cfRule>
  </conditionalFormatting>
  <conditionalFormatting sqref="C96">
    <cfRule type="cellIs" dxfId="5255" priority="6072" stopIfTrue="1" operator="equal">
      <formula>"Napkin Hs"</formula>
    </cfRule>
  </conditionalFormatting>
  <conditionalFormatting sqref="C96">
    <cfRule type="cellIs" dxfId="5254" priority="6071" stopIfTrue="1" operator="equal">
      <formula>"Towel"</formula>
    </cfRule>
  </conditionalFormatting>
  <conditionalFormatting sqref="C96">
    <cfRule type="cellIs" dxfId="5253" priority="6069" stopIfTrue="1" operator="equal">
      <formula>"Towel"</formula>
    </cfRule>
    <cfRule type="cellIs" dxfId="5252" priority="6070" stopIfTrue="1" operator="equal">
      <formula>"Napkin Hs"</formula>
    </cfRule>
  </conditionalFormatting>
  <conditionalFormatting sqref="C96">
    <cfRule type="cellIs" dxfId="5251" priority="6063" stopIfTrue="1" operator="equal">
      <formula>"Towel"</formula>
    </cfRule>
    <cfRule type="cellIs" dxfId="5250" priority="6064" stopIfTrue="1" operator="equal">
      <formula>"Napkin Hs"</formula>
    </cfRule>
  </conditionalFormatting>
  <conditionalFormatting sqref="B96:C96">
    <cfRule type="cellIs" dxfId="5249" priority="6062" stopIfTrue="1" operator="equal">
      <formula>"Napkin Hs"</formula>
    </cfRule>
  </conditionalFormatting>
  <conditionalFormatting sqref="B96:C96">
    <cfRule type="cellIs" dxfId="5248" priority="6061" stopIfTrue="1" operator="equal">
      <formula>"Towel"</formula>
    </cfRule>
  </conditionalFormatting>
  <conditionalFormatting sqref="C96">
    <cfRule type="cellIs" dxfId="5247" priority="6060" stopIfTrue="1" operator="equal">
      <formula>"Napkin Hs"</formula>
    </cfRule>
  </conditionalFormatting>
  <conditionalFormatting sqref="C96">
    <cfRule type="cellIs" dxfId="5246" priority="6059" stopIfTrue="1" operator="equal">
      <formula>"Towel"</formula>
    </cfRule>
  </conditionalFormatting>
  <conditionalFormatting sqref="C96">
    <cfRule type="cellIs" dxfId="5245" priority="6057" stopIfTrue="1" operator="equal">
      <formula>"Towel"</formula>
    </cfRule>
    <cfRule type="cellIs" dxfId="5244" priority="6058" stopIfTrue="1" operator="equal">
      <formula>"Napkin Hs"</formula>
    </cfRule>
  </conditionalFormatting>
  <conditionalFormatting sqref="C96">
    <cfRule type="cellIs" dxfId="5243" priority="6051" stopIfTrue="1" operator="equal">
      <formula>"Towel"</formula>
    </cfRule>
    <cfRule type="cellIs" dxfId="5242" priority="6052" stopIfTrue="1" operator="equal">
      <formula>"Napkin Hs"</formula>
    </cfRule>
  </conditionalFormatting>
  <conditionalFormatting sqref="C96">
    <cfRule type="cellIs" dxfId="5241" priority="6045" stopIfTrue="1" operator="equal">
      <formula>"Towel"</formula>
    </cfRule>
    <cfRule type="cellIs" dxfId="5240" priority="6046" stopIfTrue="1" operator="equal">
      <formula>"Napkin Hs"</formula>
    </cfRule>
  </conditionalFormatting>
  <conditionalFormatting sqref="C96">
    <cfRule type="cellIs" dxfId="5239" priority="6039" stopIfTrue="1" operator="equal">
      <formula>"Towel"</formula>
    </cfRule>
    <cfRule type="cellIs" dxfId="5238" priority="6040" stopIfTrue="1" operator="equal">
      <formula>"Napkin Hs"</formula>
    </cfRule>
  </conditionalFormatting>
  <conditionalFormatting sqref="C96">
    <cfRule type="cellIs" dxfId="5237" priority="6033" stopIfTrue="1" operator="equal">
      <formula>"Towel"</formula>
    </cfRule>
    <cfRule type="cellIs" dxfId="5236" priority="6034" stopIfTrue="1" operator="equal">
      <formula>"Napkin Hs"</formula>
    </cfRule>
  </conditionalFormatting>
  <conditionalFormatting sqref="C96">
    <cfRule type="cellIs" dxfId="5235" priority="6027" stopIfTrue="1" operator="equal">
      <formula>"Towel"</formula>
    </cfRule>
    <cfRule type="cellIs" dxfId="5234" priority="6028" stopIfTrue="1" operator="equal">
      <formula>"Napkin Hs"</formula>
    </cfRule>
  </conditionalFormatting>
  <conditionalFormatting sqref="B96:C96">
    <cfRule type="cellIs" dxfId="5233" priority="6026" stopIfTrue="1" operator="equal">
      <formula>"Napkin Hs"</formula>
    </cfRule>
  </conditionalFormatting>
  <conditionalFormatting sqref="B96:C96">
    <cfRule type="cellIs" dxfId="5232" priority="6025" stopIfTrue="1" operator="equal">
      <formula>"Towel"</formula>
    </cfRule>
  </conditionalFormatting>
  <conditionalFormatting sqref="C96">
    <cfRule type="cellIs" dxfId="5231" priority="6024" stopIfTrue="1" operator="equal">
      <formula>"Napkin Hs"</formula>
    </cfRule>
  </conditionalFormatting>
  <conditionalFormatting sqref="C96">
    <cfRule type="cellIs" dxfId="5230" priority="6021" stopIfTrue="1" operator="equal">
      <formula>"Towel"</formula>
    </cfRule>
    <cfRule type="cellIs" dxfId="5229" priority="6022" stopIfTrue="1" operator="equal">
      <formula>"Napkin Hs"</formula>
    </cfRule>
  </conditionalFormatting>
  <conditionalFormatting sqref="C96">
    <cfRule type="cellIs" dxfId="5228" priority="6023" stopIfTrue="1" operator="equal">
      <formula>"Towel"</formula>
    </cfRule>
  </conditionalFormatting>
  <conditionalFormatting sqref="B96:C96">
    <cfRule type="cellIs" dxfId="5227" priority="6020" stopIfTrue="1" operator="equal">
      <formula>"Napkin Hs"</formula>
    </cfRule>
  </conditionalFormatting>
  <conditionalFormatting sqref="B96:C96">
    <cfRule type="cellIs" dxfId="5226" priority="6019" stopIfTrue="1" operator="equal">
      <formula>"Towel"</formula>
    </cfRule>
  </conditionalFormatting>
  <conditionalFormatting sqref="C96">
    <cfRule type="cellIs" dxfId="5225" priority="6018" stopIfTrue="1" operator="equal">
      <formula>"Napkin Hs"</formula>
    </cfRule>
  </conditionalFormatting>
  <conditionalFormatting sqref="C96">
    <cfRule type="cellIs" dxfId="5224" priority="6015" stopIfTrue="1" operator="equal">
      <formula>"Towel"</formula>
    </cfRule>
    <cfRule type="cellIs" dxfId="5223" priority="6016" stopIfTrue="1" operator="equal">
      <formula>"Napkin Hs"</formula>
    </cfRule>
  </conditionalFormatting>
  <conditionalFormatting sqref="C96">
    <cfRule type="cellIs" dxfId="5222" priority="6017" stopIfTrue="1" operator="equal">
      <formula>"Towel"</formula>
    </cfRule>
  </conditionalFormatting>
  <conditionalFormatting sqref="B96:C96">
    <cfRule type="cellIs" dxfId="5221" priority="6067" stopIfTrue="1" operator="equal">
      <formula>"Towel"</formula>
    </cfRule>
    <cfRule type="cellIs" dxfId="5220" priority="6068" stopIfTrue="1" operator="equal">
      <formula>"Napkin Hs"</formula>
    </cfRule>
  </conditionalFormatting>
  <conditionalFormatting sqref="C96">
    <cfRule type="cellIs" dxfId="5219" priority="6065" stopIfTrue="1" operator="equal">
      <formula>"Towel"</formula>
    </cfRule>
    <cfRule type="cellIs" dxfId="5218" priority="6066" stopIfTrue="1" operator="equal">
      <formula>"Napkin Hs"</formula>
    </cfRule>
  </conditionalFormatting>
  <conditionalFormatting sqref="B96:C96">
    <cfRule type="cellIs" dxfId="5217" priority="6055" stopIfTrue="1" operator="equal">
      <formula>"Towel"</formula>
    </cfRule>
    <cfRule type="cellIs" dxfId="5216" priority="6056" stopIfTrue="1" operator="equal">
      <formula>"Napkin Hs"</formula>
    </cfRule>
  </conditionalFormatting>
  <conditionalFormatting sqref="C96">
    <cfRule type="cellIs" dxfId="5215" priority="6053" stopIfTrue="1" operator="equal">
      <formula>"Towel"</formula>
    </cfRule>
    <cfRule type="cellIs" dxfId="5214" priority="6054" stopIfTrue="1" operator="equal">
      <formula>"Napkin Hs"</formula>
    </cfRule>
  </conditionalFormatting>
  <conditionalFormatting sqref="B96:C96">
    <cfRule type="cellIs" dxfId="5213" priority="6049" stopIfTrue="1" operator="equal">
      <formula>"Towel"</formula>
    </cfRule>
    <cfRule type="cellIs" dxfId="5212" priority="6050" stopIfTrue="1" operator="equal">
      <formula>"Napkin Hs"</formula>
    </cfRule>
  </conditionalFormatting>
  <conditionalFormatting sqref="C96">
    <cfRule type="cellIs" dxfId="5211" priority="6047" stopIfTrue="1" operator="equal">
      <formula>"Towel"</formula>
    </cfRule>
    <cfRule type="cellIs" dxfId="5210" priority="6048" stopIfTrue="1" operator="equal">
      <formula>"Napkin Hs"</formula>
    </cfRule>
  </conditionalFormatting>
  <conditionalFormatting sqref="B96:C96">
    <cfRule type="cellIs" dxfId="5209" priority="6043" stopIfTrue="1" operator="equal">
      <formula>"Towel"</formula>
    </cfRule>
    <cfRule type="cellIs" dxfId="5208" priority="6044" stopIfTrue="1" operator="equal">
      <formula>"Napkin Hs"</formula>
    </cfRule>
  </conditionalFormatting>
  <conditionalFormatting sqref="C96">
    <cfRule type="cellIs" dxfId="5207" priority="6041" stopIfTrue="1" operator="equal">
      <formula>"Towel"</formula>
    </cfRule>
    <cfRule type="cellIs" dxfId="5206" priority="6042" stopIfTrue="1" operator="equal">
      <formula>"Napkin Hs"</formula>
    </cfRule>
  </conditionalFormatting>
  <conditionalFormatting sqref="B96:C96">
    <cfRule type="cellIs" dxfId="5205" priority="6037" stopIfTrue="1" operator="equal">
      <formula>"Towel"</formula>
    </cfRule>
    <cfRule type="cellIs" dxfId="5204" priority="6038" stopIfTrue="1" operator="equal">
      <formula>"Napkin Hs"</formula>
    </cfRule>
  </conditionalFormatting>
  <conditionalFormatting sqref="C96">
    <cfRule type="cellIs" dxfId="5203" priority="6035" stopIfTrue="1" operator="equal">
      <formula>"Towel"</formula>
    </cfRule>
    <cfRule type="cellIs" dxfId="5202" priority="6036" stopIfTrue="1" operator="equal">
      <formula>"Napkin Hs"</formula>
    </cfRule>
  </conditionalFormatting>
  <conditionalFormatting sqref="B96:C96">
    <cfRule type="cellIs" dxfId="5201" priority="6031" stopIfTrue="1" operator="equal">
      <formula>"Towel"</formula>
    </cfRule>
    <cfRule type="cellIs" dxfId="5200" priority="6032" stopIfTrue="1" operator="equal">
      <formula>"Napkin Hs"</formula>
    </cfRule>
  </conditionalFormatting>
  <conditionalFormatting sqref="C96">
    <cfRule type="cellIs" dxfId="5199" priority="6029" stopIfTrue="1" operator="equal">
      <formula>"Towel"</formula>
    </cfRule>
    <cfRule type="cellIs" dxfId="5198" priority="6030" stopIfTrue="1" operator="equal">
      <formula>"Napkin Hs"</formula>
    </cfRule>
  </conditionalFormatting>
  <conditionalFormatting sqref="B96:C96">
    <cfRule type="cellIs" dxfId="5197" priority="6014" stopIfTrue="1" operator="equal">
      <formula>"Napkin Hs"</formula>
    </cfRule>
  </conditionalFormatting>
  <conditionalFormatting sqref="B96:C96">
    <cfRule type="cellIs" dxfId="5196" priority="6013" stopIfTrue="1" operator="equal">
      <formula>"Towel"</formula>
    </cfRule>
  </conditionalFormatting>
  <conditionalFormatting sqref="C96">
    <cfRule type="cellIs" dxfId="5195" priority="6012" stopIfTrue="1" operator="equal">
      <formula>"Napkin Hs"</formula>
    </cfRule>
  </conditionalFormatting>
  <conditionalFormatting sqref="C96">
    <cfRule type="cellIs" dxfId="5194" priority="6009" stopIfTrue="1" operator="equal">
      <formula>"Towel"</formula>
    </cfRule>
    <cfRule type="cellIs" dxfId="5193" priority="6010" stopIfTrue="1" operator="equal">
      <formula>"Napkin Hs"</formula>
    </cfRule>
  </conditionalFormatting>
  <conditionalFormatting sqref="C96">
    <cfRule type="cellIs" dxfId="5192" priority="6011" stopIfTrue="1" operator="equal">
      <formula>"Towel"</formula>
    </cfRule>
  </conditionalFormatting>
  <conditionalFormatting sqref="B103:C103">
    <cfRule type="cellIs" dxfId="5191" priority="6005" stopIfTrue="1" operator="equal">
      <formula>"Towel"</formula>
    </cfRule>
    <cfRule type="cellIs" dxfId="5190" priority="6006" stopIfTrue="1" operator="equal">
      <formula>"Napkin Hs"</formula>
    </cfRule>
  </conditionalFormatting>
  <conditionalFormatting sqref="C103">
    <cfRule type="cellIs" dxfId="5189" priority="6007" stopIfTrue="1" operator="equal">
      <formula>"Towel"</formula>
    </cfRule>
    <cfRule type="cellIs" dxfId="5188" priority="6008" stopIfTrue="1" operator="equal">
      <formula>"Napkin Hs"</formula>
    </cfRule>
  </conditionalFormatting>
  <conditionalFormatting sqref="C103">
    <cfRule type="cellIs" dxfId="5187" priority="6003" stopIfTrue="1" operator="equal">
      <formula>"Towel"</formula>
    </cfRule>
    <cfRule type="cellIs" dxfId="5186" priority="6004" stopIfTrue="1" operator="equal">
      <formula>"Napkin Hs"</formula>
    </cfRule>
  </conditionalFormatting>
  <conditionalFormatting sqref="B103:C103">
    <cfRule type="cellIs" dxfId="5185" priority="5996" stopIfTrue="1" operator="equal">
      <formula>"Napkin Hs"</formula>
    </cfRule>
  </conditionalFormatting>
  <conditionalFormatting sqref="B103:C103">
    <cfRule type="cellIs" dxfId="5184" priority="5995" stopIfTrue="1" operator="equal">
      <formula>"Towel"</formula>
    </cfRule>
  </conditionalFormatting>
  <conditionalFormatting sqref="C103">
    <cfRule type="cellIs" dxfId="5183" priority="5994" stopIfTrue="1" operator="equal">
      <formula>"Napkin Hs"</formula>
    </cfRule>
  </conditionalFormatting>
  <conditionalFormatting sqref="C103">
    <cfRule type="cellIs" dxfId="5182" priority="5993" stopIfTrue="1" operator="equal">
      <formula>"Towel"</formula>
    </cfRule>
  </conditionalFormatting>
  <conditionalFormatting sqref="C103">
    <cfRule type="cellIs" dxfId="5181" priority="5991" stopIfTrue="1" operator="equal">
      <formula>"Towel"</formula>
    </cfRule>
    <cfRule type="cellIs" dxfId="5180" priority="5992" stopIfTrue="1" operator="equal">
      <formula>"Napkin Hs"</formula>
    </cfRule>
  </conditionalFormatting>
  <conditionalFormatting sqref="B104:C104 B105">
    <cfRule type="cellIs" dxfId="5179" priority="5990" stopIfTrue="1" operator="equal">
      <formula>"Napkin Hs"</formula>
    </cfRule>
  </conditionalFormatting>
  <conditionalFormatting sqref="B104:C104 B105">
    <cfRule type="cellIs" dxfId="5178" priority="5989" stopIfTrue="1" operator="equal">
      <formula>"Towel"</formula>
    </cfRule>
  </conditionalFormatting>
  <conditionalFormatting sqref="C104">
    <cfRule type="cellIs" dxfId="5177" priority="5988" stopIfTrue="1" operator="equal">
      <formula>"Napkin Hs"</formula>
    </cfRule>
  </conditionalFormatting>
  <conditionalFormatting sqref="C104">
    <cfRule type="cellIs" dxfId="5176" priority="5987" stopIfTrue="1" operator="equal">
      <formula>"Towel"</formula>
    </cfRule>
  </conditionalFormatting>
  <conditionalFormatting sqref="C104">
    <cfRule type="cellIs" dxfId="5175" priority="5985" stopIfTrue="1" operator="equal">
      <formula>"Towel"</formula>
    </cfRule>
    <cfRule type="cellIs" dxfId="5174" priority="5986" stopIfTrue="1" operator="equal">
      <formula>"Napkin Hs"</formula>
    </cfRule>
  </conditionalFormatting>
  <conditionalFormatting sqref="B104:C104 B105">
    <cfRule type="cellIs" dxfId="5173" priority="5983" stopIfTrue="1" operator="equal">
      <formula>"Towel"</formula>
    </cfRule>
    <cfRule type="cellIs" dxfId="5172" priority="5984" stopIfTrue="1" operator="equal">
      <formula>"Napkin Hs"</formula>
    </cfRule>
  </conditionalFormatting>
  <conditionalFormatting sqref="C104">
    <cfRule type="cellIs" dxfId="5171" priority="5979" stopIfTrue="1" operator="equal">
      <formula>"Towel"</formula>
    </cfRule>
    <cfRule type="cellIs" dxfId="5170" priority="5980" stopIfTrue="1" operator="equal">
      <formula>"Napkin Hs"</formula>
    </cfRule>
  </conditionalFormatting>
  <conditionalFormatting sqref="C104">
    <cfRule type="cellIs" dxfId="5169" priority="5981" stopIfTrue="1" operator="equal">
      <formula>"Towel"</formula>
    </cfRule>
    <cfRule type="cellIs" dxfId="5168" priority="5982" stopIfTrue="1" operator="equal">
      <formula>"Napkin Hs"</formula>
    </cfRule>
  </conditionalFormatting>
  <conditionalFormatting sqref="B104:C104 B105">
    <cfRule type="cellIs" dxfId="5167" priority="5978" stopIfTrue="1" operator="equal">
      <formula>"Napkin Hs"</formula>
    </cfRule>
  </conditionalFormatting>
  <conditionalFormatting sqref="B104:C104 B105">
    <cfRule type="cellIs" dxfId="5166" priority="5977" stopIfTrue="1" operator="equal">
      <formula>"Towel"</formula>
    </cfRule>
  </conditionalFormatting>
  <conditionalFormatting sqref="C104">
    <cfRule type="cellIs" dxfId="5165" priority="5976" stopIfTrue="1" operator="equal">
      <formula>"Napkin Hs"</formula>
    </cfRule>
  </conditionalFormatting>
  <conditionalFormatting sqref="C104">
    <cfRule type="cellIs" dxfId="5164" priority="5975" stopIfTrue="1" operator="equal">
      <formula>"Towel"</formula>
    </cfRule>
  </conditionalFormatting>
  <conditionalFormatting sqref="C104">
    <cfRule type="cellIs" dxfId="5163" priority="5973" stopIfTrue="1" operator="equal">
      <formula>"Towel"</formula>
    </cfRule>
    <cfRule type="cellIs" dxfId="5162" priority="5974" stopIfTrue="1" operator="equal">
      <formula>"Napkin Hs"</formula>
    </cfRule>
  </conditionalFormatting>
  <conditionalFormatting sqref="B104:C104 B105">
    <cfRule type="cellIs" dxfId="5161" priority="5971" stopIfTrue="1" operator="equal">
      <formula>"Towel"</formula>
    </cfRule>
    <cfRule type="cellIs" dxfId="5160" priority="5972" stopIfTrue="1" operator="equal">
      <formula>"Napkin Hs"</formula>
    </cfRule>
  </conditionalFormatting>
  <conditionalFormatting sqref="C104">
    <cfRule type="cellIs" dxfId="5159" priority="5969" stopIfTrue="1" operator="equal">
      <formula>"Towel"</formula>
    </cfRule>
    <cfRule type="cellIs" dxfId="5158" priority="5970" stopIfTrue="1" operator="equal">
      <formula>"Napkin Hs"</formula>
    </cfRule>
  </conditionalFormatting>
  <conditionalFormatting sqref="C104">
    <cfRule type="cellIs" dxfId="5157" priority="5967" stopIfTrue="1" operator="equal">
      <formula>"Towel"</formula>
    </cfRule>
    <cfRule type="cellIs" dxfId="5156" priority="5968" stopIfTrue="1" operator="equal">
      <formula>"Napkin Hs"</formula>
    </cfRule>
  </conditionalFormatting>
  <conditionalFormatting sqref="B104:C104 B105">
    <cfRule type="cellIs" dxfId="5155" priority="5965" stopIfTrue="1" operator="equal">
      <formula>"Towel"</formula>
    </cfRule>
    <cfRule type="cellIs" dxfId="5154" priority="5966" stopIfTrue="1" operator="equal">
      <formula>"Napkin Hs"</formula>
    </cfRule>
  </conditionalFormatting>
  <conditionalFormatting sqref="C104">
    <cfRule type="cellIs" dxfId="5153" priority="5963" stopIfTrue="1" operator="equal">
      <formula>"Towel"</formula>
    </cfRule>
    <cfRule type="cellIs" dxfId="5152" priority="5964" stopIfTrue="1" operator="equal">
      <formula>"Napkin Hs"</formula>
    </cfRule>
  </conditionalFormatting>
  <conditionalFormatting sqref="C104">
    <cfRule type="cellIs" dxfId="5151" priority="5961" stopIfTrue="1" operator="equal">
      <formula>"Towel"</formula>
    </cfRule>
    <cfRule type="cellIs" dxfId="5150" priority="5962" stopIfTrue="1" operator="equal">
      <formula>"Napkin Hs"</formula>
    </cfRule>
  </conditionalFormatting>
  <conditionalFormatting sqref="B104:C104 B105">
    <cfRule type="cellIs" dxfId="5149" priority="5959" stopIfTrue="1" operator="equal">
      <formula>"Towel"</formula>
    </cfRule>
    <cfRule type="cellIs" dxfId="5148" priority="5960" stopIfTrue="1" operator="equal">
      <formula>"Napkin Hs"</formula>
    </cfRule>
  </conditionalFormatting>
  <conditionalFormatting sqref="C104">
    <cfRule type="cellIs" dxfId="5147" priority="5957" stopIfTrue="1" operator="equal">
      <formula>"Towel"</formula>
    </cfRule>
    <cfRule type="cellIs" dxfId="5146" priority="5958" stopIfTrue="1" operator="equal">
      <formula>"Napkin Hs"</formula>
    </cfRule>
  </conditionalFormatting>
  <conditionalFormatting sqref="C104">
    <cfRule type="cellIs" dxfId="5145" priority="5955" stopIfTrue="1" operator="equal">
      <formula>"Towel"</formula>
    </cfRule>
    <cfRule type="cellIs" dxfId="5144" priority="5956" stopIfTrue="1" operator="equal">
      <formula>"Napkin Hs"</formula>
    </cfRule>
  </conditionalFormatting>
  <conditionalFormatting sqref="B104:C104 B105">
    <cfRule type="cellIs" dxfId="5143" priority="5953" stopIfTrue="1" operator="equal">
      <formula>"Towel"</formula>
    </cfRule>
    <cfRule type="cellIs" dxfId="5142" priority="5954" stopIfTrue="1" operator="equal">
      <formula>"Napkin Hs"</formula>
    </cfRule>
  </conditionalFormatting>
  <conditionalFormatting sqref="C104">
    <cfRule type="cellIs" dxfId="5141" priority="5951" stopIfTrue="1" operator="equal">
      <formula>"Towel"</formula>
    </cfRule>
    <cfRule type="cellIs" dxfId="5140" priority="5952" stopIfTrue="1" operator="equal">
      <formula>"Napkin Hs"</formula>
    </cfRule>
  </conditionalFormatting>
  <conditionalFormatting sqref="C104">
    <cfRule type="cellIs" dxfId="5139" priority="5949" stopIfTrue="1" operator="equal">
      <formula>"Towel"</formula>
    </cfRule>
    <cfRule type="cellIs" dxfId="5138" priority="5950" stopIfTrue="1" operator="equal">
      <formula>"Napkin Hs"</formula>
    </cfRule>
  </conditionalFormatting>
  <conditionalFormatting sqref="B104:C104 B105">
    <cfRule type="cellIs" dxfId="5137" priority="5947" stopIfTrue="1" operator="equal">
      <formula>"Towel"</formula>
    </cfRule>
    <cfRule type="cellIs" dxfId="5136" priority="5948" stopIfTrue="1" operator="equal">
      <formula>"Napkin Hs"</formula>
    </cfRule>
  </conditionalFormatting>
  <conditionalFormatting sqref="C104">
    <cfRule type="cellIs" dxfId="5135" priority="5945" stopIfTrue="1" operator="equal">
      <formula>"Towel"</formula>
    </cfRule>
    <cfRule type="cellIs" dxfId="5134" priority="5946" stopIfTrue="1" operator="equal">
      <formula>"Napkin Hs"</formula>
    </cfRule>
  </conditionalFormatting>
  <conditionalFormatting sqref="C104">
    <cfRule type="cellIs" dxfId="5133" priority="5943" stopIfTrue="1" operator="equal">
      <formula>"Towel"</formula>
    </cfRule>
    <cfRule type="cellIs" dxfId="5132" priority="5944" stopIfTrue="1" operator="equal">
      <formula>"Napkin Hs"</formula>
    </cfRule>
  </conditionalFormatting>
  <conditionalFormatting sqref="B104:C104 B105">
    <cfRule type="cellIs" dxfId="5131" priority="5942" stopIfTrue="1" operator="equal">
      <formula>"Napkin Hs"</formula>
    </cfRule>
  </conditionalFormatting>
  <conditionalFormatting sqref="B104:C104 B105">
    <cfRule type="cellIs" dxfId="5130" priority="5941" stopIfTrue="1" operator="equal">
      <formula>"Towel"</formula>
    </cfRule>
  </conditionalFormatting>
  <conditionalFormatting sqref="C104">
    <cfRule type="cellIs" dxfId="5129" priority="5940" stopIfTrue="1" operator="equal">
      <formula>"Napkin Hs"</formula>
    </cfRule>
  </conditionalFormatting>
  <conditionalFormatting sqref="C104">
    <cfRule type="cellIs" dxfId="5128" priority="5937" stopIfTrue="1" operator="equal">
      <formula>"Towel"</formula>
    </cfRule>
    <cfRule type="cellIs" dxfId="5127" priority="5938" stopIfTrue="1" operator="equal">
      <formula>"Napkin Hs"</formula>
    </cfRule>
  </conditionalFormatting>
  <conditionalFormatting sqref="C104">
    <cfRule type="cellIs" dxfId="5126" priority="5939" stopIfTrue="1" operator="equal">
      <formula>"Towel"</formula>
    </cfRule>
  </conditionalFormatting>
  <conditionalFormatting sqref="B106:C106 C105">
    <cfRule type="cellIs" dxfId="5125" priority="5936" stopIfTrue="1" operator="equal">
      <formula>"Napkin Hs"</formula>
    </cfRule>
  </conditionalFormatting>
  <conditionalFormatting sqref="B106:C106 C105">
    <cfRule type="cellIs" dxfId="5124" priority="5935" stopIfTrue="1" operator="equal">
      <formula>"Towel"</formula>
    </cfRule>
  </conditionalFormatting>
  <conditionalFormatting sqref="C105:C106">
    <cfRule type="cellIs" dxfId="5123" priority="5934" stopIfTrue="1" operator="equal">
      <formula>"Napkin Hs"</formula>
    </cfRule>
  </conditionalFormatting>
  <conditionalFormatting sqref="C105:C106">
    <cfRule type="cellIs" dxfId="5122" priority="5933" stopIfTrue="1" operator="equal">
      <formula>"Towel"</formula>
    </cfRule>
  </conditionalFormatting>
  <conditionalFormatting sqref="C105:C106">
    <cfRule type="cellIs" dxfId="5121" priority="5931" stopIfTrue="1" operator="equal">
      <formula>"Towel"</formula>
    </cfRule>
    <cfRule type="cellIs" dxfId="5120" priority="5932" stopIfTrue="1" operator="equal">
      <formula>"Napkin Hs"</formula>
    </cfRule>
  </conditionalFormatting>
  <conditionalFormatting sqref="B106:C106 C105">
    <cfRule type="cellIs" dxfId="5119" priority="5929" stopIfTrue="1" operator="equal">
      <formula>"Towel"</formula>
    </cfRule>
    <cfRule type="cellIs" dxfId="5118" priority="5930" stopIfTrue="1" operator="equal">
      <formula>"Napkin Hs"</formula>
    </cfRule>
  </conditionalFormatting>
  <conditionalFormatting sqref="C105:C106">
    <cfRule type="cellIs" dxfId="5117" priority="5925" stopIfTrue="1" operator="equal">
      <formula>"Towel"</formula>
    </cfRule>
    <cfRule type="cellIs" dxfId="5116" priority="5926" stopIfTrue="1" operator="equal">
      <formula>"Napkin Hs"</formula>
    </cfRule>
  </conditionalFormatting>
  <conditionalFormatting sqref="C105:C106">
    <cfRule type="cellIs" dxfId="5115" priority="5927" stopIfTrue="1" operator="equal">
      <formula>"Towel"</formula>
    </cfRule>
    <cfRule type="cellIs" dxfId="5114" priority="5928" stopIfTrue="1" operator="equal">
      <formula>"Napkin Hs"</formula>
    </cfRule>
  </conditionalFormatting>
  <conditionalFormatting sqref="B106:C106 C105">
    <cfRule type="cellIs" dxfId="5113" priority="5924" stopIfTrue="1" operator="equal">
      <formula>"Napkin Hs"</formula>
    </cfRule>
  </conditionalFormatting>
  <conditionalFormatting sqref="B106:C106 C105">
    <cfRule type="cellIs" dxfId="5112" priority="5923" stopIfTrue="1" operator="equal">
      <formula>"Towel"</formula>
    </cfRule>
  </conditionalFormatting>
  <conditionalFormatting sqref="C105:C106">
    <cfRule type="cellIs" dxfId="5111" priority="5922" stopIfTrue="1" operator="equal">
      <formula>"Napkin Hs"</formula>
    </cfRule>
  </conditionalFormatting>
  <conditionalFormatting sqref="C105:C106">
    <cfRule type="cellIs" dxfId="5110" priority="5921" stopIfTrue="1" operator="equal">
      <formula>"Towel"</formula>
    </cfRule>
  </conditionalFormatting>
  <conditionalFormatting sqref="C105:C106">
    <cfRule type="cellIs" dxfId="5109" priority="5919" stopIfTrue="1" operator="equal">
      <formula>"Towel"</formula>
    </cfRule>
    <cfRule type="cellIs" dxfId="5108" priority="5920" stopIfTrue="1" operator="equal">
      <formula>"Napkin Hs"</formula>
    </cfRule>
  </conditionalFormatting>
  <conditionalFormatting sqref="B106:C106 C105">
    <cfRule type="cellIs" dxfId="5107" priority="5917" stopIfTrue="1" operator="equal">
      <formula>"Towel"</formula>
    </cfRule>
    <cfRule type="cellIs" dxfId="5106" priority="5918" stopIfTrue="1" operator="equal">
      <formula>"Napkin Hs"</formula>
    </cfRule>
  </conditionalFormatting>
  <conditionalFormatting sqref="C105:C106">
    <cfRule type="cellIs" dxfId="5105" priority="5915" stopIfTrue="1" operator="equal">
      <formula>"Towel"</formula>
    </cfRule>
    <cfRule type="cellIs" dxfId="5104" priority="5916" stopIfTrue="1" operator="equal">
      <formula>"Napkin Hs"</formula>
    </cfRule>
  </conditionalFormatting>
  <conditionalFormatting sqref="C105:C106">
    <cfRule type="cellIs" dxfId="5103" priority="5913" stopIfTrue="1" operator="equal">
      <formula>"Towel"</formula>
    </cfRule>
    <cfRule type="cellIs" dxfId="5102" priority="5914" stopIfTrue="1" operator="equal">
      <formula>"Napkin Hs"</formula>
    </cfRule>
  </conditionalFormatting>
  <conditionalFormatting sqref="B106:C106 C105">
    <cfRule type="cellIs" dxfId="5101" priority="5911" stopIfTrue="1" operator="equal">
      <formula>"Towel"</formula>
    </cfRule>
    <cfRule type="cellIs" dxfId="5100" priority="5912" stopIfTrue="1" operator="equal">
      <formula>"Napkin Hs"</formula>
    </cfRule>
  </conditionalFormatting>
  <conditionalFormatting sqref="C105:C106">
    <cfRule type="cellIs" dxfId="5099" priority="5909" stopIfTrue="1" operator="equal">
      <formula>"Towel"</formula>
    </cfRule>
    <cfRule type="cellIs" dxfId="5098" priority="5910" stopIfTrue="1" operator="equal">
      <formula>"Napkin Hs"</formula>
    </cfRule>
  </conditionalFormatting>
  <conditionalFormatting sqref="C105:C106">
    <cfRule type="cellIs" dxfId="5097" priority="5907" stopIfTrue="1" operator="equal">
      <formula>"Towel"</formula>
    </cfRule>
    <cfRule type="cellIs" dxfId="5096" priority="5908" stopIfTrue="1" operator="equal">
      <formula>"Napkin Hs"</formula>
    </cfRule>
  </conditionalFormatting>
  <conditionalFormatting sqref="B106:C106 C105">
    <cfRule type="cellIs" dxfId="5095" priority="5905" stopIfTrue="1" operator="equal">
      <formula>"Towel"</formula>
    </cfRule>
    <cfRule type="cellIs" dxfId="5094" priority="5906" stopIfTrue="1" operator="equal">
      <formula>"Napkin Hs"</formula>
    </cfRule>
  </conditionalFormatting>
  <conditionalFormatting sqref="C105:C106">
    <cfRule type="cellIs" dxfId="5093" priority="5903" stopIfTrue="1" operator="equal">
      <formula>"Towel"</formula>
    </cfRule>
    <cfRule type="cellIs" dxfId="5092" priority="5904" stopIfTrue="1" operator="equal">
      <formula>"Napkin Hs"</formula>
    </cfRule>
  </conditionalFormatting>
  <conditionalFormatting sqref="C105:C106">
    <cfRule type="cellIs" dxfId="5091" priority="5901" stopIfTrue="1" operator="equal">
      <formula>"Towel"</formula>
    </cfRule>
    <cfRule type="cellIs" dxfId="5090" priority="5902" stopIfTrue="1" operator="equal">
      <formula>"Napkin Hs"</formula>
    </cfRule>
  </conditionalFormatting>
  <conditionalFormatting sqref="B106:C106 C105">
    <cfRule type="cellIs" dxfId="5089" priority="5899" stopIfTrue="1" operator="equal">
      <formula>"Towel"</formula>
    </cfRule>
    <cfRule type="cellIs" dxfId="5088" priority="5900" stopIfTrue="1" operator="equal">
      <formula>"Napkin Hs"</formula>
    </cfRule>
  </conditionalFormatting>
  <conditionalFormatting sqref="C105:C106">
    <cfRule type="cellIs" dxfId="5087" priority="5897" stopIfTrue="1" operator="equal">
      <formula>"Towel"</formula>
    </cfRule>
    <cfRule type="cellIs" dxfId="5086" priority="5898" stopIfTrue="1" operator="equal">
      <formula>"Napkin Hs"</formula>
    </cfRule>
  </conditionalFormatting>
  <conditionalFormatting sqref="C105:C106">
    <cfRule type="cellIs" dxfId="5085" priority="5895" stopIfTrue="1" operator="equal">
      <formula>"Towel"</formula>
    </cfRule>
    <cfRule type="cellIs" dxfId="5084" priority="5896" stopIfTrue="1" operator="equal">
      <formula>"Napkin Hs"</formula>
    </cfRule>
  </conditionalFormatting>
  <conditionalFormatting sqref="B106:C106 C105">
    <cfRule type="cellIs" dxfId="5083" priority="5893" stopIfTrue="1" operator="equal">
      <formula>"Towel"</formula>
    </cfRule>
    <cfRule type="cellIs" dxfId="5082" priority="5894" stopIfTrue="1" operator="equal">
      <formula>"Napkin Hs"</formula>
    </cfRule>
  </conditionalFormatting>
  <conditionalFormatting sqref="C105:C106">
    <cfRule type="cellIs" dxfId="5081" priority="5891" stopIfTrue="1" operator="equal">
      <formula>"Towel"</formula>
    </cfRule>
    <cfRule type="cellIs" dxfId="5080" priority="5892" stopIfTrue="1" operator="equal">
      <formula>"Napkin Hs"</formula>
    </cfRule>
  </conditionalFormatting>
  <conditionalFormatting sqref="C105:C106">
    <cfRule type="cellIs" dxfId="5079" priority="5889" stopIfTrue="1" operator="equal">
      <formula>"Towel"</formula>
    </cfRule>
    <cfRule type="cellIs" dxfId="5078" priority="5890" stopIfTrue="1" operator="equal">
      <formula>"Napkin Hs"</formula>
    </cfRule>
  </conditionalFormatting>
  <conditionalFormatting sqref="B106:C106 C105">
    <cfRule type="cellIs" dxfId="5077" priority="5888" stopIfTrue="1" operator="equal">
      <formula>"Napkin Hs"</formula>
    </cfRule>
  </conditionalFormatting>
  <conditionalFormatting sqref="B106:C106 C105">
    <cfRule type="cellIs" dxfId="5076" priority="5887" stopIfTrue="1" operator="equal">
      <formula>"Towel"</formula>
    </cfRule>
  </conditionalFormatting>
  <conditionalFormatting sqref="C105:C106">
    <cfRule type="cellIs" dxfId="5075" priority="5886" stopIfTrue="1" operator="equal">
      <formula>"Napkin Hs"</formula>
    </cfRule>
  </conditionalFormatting>
  <conditionalFormatting sqref="C105:C106">
    <cfRule type="cellIs" dxfId="5074" priority="5883" stopIfTrue="1" operator="equal">
      <formula>"Towel"</formula>
    </cfRule>
    <cfRule type="cellIs" dxfId="5073" priority="5884" stopIfTrue="1" operator="equal">
      <formula>"Napkin Hs"</formula>
    </cfRule>
  </conditionalFormatting>
  <conditionalFormatting sqref="C105:C106">
    <cfRule type="cellIs" dxfId="5072" priority="5885" stopIfTrue="1" operator="equal">
      <formula>"Towel"</formula>
    </cfRule>
  </conditionalFormatting>
  <conditionalFormatting sqref="B106:C106">
    <cfRule type="cellIs" dxfId="5071" priority="5771" stopIfTrue="1" operator="equal">
      <formula>"Towel"</formula>
    </cfRule>
    <cfRule type="cellIs" dxfId="5070" priority="5772" stopIfTrue="1" operator="equal">
      <formula>"Napkin Hs"</formula>
    </cfRule>
  </conditionalFormatting>
  <conditionalFormatting sqref="C106">
    <cfRule type="cellIs" dxfId="5069" priority="5773" stopIfTrue="1" operator="equal">
      <formula>"Towel"</formula>
    </cfRule>
    <cfRule type="cellIs" dxfId="5068" priority="5774" stopIfTrue="1" operator="equal">
      <formula>"Napkin Hs"</formula>
    </cfRule>
  </conditionalFormatting>
  <conditionalFormatting sqref="C106">
    <cfRule type="cellIs" dxfId="5067" priority="5769" stopIfTrue="1" operator="equal">
      <formula>"Towel"</formula>
    </cfRule>
    <cfRule type="cellIs" dxfId="5066" priority="5770" stopIfTrue="1" operator="equal">
      <formula>"Napkin Hs"</formula>
    </cfRule>
  </conditionalFormatting>
  <conditionalFormatting sqref="B106:C106">
    <cfRule type="cellIs" dxfId="5065" priority="5764" stopIfTrue="1" operator="equal">
      <formula>"Napkin Hs"</formula>
    </cfRule>
  </conditionalFormatting>
  <conditionalFormatting sqref="B106:C106">
    <cfRule type="cellIs" dxfId="5064" priority="5763" stopIfTrue="1" operator="equal">
      <formula>"Towel"</formula>
    </cfRule>
  </conditionalFormatting>
  <conditionalFormatting sqref="C106">
    <cfRule type="cellIs" dxfId="5063" priority="5762" stopIfTrue="1" operator="equal">
      <formula>"Napkin Hs"</formula>
    </cfRule>
  </conditionalFormatting>
  <conditionalFormatting sqref="C106">
    <cfRule type="cellIs" dxfId="5062" priority="5761" stopIfTrue="1" operator="equal">
      <formula>"Towel"</formula>
    </cfRule>
  </conditionalFormatting>
  <conditionalFormatting sqref="C106">
    <cfRule type="cellIs" dxfId="5061" priority="5759" stopIfTrue="1" operator="equal">
      <formula>"Towel"</formula>
    </cfRule>
    <cfRule type="cellIs" dxfId="5060" priority="5760" stopIfTrue="1" operator="equal">
      <formula>"Napkin Hs"</formula>
    </cfRule>
  </conditionalFormatting>
  <conditionalFormatting sqref="B105:C105">
    <cfRule type="cellIs" dxfId="5059" priority="5757" stopIfTrue="1" operator="equal">
      <formula>"Towel"</formula>
    </cfRule>
    <cfRule type="cellIs" dxfId="5058" priority="5758" stopIfTrue="1" operator="equal">
      <formula>"Napkin Hs"</formula>
    </cfRule>
  </conditionalFormatting>
  <conditionalFormatting sqref="C105">
    <cfRule type="cellIs" dxfId="5057" priority="5755" stopIfTrue="1" operator="equal">
      <formula>"Towel"</formula>
    </cfRule>
    <cfRule type="cellIs" dxfId="5056" priority="5756" stopIfTrue="1" operator="equal">
      <formula>"Napkin Hs"</formula>
    </cfRule>
  </conditionalFormatting>
  <conditionalFormatting sqref="C105">
    <cfRule type="cellIs" dxfId="5055" priority="5753" stopIfTrue="1" operator="equal">
      <formula>"Towel"</formula>
    </cfRule>
    <cfRule type="cellIs" dxfId="5054" priority="5754" stopIfTrue="1" operator="equal">
      <formula>"Napkin Hs"</formula>
    </cfRule>
  </conditionalFormatting>
  <conditionalFormatting sqref="B104:C104">
    <cfRule type="cellIs" dxfId="5053" priority="5751" stopIfTrue="1" operator="equal">
      <formula>"Towel"</formula>
    </cfRule>
    <cfRule type="cellIs" dxfId="5052" priority="5752" stopIfTrue="1" operator="equal">
      <formula>"Napkin Hs"</formula>
    </cfRule>
  </conditionalFormatting>
  <conditionalFormatting sqref="C104">
    <cfRule type="cellIs" dxfId="5051" priority="5747" stopIfTrue="1" operator="equal">
      <formula>"Towel"</formula>
    </cfRule>
    <cfRule type="cellIs" dxfId="5050" priority="5748" stopIfTrue="1" operator="equal">
      <formula>"Napkin Hs"</formula>
    </cfRule>
  </conditionalFormatting>
  <conditionalFormatting sqref="C104">
    <cfRule type="cellIs" dxfId="5049" priority="5749" stopIfTrue="1" operator="equal">
      <formula>"Towel"</formula>
    </cfRule>
    <cfRule type="cellIs" dxfId="5048" priority="5750" stopIfTrue="1" operator="equal">
      <formula>"Napkin Hs"</formula>
    </cfRule>
  </conditionalFormatting>
  <conditionalFormatting sqref="B104:C104">
    <cfRule type="cellIs" dxfId="5047" priority="5746" stopIfTrue="1" operator="equal">
      <formula>"Napkin Hs"</formula>
    </cfRule>
  </conditionalFormatting>
  <conditionalFormatting sqref="B104:C104">
    <cfRule type="cellIs" dxfId="5046" priority="5745" stopIfTrue="1" operator="equal">
      <formula>"Towel"</formula>
    </cfRule>
  </conditionalFormatting>
  <conditionalFormatting sqref="C104">
    <cfRule type="cellIs" dxfId="5045" priority="5744" stopIfTrue="1" operator="equal">
      <formula>"Napkin Hs"</formula>
    </cfRule>
  </conditionalFormatting>
  <conditionalFormatting sqref="C104">
    <cfRule type="cellIs" dxfId="5044" priority="5743" stopIfTrue="1" operator="equal">
      <formula>"Towel"</formula>
    </cfRule>
  </conditionalFormatting>
  <conditionalFormatting sqref="C104">
    <cfRule type="cellIs" dxfId="5043" priority="5741" stopIfTrue="1" operator="equal">
      <formula>"Towel"</formula>
    </cfRule>
    <cfRule type="cellIs" dxfId="5042" priority="5742" stopIfTrue="1" operator="equal">
      <formula>"Napkin Hs"</formula>
    </cfRule>
  </conditionalFormatting>
  <conditionalFormatting sqref="B104:C104">
    <cfRule type="cellIs" dxfId="5041" priority="5739" stopIfTrue="1" operator="equal">
      <formula>"Towel"</formula>
    </cfRule>
    <cfRule type="cellIs" dxfId="5040" priority="5740" stopIfTrue="1" operator="equal">
      <formula>"Napkin Hs"</formula>
    </cfRule>
  </conditionalFormatting>
  <conditionalFormatting sqref="C104">
    <cfRule type="cellIs" dxfId="5039" priority="5737" stopIfTrue="1" operator="equal">
      <formula>"Towel"</formula>
    </cfRule>
    <cfRule type="cellIs" dxfId="5038" priority="5738" stopIfTrue="1" operator="equal">
      <formula>"Napkin Hs"</formula>
    </cfRule>
  </conditionalFormatting>
  <conditionalFormatting sqref="C104">
    <cfRule type="cellIs" dxfId="5037" priority="5735" stopIfTrue="1" operator="equal">
      <formula>"Towel"</formula>
    </cfRule>
    <cfRule type="cellIs" dxfId="5036" priority="5736" stopIfTrue="1" operator="equal">
      <formula>"Napkin Hs"</formula>
    </cfRule>
  </conditionalFormatting>
  <conditionalFormatting sqref="B104:C104">
    <cfRule type="cellIs" dxfId="5035" priority="5733" stopIfTrue="1" operator="equal">
      <formula>"Towel"</formula>
    </cfRule>
    <cfRule type="cellIs" dxfId="5034" priority="5734" stopIfTrue="1" operator="equal">
      <formula>"Napkin Hs"</formula>
    </cfRule>
  </conditionalFormatting>
  <conditionalFormatting sqref="C104">
    <cfRule type="cellIs" dxfId="5033" priority="5731" stopIfTrue="1" operator="equal">
      <formula>"Towel"</formula>
    </cfRule>
    <cfRule type="cellIs" dxfId="5032" priority="5732" stopIfTrue="1" operator="equal">
      <formula>"Napkin Hs"</formula>
    </cfRule>
  </conditionalFormatting>
  <conditionalFormatting sqref="C104">
    <cfRule type="cellIs" dxfId="5031" priority="5729" stopIfTrue="1" operator="equal">
      <formula>"Towel"</formula>
    </cfRule>
    <cfRule type="cellIs" dxfId="5030" priority="5730" stopIfTrue="1" operator="equal">
      <formula>"Napkin Hs"</formula>
    </cfRule>
  </conditionalFormatting>
  <conditionalFormatting sqref="B104:C104">
    <cfRule type="cellIs" dxfId="5029" priority="5727" stopIfTrue="1" operator="equal">
      <formula>"Towel"</formula>
    </cfRule>
    <cfRule type="cellIs" dxfId="5028" priority="5728" stopIfTrue="1" operator="equal">
      <formula>"Napkin Hs"</formula>
    </cfRule>
  </conditionalFormatting>
  <conditionalFormatting sqref="C104">
    <cfRule type="cellIs" dxfId="5027" priority="5725" stopIfTrue="1" operator="equal">
      <formula>"Towel"</formula>
    </cfRule>
    <cfRule type="cellIs" dxfId="5026" priority="5726" stopIfTrue="1" operator="equal">
      <formula>"Napkin Hs"</formula>
    </cfRule>
  </conditionalFormatting>
  <conditionalFormatting sqref="C104">
    <cfRule type="cellIs" dxfId="5025" priority="5723" stopIfTrue="1" operator="equal">
      <formula>"Towel"</formula>
    </cfRule>
    <cfRule type="cellIs" dxfId="5024" priority="5724" stopIfTrue="1" operator="equal">
      <formula>"Napkin Hs"</formula>
    </cfRule>
  </conditionalFormatting>
  <conditionalFormatting sqref="B104:C104">
    <cfRule type="cellIs" dxfId="5023" priority="5721" stopIfTrue="1" operator="equal">
      <formula>"Towel"</formula>
    </cfRule>
    <cfRule type="cellIs" dxfId="5022" priority="5722" stopIfTrue="1" operator="equal">
      <formula>"Napkin Hs"</formula>
    </cfRule>
  </conditionalFormatting>
  <conditionalFormatting sqref="C104">
    <cfRule type="cellIs" dxfId="5021" priority="5719" stopIfTrue="1" operator="equal">
      <formula>"Towel"</formula>
    </cfRule>
    <cfRule type="cellIs" dxfId="5020" priority="5720" stopIfTrue="1" operator="equal">
      <formula>"Napkin Hs"</formula>
    </cfRule>
  </conditionalFormatting>
  <conditionalFormatting sqref="C104">
    <cfRule type="cellIs" dxfId="5019" priority="5717" stopIfTrue="1" operator="equal">
      <formula>"Towel"</formula>
    </cfRule>
    <cfRule type="cellIs" dxfId="5018" priority="5718" stopIfTrue="1" operator="equal">
      <formula>"Napkin Hs"</formula>
    </cfRule>
  </conditionalFormatting>
  <conditionalFormatting sqref="B104:C104">
    <cfRule type="cellIs" dxfId="5017" priority="5715" stopIfTrue="1" operator="equal">
      <formula>"Towel"</formula>
    </cfRule>
    <cfRule type="cellIs" dxfId="5016" priority="5716" stopIfTrue="1" operator="equal">
      <formula>"Napkin Hs"</formula>
    </cfRule>
  </conditionalFormatting>
  <conditionalFormatting sqref="C104">
    <cfRule type="cellIs" dxfId="5015" priority="5713" stopIfTrue="1" operator="equal">
      <formula>"Towel"</formula>
    </cfRule>
    <cfRule type="cellIs" dxfId="5014" priority="5714" stopIfTrue="1" operator="equal">
      <formula>"Napkin Hs"</formula>
    </cfRule>
  </conditionalFormatting>
  <conditionalFormatting sqref="C104">
    <cfRule type="cellIs" dxfId="5013" priority="5711" stopIfTrue="1" operator="equal">
      <formula>"Towel"</formula>
    </cfRule>
    <cfRule type="cellIs" dxfId="5012" priority="5712" stopIfTrue="1" operator="equal">
      <formula>"Napkin Hs"</formula>
    </cfRule>
  </conditionalFormatting>
  <conditionalFormatting sqref="B104:C104">
    <cfRule type="cellIs" dxfId="5011" priority="5710" stopIfTrue="1" operator="equal">
      <formula>"Napkin Hs"</formula>
    </cfRule>
  </conditionalFormatting>
  <conditionalFormatting sqref="B104:C104">
    <cfRule type="cellIs" dxfId="5010" priority="5709" stopIfTrue="1" operator="equal">
      <formula>"Towel"</formula>
    </cfRule>
  </conditionalFormatting>
  <conditionalFormatting sqref="C104">
    <cfRule type="cellIs" dxfId="5009" priority="5708" stopIfTrue="1" operator="equal">
      <formula>"Napkin Hs"</formula>
    </cfRule>
  </conditionalFormatting>
  <conditionalFormatting sqref="C104">
    <cfRule type="cellIs" dxfId="5008" priority="5705" stopIfTrue="1" operator="equal">
      <formula>"Towel"</formula>
    </cfRule>
    <cfRule type="cellIs" dxfId="5007" priority="5706" stopIfTrue="1" operator="equal">
      <formula>"Napkin Hs"</formula>
    </cfRule>
  </conditionalFormatting>
  <conditionalFormatting sqref="C104">
    <cfRule type="cellIs" dxfId="5006" priority="5707" stopIfTrue="1" operator="equal">
      <formula>"Towel"</formula>
    </cfRule>
  </conditionalFormatting>
  <conditionalFormatting sqref="B104:C104">
    <cfRule type="cellIs" dxfId="5005" priority="5704" stopIfTrue="1" operator="equal">
      <formula>"Napkin Hs"</formula>
    </cfRule>
  </conditionalFormatting>
  <conditionalFormatting sqref="B104:C104">
    <cfRule type="cellIs" dxfId="5004" priority="5703" stopIfTrue="1" operator="equal">
      <formula>"Towel"</formula>
    </cfRule>
  </conditionalFormatting>
  <conditionalFormatting sqref="C104">
    <cfRule type="cellIs" dxfId="5003" priority="5702" stopIfTrue="1" operator="equal">
      <formula>"Napkin Hs"</formula>
    </cfRule>
  </conditionalFormatting>
  <conditionalFormatting sqref="C104">
    <cfRule type="cellIs" dxfId="5002" priority="5701" stopIfTrue="1" operator="equal">
      <formula>"Towel"</formula>
    </cfRule>
  </conditionalFormatting>
  <conditionalFormatting sqref="C104">
    <cfRule type="cellIs" dxfId="5001" priority="5699" stopIfTrue="1" operator="equal">
      <formula>"Towel"</formula>
    </cfRule>
    <cfRule type="cellIs" dxfId="5000" priority="5700" stopIfTrue="1" operator="equal">
      <formula>"Napkin Hs"</formula>
    </cfRule>
  </conditionalFormatting>
  <conditionalFormatting sqref="C104">
    <cfRule type="cellIs" dxfId="4999" priority="5693" stopIfTrue="1" operator="equal">
      <formula>"Towel"</formula>
    </cfRule>
    <cfRule type="cellIs" dxfId="4998" priority="5694" stopIfTrue="1" operator="equal">
      <formula>"Napkin Hs"</formula>
    </cfRule>
  </conditionalFormatting>
  <conditionalFormatting sqref="B104:C104">
    <cfRule type="cellIs" dxfId="4997" priority="5692" stopIfTrue="1" operator="equal">
      <formula>"Napkin Hs"</formula>
    </cfRule>
  </conditionalFormatting>
  <conditionalFormatting sqref="B104:C104">
    <cfRule type="cellIs" dxfId="4996" priority="5691" stopIfTrue="1" operator="equal">
      <formula>"Towel"</formula>
    </cfRule>
  </conditionalFormatting>
  <conditionalFormatting sqref="C104">
    <cfRule type="cellIs" dxfId="4995" priority="5690" stopIfTrue="1" operator="equal">
      <formula>"Napkin Hs"</formula>
    </cfRule>
  </conditionalFormatting>
  <conditionalFormatting sqref="C104">
    <cfRule type="cellIs" dxfId="4994" priority="5689" stopIfTrue="1" operator="equal">
      <formula>"Towel"</formula>
    </cfRule>
  </conditionalFormatting>
  <conditionalFormatting sqref="C104">
    <cfRule type="cellIs" dxfId="4993" priority="5687" stopIfTrue="1" operator="equal">
      <formula>"Towel"</formula>
    </cfRule>
    <cfRule type="cellIs" dxfId="4992" priority="5688" stopIfTrue="1" operator="equal">
      <formula>"Napkin Hs"</formula>
    </cfRule>
  </conditionalFormatting>
  <conditionalFormatting sqref="C104">
    <cfRule type="cellIs" dxfId="4991" priority="5681" stopIfTrue="1" operator="equal">
      <formula>"Towel"</formula>
    </cfRule>
    <cfRule type="cellIs" dxfId="4990" priority="5682" stopIfTrue="1" operator="equal">
      <formula>"Napkin Hs"</formula>
    </cfRule>
  </conditionalFormatting>
  <conditionalFormatting sqref="C104">
    <cfRule type="cellIs" dxfId="4989" priority="5675" stopIfTrue="1" operator="equal">
      <formula>"Towel"</formula>
    </cfRule>
    <cfRule type="cellIs" dxfId="4988" priority="5676" stopIfTrue="1" operator="equal">
      <formula>"Napkin Hs"</formula>
    </cfRule>
  </conditionalFormatting>
  <conditionalFormatting sqref="C104">
    <cfRule type="cellIs" dxfId="4987" priority="5669" stopIfTrue="1" operator="equal">
      <formula>"Towel"</formula>
    </cfRule>
    <cfRule type="cellIs" dxfId="4986" priority="5670" stopIfTrue="1" operator="equal">
      <formula>"Napkin Hs"</formula>
    </cfRule>
  </conditionalFormatting>
  <conditionalFormatting sqref="C104">
    <cfRule type="cellIs" dxfId="4985" priority="5663" stopIfTrue="1" operator="equal">
      <formula>"Towel"</formula>
    </cfRule>
    <cfRule type="cellIs" dxfId="4984" priority="5664" stopIfTrue="1" operator="equal">
      <formula>"Napkin Hs"</formula>
    </cfRule>
  </conditionalFormatting>
  <conditionalFormatting sqref="C104">
    <cfRule type="cellIs" dxfId="4983" priority="5657" stopIfTrue="1" operator="equal">
      <formula>"Towel"</formula>
    </cfRule>
    <cfRule type="cellIs" dxfId="4982" priority="5658" stopIfTrue="1" operator="equal">
      <formula>"Napkin Hs"</formula>
    </cfRule>
  </conditionalFormatting>
  <conditionalFormatting sqref="B104:C104">
    <cfRule type="cellIs" dxfId="4981" priority="5656" stopIfTrue="1" operator="equal">
      <formula>"Napkin Hs"</formula>
    </cfRule>
  </conditionalFormatting>
  <conditionalFormatting sqref="B104:C104">
    <cfRule type="cellIs" dxfId="4980" priority="5655" stopIfTrue="1" operator="equal">
      <formula>"Towel"</formula>
    </cfRule>
  </conditionalFormatting>
  <conditionalFormatting sqref="C104">
    <cfRule type="cellIs" dxfId="4979" priority="5654" stopIfTrue="1" operator="equal">
      <formula>"Napkin Hs"</formula>
    </cfRule>
  </conditionalFormatting>
  <conditionalFormatting sqref="C104">
    <cfRule type="cellIs" dxfId="4978" priority="5651" stopIfTrue="1" operator="equal">
      <formula>"Towel"</formula>
    </cfRule>
    <cfRule type="cellIs" dxfId="4977" priority="5652" stopIfTrue="1" operator="equal">
      <formula>"Napkin Hs"</formula>
    </cfRule>
  </conditionalFormatting>
  <conditionalFormatting sqref="C104">
    <cfRule type="cellIs" dxfId="4976" priority="5653" stopIfTrue="1" operator="equal">
      <formula>"Towel"</formula>
    </cfRule>
  </conditionalFormatting>
  <conditionalFormatting sqref="B104:C104">
    <cfRule type="cellIs" dxfId="4975" priority="5650" stopIfTrue="1" operator="equal">
      <formula>"Napkin Hs"</formula>
    </cfRule>
  </conditionalFormatting>
  <conditionalFormatting sqref="B104:C104">
    <cfRule type="cellIs" dxfId="4974" priority="5649" stopIfTrue="1" operator="equal">
      <formula>"Towel"</formula>
    </cfRule>
  </conditionalFormatting>
  <conditionalFormatting sqref="C104">
    <cfRule type="cellIs" dxfId="4973" priority="5648" stopIfTrue="1" operator="equal">
      <formula>"Napkin Hs"</formula>
    </cfRule>
  </conditionalFormatting>
  <conditionalFormatting sqref="C104">
    <cfRule type="cellIs" dxfId="4972" priority="5645" stopIfTrue="1" operator="equal">
      <formula>"Towel"</formula>
    </cfRule>
    <cfRule type="cellIs" dxfId="4971" priority="5646" stopIfTrue="1" operator="equal">
      <formula>"Napkin Hs"</formula>
    </cfRule>
  </conditionalFormatting>
  <conditionalFormatting sqref="C104">
    <cfRule type="cellIs" dxfId="4970" priority="5647" stopIfTrue="1" operator="equal">
      <formula>"Towel"</formula>
    </cfRule>
  </conditionalFormatting>
  <conditionalFormatting sqref="B105:C105">
    <cfRule type="cellIs" dxfId="4969" priority="5578" stopIfTrue="1" operator="equal">
      <formula>"Napkin Hs"</formula>
    </cfRule>
  </conditionalFormatting>
  <conditionalFormatting sqref="B105:C105">
    <cfRule type="cellIs" dxfId="4968" priority="5577" stopIfTrue="1" operator="equal">
      <formula>"Towel"</formula>
    </cfRule>
  </conditionalFormatting>
  <conditionalFormatting sqref="C105">
    <cfRule type="cellIs" dxfId="4967" priority="5576" stopIfTrue="1" operator="equal">
      <formula>"Napkin Hs"</formula>
    </cfRule>
  </conditionalFormatting>
  <conditionalFormatting sqref="C105">
    <cfRule type="cellIs" dxfId="4966" priority="5573" stopIfTrue="1" operator="equal">
      <formula>"Towel"</formula>
    </cfRule>
    <cfRule type="cellIs" dxfId="4965" priority="5574" stopIfTrue="1" operator="equal">
      <formula>"Napkin Hs"</formula>
    </cfRule>
  </conditionalFormatting>
  <conditionalFormatting sqref="C105">
    <cfRule type="cellIs" dxfId="4964" priority="5575" stopIfTrue="1" operator="equal">
      <formula>"Towel"</formula>
    </cfRule>
  </conditionalFormatting>
  <conditionalFormatting sqref="B104:C104">
    <cfRule type="cellIs" dxfId="4963" priority="5697" stopIfTrue="1" operator="equal">
      <formula>"Towel"</formula>
    </cfRule>
    <cfRule type="cellIs" dxfId="4962" priority="5698" stopIfTrue="1" operator="equal">
      <formula>"Napkin Hs"</formula>
    </cfRule>
  </conditionalFormatting>
  <conditionalFormatting sqref="C104">
    <cfRule type="cellIs" dxfId="4961" priority="5695" stopIfTrue="1" operator="equal">
      <formula>"Towel"</formula>
    </cfRule>
    <cfRule type="cellIs" dxfId="4960" priority="5696" stopIfTrue="1" operator="equal">
      <formula>"Napkin Hs"</formula>
    </cfRule>
  </conditionalFormatting>
  <conditionalFormatting sqref="B104:C104">
    <cfRule type="cellIs" dxfId="4959" priority="5685" stopIfTrue="1" operator="equal">
      <formula>"Towel"</formula>
    </cfRule>
    <cfRule type="cellIs" dxfId="4958" priority="5686" stopIfTrue="1" operator="equal">
      <formula>"Napkin Hs"</formula>
    </cfRule>
  </conditionalFormatting>
  <conditionalFormatting sqref="C104">
    <cfRule type="cellIs" dxfId="4957" priority="5683" stopIfTrue="1" operator="equal">
      <formula>"Towel"</formula>
    </cfRule>
    <cfRule type="cellIs" dxfId="4956" priority="5684" stopIfTrue="1" operator="equal">
      <formula>"Napkin Hs"</formula>
    </cfRule>
  </conditionalFormatting>
  <conditionalFormatting sqref="B104:C104">
    <cfRule type="cellIs" dxfId="4955" priority="5679" stopIfTrue="1" operator="equal">
      <formula>"Towel"</formula>
    </cfRule>
    <cfRule type="cellIs" dxfId="4954" priority="5680" stopIfTrue="1" operator="equal">
      <formula>"Napkin Hs"</formula>
    </cfRule>
  </conditionalFormatting>
  <conditionalFormatting sqref="C104">
    <cfRule type="cellIs" dxfId="4953" priority="5677" stopIfTrue="1" operator="equal">
      <formula>"Towel"</formula>
    </cfRule>
    <cfRule type="cellIs" dxfId="4952" priority="5678" stopIfTrue="1" operator="equal">
      <formula>"Napkin Hs"</formula>
    </cfRule>
  </conditionalFormatting>
  <conditionalFormatting sqref="B104:C104">
    <cfRule type="cellIs" dxfId="4951" priority="5673" stopIfTrue="1" operator="equal">
      <formula>"Towel"</formula>
    </cfRule>
    <cfRule type="cellIs" dxfId="4950" priority="5674" stopIfTrue="1" operator="equal">
      <formula>"Napkin Hs"</formula>
    </cfRule>
  </conditionalFormatting>
  <conditionalFormatting sqref="C104">
    <cfRule type="cellIs" dxfId="4949" priority="5671" stopIfTrue="1" operator="equal">
      <formula>"Towel"</formula>
    </cfRule>
    <cfRule type="cellIs" dxfId="4948" priority="5672" stopIfTrue="1" operator="equal">
      <formula>"Napkin Hs"</formula>
    </cfRule>
  </conditionalFormatting>
  <conditionalFormatting sqref="B104:C104">
    <cfRule type="cellIs" dxfId="4947" priority="5667" stopIfTrue="1" operator="equal">
      <formula>"Towel"</formula>
    </cfRule>
    <cfRule type="cellIs" dxfId="4946" priority="5668" stopIfTrue="1" operator="equal">
      <formula>"Napkin Hs"</formula>
    </cfRule>
  </conditionalFormatting>
  <conditionalFormatting sqref="C104">
    <cfRule type="cellIs" dxfId="4945" priority="5665" stopIfTrue="1" operator="equal">
      <formula>"Towel"</formula>
    </cfRule>
    <cfRule type="cellIs" dxfId="4944" priority="5666" stopIfTrue="1" operator="equal">
      <formula>"Napkin Hs"</formula>
    </cfRule>
  </conditionalFormatting>
  <conditionalFormatting sqref="B104:C104">
    <cfRule type="cellIs" dxfId="4943" priority="5661" stopIfTrue="1" operator="equal">
      <formula>"Towel"</formula>
    </cfRule>
    <cfRule type="cellIs" dxfId="4942" priority="5662" stopIfTrue="1" operator="equal">
      <formula>"Napkin Hs"</formula>
    </cfRule>
  </conditionalFormatting>
  <conditionalFormatting sqref="C104">
    <cfRule type="cellIs" dxfId="4941" priority="5659" stopIfTrue="1" operator="equal">
      <formula>"Towel"</formula>
    </cfRule>
    <cfRule type="cellIs" dxfId="4940" priority="5660" stopIfTrue="1" operator="equal">
      <formula>"Napkin Hs"</formula>
    </cfRule>
  </conditionalFormatting>
  <conditionalFormatting sqref="B104:C104">
    <cfRule type="cellIs" dxfId="4939" priority="5644" stopIfTrue="1" operator="equal">
      <formula>"Napkin Hs"</formula>
    </cfRule>
  </conditionalFormatting>
  <conditionalFormatting sqref="B104:C104">
    <cfRule type="cellIs" dxfId="4938" priority="5643" stopIfTrue="1" operator="equal">
      <formula>"Towel"</formula>
    </cfRule>
  </conditionalFormatting>
  <conditionalFormatting sqref="C104">
    <cfRule type="cellIs" dxfId="4937" priority="5642" stopIfTrue="1" operator="equal">
      <formula>"Napkin Hs"</formula>
    </cfRule>
  </conditionalFormatting>
  <conditionalFormatting sqref="C104">
    <cfRule type="cellIs" dxfId="4936" priority="5639" stopIfTrue="1" operator="equal">
      <formula>"Towel"</formula>
    </cfRule>
    <cfRule type="cellIs" dxfId="4935" priority="5640" stopIfTrue="1" operator="equal">
      <formula>"Napkin Hs"</formula>
    </cfRule>
  </conditionalFormatting>
  <conditionalFormatting sqref="C104">
    <cfRule type="cellIs" dxfId="4934" priority="5641" stopIfTrue="1" operator="equal">
      <formula>"Towel"</formula>
    </cfRule>
  </conditionalFormatting>
  <conditionalFormatting sqref="B105:C105">
    <cfRule type="cellIs" dxfId="4933" priority="5638" stopIfTrue="1" operator="equal">
      <formula>"Napkin Hs"</formula>
    </cfRule>
  </conditionalFormatting>
  <conditionalFormatting sqref="B105:C105">
    <cfRule type="cellIs" dxfId="4932" priority="5637" stopIfTrue="1" operator="equal">
      <formula>"Towel"</formula>
    </cfRule>
  </conditionalFormatting>
  <conditionalFormatting sqref="C105">
    <cfRule type="cellIs" dxfId="4931" priority="5636" stopIfTrue="1" operator="equal">
      <formula>"Napkin Hs"</formula>
    </cfRule>
  </conditionalFormatting>
  <conditionalFormatting sqref="C105">
    <cfRule type="cellIs" dxfId="4930" priority="5635" stopIfTrue="1" operator="equal">
      <formula>"Towel"</formula>
    </cfRule>
  </conditionalFormatting>
  <conditionalFormatting sqref="C105">
    <cfRule type="cellIs" dxfId="4929" priority="5633" stopIfTrue="1" operator="equal">
      <formula>"Towel"</formula>
    </cfRule>
    <cfRule type="cellIs" dxfId="4928" priority="5634" stopIfTrue="1" operator="equal">
      <formula>"Napkin Hs"</formula>
    </cfRule>
  </conditionalFormatting>
  <conditionalFormatting sqref="B105:C105">
    <cfRule type="cellIs" dxfId="4927" priority="5631" stopIfTrue="1" operator="equal">
      <formula>"Towel"</formula>
    </cfRule>
    <cfRule type="cellIs" dxfId="4926" priority="5632" stopIfTrue="1" operator="equal">
      <formula>"Napkin Hs"</formula>
    </cfRule>
  </conditionalFormatting>
  <conditionalFormatting sqref="C105">
    <cfRule type="cellIs" dxfId="4925" priority="5627" stopIfTrue="1" operator="equal">
      <formula>"Towel"</formula>
    </cfRule>
    <cfRule type="cellIs" dxfId="4924" priority="5628" stopIfTrue="1" operator="equal">
      <formula>"Napkin Hs"</formula>
    </cfRule>
  </conditionalFormatting>
  <conditionalFormatting sqref="C105">
    <cfRule type="cellIs" dxfId="4923" priority="5629" stopIfTrue="1" operator="equal">
      <formula>"Towel"</formula>
    </cfRule>
    <cfRule type="cellIs" dxfId="4922" priority="5630" stopIfTrue="1" operator="equal">
      <formula>"Napkin Hs"</formula>
    </cfRule>
  </conditionalFormatting>
  <conditionalFormatting sqref="B105:C105">
    <cfRule type="cellIs" dxfId="4921" priority="5626" stopIfTrue="1" operator="equal">
      <formula>"Napkin Hs"</formula>
    </cfRule>
  </conditionalFormatting>
  <conditionalFormatting sqref="B105:C105">
    <cfRule type="cellIs" dxfId="4920" priority="5625" stopIfTrue="1" operator="equal">
      <formula>"Towel"</formula>
    </cfRule>
  </conditionalFormatting>
  <conditionalFormatting sqref="C105">
    <cfRule type="cellIs" dxfId="4919" priority="5624" stopIfTrue="1" operator="equal">
      <formula>"Napkin Hs"</formula>
    </cfRule>
  </conditionalFormatting>
  <conditionalFormatting sqref="C105">
    <cfRule type="cellIs" dxfId="4918" priority="5623" stopIfTrue="1" operator="equal">
      <formula>"Towel"</formula>
    </cfRule>
  </conditionalFormatting>
  <conditionalFormatting sqref="C105">
    <cfRule type="cellIs" dxfId="4917" priority="5621" stopIfTrue="1" operator="equal">
      <formula>"Towel"</formula>
    </cfRule>
    <cfRule type="cellIs" dxfId="4916" priority="5622" stopIfTrue="1" operator="equal">
      <formula>"Napkin Hs"</formula>
    </cfRule>
  </conditionalFormatting>
  <conditionalFormatting sqref="B105:C105">
    <cfRule type="cellIs" dxfId="4915" priority="5619" stopIfTrue="1" operator="equal">
      <formula>"Towel"</formula>
    </cfRule>
    <cfRule type="cellIs" dxfId="4914" priority="5620" stopIfTrue="1" operator="equal">
      <formula>"Napkin Hs"</formula>
    </cfRule>
  </conditionalFormatting>
  <conditionalFormatting sqref="C105">
    <cfRule type="cellIs" dxfId="4913" priority="5617" stopIfTrue="1" operator="equal">
      <formula>"Towel"</formula>
    </cfRule>
    <cfRule type="cellIs" dxfId="4912" priority="5618" stopIfTrue="1" operator="equal">
      <formula>"Napkin Hs"</formula>
    </cfRule>
  </conditionalFormatting>
  <conditionalFormatting sqref="C105">
    <cfRule type="cellIs" dxfId="4911" priority="5615" stopIfTrue="1" operator="equal">
      <formula>"Towel"</formula>
    </cfRule>
    <cfRule type="cellIs" dxfId="4910" priority="5616" stopIfTrue="1" operator="equal">
      <formula>"Napkin Hs"</formula>
    </cfRule>
  </conditionalFormatting>
  <conditionalFormatting sqref="B105:C105">
    <cfRule type="cellIs" dxfId="4909" priority="5613" stopIfTrue="1" operator="equal">
      <formula>"Towel"</formula>
    </cfRule>
    <cfRule type="cellIs" dxfId="4908" priority="5614" stopIfTrue="1" operator="equal">
      <formula>"Napkin Hs"</formula>
    </cfRule>
  </conditionalFormatting>
  <conditionalFormatting sqref="C105">
    <cfRule type="cellIs" dxfId="4907" priority="5611" stopIfTrue="1" operator="equal">
      <formula>"Towel"</formula>
    </cfRule>
    <cfRule type="cellIs" dxfId="4906" priority="5612" stopIfTrue="1" operator="equal">
      <formula>"Napkin Hs"</formula>
    </cfRule>
  </conditionalFormatting>
  <conditionalFormatting sqref="C105">
    <cfRule type="cellIs" dxfId="4905" priority="5609" stopIfTrue="1" operator="equal">
      <formula>"Towel"</formula>
    </cfRule>
    <cfRule type="cellIs" dxfId="4904" priority="5610" stopIfTrue="1" operator="equal">
      <formula>"Napkin Hs"</formula>
    </cfRule>
  </conditionalFormatting>
  <conditionalFormatting sqref="B105:C105">
    <cfRule type="cellIs" dxfId="4903" priority="5607" stopIfTrue="1" operator="equal">
      <formula>"Towel"</formula>
    </cfRule>
    <cfRule type="cellIs" dxfId="4902" priority="5608" stopIfTrue="1" operator="equal">
      <formula>"Napkin Hs"</formula>
    </cfRule>
  </conditionalFormatting>
  <conditionalFormatting sqref="C105">
    <cfRule type="cellIs" dxfId="4901" priority="5605" stopIfTrue="1" operator="equal">
      <formula>"Towel"</formula>
    </cfRule>
    <cfRule type="cellIs" dxfId="4900" priority="5606" stopIfTrue="1" operator="equal">
      <formula>"Napkin Hs"</formula>
    </cfRule>
  </conditionalFormatting>
  <conditionalFormatting sqref="C105">
    <cfRule type="cellIs" dxfId="4899" priority="5603" stopIfTrue="1" operator="equal">
      <formula>"Towel"</formula>
    </cfRule>
    <cfRule type="cellIs" dxfId="4898" priority="5604" stopIfTrue="1" operator="equal">
      <formula>"Napkin Hs"</formula>
    </cfRule>
  </conditionalFormatting>
  <conditionalFormatting sqref="B105:C105">
    <cfRule type="cellIs" dxfId="4897" priority="5601" stopIfTrue="1" operator="equal">
      <formula>"Towel"</formula>
    </cfRule>
    <cfRule type="cellIs" dxfId="4896" priority="5602" stopIfTrue="1" operator="equal">
      <formula>"Napkin Hs"</formula>
    </cfRule>
  </conditionalFormatting>
  <conditionalFormatting sqref="C105">
    <cfRule type="cellIs" dxfId="4895" priority="5599" stopIfTrue="1" operator="equal">
      <formula>"Towel"</formula>
    </cfRule>
    <cfRule type="cellIs" dxfId="4894" priority="5600" stopIfTrue="1" operator="equal">
      <formula>"Napkin Hs"</formula>
    </cfRule>
  </conditionalFormatting>
  <conditionalFormatting sqref="C105">
    <cfRule type="cellIs" dxfId="4893" priority="5597" stopIfTrue="1" operator="equal">
      <formula>"Towel"</formula>
    </cfRule>
    <cfRule type="cellIs" dxfId="4892" priority="5598" stopIfTrue="1" operator="equal">
      <formula>"Napkin Hs"</formula>
    </cfRule>
  </conditionalFormatting>
  <conditionalFormatting sqref="B105:C105">
    <cfRule type="cellIs" dxfId="4891" priority="5595" stopIfTrue="1" operator="equal">
      <formula>"Towel"</formula>
    </cfRule>
    <cfRule type="cellIs" dxfId="4890" priority="5596" stopIfTrue="1" operator="equal">
      <formula>"Napkin Hs"</formula>
    </cfRule>
  </conditionalFormatting>
  <conditionalFormatting sqref="C105">
    <cfRule type="cellIs" dxfId="4889" priority="5593" stopIfTrue="1" operator="equal">
      <formula>"Towel"</formula>
    </cfRule>
    <cfRule type="cellIs" dxfId="4888" priority="5594" stopIfTrue="1" operator="equal">
      <formula>"Napkin Hs"</formula>
    </cfRule>
  </conditionalFormatting>
  <conditionalFormatting sqref="C105">
    <cfRule type="cellIs" dxfId="4887" priority="5591" stopIfTrue="1" operator="equal">
      <formula>"Towel"</formula>
    </cfRule>
    <cfRule type="cellIs" dxfId="4886" priority="5592" stopIfTrue="1" operator="equal">
      <formula>"Napkin Hs"</formula>
    </cfRule>
  </conditionalFormatting>
  <conditionalFormatting sqref="B105:C105">
    <cfRule type="cellIs" dxfId="4885" priority="5590" stopIfTrue="1" operator="equal">
      <formula>"Napkin Hs"</formula>
    </cfRule>
  </conditionalFormatting>
  <conditionalFormatting sqref="B105:C105">
    <cfRule type="cellIs" dxfId="4884" priority="5589" stopIfTrue="1" operator="equal">
      <formula>"Towel"</formula>
    </cfRule>
  </conditionalFormatting>
  <conditionalFormatting sqref="C105">
    <cfRule type="cellIs" dxfId="4883" priority="5588" stopIfTrue="1" operator="equal">
      <formula>"Napkin Hs"</formula>
    </cfRule>
  </conditionalFormatting>
  <conditionalFormatting sqref="C105">
    <cfRule type="cellIs" dxfId="4882" priority="5585" stopIfTrue="1" operator="equal">
      <formula>"Towel"</formula>
    </cfRule>
    <cfRule type="cellIs" dxfId="4881" priority="5586" stopIfTrue="1" operator="equal">
      <formula>"Napkin Hs"</formula>
    </cfRule>
  </conditionalFormatting>
  <conditionalFormatting sqref="C105">
    <cfRule type="cellIs" dxfId="4880" priority="5587" stopIfTrue="1" operator="equal">
      <formula>"Towel"</formula>
    </cfRule>
  </conditionalFormatting>
  <conditionalFormatting sqref="B105:C105">
    <cfRule type="cellIs" dxfId="4879" priority="5584" stopIfTrue="1" operator="equal">
      <formula>"Napkin Hs"</formula>
    </cfRule>
  </conditionalFormatting>
  <conditionalFormatting sqref="B105:C105">
    <cfRule type="cellIs" dxfId="4878" priority="5583" stopIfTrue="1" operator="equal">
      <formula>"Towel"</formula>
    </cfRule>
  </conditionalFormatting>
  <conditionalFormatting sqref="C105">
    <cfRule type="cellIs" dxfId="4877" priority="5582" stopIfTrue="1" operator="equal">
      <formula>"Napkin Hs"</formula>
    </cfRule>
  </conditionalFormatting>
  <conditionalFormatting sqref="C105">
    <cfRule type="cellIs" dxfId="4876" priority="5579" stopIfTrue="1" operator="equal">
      <formula>"Towel"</formula>
    </cfRule>
    <cfRule type="cellIs" dxfId="4875" priority="5580" stopIfTrue="1" operator="equal">
      <formula>"Napkin Hs"</formula>
    </cfRule>
  </conditionalFormatting>
  <conditionalFormatting sqref="C105">
    <cfRule type="cellIs" dxfId="4874" priority="5581" stopIfTrue="1" operator="equal">
      <formula>"Towel"</formula>
    </cfRule>
  </conditionalFormatting>
  <conditionalFormatting sqref="B103:C103">
    <cfRule type="cellIs" dxfId="4873" priority="5571" stopIfTrue="1" operator="equal">
      <formula>"Towel"</formula>
    </cfRule>
    <cfRule type="cellIs" dxfId="4872" priority="5572" stopIfTrue="1" operator="equal">
      <formula>"Napkin Hs"</formula>
    </cfRule>
  </conditionalFormatting>
  <conditionalFormatting sqref="C103">
    <cfRule type="cellIs" dxfId="4871" priority="5567" stopIfTrue="1" operator="equal">
      <formula>"Towel"</formula>
    </cfRule>
    <cfRule type="cellIs" dxfId="4870" priority="5568" stopIfTrue="1" operator="equal">
      <formula>"Napkin Hs"</formula>
    </cfRule>
  </conditionalFormatting>
  <conditionalFormatting sqref="C103">
    <cfRule type="cellIs" dxfId="4869" priority="5569" stopIfTrue="1" operator="equal">
      <formula>"Towel"</formula>
    </cfRule>
    <cfRule type="cellIs" dxfId="4868" priority="5570" stopIfTrue="1" operator="equal">
      <formula>"Napkin Hs"</formula>
    </cfRule>
  </conditionalFormatting>
  <conditionalFormatting sqref="B103:C103">
    <cfRule type="cellIs" dxfId="4867" priority="5566" stopIfTrue="1" operator="equal">
      <formula>"Napkin Hs"</formula>
    </cfRule>
  </conditionalFormatting>
  <conditionalFormatting sqref="B103:C103">
    <cfRule type="cellIs" dxfId="4866" priority="5565" stopIfTrue="1" operator="equal">
      <formula>"Towel"</formula>
    </cfRule>
  </conditionalFormatting>
  <conditionalFormatting sqref="C103">
    <cfRule type="cellIs" dxfId="4865" priority="5564" stopIfTrue="1" operator="equal">
      <formula>"Napkin Hs"</formula>
    </cfRule>
  </conditionalFormatting>
  <conditionalFormatting sqref="C103">
    <cfRule type="cellIs" dxfId="4864" priority="5563" stopIfTrue="1" operator="equal">
      <formula>"Towel"</formula>
    </cfRule>
  </conditionalFormatting>
  <conditionalFormatting sqref="C103">
    <cfRule type="cellIs" dxfId="4863" priority="5561" stopIfTrue="1" operator="equal">
      <formula>"Towel"</formula>
    </cfRule>
    <cfRule type="cellIs" dxfId="4862" priority="5562" stopIfTrue="1" operator="equal">
      <formula>"Napkin Hs"</formula>
    </cfRule>
  </conditionalFormatting>
  <conditionalFormatting sqref="B103:C103">
    <cfRule type="cellIs" dxfId="4861" priority="5559" stopIfTrue="1" operator="equal">
      <formula>"Towel"</formula>
    </cfRule>
    <cfRule type="cellIs" dxfId="4860" priority="5560" stopIfTrue="1" operator="equal">
      <formula>"Napkin Hs"</formula>
    </cfRule>
  </conditionalFormatting>
  <conditionalFormatting sqref="C103">
    <cfRule type="cellIs" dxfId="4859" priority="5557" stopIfTrue="1" operator="equal">
      <formula>"Towel"</formula>
    </cfRule>
    <cfRule type="cellIs" dxfId="4858" priority="5558" stopIfTrue="1" operator="equal">
      <formula>"Napkin Hs"</formula>
    </cfRule>
  </conditionalFormatting>
  <conditionalFormatting sqref="C103">
    <cfRule type="cellIs" dxfId="4857" priority="5555" stopIfTrue="1" operator="equal">
      <formula>"Towel"</formula>
    </cfRule>
    <cfRule type="cellIs" dxfId="4856" priority="5556" stopIfTrue="1" operator="equal">
      <formula>"Napkin Hs"</formula>
    </cfRule>
  </conditionalFormatting>
  <conditionalFormatting sqref="B103:C103">
    <cfRule type="cellIs" dxfId="4855" priority="5553" stopIfTrue="1" operator="equal">
      <formula>"Towel"</formula>
    </cfRule>
    <cfRule type="cellIs" dxfId="4854" priority="5554" stopIfTrue="1" operator="equal">
      <formula>"Napkin Hs"</formula>
    </cfRule>
  </conditionalFormatting>
  <conditionalFormatting sqref="C103">
    <cfRule type="cellIs" dxfId="4853" priority="5551" stopIfTrue="1" operator="equal">
      <formula>"Towel"</formula>
    </cfRule>
    <cfRule type="cellIs" dxfId="4852" priority="5552" stopIfTrue="1" operator="equal">
      <formula>"Napkin Hs"</formula>
    </cfRule>
  </conditionalFormatting>
  <conditionalFormatting sqref="C103">
    <cfRule type="cellIs" dxfId="4851" priority="5549" stopIfTrue="1" operator="equal">
      <formula>"Towel"</formula>
    </cfRule>
    <cfRule type="cellIs" dxfId="4850" priority="5550" stopIfTrue="1" operator="equal">
      <formula>"Napkin Hs"</formula>
    </cfRule>
  </conditionalFormatting>
  <conditionalFormatting sqref="B103:C103">
    <cfRule type="cellIs" dxfId="4849" priority="5547" stopIfTrue="1" operator="equal">
      <formula>"Towel"</formula>
    </cfRule>
    <cfRule type="cellIs" dxfId="4848" priority="5548" stopIfTrue="1" operator="equal">
      <formula>"Napkin Hs"</formula>
    </cfRule>
  </conditionalFormatting>
  <conditionalFormatting sqref="C103">
    <cfRule type="cellIs" dxfId="4847" priority="5545" stopIfTrue="1" operator="equal">
      <formula>"Towel"</formula>
    </cfRule>
    <cfRule type="cellIs" dxfId="4846" priority="5546" stopIfTrue="1" operator="equal">
      <formula>"Napkin Hs"</formula>
    </cfRule>
  </conditionalFormatting>
  <conditionalFormatting sqref="C103">
    <cfRule type="cellIs" dxfId="4845" priority="5543" stopIfTrue="1" operator="equal">
      <formula>"Towel"</formula>
    </cfRule>
    <cfRule type="cellIs" dxfId="4844" priority="5544" stopIfTrue="1" operator="equal">
      <formula>"Napkin Hs"</formula>
    </cfRule>
  </conditionalFormatting>
  <conditionalFormatting sqref="B103:C103">
    <cfRule type="cellIs" dxfId="4843" priority="5541" stopIfTrue="1" operator="equal">
      <formula>"Towel"</formula>
    </cfRule>
    <cfRule type="cellIs" dxfId="4842" priority="5542" stopIfTrue="1" operator="equal">
      <formula>"Napkin Hs"</formula>
    </cfRule>
  </conditionalFormatting>
  <conditionalFormatting sqref="C103">
    <cfRule type="cellIs" dxfId="4841" priority="5539" stopIfTrue="1" operator="equal">
      <formula>"Towel"</formula>
    </cfRule>
    <cfRule type="cellIs" dxfId="4840" priority="5540" stopIfTrue="1" operator="equal">
      <formula>"Napkin Hs"</formula>
    </cfRule>
  </conditionalFormatting>
  <conditionalFormatting sqref="C103">
    <cfRule type="cellIs" dxfId="4839" priority="5537" stopIfTrue="1" operator="equal">
      <formula>"Towel"</formula>
    </cfRule>
    <cfRule type="cellIs" dxfId="4838" priority="5538" stopIfTrue="1" operator="equal">
      <formula>"Napkin Hs"</formula>
    </cfRule>
  </conditionalFormatting>
  <conditionalFormatting sqref="B103:C103">
    <cfRule type="cellIs" dxfId="4837" priority="5535" stopIfTrue="1" operator="equal">
      <formula>"Towel"</formula>
    </cfRule>
    <cfRule type="cellIs" dxfId="4836" priority="5536" stopIfTrue="1" operator="equal">
      <formula>"Napkin Hs"</formula>
    </cfRule>
  </conditionalFormatting>
  <conditionalFormatting sqref="C103">
    <cfRule type="cellIs" dxfId="4835" priority="5533" stopIfTrue="1" operator="equal">
      <formula>"Towel"</formula>
    </cfRule>
    <cfRule type="cellIs" dxfId="4834" priority="5534" stopIfTrue="1" operator="equal">
      <formula>"Napkin Hs"</formula>
    </cfRule>
  </conditionalFormatting>
  <conditionalFormatting sqref="C103">
    <cfRule type="cellIs" dxfId="4833" priority="5531" stopIfTrue="1" operator="equal">
      <formula>"Towel"</formula>
    </cfRule>
    <cfRule type="cellIs" dxfId="4832" priority="5532" stopIfTrue="1" operator="equal">
      <formula>"Napkin Hs"</formula>
    </cfRule>
  </conditionalFormatting>
  <conditionalFormatting sqref="B103:C103">
    <cfRule type="cellIs" dxfId="4831" priority="5530" stopIfTrue="1" operator="equal">
      <formula>"Napkin Hs"</formula>
    </cfRule>
  </conditionalFormatting>
  <conditionalFormatting sqref="B103:C103">
    <cfRule type="cellIs" dxfId="4830" priority="5529" stopIfTrue="1" operator="equal">
      <formula>"Towel"</formula>
    </cfRule>
  </conditionalFormatting>
  <conditionalFormatting sqref="C103">
    <cfRule type="cellIs" dxfId="4829" priority="5528" stopIfTrue="1" operator="equal">
      <formula>"Napkin Hs"</formula>
    </cfRule>
  </conditionalFormatting>
  <conditionalFormatting sqref="C103">
    <cfRule type="cellIs" dxfId="4828" priority="5525" stopIfTrue="1" operator="equal">
      <formula>"Towel"</formula>
    </cfRule>
    <cfRule type="cellIs" dxfId="4827" priority="5526" stopIfTrue="1" operator="equal">
      <formula>"Napkin Hs"</formula>
    </cfRule>
  </conditionalFormatting>
  <conditionalFormatting sqref="C103">
    <cfRule type="cellIs" dxfId="4826" priority="5527" stopIfTrue="1" operator="equal">
      <formula>"Towel"</formula>
    </cfRule>
  </conditionalFormatting>
  <conditionalFormatting sqref="B103:C103">
    <cfRule type="cellIs" dxfId="4825" priority="5524" stopIfTrue="1" operator="equal">
      <formula>"Napkin Hs"</formula>
    </cfRule>
  </conditionalFormatting>
  <conditionalFormatting sqref="B103:C103">
    <cfRule type="cellIs" dxfId="4824" priority="5523" stopIfTrue="1" operator="equal">
      <formula>"Towel"</formula>
    </cfRule>
  </conditionalFormatting>
  <conditionalFormatting sqref="C103">
    <cfRule type="cellIs" dxfId="4823" priority="5522" stopIfTrue="1" operator="equal">
      <formula>"Napkin Hs"</formula>
    </cfRule>
  </conditionalFormatting>
  <conditionalFormatting sqref="C103">
    <cfRule type="cellIs" dxfId="4822" priority="5521" stopIfTrue="1" operator="equal">
      <formula>"Towel"</formula>
    </cfRule>
  </conditionalFormatting>
  <conditionalFormatting sqref="C103">
    <cfRule type="cellIs" dxfId="4821" priority="5519" stopIfTrue="1" operator="equal">
      <formula>"Towel"</formula>
    </cfRule>
    <cfRule type="cellIs" dxfId="4820" priority="5520" stopIfTrue="1" operator="equal">
      <formula>"Napkin Hs"</formula>
    </cfRule>
  </conditionalFormatting>
  <conditionalFormatting sqref="C103">
    <cfRule type="cellIs" dxfId="4819" priority="5513" stopIfTrue="1" operator="equal">
      <formula>"Towel"</formula>
    </cfRule>
    <cfRule type="cellIs" dxfId="4818" priority="5514" stopIfTrue="1" operator="equal">
      <formula>"Napkin Hs"</formula>
    </cfRule>
  </conditionalFormatting>
  <conditionalFormatting sqref="B103:C103">
    <cfRule type="cellIs" dxfId="4817" priority="5512" stopIfTrue="1" operator="equal">
      <formula>"Napkin Hs"</formula>
    </cfRule>
  </conditionalFormatting>
  <conditionalFormatting sqref="B103:C103">
    <cfRule type="cellIs" dxfId="4816" priority="5511" stopIfTrue="1" operator="equal">
      <formula>"Towel"</formula>
    </cfRule>
  </conditionalFormatting>
  <conditionalFormatting sqref="C103">
    <cfRule type="cellIs" dxfId="4815" priority="5510" stopIfTrue="1" operator="equal">
      <formula>"Napkin Hs"</formula>
    </cfRule>
  </conditionalFormatting>
  <conditionalFormatting sqref="C103">
    <cfRule type="cellIs" dxfId="4814" priority="5509" stopIfTrue="1" operator="equal">
      <formula>"Towel"</formula>
    </cfRule>
  </conditionalFormatting>
  <conditionalFormatting sqref="C103">
    <cfRule type="cellIs" dxfId="4813" priority="5507" stopIfTrue="1" operator="equal">
      <formula>"Towel"</formula>
    </cfRule>
    <cfRule type="cellIs" dxfId="4812" priority="5508" stopIfTrue="1" operator="equal">
      <formula>"Napkin Hs"</formula>
    </cfRule>
  </conditionalFormatting>
  <conditionalFormatting sqref="C103">
    <cfRule type="cellIs" dxfId="4811" priority="5501" stopIfTrue="1" operator="equal">
      <formula>"Towel"</formula>
    </cfRule>
    <cfRule type="cellIs" dxfId="4810" priority="5502" stopIfTrue="1" operator="equal">
      <formula>"Napkin Hs"</formula>
    </cfRule>
  </conditionalFormatting>
  <conditionalFormatting sqref="C103">
    <cfRule type="cellIs" dxfId="4809" priority="5495" stopIfTrue="1" operator="equal">
      <formula>"Towel"</formula>
    </cfRule>
    <cfRule type="cellIs" dxfId="4808" priority="5496" stopIfTrue="1" operator="equal">
      <formula>"Napkin Hs"</formula>
    </cfRule>
  </conditionalFormatting>
  <conditionalFormatting sqref="C103">
    <cfRule type="cellIs" dxfId="4807" priority="5489" stopIfTrue="1" operator="equal">
      <formula>"Towel"</formula>
    </cfRule>
    <cfRule type="cellIs" dxfId="4806" priority="5490" stopIfTrue="1" operator="equal">
      <formula>"Napkin Hs"</formula>
    </cfRule>
  </conditionalFormatting>
  <conditionalFormatting sqref="C103">
    <cfRule type="cellIs" dxfId="4805" priority="5483" stopIfTrue="1" operator="equal">
      <formula>"Towel"</formula>
    </cfRule>
    <cfRule type="cellIs" dxfId="4804" priority="5484" stopIfTrue="1" operator="equal">
      <formula>"Napkin Hs"</formula>
    </cfRule>
  </conditionalFormatting>
  <conditionalFormatting sqref="C103">
    <cfRule type="cellIs" dxfId="4803" priority="5477" stopIfTrue="1" operator="equal">
      <formula>"Towel"</formula>
    </cfRule>
    <cfRule type="cellIs" dxfId="4802" priority="5478" stopIfTrue="1" operator="equal">
      <formula>"Napkin Hs"</formula>
    </cfRule>
  </conditionalFormatting>
  <conditionalFormatting sqref="B103:C103">
    <cfRule type="cellIs" dxfId="4801" priority="5476" stopIfTrue="1" operator="equal">
      <formula>"Napkin Hs"</formula>
    </cfRule>
  </conditionalFormatting>
  <conditionalFormatting sqref="B103:C103">
    <cfRule type="cellIs" dxfId="4800" priority="5475" stopIfTrue="1" operator="equal">
      <formula>"Towel"</formula>
    </cfRule>
  </conditionalFormatting>
  <conditionalFormatting sqref="C103">
    <cfRule type="cellIs" dxfId="4799" priority="5474" stopIfTrue="1" operator="equal">
      <formula>"Napkin Hs"</formula>
    </cfRule>
  </conditionalFormatting>
  <conditionalFormatting sqref="C103">
    <cfRule type="cellIs" dxfId="4798" priority="5471" stopIfTrue="1" operator="equal">
      <formula>"Towel"</formula>
    </cfRule>
    <cfRule type="cellIs" dxfId="4797" priority="5472" stopIfTrue="1" operator="equal">
      <formula>"Napkin Hs"</formula>
    </cfRule>
  </conditionalFormatting>
  <conditionalFormatting sqref="C103">
    <cfRule type="cellIs" dxfId="4796" priority="5473" stopIfTrue="1" operator="equal">
      <formula>"Towel"</formula>
    </cfRule>
  </conditionalFormatting>
  <conditionalFormatting sqref="B103:C103">
    <cfRule type="cellIs" dxfId="4795" priority="5470" stopIfTrue="1" operator="equal">
      <formula>"Napkin Hs"</formula>
    </cfRule>
  </conditionalFormatting>
  <conditionalFormatting sqref="B103:C103">
    <cfRule type="cellIs" dxfId="4794" priority="5469" stopIfTrue="1" operator="equal">
      <formula>"Towel"</formula>
    </cfRule>
  </conditionalFormatting>
  <conditionalFormatting sqref="C103">
    <cfRule type="cellIs" dxfId="4793" priority="5468" stopIfTrue="1" operator="equal">
      <formula>"Napkin Hs"</formula>
    </cfRule>
  </conditionalFormatting>
  <conditionalFormatting sqref="C103">
    <cfRule type="cellIs" dxfId="4792" priority="5465" stopIfTrue="1" operator="equal">
      <formula>"Towel"</formula>
    </cfRule>
    <cfRule type="cellIs" dxfId="4791" priority="5466" stopIfTrue="1" operator="equal">
      <formula>"Napkin Hs"</formula>
    </cfRule>
  </conditionalFormatting>
  <conditionalFormatting sqref="C103">
    <cfRule type="cellIs" dxfId="4790" priority="5467" stopIfTrue="1" operator="equal">
      <formula>"Towel"</formula>
    </cfRule>
  </conditionalFormatting>
  <conditionalFormatting sqref="B103:C103">
    <cfRule type="cellIs" dxfId="4789" priority="5517" stopIfTrue="1" operator="equal">
      <formula>"Towel"</formula>
    </cfRule>
    <cfRule type="cellIs" dxfId="4788" priority="5518" stopIfTrue="1" operator="equal">
      <formula>"Napkin Hs"</formula>
    </cfRule>
  </conditionalFormatting>
  <conditionalFormatting sqref="C103">
    <cfRule type="cellIs" dxfId="4787" priority="5515" stopIfTrue="1" operator="equal">
      <formula>"Towel"</formula>
    </cfRule>
    <cfRule type="cellIs" dxfId="4786" priority="5516" stopIfTrue="1" operator="equal">
      <formula>"Napkin Hs"</formula>
    </cfRule>
  </conditionalFormatting>
  <conditionalFormatting sqref="B103:C103">
    <cfRule type="cellIs" dxfId="4785" priority="5505" stopIfTrue="1" operator="equal">
      <formula>"Towel"</formula>
    </cfRule>
    <cfRule type="cellIs" dxfId="4784" priority="5506" stopIfTrue="1" operator="equal">
      <formula>"Napkin Hs"</formula>
    </cfRule>
  </conditionalFormatting>
  <conditionalFormatting sqref="C103">
    <cfRule type="cellIs" dxfId="4783" priority="5503" stopIfTrue="1" operator="equal">
      <formula>"Towel"</formula>
    </cfRule>
    <cfRule type="cellIs" dxfId="4782" priority="5504" stopIfTrue="1" operator="equal">
      <formula>"Napkin Hs"</formula>
    </cfRule>
  </conditionalFormatting>
  <conditionalFormatting sqref="B103:C103">
    <cfRule type="cellIs" dxfId="4781" priority="5499" stopIfTrue="1" operator="equal">
      <formula>"Towel"</formula>
    </cfRule>
    <cfRule type="cellIs" dxfId="4780" priority="5500" stopIfTrue="1" operator="equal">
      <formula>"Napkin Hs"</formula>
    </cfRule>
  </conditionalFormatting>
  <conditionalFormatting sqref="C103">
    <cfRule type="cellIs" dxfId="4779" priority="5497" stopIfTrue="1" operator="equal">
      <formula>"Towel"</formula>
    </cfRule>
    <cfRule type="cellIs" dxfId="4778" priority="5498" stopIfTrue="1" operator="equal">
      <formula>"Napkin Hs"</formula>
    </cfRule>
  </conditionalFormatting>
  <conditionalFormatting sqref="B103:C103">
    <cfRule type="cellIs" dxfId="4777" priority="5493" stopIfTrue="1" operator="equal">
      <formula>"Towel"</formula>
    </cfRule>
    <cfRule type="cellIs" dxfId="4776" priority="5494" stopIfTrue="1" operator="equal">
      <formula>"Napkin Hs"</formula>
    </cfRule>
  </conditionalFormatting>
  <conditionalFormatting sqref="C103">
    <cfRule type="cellIs" dxfId="4775" priority="5491" stopIfTrue="1" operator="equal">
      <formula>"Towel"</formula>
    </cfRule>
    <cfRule type="cellIs" dxfId="4774" priority="5492" stopIfTrue="1" operator="equal">
      <formula>"Napkin Hs"</formula>
    </cfRule>
  </conditionalFormatting>
  <conditionalFormatting sqref="B103:C103">
    <cfRule type="cellIs" dxfId="4773" priority="5487" stopIfTrue="1" operator="equal">
      <formula>"Towel"</formula>
    </cfRule>
    <cfRule type="cellIs" dxfId="4772" priority="5488" stopIfTrue="1" operator="equal">
      <formula>"Napkin Hs"</formula>
    </cfRule>
  </conditionalFormatting>
  <conditionalFormatting sqref="C103">
    <cfRule type="cellIs" dxfId="4771" priority="5485" stopIfTrue="1" operator="equal">
      <formula>"Towel"</formula>
    </cfRule>
    <cfRule type="cellIs" dxfId="4770" priority="5486" stopIfTrue="1" operator="equal">
      <formula>"Napkin Hs"</formula>
    </cfRule>
  </conditionalFormatting>
  <conditionalFormatting sqref="B103:C103">
    <cfRule type="cellIs" dxfId="4769" priority="5481" stopIfTrue="1" operator="equal">
      <formula>"Towel"</formula>
    </cfRule>
    <cfRule type="cellIs" dxfId="4768" priority="5482" stopIfTrue="1" operator="equal">
      <formula>"Napkin Hs"</formula>
    </cfRule>
  </conditionalFormatting>
  <conditionalFormatting sqref="C103">
    <cfRule type="cellIs" dxfId="4767" priority="5479" stopIfTrue="1" operator="equal">
      <formula>"Towel"</formula>
    </cfRule>
    <cfRule type="cellIs" dxfId="4766" priority="5480" stopIfTrue="1" operator="equal">
      <formula>"Napkin Hs"</formula>
    </cfRule>
  </conditionalFormatting>
  <conditionalFormatting sqref="B103:C103">
    <cfRule type="cellIs" dxfId="4765" priority="5464" stopIfTrue="1" operator="equal">
      <formula>"Napkin Hs"</formula>
    </cfRule>
  </conditionalFormatting>
  <conditionalFormatting sqref="B103:C103">
    <cfRule type="cellIs" dxfId="4764" priority="5463" stopIfTrue="1" operator="equal">
      <formula>"Towel"</formula>
    </cfRule>
  </conditionalFormatting>
  <conditionalFormatting sqref="C103">
    <cfRule type="cellIs" dxfId="4763" priority="5462" stopIfTrue="1" operator="equal">
      <formula>"Napkin Hs"</formula>
    </cfRule>
  </conditionalFormatting>
  <conditionalFormatting sqref="C103">
    <cfRule type="cellIs" dxfId="4762" priority="5459" stopIfTrue="1" operator="equal">
      <formula>"Towel"</formula>
    </cfRule>
    <cfRule type="cellIs" dxfId="4761" priority="5460" stopIfTrue="1" operator="equal">
      <formula>"Napkin Hs"</formula>
    </cfRule>
  </conditionalFormatting>
  <conditionalFormatting sqref="C103">
    <cfRule type="cellIs" dxfId="4760" priority="5461" stopIfTrue="1" operator="equal">
      <formula>"Towel"</formula>
    </cfRule>
  </conditionalFormatting>
  <conditionalFormatting sqref="B110:C110">
    <cfRule type="cellIs" dxfId="4759" priority="5458" stopIfTrue="1" operator="equal">
      <formula>"Napkin Hs"</formula>
    </cfRule>
  </conditionalFormatting>
  <conditionalFormatting sqref="B110:C110">
    <cfRule type="cellIs" dxfId="4758" priority="5457" stopIfTrue="1" operator="equal">
      <formula>"Towel"</formula>
    </cfRule>
  </conditionalFormatting>
  <conditionalFormatting sqref="C110">
    <cfRule type="cellIs" dxfId="4757" priority="5456" stopIfTrue="1" operator="equal">
      <formula>"Napkin Hs"</formula>
    </cfRule>
  </conditionalFormatting>
  <conditionalFormatting sqref="C110">
    <cfRule type="cellIs" dxfId="4756" priority="5455" stopIfTrue="1" operator="equal">
      <formula>"Towel"</formula>
    </cfRule>
  </conditionalFormatting>
  <conditionalFormatting sqref="C110">
    <cfRule type="cellIs" dxfId="4755" priority="5453" stopIfTrue="1" operator="equal">
      <formula>"Towel"</formula>
    </cfRule>
    <cfRule type="cellIs" dxfId="4754" priority="5454" stopIfTrue="1" operator="equal">
      <formula>"Napkin Hs"</formula>
    </cfRule>
  </conditionalFormatting>
  <conditionalFormatting sqref="B110:C110">
    <cfRule type="cellIs" dxfId="4753" priority="5451" stopIfTrue="1" operator="equal">
      <formula>"Towel"</formula>
    </cfRule>
    <cfRule type="cellIs" dxfId="4752" priority="5452" stopIfTrue="1" operator="equal">
      <formula>"Napkin Hs"</formula>
    </cfRule>
  </conditionalFormatting>
  <conditionalFormatting sqref="C110">
    <cfRule type="cellIs" dxfId="4751" priority="5447" stopIfTrue="1" operator="equal">
      <formula>"Towel"</formula>
    </cfRule>
    <cfRule type="cellIs" dxfId="4750" priority="5448" stopIfTrue="1" operator="equal">
      <formula>"Napkin Hs"</formula>
    </cfRule>
  </conditionalFormatting>
  <conditionalFormatting sqref="C110">
    <cfRule type="cellIs" dxfId="4749" priority="5449" stopIfTrue="1" operator="equal">
      <formula>"Towel"</formula>
    </cfRule>
    <cfRule type="cellIs" dxfId="4748" priority="5450" stopIfTrue="1" operator="equal">
      <formula>"Napkin Hs"</formula>
    </cfRule>
  </conditionalFormatting>
  <conditionalFormatting sqref="B110:C110">
    <cfRule type="cellIs" dxfId="4747" priority="5446" stopIfTrue="1" operator="equal">
      <formula>"Napkin Hs"</formula>
    </cfRule>
  </conditionalFormatting>
  <conditionalFormatting sqref="B110:C110">
    <cfRule type="cellIs" dxfId="4746" priority="5445" stopIfTrue="1" operator="equal">
      <formula>"Towel"</formula>
    </cfRule>
  </conditionalFormatting>
  <conditionalFormatting sqref="C110">
    <cfRule type="cellIs" dxfId="4745" priority="5444" stopIfTrue="1" operator="equal">
      <formula>"Napkin Hs"</formula>
    </cfRule>
  </conditionalFormatting>
  <conditionalFormatting sqref="C110">
    <cfRule type="cellIs" dxfId="4744" priority="5443" stopIfTrue="1" operator="equal">
      <formula>"Towel"</formula>
    </cfRule>
  </conditionalFormatting>
  <conditionalFormatting sqref="C110">
    <cfRule type="cellIs" dxfId="4743" priority="5441" stopIfTrue="1" operator="equal">
      <formula>"Towel"</formula>
    </cfRule>
    <cfRule type="cellIs" dxfId="4742" priority="5442" stopIfTrue="1" operator="equal">
      <formula>"Napkin Hs"</formula>
    </cfRule>
  </conditionalFormatting>
  <conditionalFormatting sqref="B110:C110">
    <cfRule type="cellIs" dxfId="4741" priority="5439" stopIfTrue="1" operator="equal">
      <formula>"Towel"</formula>
    </cfRule>
    <cfRule type="cellIs" dxfId="4740" priority="5440" stopIfTrue="1" operator="equal">
      <formula>"Napkin Hs"</formula>
    </cfRule>
  </conditionalFormatting>
  <conditionalFormatting sqref="C110">
    <cfRule type="cellIs" dxfId="4739" priority="5437" stopIfTrue="1" operator="equal">
      <formula>"Towel"</formula>
    </cfRule>
    <cfRule type="cellIs" dxfId="4738" priority="5438" stopIfTrue="1" operator="equal">
      <formula>"Napkin Hs"</formula>
    </cfRule>
  </conditionalFormatting>
  <conditionalFormatting sqref="C110">
    <cfRule type="cellIs" dxfId="4737" priority="5435" stopIfTrue="1" operator="equal">
      <formula>"Towel"</formula>
    </cfRule>
    <cfRule type="cellIs" dxfId="4736" priority="5436" stopIfTrue="1" operator="equal">
      <formula>"Napkin Hs"</formula>
    </cfRule>
  </conditionalFormatting>
  <conditionalFormatting sqref="B110:C110">
    <cfRule type="cellIs" dxfId="4735" priority="5433" stopIfTrue="1" operator="equal">
      <formula>"Towel"</formula>
    </cfRule>
    <cfRule type="cellIs" dxfId="4734" priority="5434" stopIfTrue="1" operator="equal">
      <formula>"Napkin Hs"</formula>
    </cfRule>
  </conditionalFormatting>
  <conditionalFormatting sqref="C110">
    <cfRule type="cellIs" dxfId="4733" priority="5431" stopIfTrue="1" operator="equal">
      <formula>"Towel"</formula>
    </cfRule>
    <cfRule type="cellIs" dxfId="4732" priority="5432" stopIfTrue="1" operator="equal">
      <formula>"Napkin Hs"</formula>
    </cfRule>
  </conditionalFormatting>
  <conditionalFormatting sqref="C110">
    <cfRule type="cellIs" dxfId="4731" priority="5429" stopIfTrue="1" operator="equal">
      <formula>"Towel"</formula>
    </cfRule>
    <cfRule type="cellIs" dxfId="4730" priority="5430" stopIfTrue="1" operator="equal">
      <formula>"Napkin Hs"</formula>
    </cfRule>
  </conditionalFormatting>
  <conditionalFormatting sqref="B110:C110">
    <cfRule type="cellIs" dxfId="4729" priority="5427" stopIfTrue="1" operator="equal">
      <formula>"Towel"</formula>
    </cfRule>
    <cfRule type="cellIs" dxfId="4728" priority="5428" stopIfTrue="1" operator="equal">
      <formula>"Napkin Hs"</formula>
    </cfRule>
  </conditionalFormatting>
  <conditionalFormatting sqref="C110">
    <cfRule type="cellIs" dxfId="4727" priority="5425" stopIfTrue="1" operator="equal">
      <formula>"Towel"</formula>
    </cfRule>
    <cfRule type="cellIs" dxfId="4726" priority="5426" stopIfTrue="1" operator="equal">
      <formula>"Napkin Hs"</formula>
    </cfRule>
  </conditionalFormatting>
  <conditionalFormatting sqref="C110">
    <cfRule type="cellIs" dxfId="4725" priority="5423" stopIfTrue="1" operator="equal">
      <formula>"Towel"</formula>
    </cfRule>
    <cfRule type="cellIs" dxfId="4724" priority="5424" stopIfTrue="1" operator="equal">
      <formula>"Napkin Hs"</formula>
    </cfRule>
  </conditionalFormatting>
  <conditionalFormatting sqref="B110:C110">
    <cfRule type="cellIs" dxfId="4723" priority="5421" stopIfTrue="1" operator="equal">
      <formula>"Towel"</formula>
    </cfRule>
    <cfRule type="cellIs" dxfId="4722" priority="5422" stopIfTrue="1" operator="equal">
      <formula>"Napkin Hs"</formula>
    </cfRule>
  </conditionalFormatting>
  <conditionalFormatting sqref="C110">
    <cfRule type="cellIs" dxfId="4721" priority="5419" stopIfTrue="1" operator="equal">
      <formula>"Towel"</formula>
    </cfRule>
    <cfRule type="cellIs" dxfId="4720" priority="5420" stopIfTrue="1" operator="equal">
      <formula>"Napkin Hs"</formula>
    </cfRule>
  </conditionalFormatting>
  <conditionalFormatting sqref="C110">
    <cfRule type="cellIs" dxfId="4719" priority="5417" stopIfTrue="1" operator="equal">
      <formula>"Towel"</formula>
    </cfRule>
    <cfRule type="cellIs" dxfId="4718" priority="5418" stopIfTrue="1" operator="equal">
      <formula>"Napkin Hs"</formula>
    </cfRule>
  </conditionalFormatting>
  <conditionalFormatting sqref="B110:C110">
    <cfRule type="cellIs" dxfId="4717" priority="5415" stopIfTrue="1" operator="equal">
      <formula>"Towel"</formula>
    </cfRule>
    <cfRule type="cellIs" dxfId="4716" priority="5416" stopIfTrue="1" operator="equal">
      <formula>"Napkin Hs"</formula>
    </cfRule>
  </conditionalFormatting>
  <conditionalFormatting sqref="C110">
    <cfRule type="cellIs" dxfId="4715" priority="5413" stopIfTrue="1" operator="equal">
      <formula>"Towel"</formula>
    </cfRule>
    <cfRule type="cellIs" dxfId="4714" priority="5414" stopIfTrue="1" operator="equal">
      <formula>"Napkin Hs"</formula>
    </cfRule>
  </conditionalFormatting>
  <conditionalFormatting sqref="C110">
    <cfRule type="cellIs" dxfId="4713" priority="5411" stopIfTrue="1" operator="equal">
      <formula>"Towel"</formula>
    </cfRule>
    <cfRule type="cellIs" dxfId="4712" priority="5412" stopIfTrue="1" operator="equal">
      <formula>"Napkin Hs"</formula>
    </cfRule>
  </conditionalFormatting>
  <conditionalFormatting sqref="B110:C110">
    <cfRule type="cellIs" dxfId="4711" priority="5410" stopIfTrue="1" operator="equal">
      <formula>"Napkin Hs"</formula>
    </cfRule>
  </conditionalFormatting>
  <conditionalFormatting sqref="B110:C110">
    <cfRule type="cellIs" dxfId="4710" priority="5409" stopIfTrue="1" operator="equal">
      <formula>"Towel"</formula>
    </cfRule>
  </conditionalFormatting>
  <conditionalFormatting sqref="C110">
    <cfRule type="cellIs" dxfId="4709" priority="5408" stopIfTrue="1" operator="equal">
      <formula>"Napkin Hs"</formula>
    </cfRule>
  </conditionalFormatting>
  <conditionalFormatting sqref="C110">
    <cfRule type="cellIs" dxfId="4708" priority="5405" stopIfTrue="1" operator="equal">
      <formula>"Towel"</formula>
    </cfRule>
    <cfRule type="cellIs" dxfId="4707" priority="5406" stopIfTrue="1" operator="equal">
      <formula>"Napkin Hs"</formula>
    </cfRule>
  </conditionalFormatting>
  <conditionalFormatting sqref="C110">
    <cfRule type="cellIs" dxfId="4706" priority="5407" stopIfTrue="1" operator="equal">
      <formula>"Towel"</formula>
    </cfRule>
  </conditionalFormatting>
  <conditionalFormatting sqref="B107:C108">
    <cfRule type="cellIs" dxfId="4705" priority="5401" stopIfTrue="1" operator="equal">
      <formula>"Towel"</formula>
    </cfRule>
    <cfRule type="cellIs" dxfId="4704" priority="5402" stopIfTrue="1" operator="equal">
      <formula>"Napkin Hs"</formula>
    </cfRule>
  </conditionalFormatting>
  <conditionalFormatting sqref="C107:C108">
    <cfRule type="cellIs" dxfId="4703" priority="5403" stopIfTrue="1" operator="equal">
      <formula>"Towel"</formula>
    </cfRule>
    <cfRule type="cellIs" dxfId="4702" priority="5404" stopIfTrue="1" operator="equal">
      <formula>"Napkin Hs"</formula>
    </cfRule>
  </conditionalFormatting>
  <conditionalFormatting sqref="C107:C108">
    <cfRule type="cellIs" dxfId="4701" priority="5399" stopIfTrue="1" operator="equal">
      <formula>"Towel"</formula>
    </cfRule>
    <cfRule type="cellIs" dxfId="4700" priority="5400" stopIfTrue="1" operator="equal">
      <formula>"Napkin Hs"</formula>
    </cfRule>
  </conditionalFormatting>
  <conditionalFormatting sqref="B107:C108">
    <cfRule type="cellIs" dxfId="4699" priority="5398" stopIfTrue="1" operator="equal">
      <formula>"Napkin Hs"</formula>
    </cfRule>
  </conditionalFormatting>
  <conditionalFormatting sqref="B107:C108">
    <cfRule type="cellIs" dxfId="4698" priority="5397" stopIfTrue="1" operator="equal">
      <formula>"Towel"</formula>
    </cfRule>
  </conditionalFormatting>
  <conditionalFormatting sqref="C107:C108">
    <cfRule type="cellIs" dxfId="4697" priority="5396" stopIfTrue="1" operator="equal">
      <formula>"Napkin Hs"</formula>
    </cfRule>
  </conditionalFormatting>
  <conditionalFormatting sqref="C107:C108">
    <cfRule type="cellIs" dxfId="4696" priority="5395" stopIfTrue="1" operator="equal">
      <formula>"Towel"</formula>
    </cfRule>
  </conditionalFormatting>
  <conditionalFormatting sqref="C107:C108">
    <cfRule type="cellIs" dxfId="4695" priority="5393" stopIfTrue="1" operator="equal">
      <formula>"Towel"</formula>
    </cfRule>
    <cfRule type="cellIs" dxfId="4694" priority="5394" stopIfTrue="1" operator="equal">
      <formula>"Napkin Hs"</formula>
    </cfRule>
  </conditionalFormatting>
  <conditionalFormatting sqref="B109">
    <cfRule type="cellIs" dxfId="4693" priority="5392" stopIfTrue="1" operator="equal">
      <formula>"Napkin Hs"</formula>
    </cfRule>
  </conditionalFormatting>
  <conditionalFormatting sqref="B109">
    <cfRule type="cellIs" dxfId="4692" priority="5391" stopIfTrue="1" operator="equal">
      <formula>"Towel"</formula>
    </cfRule>
  </conditionalFormatting>
  <conditionalFormatting sqref="B109">
    <cfRule type="cellIs" dxfId="4691" priority="5389" stopIfTrue="1" operator="equal">
      <formula>"Towel"</formula>
    </cfRule>
    <cfRule type="cellIs" dxfId="4690" priority="5390" stopIfTrue="1" operator="equal">
      <formula>"Napkin Hs"</formula>
    </cfRule>
  </conditionalFormatting>
  <conditionalFormatting sqref="B109">
    <cfRule type="cellIs" dxfId="4689" priority="5388" stopIfTrue="1" operator="equal">
      <formula>"Napkin Hs"</formula>
    </cfRule>
  </conditionalFormatting>
  <conditionalFormatting sqref="B109">
    <cfRule type="cellIs" dxfId="4688" priority="5387" stopIfTrue="1" operator="equal">
      <formula>"Towel"</formula>
    </cfRule>
  </conditionalFormatting>
  <conditionalFormatting sqref="B109">
    <cfRule type="cellIs" dxfId="4687" priority="5385" stopIfTrue="1" operator="equal">
      <formula>"Towel"</formula>
    </cfRule>
    <cfRule type="cellIs" dxfId="4686" priority="5386" stopIfTrue="1" operator="equal">
      <formula>"Napkin Hs"</formula>
    </cfRule>
  </conditionalFormatting>
  <conditionalFormatting sqref="B109">
    <cfRule type="cellIs" dxfId="4685" priority="5383" stopIfTrue="1" operator="equal">
      <formula>"Towel"</formula>
    </cfRule>
    <cfRule type="cellIs" dxfId="4684" priority="5384" stopIfTrue="1" operator="equal">
      <formula>"Napkin Hs"</formula>
    </cfRule>
  </conditionalFormatting>
  <conditionalFormatting sqref="B109">
    <cfRule type="cellIs" dxfId="4683" priority="5381" stopIfTrue="1" operator="equal">
      <formula>"Towel"</formula>
    </cfRule>
    <cfRule type="cellIs" dxfId="4682" priority="5382" stopIfTrue="1" operator="equal">
      <formula>"Napkin Hs"</formula>
    </cfRule>
  </conditionalFormatting>
  <conditionalFormatting sqref="B109">
    <cfRule type="cellIs" dxfId="4681" priority="5379" stopIfTrue="1" operator="equal">
      <formula>"Towel"</formula>
    </cfRule>
    <cfRule type="cellIs" dxfId="4680" priority="5380" stopIfTrue="1" operator="equal">
      <formula>"Napkin Hs"</formula>
    </cfRule>
  </conditionalFormatting>
  <conditionalFormatting sqref="B109">
    <cfRule type="cellIs" dxfId="4679" priority="5377" stopIfTrue="1" operator="equal">
      <formula>"Towel"</formula>
    </cfRule>
    <cfRule type="cellIs" dxfId="4678" priority="5378" stopIfTrue="1" operator="equal">
      <formula>"Napkin Hs"</formula>
    </cfRule>
  </conditionalFormatting>
  <conditionalFormatting sqref="B109">
    <cfRule type="cellIs" dxfId="4677" priority="5376" stopIfTrue="1" operator="equal">
      <formula>"Napkin Hs"</formula>
    </cfRule>
  </conditionalFormatting>
  <conditionalFormatting sqref="B109">
    <cfRule type="cellIs" dxfId="4676" priority="5375" stopIfTrue="1" operator="equal">
      <formula>"Towel"</formula>
    </cfRule>
  </conditionalFormatting>
  <conditionalFormatting sqref="C109">
    <cfRule type="cellIs" dxfId="4675" priority="5374" stopIfTrue="1" operator="equal">
      <formula>"Napkin Hs"</formula>
    </cfRule>
  </conditionalFormatting>
  <conditionalFormatting sqref="C109">
    <cfRule type="cellIs" dxfId="4674" priority="5373" stopIfTrue="1" operator="equal">
      <formula>"Towel"</formula>
    </cfRule>
  </conditionalFormatting>
  <conditionalFormatting sqref="C109">
    <cfRule type="cellIs" dxfId="4673" priority="5372" stopIfTrue="1" operator="equal">
      <formula>"Napkin Hs"</formula>
    </cfRule>
  </conditionalFormatting>
  <conditionalFormatting sqref="C109">
    <cfRule type="cellIs" dxfId="4672" priority="5371" stopIfTrue="1" operator="equal">
      <formula>"Towel"</formula>
    </cfRule>
  </conditionalFormatting>
  <conditionalFormatting sqref="C109">
    <cfRule type="cellIs" dxfId="4671" priority="5369" stopIfTrue="1" operator="equal">
      <formula>"Towel"</formula>
    </cfRule>
    <cfRule type="cellIs" dxfId="4670" priority="5370" stopIfTrue="1" operator="equal">
      <formula>"Napkin Hs"</formula>
    </cfRule>
  </conditionalFormatting>
  <conditionalFormatting sqref="C109">
    <cfRule type="cellIs" dxfId="4669" priority="5367" stopIfTrue="1" operator="equal">
      <formula>"Towel"</formula>
    </cfRule>
    <cfRule type="cellIs" dxfId="4668" priority="5368" stopIfTrue="1" operator="equal">
      <formula>"Napkin Hs"</formula>
    </cfRule>
  </conditionalFormatting>
  <conditionalFormatting sqref="C109">
    <cfRule type="cellIs" dxfId="4667" priority="5363" stopIfTrue="1" operator="equal">
      <formula>"Towel"</formula>
    </cfRule>
    <cfRule type="cellIs" dxfId="4666" priority="5364" stopIfTrue="1" operator="equal">
      <formula>"Napkin Hs"</formula>
    </cfRule>
  </conditionalFormatting>
  <conditionalFormatting sqref="C109">
    <cfRule type="cellIs" dxfId="4665" priority="5365" stopIfTrue="1" operator="equal">
      <formula>"Towel"</formula>
    </cfRule>
    <cfRule type="cellIs" dxfId="4664" priority="5366" stopIfTrue="1" operator="equal">
      <formula>"Napkin Hs"</formula>
    </cfRule>
  </conditionalFormatting>
  <conditionalFormatting sqref="C109">
    <cfRule type="cellIs" dxfId="4663" priority="5362" stopIfTrue="1" operator="equal">
      <formula>"Napkin Hs"</formula>
    </cfRule>
  </conditionalFormatting>
  <conditionalFormatting sqref="C109">
    <cfRule type="cellIs" dxfId="4662" priority="5361" stopIfTrue="1" operator="equal">
      <formula>"Towel"</formula>
    </cfRule>
  </conditionalFormatting>
  <conditionalFormatting sqref="C109">
    <cfRule type="cellIs" dxfId="4661" priority="5360" stopIfTrue="1" operator="equal">
      <formula>"Napkin Hs"</formula>
    </cfRule>
  </conditionalFormatting>
  <conditionalFormatting sqref="C109">
    <cfRule type="cellIs" dxfId="4660" priority="5359" stopIfTrue="1" operator="equal">
      <formula>"Towel"</formula>
    </cfRule>
  </conditionalFormatting>
  <conditionalFormatting sqref="C109">
    <cfRule type="cellIs" dxfId="4659" priority="5357" stopIfTrue="1" operator="equal">
      <formula>"Towel"</formula>
    </cfRule>
    <cfRule type="cellIs" dxfId="4658" priority="5358" stopIfTrue="1" operator="equal">
      <formula>"Napkin Hs"</formula>
    </cfRule>
  </conditionalFormatting>
  <conditionalFormatting sqref="C109">
    <cfRule type="cellIs" dxfId="4657" priority="5355" stopIfTrue="1" operator="equal">
      <formula>"Towel"</formula>
    </cfRule>
    <cfRule type="cellIs" dxfId="4656" priority="5356" stopIfTrue="1" operator="equal">
      <formula>"Napkin Hs"</formula>
    </cfRule>
  </conditionalFormatting>
  <conditionalFormatting sqref="C109">
    <cfRule type="cellIs" dxfId="4655" priority="5353" stopIfTrue="1" operator="equal">
      <formula>"Towel"</formula>
    </cfRule>
    <cfRule type="cellIs" dxfId="4654" priority="5354" stopIfTrue="1" operator="equal">
      <formula>"Napkin Hs"</formula>
    </cfRule>
  </conditionalFormatting>
  <conditionalFormatting sqref="C109">
    <cfRule type="cellIs" dxfId="4653" priority="5351" stopIfTrue="1" operator="equal">
      <formula>"Towel"</formula>
    </cfRule>
    <cfRule type="cellIs" dxfId="4652" priority="5352" stopIfTrue="1" operator="equal">
      <formula>"Napkin Hs"</formula>
    </cfRule>
  </conditionalFormatting>
  <conditionalFormatting sqref="C109">
    <cfRule type="cellIs" dxfId="4651" priority="5349" stopIfTrue="1" operator="equal">
      <formula>"Towel"</formula>
    </cfRule>
    <cfRule type="cellIs" dxfId="4650" priority="5350" stopIfTrue="1" operator="equal">
      <formula>"Napkin Hs"</formula>
    </cfRule>
  </conditionalFormatting>
  <conditionalFormatting sqref="C109">
    <cfRule type="cellIs" dxfId="4649" priority="5347" stopIfTrue="1" operator="equal">
      <formula>"Towel"</formula>
    </cfRule>
    <cfRule type="cellIs" dxfId="4648" priority="5348" stopIfTrue="1" operator="equal">
      <formula>"Napkin Hs"</formula>
    </cfRule>
  </conditionalFormatting>
  <conditionalFormatting sqref="C109">
    <cfRule type="cellIs" dxfId="4647" priority="5345" stopIfTrue="1" operator="equal">
      <formula>"Towel"</formula>
    </cfRule>
    <cfRule type="cellIs" dxfId="4646" priority="5346" stopIfTrue="1" operator="equal">
      <formula>"Napkin Hs"</formula>
    </cfRule>
  </conditionalFormatting>
  <conditionalFormatting sqref="C109">
    <cfRule type="cellIs" dxfId="4645" priority="5343" stopIfTrue="1" operator="equal">
      <formula>"Towel"</formula>
    </cfRule>
    <cfRule type="cellIs" dxfId="4644" priority="5344" stopIfTrue="1" operator="equal">
      <formula>"Napkin Hs"</formula>
    </cfRule>
  </conditionalFormatting>
  <conditionalFormatting sqref="C109">
    <cfRule type="cellIs" dxfId="4643" priority="5341" stopIfTrue="1" operator="equal">
      <formula>"Towel"</formula>
    </cfRule>
    <cfRule type="cellIs" dxfId="4642" priority="5342" stopIfTrue="1" operator="equal">
      <formula>"Napkin Hs"</formula>
    </cfRule>
  </conditionalFormatting>
  <conditionalFormatting sqref="C109">
    <cfRule type="cellIs" dxfId="4641" priority="5339" stopIfTrue="1" operator="equal">
      <formula>"Towel"</formula>
    </cfRule>
    <cfRule type="cellIs" dxfId="4640" priority="5340" stopIfTrue="1" operator="equal">
      <formula>"Napkin Hs"</formula>
    </cfRule>
  </conditionalFormatting>
  <conditionalFormatting sqref="C109">
    <cfRule type="cellIs" dxfId="4639" priority="5337" stopIfTrue="1" operator="equal">
      <formula>"Towel"</formula>
    </cfRule>
    <cfRule type="cellIs" dxfId="4638" priority="5338" stopIfTrue="1" operator="equal">
      <formula>"Napkin Hs"</formula>
    </cfRule>
  </conditionalFormatting>
  <conditionalFormatting sqref="C109">
    <cfRule type="cellIs" dxfId="4637" priority="5335" stopIfTrue="1" operator="equal">
      <formula>"Towel"</formula>
    </cfRule>
    <cfRule type="cellIs" dxfId="4636" priority="5336" stopIfTrue="1" operator="equal">
      <formula>"Napkin Hs"</formula>
    </cfRule>
  </conditionalFormatting>
  <conditionalFormatting sqref="C109">
    <cfRule type="cellIs" dxfId="4635" priority="5333" stopIfTrue="1" operator="equal">
      <formula>"Towel"</formula>
    </cfRule>
    <cfRule type="cellIs" dxfId="4634" priority="5334" stopIfTrue="1" operator="equal">
      <formula>"Napkin Hs"</formula>
    </cfRule>
  </conditionalFormatting>
  <conditionalFormatting sqref="C109">
    <cfRule type="cellIs" dxfId="4633" priority="5331" stopIfTrue="1" operator="equal">
      <formula>"Towel"</formula>
    </cfRule>
    <cfRule type="cellIs" dxfId="4632" priority="5332" stopIfTrue="1" operator="equal">
      <formula>"Napkin Hs"</formula>
    </cfRule>
  </conditionalFormatting>
  <conditionalFormatting sqref="C109">
    <cfRule type="cellIs" dxfId="4631" priority="5329" stopIfTrue="1" operator="equal">
      <formula>"Towel"</formula>
    </cfRule>
    <cfRule type="cellIs" dxfId="4630" priority="5330" stopIfTrue="1" operator="equal">
      <formula>"Napkin Hs"</formula>
    </cfRule>
  </conditionalFormatting>
  <conditionalFormatting sqref="C109">
    <cfRule type="cellIs" dxfId="4629" priority="5327" stopIfTrue="1" operator="equal">
      <formula>"Towel"</formula>
    </cfRule>
    <cfRule type="cellIs" dxfId="4628" priority="5328" stopIfTrue="1" operator="equal">
      <formula>"Napkin Hs"</formula>
    </cfRule>
  </conditionalFormatting>
  <conditionalFormatting sqref="C109">
    <cfRule type="cellIs" dxfId="4627" priority="5326" stopIfTrue="1" operator="equal">
      <formula>"Napkin Hs"</formula>
    </cfRule>
  </conditionalFormatting>
  <conditionalFormatting sqref="C109">
    <cfRule type="cellIs" dxfId="4626" priority="5325" stopIfTrue="1" operator="equal">
      <formula>"Towel"</formula>
    </cfRule>
  </conditionalFormatting>
  <conditionalFormatting sqref="C109">
    <cfRule type="cellIs" dxfId="4625" priority="5324" stopIfTrue="1" operator="equal">
      <formula>"Napkin Hs"</formula>
    </cfRule>
  </conditionalFormatting>
  <conditionalFormatting sqref="C109">
    <cfRule type="cellIs" dxfId="4624" priority="5321" stopIfTrue="1" operator="equal">
      <formula>"Towel"</formula>
    </cfRule>
    <cfRule type="cellIs" dxfId="4623" priority="5322" stopIfTrue="1" operator="equal">
      <formula>"Napkin Hs"</formula>
    </cfRule>
  </conditionalFormatting>
  <conditionalFormatting sqref="C109">
    <cfRule type="cellIs" dxfId="4622" priority="5323" stopIfTrue="1" operator="equal">
      <formula>"Towel"</formula>
    </cfRule>
  </conditionalFormatting>
  <conditionalFormatting sqref="B109:C109">
    <cfRule type="cellIs" dxfId="4621" priority="5319" stopIfTrue="1" operator="equal">
      <formula>"Towel"</formula>
    </cfRule>
    <cfRule type="cellIs" dxfId="4620" priority="5320" stopIfTrue="1" operator="equal">
      <formula>"Napkin Hs"</formula>
    </cfRule>
  </conditionalFormatting>
  <conditionalFormatting sqref="C109">
    <cfRule type="cellIs" dxfId="4619" priority="5317" stopIfTrue="1" operator="equal">
      <formula>"Towel"</formula>
    </cfRule>
    <cfRule type="cellIs" dxfId="4618" priority="5318" stopIfTrue="1" operator="equal">
      <formula>"Napkin Hs"</formula>
    </cfRule>
  </conditionalFormatting>
  <conditionalFormatting sqref="C109">
    <cfRule type="cellIs" dxfId="4617" priority="5315" stopIfTrue="1" operator="equal">
      <formula>"Towel"</formula>
    </cfRule>
    <cfRule type="cellIs" dxfId="4616" priority="5316" stopIfTrue="1" operator="equal">
      <formula>"Napkin Hs"</formula>
    </cfRule>
  </conditionalFormatting>
  <conditionalFormatting sqref="B109:C109">
    <cfRule type="cellIs" dxfId="4615" priority="5254" stopIfTrue="1" operator="equal">
      <formula>"Napkin Hs"</formula>
    </cfRule>
  </conditionalFormatting>
  <conditionalFormatting sqref="B109:C109">
    <cfRule type="cellIs" dxfId="4614" priority="5253" stopIfTrue="1" operator="equal">
      <formula>"Towel"</formula>
    </cfRule>
  </conditionalFormatting>
  <conditionalFormatting sqref="C109">
    <cfRule type="cellIs" dxfId="4613" priority="5252" stopIfTrue="1" operator="equal">
      <formula>"Napkin Hs"</formula>
    </cfRule>
  </conditionalFormatting>
  <conditionalFormatting sqref="C109">
    <cfRule type="cellIs" dxfId="4612" priority="5249" stopIfTrue="1" operator="equal">
      <formula>"Towel"</formula>
    </cfRule>
    <cfRule type="cellIs" dxfId="4611" priority="5250" stopIfTrue="1" operator="equal">
      <formula>"Napkin Hs"</formula>
    </cfRule>
  </conditionalFormatting>
  <conditionalFormatting sqref="C109">
    <cfRule type="cellIs" dxfId="4610" priority="5251" stopIfTrue="1" operator="equal">
      <formula>"Towel"</formula>
    </cfRule>
  </conditionalFormatting>
  <conditionalFormatting sqref="B109:C109">
    <cfRule type="cellIs" dxfId="4609" priority="5314" stopIfTrue="1" operator="equal">
      <formula>"Napkin Hs"</formula>
    </cfRule>
  </conditionalFormatting>
  <conditionalFormatting sqref="B109:C109">
    <cfRule type="cellIs" dxfId="4608" priority="5313" stopIfTrue="1" operator="equal">
      <formula>"Towel"</formula>
    </cfRule>
  </conditionalFormatting>
  <conditionalFormatting sqref="C109">
    <cfRule type="cellIs" dxfId="4607" priority="5312" stopIfTrue="1" operator="equal">
      <formula>"Napkin Hs"</formula>
    </cfRule>
  </conditionalFormatting>
  <conditionalFormatting sqref="C109">
    <cfRule type="cellIs" dxfId="4606" priority="5311" stopIfTrue="1" operator="equal">
      <formula>"Towel"</formula>
    </cfRule>
  </conditionalFormatting>
  <conditionalFormatting sqref="C109">
    <cfRule type="cellIs" dxfId="4605" priority="5309" stopIfTrue="1" operator="equal">
      <formula>"Towel"</formula>
    </cfRule>
    <cfRule type="cellIs" dxfId="4604" priority="5310" stopIfTrue="1" operator="equal">
      <formula>"Napkin Hs"</formula>
    </cfRule>
  </conditionalFormatting>
  <conditionalFormatting sqref="B109:C109">
    <cfRule type="cellIs" dxfId="4603" priority="5307" stopIfTrue="1" operator="equal">
      <formula>"Towel"</formula>
    </cfRule>
    <cfRule type="cellIs" dxfId="4602" priority="5308" stopIfTrue="1" operator="equal">
      <formula>"Napkin Hs"</formula>
    </cfRule>
  </conditionalFormatting>
  <conditionalFormatting sqref="C109">
    <cfRule type="cellIs" dxfId="4601" priority="5303" stopIfTrue="1" operator="equal">
      <formula>"Towel"</formula>
    </cfRule>
    <cfRule type="cellIs" dxfId="4600" priority="5304" stopIfTrue="1" operator="equal">
      <formula>"Napkin Hs"</formula>
    </cfRule>
  </conditionalFormatting>
  <conditionalFormatting sqref="C109">
    <cfRule type="cellIs" dxfId="4599" priority="5305" stopIfTrue="1" operator="equal">
      <formula>"Towel"</formula>
    </cfRule>
    <cfRule type="cellIs" dxfId="4598" priority="5306" stopIfTrue="1" operator="equal">
      <formula>"Napkin Hs"</formula>
    </cfRule>
  </conditionalFormatting>
  <conditionalFormatting sqref="B109:C109">
    <cfRule type="cellIs" dxfId="4597" priority="5302" stopIfTrue="1" operator="equal">
      <formula>"Napkin Hs"</formula>
    </cfRule>
  </conditionalFormatting>
  <conditionalFormatting sqref="B109:C109">
    <cfRule type="cellIs" dxfId="4596" priority="5301" stopIfTrue="1" operator="equal">
      <formula>"Towel"</formula>
    </cfRule>
  </conditionalFormatting>
  <conditionalFormatting sqref="C109">
    <cfRule type="cellIs" dxfId="4595" priority="5300" stopIfTrue="1" operator="equal">
      <formula>"Napkin Hs"</formula>
    </cfRule>
  </conditionalFormatting>
  <conditionalFormatting sqref="C109">
    <cfRule type="cellIs" dxfId="4594" priority="5299" stopIfTrue="1" operator="equal">
      <formula>"Towel"</formula>
    </cfRule>
  </conditionalFormatting>
  <conditionalFormatting sqref="C109">
    <cfRule type="cellIs" dxfId="4593" priority="5297" stopIfTrue="1" operator="equal">
      <formula>"Towel"</formula>
    </cfRule>
    <cfRule type="cellIs" dxfId="4592" priority="5298" stopIfTrue="1" operator="equal">
      <formula>"Napkin Hs"</formula>
    </cfRule>
  </conditionalFormatting>
  <conditionalFormatting sqref="B109:C109">
    <cfRule type="cellIs" dxfId="4591" priority="5295" stopIfTrue="1" operator="equal">
      <formula>"Towel"</formula>
    </cfRule>
    <cfRule type="cellIs" dxfId="4590" priority="5296" stopIfTrue="1" operator="equal">
      <formula>"Napkin Hs"</formula>
    </cfRule>
  </conditionalFormatting>
  <conditionalFormatting sqref="C109">
    <cfRule type="cellIs" dxfId="4589" priority="5293" stopIfTrue="1" operator="equal">
      <formula>"Towel"</formula>
    </cfRule>
    <cfRule type="cellIs" dxfId="4588" priority="5294" stopIfTrue="1" operator="equal">
      <formula>"Napkin Hs"</formula>
    </cfRule>
  </conditionalFormatting>
  <conditionalFormatting sqref="C109">
    <cfRule type="cellIs" dxfId="4587" priority="5291" stopIfTrue="1" operator="equal">
      <formula>"Towel"</formula>
    </cfRule>
    <cfRule type="cellIs" dxfId="4586" priority="5292" stopIfTrue="1" operator="equal">
      <formula>"Napkin Hs"</formula>
    </cfRule>
  </conditionalFormatting>
  <conditionalFormatting sqref="B109:C109">
    <cfRule type="cellIs" dxfId="4585" priority="5289" stopIfTrue="1" operator="equal">
      <formula>"Towel"</formula>
    </cfRule>
    <cfRule type="cellIs" dxfId="4584" priority="5290" stopIfTrue="1" operator="equal">
      <formula>"Napkin Hs"</formula>
    </cfRule>
  </conditionalFormatting>
  <conditionalFormatting sqref="C109">
    <cfRule type="cellIs" dxfId="4583" priority="5287" stopIfTrue="1" operator="equal">
      <formula>"Towel"</formula>
    </cfRule>
    <cfRule type="cellIs" dxfId="4582" priority="5288" stopIfTrue="1" operator="equal">
      <formula>"Napkin Hs"</formula>
    </cfRule>
  </conditionalFormatting>
  <conditionalFormatting sqref="C109">
    <cfRule type="cellIs" dxfId="4581" priority="5285" stopIfTrue="1" operator="equal">
      <formula>"Towel"</formula>
    </cfRule>
    <cfRule type="cellIs" dxfId="4580" priority="5286" stopIfTrue="1" operator="equal">
      <formula>"Napkin Hs"</formula>
    </cfRule>
  </conditionalFormatting>
  <conditionalFormatting sqref="B109:C109">
    <cfRule type="cellIs" dxfId="4579" priority="5283" stopIfTrue="1" operator="equal">
      <formula>"Towel"</formula>
    </cfRule>
    <cfRule type="cellIs" dxfId="4578" priority="5284" stopIfTrue="1" operator="equal">
      <formula>"Napkin Hs"</formula>
    </cfRule>
  </conditionalFormatting>
  <conditionalFormatting sqref="C109">
    <cfRule type="cellIs" dxfId="4577" priority="5281" stopIfTrue="1" operator="equal">
      <formula>"Towel"</formula>
    </cfRule>
    <cfRule type="cellIs" dxfId="4576" priority="5282" stopIfTrue="1" operator="equal">
      <formula>"Napkin Hs"</formula>
    </cfRule>
  </conditionalFormatting>
  <conditionalFormatting sqref="C109">
    <cfRule type="cellIs" dxfId="4575" priority="5279" stopIfTrue="1" operator="equal">
      <formula>"Towel"</formula>
    </cfRule>
    <cfRule type="cellIs" dxfId="4574" priority="5280" stopIfTrue="1" operator="equal">
      <formula>"Napkin Hs"</formula>
    </cfRule>
  </conditionalFormatting>
  <conditionalFormatting sqref="B109:C109">
    <cfRule type="cellIs" dxfId="4573" priority="5277" stopIfTrue="1" operator="equal">
      <formula>"Towel"</formula>
    </cfRule>
    <cfRule type="cellIs" dxfId="4572" priority="5278" stopIfTrue="1" operator="equal">
      <formula>"Napkin Hs"</formula>
    </cfRule>
  </conditionalFormatting>
  <conditionalFormatting sqref="C109">
    <cfRule type="cellIs" dxfId="4571" priority="5275" stopIfTrue="1" operator="equal">
      <formula>"Towel"</formula>
    </cfRule>
    <cfRule type="cellIs" dxfId="4570" priority="5276" stopIfTrue="1" operator="equal">
      <formula>"Napkin Hs"</formula>
    </cfRule>
  </conditionalFormatting>
  <conditionalFormatting sqref="C109">
    <cfRule type="cellIs" dxfId="4569" priority="5273" stopIfTrue="1" operator="equal">
      <formula>"Towel"</formula>
    </cfRule>
    <cfRule type="cellIs" dxfId="4568" priority="5274" stopIfTrue="1" operator="equal">
      <formula>"Napkin Hs"</formula>
    </cfRule>
  </conditionalFormatting>
  <conditionalFormatting sqref="B109:C109">
    <cfRule type="cellIs" dxfId="4567" priority="5271" stopIfTrue="1" operator="equal">
      <formula>"Towel"</formula>
    </cfRule>
    <cfRule type="cellIs" dxfId="4566" priority="5272" stopIfTrue="1" operator="equal">
      <formula>"Napkin Hs"</formula>
    </cfRule>
  </conditionalFormatting>
  <conditionalFormatting sqref="C109">
    <cfRule type="cellIs" dxfId="4565" priority="5269" stopIfTrue="1" operator="equal">
      <formula>"Towel"</formula>
    </cfRule>
    <cfRule type="cellIs" dxfId="4564" priority="5270" stopIfTrue="1" operator="equal">
      <formula>"Napkin Hs"</formula>
    </cfRule>
  </conditionalFormatting>
  <conditionalFormatting sqref="C109">
    <cfRule type="cellIs" dxfId="4563" priority="5267" stopIfTrue="1" operator="equal">
      <formula>"Towel"</formula>
    </cfRule>
    <cfRule type="cellIs" dxfId="4562" priority="5268" stopIfTrue="1" operator="equal">
      <formula>"Napkin Hs"</formula>
    </cfRule>
  </conditionalFormatting>
  <conditionalFormatting sqref="B109:C109">
    <cfRule type="cellIs" dxfId="4561" priority="5266" stopIfTrue="1" operator="equal">
      <formula>"Napkin Hs"</formula>
    </cfRule>
  </conditionalFormatting>
  <conditionalFormatting sqref="B109:C109">
    <cfRule type="cellIs" dxfId="4560" priority="5265" stopIfTrue="1" operator="equal">
      <formula>"Towel"</formula>
    </cfRule>
  </conditionalFormatting>
  <conditionalFormatting sqref="C109">
    <cfRule type="cellIs" dxfId="4559" priority="5264" stopIfTrue="1" operator="equal">
      <formula>"Napkin Hs"</formula>
    </cfRule>
  </conditionalFormatting>
  <conditionalFormatting sqref="C109">
    <cfRule type="cellIs" dxfId="4558" priority="5261" stopIfTrue="1" operator="equal">
      <formula>"Towel"</formula>
    </cfRule>
    <cfRule type="cellIs" dxfId="4557" priority="5262" stopIfTrue="1" operator="equal">
      <formula>"Napkin Hs"</formula>
    </cfRule>
  </conditionalFormatting>
  <conditionalFormatting sqref="C109">
    <cfRule type="cellIs" dxfId="4556" priority="5263" stopIfTrue="1" operator="equal">
      <formula>"Towel"</formula>
    </cfRule>
  </conditionalFormatting>
  <conditionalFormatting sqref="B109:C109">
    <cfRule type="cellIs" dxfId="4555" priority="5260" stopIfTrue="1" operator="equal">
      <formula>"Napkin Hs"</formula>
    </cfRule>
  </conditionalFormatting>
  <conditionalFormatting sqref="B109:C109">
    <cfRule type="cellIs" dxfId="4554" priority="5259" stopIfTrue="1" operator="equal">
      <formula>"Towel"</formula>
    </cfRule>
  </conditionalFormatting>
  <conditionalFormatting sqref="C109">
    <cfRule type="cellIs" dxfId="4553" priority="5258" stopIfTrue="1" operator="equal">
      <formula>"Napkin Hs"</formula>
    </cfRule>
  </conditionalFormatting>
  <conditionalFormatting sqref="C109">
    <cfRule type="cellIs" dxfId="4552" priority="5255" stopIfTrue="1" operator="equal">
      <formula>"Towel"</formula>
    </cfRule>
    <cfRule type="cellIs" dxfId="4551" priority="5256" stopIfTrue="1" operator="equal">
      <formula>"Napkin Hs"</formula>
    </cfRule>
  </conditionalFormatting>
  <conditionalFormatting sqref="C109">
    <cfRule type="cellIs" dxfId="4550" priority="5257" stopIfTrue="1" operator="equal">
      <formula>"Towel"</formula>
    </cfRule>
  </conditionalFormatting>
  <conditionalFormatting sqref="B107:C108">
    <cfRule type="cellIs" dxfId="4549" priority="5247" stopIfTrue="1" operator="equal">
      <formula>"Towel"</formula>
    </cfRule>
    <cfRule type="cellIs" dxfId="4548" priority="5248" stopIfTrue="1" operator="equal">
      <formula>"Napkin Hs"</formula>
    </cfRule>
  </conditionalFormatting>
  <conditionalFormatting sqref="C107:C108">
    <cfRule type="cellIs" dxfId="4547" priority="5243" stopIfTrue="1" operator="equal">
      <formula>"Towel"</formula>
    </cfRule>
    <cfRule type="cellIs" dxfId="4546" priority="5244" stopIfTrue="1" operator="equal">
      <formula>"Napkin Hs"</formula>
    </cfRule>
  </conditionalFormatting>
  <conditionalFormatting sqref="C107:C108">
    <cfRule type="cellIs" dxfId="4545" priority="5245" stopIfTrue="1" operator="equal">
      <formula>"Towel"</formula>
    </cfRule>
    <cfRule type="cellIs" dxfId="4544" priority="5246" stopIfTrue="1" operator="equal">
      <formula>"Napkin Hs"</formula>
    </cfRule>
  </conditionalFormatting>
  <conditionalFormatting sqref="B107:C108">
    <cfRule type="cellIs" dxfId="4543" priority="5242" stopIfTrue="1" operator="equal">
      <formula>"Napkin Hs"</formula>
    </cfRule>
  </conditionalFormatting>
  <conditionalFormatting sqref="B107:C108">
    <cfRule type="cellIs" dxfId="4542" priority="5241" stopIfTrue="1" operator="equal">
      <formula>"Towel"</formula>
    </cfRule>
  </conditionalFormatting>
  <conditionalFormatting sqref="C107:C108">
    <cfRule type="cellIs" dxfId="4541" priority="5240" stopIfTrue="1" operator="equal">
      <formula>"Napkin Hs"</formula>
    </cfRule>
  </conditionalFormatting>
  <conditionalFormatting sqref="C107:C108">
    <cfRule type="cellIs" dxfId="4540" priority="5239" stopIfTrue="1" operator="equal">
      <formula>"Towel"</formula>
    </cfRule>
  </conditionalFormatting>
  <conditionalFormatting sqref="C107:C108">
    <cfRule type="cellIs" dxfId="4539" priority="5237" stopIfTrue="1" operator="equal">
      <formula>"Towel"</formula>
    </cfRule>
    <cfRule type="cellIs" dxfId="4538" priority="5238" stopIfTrue="1" operator="equal">
      <formula>"Napkin Hs"</formula>
    </cfRule>
  </conditionalFormatting>
  <conditionalFormatting sqref="B107:C108">
    <cfRule type="cellIs" dxfId="4537" priority="5235" stopIfTrue="1" operator="equal">
      <formula>"Towel"</formula>
    </cfRule>
    <cfRule type="cellIs" dxfId="4536" priority="5236" stopIfTrue="1" operator="equal">
      <formula>"Napkin Hs"</formula>
    </cfRule>
  </conditionalFormatting>
  <conditionalFormatting sqref="C107:C108">
    <cfRule type="cellIs" dxfId="4535" priority="5233" stopIfTrue="1" operator="equal">
      <formula>"Towel"</formula>
    </cfRule>
    <cfRule type="cellIs" dxfId="4534" priority="5234" stopIfTrue="1" operator="equal">
      <formula>"Napkin Hs"</formula>
    </cfRule>
  </conditionalFormatting>
  <conditionalFormatting sqref="C107:C108">
    <cfRule type="cellIs" dxfId="4533" priority="5231" stopIfTrue="1" operator="equal">
      <formula>"Towel"</formula>
    </cfRule>
    <cfRule type="cellIs" dxfId="4532" priority="5232" stopIfTrue="1" operator="equal">
      <formula>"Napkin Hs"</formula>
    </cfRule>
  </conditionalFormatting>
  <conditionalFormatting sqref="B107:C108">
    <cfRule type="cellIs" dxfId="4531" priority="5229" stopIfTrue="1" operator="equal">
      <formula>"Towel"</formula>
    </cfRule>
    <cfRule type="cellIs" dxfId="4530" priority="5230" stopIfTrue="1" operator="equal">
      <formula>"Napkin Hs"</formula>
    </cfRule>
  </conditionalFormatting>
  <conditionalFormatting sqref="C107:C108">
    <cfRule type="cellIs" dxfId="4529" priority="5227" stopIfTrue="1" operator="equal">
      <formula>"Towel"</formula>
    </cfRule>
    <cfRule type="cellIs" dxfId="4528" priority="5228" stopIfTrue="1" operator="equal">
      <formula>"Napkin Hs"</formula>
    </cfRule>
  </conditionalFormatting>
  <conditionalFormatting sqref="C107:C108">
    <cfRule type="cellIs" dxfId="4527" priority="5225" stopIfTrue="1" operator="equal">
      <formula>"Towel"</formula>
    </cfRule>
    <cfRule type="cellIs" dxfId="4526" priority="5226" stopIfTrue="1" operator="equal">
      <formula>"Napkin Hs"</formula>
    </cfRule>
  </conditionalFormatting>
  <conditionalFormatting sqref="B107:C108">
    <cfRule type="cellIs" dxfId="4525" priority="5223" stopIfTrue="1" operator="equal">
      <formula>"Towel"</formula>
    </cfRule>
    <cfRule type="cellIs" dxfId="4524" priority="5224" stopIfTrue="1" operator="equal">
      <formula>"Napkin Hs"</formula>
    </cfRule>
  </conditionalFormatting>
  <conditionalFormatting sqref="C107:C108">
    <cfRule type="cellIs" dxfId="4523" priority="5221" stopIfTrue="1" operator="equal">
      <formula>"Towel"</formula>
    </cfRule>
    <cfRule type="cellIs" dxfId="4522" priority="5222" stopIfTrue="1" operator="equal">
      <formula>"Napkin Hs"</formula>
    </cfRule>
  </conditionalFormatting>
  <conditionalFormatting sqref="C107:C108">
    <cfRule type="cellIs" dxfId="4521" priority="5219" stopIfTrue="1" operator="equal">
      <formula>"Towel"</formula>
    </cfRule>
    <cfRule type="cellIs" dxfId="4520" priority="5220" stopIfTrue="1" operator="equal">
      <formula>"Napkin Hs"</formula>
    </cfRule>
  </conditionalFormatting>
  <conditionalFormatting sqref="B107:C108">
    <cfRule type="cellIs" dxfId="4519" priority="5217" stopIfTrue="1" operator="equal">
      <formula>"Towel"</formula>
    </cfRule>
    <cfRule type="cellIs" dxfId="4518" priority="5218" stopIfTrue="1" operator="equal">
      <formula>"Napkin Hs"</formula>
    </cfRule>
  </conditionalFormatting>
  <conditionalFormatting sqref="C107:C108">
    <cfRule type="cellIs" dxfId="4517" priority="5215" stopIfTrue="1" operator="equal">
      <formula>"Towel"</formula>
    </cfRule>
    <cfRule type="cellIs" dxfId="4516" priority="5216" stopIfTrue="1" operator="equal">
      <formula>"Napkin Hs"</formula>
    </cfRule>
  </conditionalFormatting>
  <conditionalFormatting sqref="C107:C108">
    <cfRule type="cellIs" dxfId="4515" priority="5213" stopIfTrue="1" operator="equal">
      <formula>"Towel"</formula>
    </cfRule>
    <cfRule type="cellIs" dxfId="4514" priority="5214" stopIfTrue="1" operator="equal">
      <formula>"Napkin Hs"</formula>
    </cfRule>
  </conditionalFormatting>
  <conditionalFormatting sqref="B107:C108">
    <cfRule type="cellIs" dxfId="4513" priority="5211" stopIfTrue="1" operator="equal">
      <formula>"Towel"</formula>
    </cfRule>
    <cfRule type="cellIs" dxfId="4512" priority="5212" stopIfTrue="1" operator="equal">
      <formula>"Napkin Hs"</formula>
    </cfRule>
  </conditionalFormatting>
  <conditionalFormatting sqref="C107:C108">
    <cfRule type="cellIs" dxfId="4511" priority="5209" stopIfTrue="1" operator="equal">
      <formula>"Towel"</formula>
    </cfRule>
    <cfRule type="cellIs" dxfId="4510" priority="5210" stopIfTrue="1" operator="equal">
      <formula>"Napkin Hs"</formula>
    </cfRule>
  </conditionalFormatting>
  <conditionalFormatting sqref="C107:C108">
    <cfRule type="cellIs" dxfId="4509" priority="5207" stopIfTrue="1" operator="equal">
      <formula>"Towel"</formula>
    </cfRule>
    <cfRule type="cellIs" dxfId="4508" priority="5208" stopIfTrue="1" operator="equal">
      <formula>"Napkin Hs"</formula>
    </cfRule>
  </conditionalFormatting>
  <conditionalFormatting sqref="B107:C108">
    <cfRule type="cellIs" dxfId="4507" priority="5206" stopIfTrue="1" operator="equal">
      <formula>"Napkin Hs"</formula>
    </cfRule>
  </conditionalFormatting>
  <conditionalFormatting sqref="B107:C108">
    <cfRule type="cellIs" dxfId="4506" priority="5205" stopIfTrue="1" operator="equal">
      <formula>"Towel"</formula>
    </cfRule>
  </conditionalFormatting>
  <conditionalFormatting sqref="C107:C108">
    <cfRule type="cellIs" dxfId="4505" priority="5204" stopIfTrue="1" operator="equal">
      <formula>"Napkin Hs"</formula>
    </cfRule>
  </conditionalFormatting>
  <conditionalFormatting sqref="C107:C108">
    <cfRule type="cellIs" dxfId="4504" priority="5201" stopIfTrue="1" operator="equal">
      <formula>"Towel"</formula>
    </cfRule>
    <cfRule type="cellIs" dxfId="4503" priority="5202" stopIfTrue="1" operator="equal">
      <formula>"Napkin Hs"</formula>
    </cfRule>
  </conditionalFormatting>
  <conditionalFormatting sqref="C107:C108">
    <cfRule type="cellIs" dxfId="4502" priority="5203" stopIfTrue="1" operator="equal">
      <formula>"Towel"</formula>
    </cfRule>
  </conditionalFormatting>
  <conditionalFormatting sqref="B107:C108">
    <cfRule type="cellIs" dxfId="4501" priority="5200" stopIfTrue="1" operator="equal">
      <formula>"Napkin Hs"</formula>
    </cfRule>
  </conditionalFormatting>
  <conditionalFormatting sqref="B107:C108">
    <cfRule type="cellIs" dxfId="4500" priority="5199" stopIfTrue="1" operator="equal">
      <formula>"Towel"</formula>
    </cfRule>
  </conditionalFormatting>
  <conditionalFormatting sqref="C107:C108">
    <cfRule type="cellIs" dxfId="4499" priority="5198" stopIfTrue="1" operator="equal">
      <formula>"Napkin Hs"</formula>
    </cfRule>
  </conditionalFormatting>
  <conditionalFormatting sqref="C107:C108">
    <cfRule type="cellIs" dxfId="4498" priority="5197" stopIfTrue="1" operator="equal">
      <formula>"Towel"</formula>
    </cfRule>
  </conditionalFormatting>
  <conditionalFormatting sqref="C107:C108">
    <cfRule type="cellIs" dxfId="4497" priority="5195" stopIfTrue="1" operator="equal">
      <formula>"Towel"</formula>
    </cfRule>
    <cfRule type="cellIs" dxfId="4496" priority="5196" stopIfTrue="1" operator="equal">
      <formula>"Napkin Hs"</formula>
    </cfRule>
  </conditionalFormatting>
  <conditionalFormatting sqref="C107:C108">
    <cfRule type="cellIs" dxfId="4495" priority="5189" stopIfTrue="1" operator="equal">
      <formula>"Towel"</formula>
    </cfRule>
    <cfRule type="cellIs" dxfId="4494" priority="5190" stopIfTrue="1" operator="equal">
      <formula>"Napkin Hs"</formula>
    </cfRule>
  </conditionalFormatting>
  <conditionalFormatting sqref="B107:C108">
    <cfRule type="cellIs" dxfId="4493" priority="5188" stopIfTrue="1" operator="equal">
      <formula>"Napkin Hs"</formula>
    </cfRule>
  </conditionalFormatting>
  <conditionalFormatting sqref="B107:C108">
    <cfRule type="cellIs" dxfId="4492" priority="5187" stopIfTrue="1" operator="equal">
      <formula>"Towel"</formula>
    </cfRule>
  </conditionalFormatting>
  <conditionalFormatting sqref="C107:C108">
    <cfRule type="cellIs" dxfId="4491" priority="5186" stopIfTrue="1" operator="equal">
      <formula>"Napkin Hs"</formula>
    </cfRule>
  </conditionalFormatting>
  <conditionalFormatting sqref="C107:C108">
    <cfRule type="cellIs" dxfId="4490" priority="5185" stopIfTrue="1" operator="equal">
      <formula>"Towel"</formula>
    </cfRule>
  </conditionalFormatting>
  <conditionalFormatting sqref="C107:C108">
    <cfRule type="cellIs" dxfId="4489" priority="5183" stopIfTrue="1" operator="equal">
      <formula>"Towel"</formula>
    </cfRule>
    <cfRule type="cellIs" dxfId="4488" priority="5184" stopIfTrue="1" operator="equal">
      <formula>"Napkin Hs"</formula>
    </cfRule>
  </conditionalFormatting>
  <conditionalFormatting sqref="C107:C108">
    <cfRule type="cellIs" dxfId="4487" priority="5177" stopIfTrue="1" operator="equal">
      <formula>"Towel"</formula>
    </cfRule>
    <cfRule type="cellIs" dxfId="4486" priority="5178" stopIfTrue="1" operator="equal">
      <formula>"Napkin Hs"</formula>
    </cfRule>
  </conditionalFormatting>
  <conditionalFormatting sqref="C107:C108">
    <cfRule type="cellIs" dxfId="4485" priority="5171" stopIfTrue="1" operator="equal">
      <formula>"Towel"</formula>
    </cfRule>
    <cfRule type="cellIs" dxfId="4484" priority="5172" stopIfTrue="1" operator="equal">
      <formula>"Napkin Hs"</formula>
    </cfRule>
  </conditionalFormatting>
  <conditionalFormatting sqref="C107:C108">
    <cfRule type="cellIs" dxfId="4483" priority="5165" stopIfTrue="1" operator="equal">
      <formula>"Towel"</formula>
    </cfRule>
    <cfRule type="cellIs" dxfId="4482" priority="5166" stopIfTrue="1" operator="equal">
      <formula>"Napkin Hs"</formula>
    </cfRule>
  </conditionalFormatting>
  <conditionalFormatting sqref="C107:C108">
    <cfRule type="cellIs" dxfId="4481" priority="5159" stopIfTrue="1" operator="equal">
      <formula>"Towel"</formula>
    </cfRule>
    <cfRule type="cellIs" dxfId="4480" priority="5160" stopIfTrue="1" operator="equal">
      <formula>"Napkin Hs"</formula>
    </cfRule>
  </conditionalFormatting>
  <conditionalFormatting sqref="C107:C108">
    <cfRule type="cellIs" dxfId="4479" priority="5153" stopIfTrue="1" operator="equal">
      <formula>"Towel"</formula>
    </cfRule>
    <cfRule type="cellIs" dxfId="4478" priority="5154" stopIfTrue="1" operator="equal">
      <formula>"Napkin Hs"</formula>
    </cfRule>
  </conditionalFormatting>
  <conditionalFormatting sqref="B107:C108">
    <cfRule type="cellIs" dxfId="4477" priority="5152" stopIfTrue="1" operator="equal">
      <formula>"Napkin Hs"</formula>
    </cfRule>
  </conditionalFormatting>
  <conditionalFormatting sqref="B107:C108">
    <cfRule type="cellIs" dxfId="4476" priority="5151" stopIfTrue="1" operator="equal">
      <formula>"Towel"</formula>
    </cfRule>
  </conditionalFormatting>
  <conditionalFormatting sqref="C107:C108">
    <cfRule type="cellIs" dxfId="4475" priority="5150" stopIfTrue="1" operator="equal">
      <formula>"Napkin Hs"</formula>
    </cfRule>
  </conditionalFormatting>
  <conditionalFormatting sqref="C107:C108">
    <cfRule type="cellIs" dxfId="4474" priority="5147" stopIfTrue="1" operator="equal">
      <formula>"Towel"</formula>
    </cfRule>
    <cfRule type="cellIs" dxfId="4473" priority="5148" stopIfTrue="1" operator="equal">
      <formula>"Napkin Hs"</formula>
    </cfRule>
  </conditionalFormatting>
  <conditionalFormatting sqref="C107:C108">
    <cfRule type="cellIs" dxfId="4472" priority="5149" stopIfTrue="1" operator="equal">
      <formula>"Towel"</formula>
    </cfRule>
  </conditionalFormatting>
  <conditionalFormatting sqref="B107:C108">
    <cfRule type="cellIs" dxfId="4471" priority="5146" stopIfTrue="1" operator="equal">
      <formula>"Napkin Hs"</formula>
    </cfRule>
  </conditionalFormatting>
  <conditionalFormatting sqref="B107:C108">
    <cfRule type="cellIs" dxfId="4470" priority="5145" stopIfTrue="1" operator="equal">
      <formula>"Towel"</formula>
    </cfRule>
  </conditionalFormatting>
  <conditionalFormatting sqref="C107:C108">
    <cfRule type="cellIs" dxfId="4469" priority="5144" stopIfTrue="1" operator="equal">
      <formula>"Napkin Hs"</formula>
    </cfRule>
  </conditionalFormatting>
  <conditionalFormatting sqref="C107:C108">
    <cfRule type="cellIs" dxfId="4468" priority="5141" stopIfTrue="1" operator="equal">
      <formula>"Towel"</formula>
    </cfRule>
    <cfRule type="cellIs" dxfId="4467" priority="5142" stopIfTrue="1" operator="equal">
      <formula>"Napkin Hs"</formula>
    </cfRule>
  </conditionalFormatting>
  <conditionalFormatting sqref="C107:C108">
    <cfRule type="cellIs" dxfId="4466" priority="5143" stopIfTrue="1" operator="equal">
      <formula>"Towel"</formula>
    </cfRule>
  </conditionalFormatting>
  <conditionalFormatting sqref="B107:C108">
    <cfRule type="cellIs" dxfId="4465" priority="5193" stopIfTrue="1" operator="equal">
      <formula>"Towel"</formula>
    </cfRule>
    <cfRule type="cellIs" dxfId="4464" priority="5194" stopIfTrue="1" operator="equal">
      <formula>"Napkin Hs"</formula>
    </cfRule>
  </conditionalFormatting>
  <conditionalFormatting sqref="C107:C108">
    <cfRule type="cellIs" dxfId="4463" priority="5191" stopIfTrue="1" operator="equal">
      <formula>"Towel"</formula>
    </cfRule>
    <cfRule type="cellIs" dxfId="4462" priority="5192" stopIfTrue="1" operator="equal">
      <formula>"Napkin Hs"</formula>
    </cfRule>
  </conditionalFormatting>
  <conditionalFormatting sqref="B107:C108">
    <cfRule type="cellIs" dxfId="4461" priority="5181" stopIfTrue="1" operator="equal">
      <formula>"Towel"</formula>
    </cfRule>
    <cfRule type="cellIs" dxfId="4460" priority="5182" stopIfTrue="1" operator="equal">
      <formula>"Napkin Hs"</formula>
    </cfRule>
  </conditionalFormatting>
  <conditionalFormatting sqref="C107:C108">
    <cfRule type="cellIs" dxfId="4459" priority="5179" stopIfTrue="1" operator="equal">
      <formula>"Towel"</formula>
    </cfRule>
    <cfRule type="cellIs" dxfId="4458" priority="5180" stopIfTrue="1" operator="equal">
      <formula>"Napkin Hs"</formula>
    </cfRule>
  </conditionalFormatting>
  <conditionalFormatting sqref="B107:C108">
    <cfRule type="cellIs" dxfId="4457" priority="5175" stopIfTrue="1" operator="equal">
      <formula>"Towel"</formula>
    </cfRule>
    <cfRule type="cellIs" dxfId="4456" priority="5176" stopIfTrue="1" operator="equal">
      <formula>"Napkin Hs"</formula>
    </cfRule>
  </conditionalFormatting>
  <conditionalFormatting sqref="C107:C108">
    <cfRule type="cellIs" dxfId="4455" priority="5173" stopIfTrue="1" operator="equal">
      <formula>"Towel"</formula>
    </cfRule>
    <cfRule type="cellIs" dxfId="4454" priority="5174" stopIfTrue="1" operator="equal">
      <formula>"Napkin Hs"</formula>
    </cfRule>
  </conditionalFormatting>
  <conditionalFormatting sqref="B107:C108">
    <cfRule type="cellIs" dxfId="4453" priority="5169" stopIfTrue="1" operator="equal">
      <formula>"Towel"</formula>
    </cfRule>
    <cfRule type="cellIs" dxfId="4452" priority="5170" stopIfTrue="1" operator="equal">
      <formula>"Napkin Hs"</formula>
    </cfRule>
  </conditionalFormatting>
  <conditionalFormatting sqref="C107:C108">
    <cfRule type="cellIs" dxfId="4451" priority="5167" stopIfTrue="1" operator="equal">
      <formula>"Towel"</formula>
    </cfRule>
    <cfRule type="cellIs" dxfId="4450" priority="5168" stopIfTrue="1" operator="equal">
      <formula>"Napkin Hs"</formula>
    </cfRule>
  </conditionalFormatting>
  <conditionalFormatting sqref="B107:C108">
    <cfRule type="cellIs" dxfId="4449" priority="5163" stopIfTrue="1" operator="equal">
      <formula>"Towel"</formula>
    </cfRule>
    <cfRule type="cellIs" dxfId="4448" priority="5164" stopIfTrue="1" operator="equal">
      <formula>"Napkin Hs"</formula>
    </cfRule>
  </conditionalFormatting>
  <conditionalFormatting sqref="C107:C108">
    <cfRule type="cellIs" dxfId="4447" priority="5161" stopIfTrue="1" operator="equal">
      <formula>"Towel"</formula>
    </cfRule>
    <cfRule type="cellIs" dxfId="4446" priority="5162" stopIfTrue="1" operator="equal">
      <formula>"Napkin Hs"</formula>
    </cfRule>
  </conditionalFormatting>
  <conditionalFormatting sqref="B107:C108">
    <cfRule type="cellIs" dxfId="4445" priority="5157" stopIfTrue="1" operator="equal">
      <formula>"Towel"</formula>
    </cfRule>
    <cfRule type="cellIs" dxfId="4444" priority="5158" stopIfTrue="1" operator="equal">
      <formula>"Napkin Hs"</formula>
    </cfRule>
  </conditionalFormatting>
  <conditionalFormatting sqref="C107:C108">
    <cfRule type="cellIs" dxfId="4443" priority="5155" stopIfTrue="1" operator="equal">
      <formula>"Towel"</formula>
    </cfRule>
    <cfRule type="cellIs" dxfId="4442" priority="5156" stopIfTrue="1" operator="equal">
      <formula>"Napkin Hs"</formula>
    </cfRule>
  </conditionalFormatting>
  <conditionalFormatting sqref="B107:C108">
    <cfRule type="cellIs" dxfId="4441" priority="5140" stopIfTrue="1" operator="equal">
      <formula>"Napkin Hs"</formula>
    </cfRule>
  </conditionalFormatting>
  <conditionalFormatting sqref="B107:C108">
    <cfRule type="cellIs" dxfId="4440" priority="5139" stopIfTrue="1" operator="equal">
      <formula>"Towel"</formula>
    </cfRule>
  </conditionalFormatting>
  <conditionalFormatting sqref="C107:C108">
    <cfRule type="cellIs" dxfId="4439" priority="5138" stopIfTrue="1" operator="equal">
      <formula>"Napkin Hs"</formula>
    </cfRule>
  </conditionalFormatting>
  <conditionalFormatting sqref="C107:C108">
    <cfRule type="cellIs" dxfId="4438" priority="5135" stopIfTrue="1" operator="equal">
      <formula>"Towel"</formula>
    </cfRule>
    <cfRule type="cellIs" dxfId="4437" priority="5136" stopIfTrue="1" operator="equal">
      <formula>"Napkin Hs"</formula>
    </cfRule>
  </conditionalFormatting>
  <conditionalFormatting sqref="C107:C108">
    <cfRule type="cellIs" dxfId="4436" priority="5137" stopIfTrue="1" operator="equal">
      <formula>"Towel"</formula>
    </cfRule>
  </conditionalFormatting>
  <conditionalFormatting sqref="B112:C112">
    <cfRule type="cellIs" dxfId="4435" priority="5131" stopIfTrue="1" operator="equal">
      <formula>"Towel"</formula>
    </cfRule>
    <cfRule type="cellIs" dxfId="4434" priority="5132" stopIfTrue="1" operator="equal">
      <formula>"Napkin Hs"</formula>
    </cfRule>
  </conditionalFormatting>
  <conditionalFormatting sqref="C112">
    <cfRule type="cellIs" dxfId="4433" priority="5133" stopIfTrue="1" operator="equal">
      <formula>"Towel"</formula>
    </cfRule>
    <cfRule type="cellIs" dxfId="4432" priority="5134" stopIfTrue="1" operator="equal">
      <formula>"Napkin Hs"</formula>
    </cfRule>
  </conditionalFormatting>
  <conditionalFormatting sqref="C112">
    <cfRule type="cellIs" dxfId="4431" priority="5129" stopIfTrue="1" operator="equal">
      <formula>"Towel"</formula>
    </cfRule>
    <cfRule type="cellIs" dxfId="4430" priority="5130" stopIfTrue="1" operator="equal">
      <formula>"Napkin Hs"</formula>
    </cfRule>
  </conditionalFormatting>
  <conditionalFormatting sqref="B112:C112">
    <cfRule type="cellIs" dxfId="4429" priority="5128" stopIfTrue="1" operator="equal">
      <formula>"Napkin Hs"</formula>
    </cfRule>
  </conditionalFormatting>
  <conditionalFormatting sqref="B112:C112">
    <cfRule type="cellIs" dxfId="4428" priority="5127" stopIfTrue="1" operator="equal">
      <formula>"Towel"</formula>
    </cfRule>
  </conditionalFormatting>
  <conditionalFormatting sqref="C112">
    <cfRule type="cellIs" dxfId="4427" priority="5126" stopIfTrue="1" operator="equal">
      <formula>"Napkin Hs"</formula>
    </cfRule>
  </conditionalFormatting>
  <conditionalFormatting sqref="C112">
    <cfRule type="cellIs" dxfId="4426" priority="5125" stopIfTrue="1" operator="equal">
      <formula>"Towel"</formula>
    </cfRule>
  </conditionalFormatting>
  <conditionalFormatting sqref="C112">
    <cfRule type="cellIs" dxfId="4425" priority="5123" stopIfTrue="1" operator="equal">
      <formula>"Towel"</formula>
    </cfRule>
    <cfRule type="cellIs" dxfId="4424" priority="5124" stopIfTrue="1" operator="equal">
      <formula>"Napkin Hs"</formula>
    </cfRule>
  </conditionalFormatting>
  <conditionalFormatting sqref="B113">
    <cfRule type="cellIs" dxfId="4423" priority="5122" stopIfTrue="1" operator="equal">
      <formula>"Napkin Hs"</formula>
    </cfRule>
  </conditionalFormatting>
  <conditionalFormatting sqref="B113">
    <cfRule type="cellIs" dxfId="4422" priority="5121" stopIfTrue="1" operator="equal">
      <formula>"Towel"</formula>
    </cfRule>
  </conditionalFormatting>
  <conditionalFormatting sqref="B113">
    <cfRule type="cellIs" dxfId="4421" priority="5119" stopIfTrue="1" operator="equal">
      <formula>"Towel"</formula>
    </cfRule>
    <cfRule type="cellIs" dxfId="4420" priority="5120" stopIfTrue="1" operator="equal">
      <formula>"Napkin Hs"</formula>
    </cfRule>
  </conditionalFormatting>
  <conditionalFormatting sqref="B113">
    <cfRule type="cellIs" dxfId="4419" priority="5118" stopIfTrue="1" operator="equal">
      <formula>"Napkin Hs"</formula>
    </cfRule>
  </conditionalFormatting>
  <conditionalFormatting sqref="B113">
    <cfRule type="cellIs" dxfId="4418" priority="5117" stopIfTrue="1" operator="equal">
      <formula>"Towel"</formula>
    </cfRule>
  </conditionalFormatting>
  <conditionalFormatting sqref="B113">
    <cfRule type="cellIs" dxfId="4417" priority="5115" stopIfTrue="1" operator="equal">
      <formula>"Towel"</formula>
    </cfRule>
    <cfRule type="cellIs" dxfId="4416" priority="5116" stopIfTrue="1" operator="equal">
      <formula>"Napkin Hs"</formula>
    </cfRule>
  </conditionalFormatting>
  <conditionalFormatting sqref="B113">
    <cfRule type="cellIs" dxfId="4415" priority="5113" stopIfTrue="1" operator="equal">
      <formula>"Towel"</formula>
    </cfRule>
    <cfRule type="cellIs" dxfId="4414" priority="5114" stopIfTrue="1" operator="equal">
      <formula>"Napkin Hs"</formula>
    </cfRule>
  </conditionalFormatting>
  <conditionalFormatting sqref="B113">
    <cfRule type="cellIs" dxfId="4413" priority="5111" stopIfTrue="1" operator="equal">
      <formula>"Towel"</formula>
    </cfRule>
    <cfRule type="cellIs" dxfId="4412" priority="5112" stopIfTrue="1" operator="equal">
      <formula>"Napkin Hs"</formula>
    </cfRule>
  </conditionalFormatting>
  <conditionalFormatting sqref="B113">
    <cfRule type="cellIs" dxfId="4411" priority="5109" stopIfTrue="1" operator="equal">
      <formula>"Towel"</formula>
    </cfRule>
    <cfRule type="cellIs" dxfId="4410" priority="5110" stopIfTrue="1" operator="equal">
      <formula>"Napkin Hs"</formula>
    </cfRule>
  </conditionalFormatting>
  <conditionalFormatting sqref="B113">
    <cfRule type="cellIs" dxfId="4409" priority="5107" stopIfTrue="1" operator="equal">
      <formula>"Towel"</formula>
    </cfRule>
    <cfRule type="cellIs" dxfId="4408" priority="5108" stopIfTrue="1" operator="equal">
      <formula>"Napkin Hs"</formula>
    </cfRule>
  </conditionalFormatting>
  <conditionalFormatting sqref="B113">
    <cfRule type="cellIs" dxfId="4407" priority="5106" stopIfTrue="1" operator="equal">
      <formula>"Napkin Hs"</formula>
    </cfRule>
  </conditionalFormatting>
  <conditionalFormatting sqref="B113">
    <cfRule type="cellIs" dxfId="4406" priority="5105" stopIfTrue="1" operator="equal">
      <formula>"Towel"</formula>
    </cfRule>
  </conditionalFormatting>
  <conditionalFormatting sqref="C113">
    <cfRule type="cellIs" dxfId="4405" priority="5104" stopIfTrue="1" operator="equal">
      <formula>"Napkin Hs"</formula>
    </cfRule>
  </conditionalFormatting>
  <conditionalFormatting sqref="C113">
    <cfRule type="cellIs" dxfId="4404" priority="5103" stopIfTrue="1" operator="equal">
      <formula>"Towel"</formula>
    </cfRule>
  </conditionalFormatting>
  <conditionalFormatting sqref="C113">
    <cfRule type="cellIs" dxfId="4403" priority="5102" stopIfTrue="1" operator="equal">
      <formula>"Napkin Hs"</formula>
    </cfRule>
  </conditionalFormatting>
  <conditionalFormatting sqref="C113">
    <cfRule type="cellIs" dxfId="4402" priority="5101" stopIfTrue="1" operator="equal">
      <formula>"Towel"</formula>
    </cfRule>
  </conditionalFormatting>
  <conditionalFormatting sqref="C113">
    <cfRule type="cellIs" dxfId="4401" priority="5099" stopIfTrue="1" operator="equal">
      <formula>"Towel"</formula>
    </cfRule>
    <cfRule type="cellIs" dxfId="4400" priority="5100" stopIfTrue="1" operator="equal">
      <formula>"Napkin Hs"</formula>
    </cfRule>
  </conditionalFormatting>
  <conditionalFormatting sqref="C113">
    <cfRule type="cellIs" dxfId="4399" priority="5097" stopIfTrue="1" operator="equal">
      <formula>"Towel"</formula>
    </cfRule>
    <cfRule type="cellIs" dxfId="4398" priority="5098" stopIfTrue="1" operator="equal">
      <formula>"Napkin Hs"</formula>
    </cfRule>
  </conditionalFormatting>
  <conditionalFormatting sqref="C113">
    <cfRule type="cellIs" dxfId="4397" priority="5093" stopIfTrue="1" operator="equal">
      <formula>"Towel"</formula>
    </cfRule>
    <cfRule type="cellIs" dxfId="4396" priority="5094" stopIfTrue="1" operator="equal">
      <formula>"Napkin Hs"</formula>
    </cfRule>
  </conditionalFormatting>
  <conditionalFormatting sqref="C113">
    <cfRule type="cellIs" dxfId="4395" priority="5095" stopIfTrue="1" operator="equal">
      <formula>"Towel"</formula>
    </cfRule>
    <cfRule type="cellIs" dxfId="4394" priority="5096" stopIfTrue="1" operator="equal">
      <formula>"Napkin Hs"</formula>
    </cfRule>
  </conditionalFormatting>
  <conditionalFormatting sqref="C113">
    <cfRule type="cellIs" dxfId="4393" priority="5092" stopIfTrue="1" operator="equal">
      <formula>"Napkin Hs"</formula>
    </cfRule>
  </conditionalFormatting>
  <conditionalFormatting sqref="C113">
    <cfRule type="cellIs" dxfId="4392" priority="5091" stopIfTrue="1" operator="equal">
      <formula>"Towel"</formula>
    </cfRule>
  </conditionalFormatting>
  <conditionalFormatting sqref="C113">
    <cfRule type="cellIs" dxfId="4391" priority="5090" stopIfTrue="1" operator="equal">
      <formula>"Napkin Hs"</formula>
    </cfRule>
  </conditionalFormatting>
  <conditionalFormatting sqref="C113">
    <cfRule type="cellIs" dxfId="4390" priority="5089" stopIfTrue="1" operator="equal">
      <formula>"Towel"</formula>
    </cfRule>
  </conditionalFormatting>
  <conditionalFormatting sqref="C113">
    <cfRule type="cellIs" dxfId="4389" priority="5087" stopIfTrue="1" operator="equal">
      <formula>"Towel"</formula>
    </cfRule>
    <cfRule type="cellIs" dxfId="4388" priority="5088" stopIfTrue="1" operator="equal">
      <formula>"Napkin Hs"</formula>
    </cfRule>
  </conditionalFormatting>
  <conditionalFormatting sqref="C113">
    <cfRule type="cellIs" dxfId="4387" priority="5085" stopIfTrue="1" operator="equal">
      <formula>"Towel"</formula>
    </cfRule>
    <cfRule type="cellIs" dxfId="4386" priority="5086" stopIfTrue="1" operator="equal">
      <formula>"Napkin Hs"</formula>
    </cfRule>
  </conditionalFormatting>
  <conditionalFormatting sqref="C113">
    <cfRule type="cellIs" dxfId="4385" priority="5083" stopIfTrue="1" operator="equal">
      <formula>"Towel"</formula>
    </cfRule>
    <cfRule type="cellIs" dxfId="4384" priority="5084" stopIfTrue="1" operator="equal">
      <formula>"Napkin Hs"</formula>
    </cfRule>
  </conditionalFormatting>
  <conditionalFormatting sqref="C113">
    <cfRule type="cellIs" dxfId="4383" priority="5081" stopIfTrue="1" operator="equal">
      <formula>"Towel"</formula>
    </cfRule>
    <cfRule type="cellIs" dxfId="4382" priority="5082" stopIfTrue="1" operator="equal">
      <formula>"Napkin Hs"</formula>
    </cfRule>
  </conditionalFormatting>
  <conditionalFormatting sqref="C113">
    <cfRule type="cellIs" dxfId="4381" priority="5079" stopIfTrue="1" operator="equal">
      <formula>"Towel"</formula>
    </cfRule>
    <cfRule type="cellIs" dxfId="4380" priority="5080" stopIfTrue="1" operator="equal">
      <formula>"Napkin Hs"</formula>
    </cfRule>
  </conditionalFormatting>
  <conditionalFormatting sqref="C113">
    <cfRule type="cellIs" dxfId="4379" priority="5077" stopIfTrue="1" operator="equal">
      <formula>"Towel"</formula>
    </cfRule>
    <cfRule type="cellIs" dxfId="4378" priority="5078" stopIfTrue="1" operator="equal">
      <formula>"Napkin Hs"</formula>
    </cfRule>
  </conditionalFormatting>
  <conditionalFormatting sqref="C113">
    <cfRule type="cellIs" dxfId="4377" priority="5075" stopIfTrue="1" operator="equal">
      <formula>"Towel"</formula>
    </cfRule>
    <cfRule type="cellIs" dxfId="4376" priority="5076" stopIfTrue="1" operator="equal">
      <formula>"Napkin Hs"</formula>
    </cfRule>
  </conditionalFormatting>
  <conditionalFormatting sqref="C113">
    <cfRule type="cellIs" dxfId="4375" priority="5073" stopIfTrue="1" operator="equal">
      <formula>"Towel"</formula>
    </cfRule>
    <cfRule type="cellIs" dxfId="4374" priority="5074" stopIfTrue="1" operator="equal">
      <formula>"Napkin Hs"</formula>
    </cfRule>
  </conditionalFormatting>
  <conditionalFormatting sqref="C113">
    <cfRule type="cellIs" dxfId="4373" priority="5071" stopIfTrue="1" operator="equal">
      <formula>"Towel"</formula>
    </cfRule>
    <cfRule type="cellIs" dxfId="4372" priority="5072" stopIfTrue="1" operator="equal">
      <formula>"Napkin Hs"</formula>
    </cfRule>
  </conditionalFormatting>
  <conditionalFormatting sqref="C113">
    <cfRule type="cellIs" dxfId="4371" priority="5069" stopIfTrue="1" operator="equal">
      <formula>"Towel"</formula>
    </cfRule>
    <cfRule type="cellIs" dxfId="4370" priority="5070" stopIfTrue="1" operator="equal">
      <formula>"Napkin Hs"</formula>
    </cfRule>
  </conditionalFormatting>
  <conditionalFormatting sqref="C113">
    <cfRule type="cellIs" dxfId="4369" priority="5067" stopIfTrue="1" operator="equal">
      <formula>"Towel"</formula>
    </cfRule>
    <cfRule type="cellIs" dxfId="4368" priority="5068" stopIfTrue="1" operator="equal">
      <formula>"Napkin Hs"</formula>
    </cfRule>
  </conditionalFormatting>
  <conditionalFormatting sqref="C113">
    <cfRule type="cellIs" dxfId="4367" priority="5065" stopIfTrue="1" operator="equal">
      <formula>"Towel"</formula>
    </cfRule>
    <cfRule type="cellIs" dxfId="4366" priority="5066" stopIfTrue="1" operator="equal">
      <formula>"Napkin Hs"</formula>
    </cfRule>
  </conditionalFormatting>
  <conditionalFormatting sqref="C113">
    <cfRule type="cellIs" dxfId="4365" priority="5063" stopIfTrue="1" operator="equal">
      <formula>"Towel"</formula>
    </cfRule>
    <cfRule type="cellIs" dxfId="4364" priority="5064" stopIfTrue="1" operator="equal">
      <formula>"Napkin Hs"</formula>
    </cfRule>
  </conditionalFormatting>
  <conditionalFormatting sqref="C113">
    <cfRule type="cellIs" dxfId="4363" priority="5061" stopIfTrue="1" operator="equal">
      <formula>"Towel"</formula>
    </cfRule>
    <cfRule type="cellIs" dxfId="4362" priority="5062" stopIfTrue="1" operator="equal">
      <formula>"Napkin Hs"</formula>
    </cfRule>
  </conditionalFormatting>
  <conditionalFormatting sqref="C113">
    <cfRule type="cellIs" dxfId="4361" priority="5059" stopIfTrue="1" operator="equal">
      <formula>"Towel"</formula>
    </cfRule>
    <cfRule type="cellIs" dxfId="4360" priority="5060" stopIfTrue="1" operator="equal">
      <formula>"Napkin Hs"</formula>
    </cfRule>
  </conditionalFormatting>
  <conditionalFormatting sqref="C113">
    <cfRule type="cellIs" dxfId="4359" priority="5057" stopIfTrue="1" operator="equal">
      <formula>"Towel"</formula>
    </cfRule>
    <cfRule type="cellIs" dxfId="4358" priority="5058" stopIfTrue="1" operator="equal">
      <formula>"Napkin Hs"</formula>
    </cfRule>
  </conditionalFormatting>
  <conditionalFormatting sqref="C113">
    <cfRule type="cellIs" dxfId="4357" priority="5056" stopIfTrue="1" operator="equal">
      <formula>"Napkin Hs"</formula>
    </cfRule>
  </conditionalFormatting>
  <conditionalFormatting sqref="C113">
    <cfRule type="cellIs" dxfId="4356" priority="5055" stopIfTrue="1" operator="equal">
      <formula>"Towel"</formula>
    </cfRule>
  </conditionalFormatting>
  <conditionalFormatting sqref="C113">
    <cfRule type="cellIs" dxfId="4355" priority="5054" stopIfTrue="1" operator="equal">
      <formula>"Napkin Hs"</formula>
    </cfRule>
  </conditionalFormatting>
  <conditionalFormatting sqref="C113">
    <cfRule type="cellIs" dxfId="4354" priority="5051" stopIfTrue="1" operator="equal">
      <formula>"Towel"</formula>
    </cfRule>
    <cfRule type="cellIs" dxfId="4353" priority="5052" stopIfTrue="1" operator="equal">
      <formula>"Napkin Hs"</formula>
    </cfRule>
  </conditionalFormatting>
  <conditionalFormatting sqref="C113">
    <cfRule type="cellIs" dxfId="4352" priority="5053" stopIfTrue="1" operator="equal">
      <formula>"Towel"</formula>
    </cfRule>
  </conditionalFormatting>
  <conditionalFormatting sqref="B113:C113">
    <cfRule type="cellIs" dxfId="4351" priority="5049" stopIfTrue="1" operator="equal">
      <formula>"Towel"</formula>
    </cfRule>
    <cfRule type="cellIs" dxfId="4350" priority="5050" stopIfTrue="1" operator="equal">
      <formula>"Napkin Hs"</formula>
    </cfRule>
  </conditionalFormatting>
  <conditionalFormatting sqref="C113">
    <cfRule type="cellIs" dxfId="4349" priority="5047" stopIfTrue="1" operator="equal">
      <formula>"Towel"</formula>
    </cfRule>
    <cfRule type="cellIs" dxfId="4348" priority="5048" stopIfTrue="1" operator="equal">
      <formula>"Napkin Hs"</formula>
    </cfRule>
  </conditionalFormatting>
  <conditionalFormatting sqref="C113">
    <cfRule type="cellIs" dxfId="4347" priority="5045" stopIfTrue="1" operator="equal">
      <formula>"Towel"</formula>
    </cfRule>
    <cfRule type="cellIs" dxfId="4346" priority="5046" stopIfTrue="1" operator="equal">
      <formula>"Napkin Hs"</formula>
    </cfRule>
  </conditionalFormatting>
  <conditionalFormatting sqref="B113:C113">
    <cfRule type="cellIs" dxfId="4345" priority="4984" stopIfTrue="1" operator="equal">
      <formula>"Napkin Hs"</formula>
    </cfRule>
  </conditionalFormatting>
  <conditionalFormatting sqref="B113:C113">
    <cfRule type="cellIs" dxfId="4344" priority="4983" stopIfTrue="1" operator="equal">
      <formula>"Towel"</formula>
    </cfRule>
  </conditionalFormatting>
  <conditionalFormatting sqref="C113">
    <cfRule type="cellIs" dxfId="4343" priority="4982" stopIfTrue="1" operator="equal">
      <formula>"Napkin Hs"</formula>
    </cfRule>
  </conditionalFormatting>
  <conditionalFormatting sqref="C113">
    <cfRule type="cellIs" dxfId="4342" priority="4979" stopIfTrue="1" operator="equal">
      <formula>"Towel"</formula>
    </cfRule>
    <cfRule type="cellIs" dxfId="4341" priority="4980" stopIfTrue="1" operator="equal">
      <formula>"Napkin Hs"</formula>
    </cfRule>
  </conditionalFormatting>
  <conditionalFormatting sqref="C113">
    <cfRule type="cellIs" dxfId="4340" priority="4981" stopIfTrue="1" operator="equal">
      <formula>"Towel"</formula>
    </cfRule>
  </conditionalFormatting>
  <conditionalFormatting sqref="B113:C113">
    <cfRule type="cellIs" dxfId="4339" priority="5044" stopIfTrue="1" operator="equal">
      <formula>"Napkin Hs"</formula>
    </cfRule>
  </conditionalFormatting>
  <conditionalFormatting sqref="B113:C113">
    <cfRule type="cellIs" dxfId="4338" priority="5043" stopIfTrue="1" operator="equal">
      <formula>"Towel"</formula>
    </cfRule>
  </conditionalFormatting>
  <conditionalFormatting sqref="C113">
    <cfRule type="cellIs" dxfId="4337" priority="5042" stopIfTrue="1" operator="equal">
      <formula>"Napkin Hs"</formula>
    </cfRule>
  </conditionalFormatting>
  <conditionalFormatting sqref="C113">
    <cfRule type="cellIs" dxfId="4336" priority="5041" stopIfTrue="1" operator="equal">
      <formula>"Towel"</formula>
    </cfRule>
  </conditionalFormatting>
  <conditionalFormatting sqref="C113">
    <cfRule type="cellIs" dxfId="4335" priority="5039" stopIfTrue="1" operator="equal">
      <formula>"Towel"</formula>
    </cfRule>
    <cfRule type="cellIs" dxfId="4334" priority="5040" stopIfTrue="1" operator="equal">
      <formula>"Napkin Hs"</formula>
    </cfRule>
  </conditionalFormatting>
  <conditionalFormatting sqref="B113:C113">
    <cfRule type="cellIs" dxfId="4333" priority="5037" stopIfTrue="1" operator="equal">
      <formula>"Towel"</formula>
    </cfRule>
    <cfRule type="cellIs" dxfId="4332" priority="5038" stopIfTrue="1" operator="equal">
      <formula>"Napkin Hs"</formula>
    </cfRule>
  </conditionalFormatting>
  <conditionalFormatting sqref="C113">
    <cfRule type="cellIs" dxfId="4331" priority="5033" stopIfTrue="1" operator="equal">
      <formula>"Towel"</formula>
    </cfRule>
    <cfRule type="cellIs" dxfId="4330" priority="5034" stopIfTrue="1" operator="equal">
      <formula>"Napkin Hs"</formula>
    </cfRule>
  </conditionalFormatting>
  <conditionalFormatting sqref="C113">
    <cfRule type="cellIs" dxfId="4329" priority="5035" stopIfTrue="1" operator="equal">
      <formula>"Towel"</formula>
    </cfRule>
    <cfRule type="cellIs" dxfId="4328" priority="5036" stopIfTrue="1" operator="equal">
      <formula>"Napkin Hs"</formula>
    </cfRule>
  </conditionalFormatting>
  <conditionalFormatting sqref="B113:C113">
    <cfRule type="cellIs" dxfId="4327" priority="5032" stopIfTrue="1" operator="equal">
      <formula>"Napkin Hs"</formula>
    </cfRule>
  </conditionalFormatting>
  <conditionalFormatting sqref="B113:C113">
    <cfRule type="cellIs" dxfId="4326" priority="5031" stopIfTrue="1" operator="equal">
      <formula>"Towel"</formula>
    </cfRule>
  </conditionalFormatting>
  <conditionalFormatting sqref="C113">
    <cfRule type="cellIs" dxfId="4325" priority="5030" stopIfTrue="1" operator="equal">
      <formula>"Napkin Hs"</formula>
    </cfRule>
  </conditionalFormatting>
  <conditionalFormatting sqref="C113">
    <cfRule type="cellIs" dxfId="4324" priority="5029" stopIfTrue="1" operator="equal">
      <formula>"Towel"</formula>
    </cfRule>
  </conditionalFormatting>
  <conditionalFormatting sqref="C113">
    <cfRule type="cellIs" dxfId="4323" priority="5027" stopIfTrue="1" operator="equal">
      <formula>"Towel"</formula>
    </cfRule>
    <cfRule type="cellIs" dxfId="4322" priority="5028" stopIfTrue="1" operator="equal">
      <formula>"Napkin Hs"</formula>
    </cfRule>
  </conditionalFormatting>
  <conditionalFormatting sqref="B113:C113">
    <cfRule type="cellIs" dxfId="4321" priority="5025" stopIfTrue="1" operator="equal">
      <formula>"Towel"</formula>
    </cfRule>
    <cfRule type="cellIs" dxfId="4320" priority="5026" stopIfTrue="1" operator="equal">
      <formula>"Napkin Hs"</formula>
    </cfRule>
  </conditionalFormatting>
  <conditionalFormatting sqref="C113">
    <cfRule type="cellIs" dxfId="4319" priority="5023" stopIfTrue="1" operator="equal">
      <formula>"Towel"</formula>
    </cfRule>
    <cfRule type="cellIs" dxfId="4318" priority="5024" stopIfTrue="1" operator="equal">
      <formula>"Napkin Hs"</formula>
    </cfRule>
  </conditionalFormatting>
  <conditionalFormatting sqref="C113">
    <cfRule type="cellIs" dxfId="4317" priority="5021" stopIfTrue="1" operator="equal">
      <formula>"Towel"</formula>
    </cfRule>
    <cfRule type="cellIs" dxfId="4316" priority="5022" stopIfTrue="1" operator="equal">
      <formula>"Napkin Hs"</formula>
    </cfRule>
  </conditionalFormatting>
  <conditionalFormatting sqref="B113:C113">
    <cfRule type="cellIs" dxfId="4315" priority="5019" stopIfTrue="1" operator="equal">
      <formula>"Towel"</formula>
    </cfRule>
    <cfRule type="cellIs" dxfId="4314" priority="5020" stopIfTrue="1" operator="equal">
      <formula>"Napkin Hs"</formula>
    </cfRule>
  </conditionalFormatting>
  <conditionalFormatting sqref="C113">
    <cfRule type="cellIs" dxfId="4313" priority="5017" stopIfTrue="1" operator="equal">
      <formula>"Towel"</formula>
    </cfRule>
    <cfRule type="cellIs" dxfId="4312" priority="5018" stopIfTrue="1" operator="equal">
      <formula>"Napkin Hs"</formula>
    </cfRule>
  </conditionalFormatting>
  <conditionalFormatting sqref="C113">
    <cfRule type="cellIs" dxfId="4311" priority="5015" stopIfTrue="1" operator="equal">
      <formula>"Towel"</formula>
    </cfRule>
    <cfRule type="cellIs" dxfId="4310" priority="5016" stopIfTrue="1" operator="equal">
      <formula>"Napkin Hs"</formula>
    </cfRule>
  </conditionalFormatting>
  <conditionalFormatting sqref="B113:C113">
    <cfRule type="cellIs" dxfId="4309" priority="5013" stopIfTrue="1" operator="equal">
      <formula>"Towel"</formula>
    </cfRule>
    <cfRule type="cellIs" dxfId="4308" priority="5014" stopIfTrue="1" operator="equal">
      <formula>"Napkin Hs"</formula>
    </cfRule>
  </conditionalFormatting>
  <conditionalFormatting sqref="C113">
    <cfRule type="cellIs" dxfId="4307" priority="5011" stopIfTrue="1" operator="equal">
      <formula>"Towel"</formula>
    </cfRule>
    <cfRule type="cellIs" dxfId="4306" priority="5012" stopIfTrue="1" operator="equal">
      <formula>"Napkin Hs"</formula>
    </cfRule>
  </conditionalFormatting>
  <conditionalFormatting sqref="C113">
    <cfRule type="cellIs" dxfId="4305" priority="5009" stopIfTrue="1" operator="equal">
      <formula>"Towel"</formula>
    </cfRule>
    <cfRule type="cellIs" dxfId="4304" priority="5010" stopIfTrue="1" operator="equal">
      <formula>"Napkin Hs"</formula>
    </cfRule>
  </conditionalFormatting>
  <conditionalFormatting sqref="B113:C113">
    <cfRule type="cellIs" dxfId="4303" priority="5007" stopIfTrue="1" operator="equal">
      <formula>"Towel"</formula>
    </cfRule>
    <cfRule type="cellIs" dxfId="4302" priority="5008" stopIfTrue="1" operator="equal">
      <formula>"Napkin Hs"</formula>
    </cfRule>
  </conditionalFormatting>
  <conditionalFormatting sqref="C113">
    <cfRule type="cellIs" dxfId="4301" priority="5005" stopIfTrue="1" operator="equal">
      <formula>"Towel"</formula>
    </cfRule>
    <cfRule type="cellIs" dxfId="4300" priority="5006" stopIfTrue="1" operator="equal">
      <formula>"Napkin Hs"</formula>
    </cfRule>
  </conditionalFormatting>
  <conditionalFormatting sqref="C113">
    <cfRule type="cellIs" dxfId="4299" priority="5003" stopIfTrue="1" operator="equal">
      <formula>"Towel"</formula>
    </cfRule>
    <cfRule type="cellIs" dxfId="4298" priority="5004" stopIfTrue="1" operator="equal">
      <formula>"Napkin Hs"</formula>
    </cfRule>
  </conditionalFormatting>
  <conditionalFormatting sqref="B113:C113">
    <cfRule type="cellIs" dxfId="4297" priority="5001" stopIfTrue="1" operator="equal">
      <formula>"Towel"</formula>
    </cfRule>
    <cfRule type="cellIs" dxfId="4296" priority="5002" stopIfTrue="1" operator="equal">
      <formula>"Napkin Hs"</formula>
    </cfRule>
  </conditionalFormatting>
  <conditionalFormatting sqref="C113">
    <cfRule type="cellIs" dxfId="4295" priority="4999" stopIfTrue="1" operator="equal">
      <formula>"Towel"</formula>
    </cfRule>
    <cfRule type="cellIs" dxfId="4294" priority="5000" stopIfTrue="1" operator="equal">
      <formula>"Napkin Hs"</formula>
    </cfRule>
  </conditionalFormatting>
  <conditionalFormatting sqref="C113">
    <cfRule type="cellIs" dxfId="4293" priority="4997" stopIfTrue="1" operator="equal">
      <formula>"Towel"</formula>
    </cfRule>
    <cfRule type="cellIs" dxfId="4292" priority="4998" stopIfTrue="1" operator="equal">
      <formula>"Napkin Hs"</formula>
    </cfRule>
  </conditionalFormatting>
  <conditionalFormatting sqref="B113:C113">
    <cfRule type="cellIs" dxfId="4291" priority="4996" stopIfTrue="1" operator="equal">
      <formula>"Napkin Hs"</formula>
    </cfRule>
  </conditionalFormatting>
  <conditionalFormatting sqref="B113:C113">
    <cfRule type="cellIs" dxfId="4290" priority="4995" stopIfTrue="1" operator="equal">
      <formula>"Towel"</formula>
    </cfRule>
  </conditionalFormatting>
  <conditionalFormatting sqref="C113">
    <cfRule type="cellIs" dxfId="4289" priority="4994" stopIfTrue="1" operator="equal">
      <formula>"Napkin Hs"</formula>
    </cfRule>
  </conditionalFormatting>
  <conditionalFormatting sqref="C113">
    <cfRule type="cellIs" dxfId="4288" priority="4991" stopIfTrue="1" operator="equal">
      <formula>"Towel"</formula>
    </cfRule>
    <cfRule type="cellIs" dxfId="4287" priority="4992" stopIfTrue="1" operator="equal">
      <formula>"Napkin Hs"</formula>
    </cfRule>
  </conditionalFormatting>
  <conditionalFormatting sqref="C113">
    <cfRule type="cellIs" dxfId="4286" priority="4993" stopIfTrue="1" operator="equal">
      <formula>"Towel"</formula>
    </cfRule>
  </conditionalFormatting>
  <conditionalFormatting sqref="B113:C113">
    <cfRule type="cellIs" dxfId="4285" priority="4990" stopIfTrue="1" operator="equal">
      <formula>"Napkin Hs"</formula>
    </cfRule>
  </conditionalFormatting>
  <conditionalFormatting sqref="B113:C113">
    <cfRule type="cellIs" dxfId="4284" priority="4989" stopIfTrue="1" operator="equal">
      <formula>"Towel"</formula>
    </cfRule>
  </conditionalFormatting>
  <conditionalFormatting sqref="C113">
    <cfRule type="cellIs" dxfId="4283" priority="4988" stopIfTrue="1" operator="equal">
      <formula>"Napkin Hs"</formula>
    </cfRule>
  </conditionalFormatting>
  <conditionalFormatting sqref="C113">
    <cfRule type="cellIs" dxfId="4282" priority="4985" stopIfTrue="1" operator="equal">
      <formula>"Towel"</formula>
    </cfRule>
    <cfRule type="cellIs" dxfId="4281" priority="4986" stopIfTrue="1" operator="equal">
      <formula>"Napkin Hs"</formula>
    </cfRule>
  </conditionalFormatting>
  <conditionalFormatting sqref="C113">
    <cfRule type="cellIs" dxfId="4280" priority="4987" stopIfTrue="1" operator="equal">
      <formula>"Towel"</formula>
    </cfRule>
  </conditionalFormatting>
  <conditionalFormatting sqref="B112:C112">
    <cfRule type="cellIs" dxfId="4279" priority="4977" stopIfTrue="1" operator="equal">
      <formula>"Towel"</formula>
    </cfRule>
    <cfRule type="cellIs" dxfId="4278" priority="4978" stopIfTrue="1" operator="equal">
      <formula>"Napkin Hs"</formula>
    </cfRule>
  </conditionalFormatting>
  <conditionalFormatting sqref="C112">
    <cfRule type="cellIs" dxfId="4277" priority="4973" stopIfTrue="1" operator="equal">
      <formula>"Towel"</formula>
    </cfRule>
    <cfRule type="cellIs" dxfId="4276" priority="4974" stopIfTrue="1" operator="equal">
      <formula>"Napkin Hs"</formula>
    </cfRule>
  </conditionalFormatting>
  <conditionalFormatting sqref="C112">
    <cfRule type="cellIs" dxfId="4275" priority="4975" stopIfTrue="1" operator="equal">
      <formula>"Towel"</formula>
    </cfRule>
    <cfRule type="cellIs" dxfId="4274" priority="4976" stopIfTrue="1" operator="equal">
      <formula>"Napkin Hs"</formula>
    </cfRule>
  </conditionalFormatting>
  <conditionalFormatting sqref="B112:C112">
    <cfRule type="cellIs" dxfId="4273" priority="4972" stopIfTrue="1" operator="equal">
      <formula>"Napkin Hs"</formula>
    </cfRule>
  </conditionalFormatting>
  <conditionalFormatting sqref="B112:C112">
    <cfRule type="cellIs" dxfId="4272" priority="4971" stopIfTrue="1" operator="equal">
      <formula>"Towel"</formula>
    </cfRule>
  </conditionalFormatting>
  <conditionalFormatting sqref="C112">
    <cfRule type="cellIs" dxfId="4271" priority="4970" stopIfTrue="1" operator="equal">
      <formula>"Napkin Hs"</formula>
    </cfRule>
  </conditionalFormatting>
  <conditionalFormatting sqref="C112">
    <cfRule type="cellIs" dxfId="4270" priority="4969" stopIfTrue="1" operator="equal">
      <formula>"Towel"</formula>
    </cfRule>
  </conditionalFormatting>
  <conditionalFormatting sqref="C112">
    <cfRule type="cellIs" dxfId="4269" priority="4967" stopIfTrue="1" operator="equal">
      <formula>"Towel"</formula>
    </cfRule>
    <cfRule type="cellIs" dxfId="4268" priority="4968" stopIfTrue="1" operator="equal">
      <formula>"Napkin Hs"</formula>
    </cfRule>
  </conditionalFormatting>
  <conditionalFormatting sqref="B112:C112">
    <cfRule type="cellIs" dxfId="4267" priority="4965" stopIfTrue="1" operator="equal">
      <formula>"Towel"</formula>
    </cfRule>
    <cfRule type="cellIs" dxfId="4266" priority="4966" stopIfTrue="1" operator="equal">
      <formula>"Napkin Hs"</formula>
    </cfRule>
  </conditionalFormatting>
  <conditionalFormatting sqref="C112">
    <cfRule type="cellIs" dxfId="4265" priority="4963" stopIfTrue="1" operator="equal">
      <formula>"Towel"</formula>
    </cfRule>
    <cfRule type="cellIs" dxfId="4264" priority="4964" stopIfTrue="1" operator="equal">
      <formula>"Napkin Hs"</formula>
    </cfRule>
  </conditionalFormatting>
  <conditionalFormatting sqref="C112">
    <cfRule type="cellIs" dxfId="4263" priority="4961" stopIfTrue="1" operator="equal">
      <formula>"Towel"</formula>
    </cfRule>
    <cfRule type="cellIs" dxfId="4262" priority="4962" stopIfTrue="1" operator="equal">
      <formula>"Napkin Hs"</formula>
    </cfRule>
  </conditionalFormatting>
  <conditionalFormatting sqref="B112:C112">
    <cfRule type="cellIs" dxfId="4261" priority="4959" stopIfTrue="1" operator="equal">
      <formula>"Towel"</formula>
    </cfRule>
    <cfRule type="cellIs" dxfId="4260" priority="4960" stopIfTrue="1" operator="equal">
      <formula>"Napkin Hs"</formula>
    </cfRule>
  </conditionalFormatting>
  <conditionalFormatting sqref="C112">
    <cfRule type="cellIs" dxfId="4259" priority="4957" stopIfTrue="1" operator="equal">
      <formula>"Towel"</formula>
    </cfRule>
    <cfRule type="cellIs" dxfId="4258" priority="4958" stopIfTrue="1" operator="equal">
      <formula>"Napkin Hs"</formula>
    </cfRule>
  </conditionalFormatting>
  <conditionalFormatting sqref="C112">
    <cfRule type="cellIs" dxfId="4257" priority="4955" stopIfTrue="1" operator="equal">
      <formula>"Towel"</formula>
    </cfRule>
    <cfRule type="cellIs" dxfId="4256" priority="4956" stopIfTrue="1" operator="equal">
      <formula>"Napkin Hs"</formula>
    </cfRule>
  </conditionalFormatting>
  <conditionalFormatting sqref="B112:C112">
    <cfRule type="cellIs" dxfId="4255" priority="4953" stopIfTrue="1" operator="equal">
      <formula>"Towel"</formula>
    </cfRule>
    <cfRule type="cellIs" dxfId="4254" priority="4954" stopIfTrue="1" operator="equal">
      <formula>"Napkin Hs"</formula>
    </cfRule>
  </conditionalFormatting>
  <conditionalFormatting sqref="C112">
    <cfRule type="cellIs" dxfId="4253" priority="4951" stopIfTrue="1" operator="equal">
      <formula>"Towel"</formula>
    </cfRule>
    <cfRule type="cellIs" dxfId="4252" priority="4952" stopIfTrue="1" operator="equal">
      <formula>"Napkin Hs"</formula>
    </cfRule>
  </conditionalFormatting>
  <conditionalFormatting sqref="C112">
    <cfRule type="cellIs" dxfId="4251" priority="4949" stopIfTrue="1" operator="equal">
      <formula>"Towel"</formula>
    </cfRule>
    <cfRule type="cellIs" dxfId="4250" priority="4950" stopIfTrue="1" operator="equal">
      <formula>"Napkin Hs"</formula>
    </cfRule>
  </conditionalFormatting>
  <conditionalFormatting sqref="B112:C112">
    <cfRule type="cellIs" dxfId="4249" priority="4947" stopIfTrue="1" operator="equal">
      <formula>"Towel"</formula>
    </cfRule>
    <cfRule type="cellIs" dxfId="4248" priority="4948" stopIfTrue="1" operator="equal">
      <formula>"Napkin Hs"</formula>
    </cfRule>
  </conditionalFormatting>
  <conditionalFormatting sqref="C112">
    <cfRule type="cellIs" dxfId="4247" priority="4945" stopIfTrue="1" operator="equal">
      <formula>"Towel"</formula>
    </cfRule>
    <cfRule type="cellIs" dxfId="4246" priority="4946" stopIfTrue="1" operator="equal">
      <formula>"Napkin Hs"</formula>
    </cfRule>
  </conditionalFormatting>
  <conditionalFormatting sqref="C112">
    <cfRule type="cellIs" dxfId="4245" priority="4943" stopIfTrue="1" operator="equal">
      <formula>"Towel"</formula>
    </cfRule>
    <cfRule type="cellIs" dxfId="4244" priority="4944" stopIfTrue="1" operator="equal">
      <formula>"Napkin Hs"</formula>
    </cfRule>
  </conditionalFormatting>
  <conditionalFormatting sqref="B112:C112">
    <cfRule type="cellIs" dxfId="4243" priority="4941" stopIfTrue="1" operator="equal">
      <formula>"Towel"</formula>
    </cfRule>
    <cfRule type="cellIs" dxfId="4242" priority="4942" stopIfTrue="1" operator="equal">
      <formula>"Napkin Hs"</formula>
    </cfRule>
  </conditionalFormatting>
  <conditionalFormatting sqref="C112">
    <cfRule type="cellIs" dxfId="4241" priority="4939" stopIfTrue="1" operator="equal">
      <formula>"Towel"</formula>
    </cfRule>
    <cfRule type="cellIs" dxfId="4240" priority="4940" stopIfTrue="1" operator="equal">
      <formula>"Napkin Hs"</formula>
    </cfRule>
  </conditionalFormatting>
  <conditionalFormatting sqref="C112">
    <cfRule type="cellIs" dxfId="4239" priority="4937" stopIfTrue="1" operator="equal">
      <formula>"Towel"</formula>
    </cfRule>
    <cfRule type="cellIs" dxfId="4238" priority="4938" stopIfTrue="1" operator="equal">
      <formula>"Napkin Hs"</formula>
    </cfRule>
  </conditionalFormatting>
  <conditionalFormatting sqref="B112:C112">
    <cfRule type="cellIs" dxfId="4237" priority="4936" stopIfTrue="1" operator="equal">
      <formula>"Napkin Hs"</formula>
    </cfRule>
  </conditionalFormatting>
  <conditionalFormatting sqref="B112:C112">
    <cfRule type="cellIs" dxfId="4236" priority="4935" stopIfTrue="1" operator="equal">
      <formula>"Towel"</formula>
    </cfRule>
  </conditionalFormatting>
  <conditionalFormatting sqref="C112">
    <cfRule type="cellIs" dxfId="4235" priority="4934" stopIfTrue="1" operator="equal">
      <formula>"Napkin Hs"</formula>
    </cfRule>
  </conditionalFormatting>
  <conditionalFormatting sqref="C112">
    <cfRule type="cellIs" dxfId="4234" priority="4931" stopIfTrue="1" operator="equal">
      <formula>"Towel"</formula>
    </cfRule>
    <cfRule type="cellIs" dxfId="4233" priority="4932" stopIfTrue="1" operator="equal">
      <formula>"Napkin Hs"</formula>
    </cfRule>
  </conditionalFormatting>
  <conditionalFormatting sqref="C112">
    <cfRule type="cellIs" dxfId="4232" priority="4933" stopIfTrue="1" operator="equal">
      <formula>"Towel"</formula>
    </cfRule>
  </conditionalFormatting>
  <conditionalFormatting sqref="B112:C112">
    <cfRule type="cellIs" dxfId="4231" priority="4930" stopIfTrue="1" operator="equal">
      <formula>"Napkin Hs"</formula>
    </cfRule>
  </conditionalFormatting>
  <conditionalFormatting sqref="B112:C112">
    <cfRule type="cellIs" dxfId="4230" priority="4929" stopIfTrue="1" operator="equal">
      <formula>"Towel"</formula>
    </cfRule>
  </conditionalFormatting>
  <conditionalFormatting sqref="C112">
    <cfRule type="cellIs" dxfId="4229" priority="4928" stopIfTrue="1" operator="equal">
      <formula>"Napkin Hs"</formula>
    </cfRule>
  </conditionalFormatting>
  <conditionalFormatting sqref="C112">
    <cfRule type="cellIs" dxfId="4228" priority="4927" stopIfTrue="1" operator="equal">
      <formula>"Towel"</formula>
    </cfRule>
  </conditionalFormatting>
  <conditionalFormatting sqref="C112">
    <cfRule type="cellIs" dxfId="4227" priority="4925" stopIfTrue="1" operator="equal">
      <formula>"Towel"</formula>
    </cfRule>
    <cfRule type="cellIs" dxfId="4226" priority="4926" stopIfTrue="1" operator="equal">
      <formula>"Napkin Hs"</formula>
    </cfRule>
  </conditionalFormatting>
  <conditionalFormatting sqref="C112">
    <cfRule type="cellIs" dxfId="4225" priority="4919" stopIfTrue="1" operator="equal">
      <formula>"Towel"</formula>
    </cfRule>
    <cfRule type="cellIs" dxfId="4224" priority="4920" stopIfTrue="1" operator="equal">
      <formula>"Napkin Hs"</formula>
    </cfRule>
  </conditionalFormatting>
  <conditionalFormatting sqref="B112:C112">
    <cfRule type="cellIs" dxfId="4223" priority="4918" stopIfTrue="1" operator="equal">
      <formula>"Napkin Hs"</formula>
    </cfRule>
  </conditionalFormatting>
  <conditionalFormatting sqref="B112:C112">
    <cfRule type="cellIs" dxfId="4222" priority="4917" stopIfTrue="1" operator="equal">
      <formula>"Towel"</formula>
    </cfRule>
  </conditionalFormatting>
  <conditionalFormatting sqref="C112">
    <cfRule type="cellIs" dxfId="4221" priority="4916" stopIfTrue="1" operator="equal">
      <formula>"Napkin Hs"</formula>
    </cfRule>
  </conditionalFormatting>
  <conditionalFormatting sqref="C112">
    <cfRule type="cellIs" dxfId="4220" priority="4915" stopIfTrue="1" operator="equal">
      <formula>"Towel"</formula>
    </cfRule>
  </conditionalFormatting>
  <conditionalFormatting sqref="C112">
    <cfRule type="cellIs" dxfId="4219" priority="4913" stopIfTrue="1" operator="equal">
      <formula>"Towel"</formula>
    </cfRule>
    <cfRule type="cellIs" dxfId="4218" priority="4914" stopIfTrue="1" operator="equal">
      <formula>"Napkin Hs"</formula>
    </cfRule>
  </conditionalFormatting>
  <conditionalFormatting sqref="C112">
    <cfRule type="cellIs" dxfId="4217" priority="4907" stopIfTrue="1" operator="equal">
      <formula>"Towel"</formula>
    </cfRule>
    <cfRule type="cellIs" dxfId="4216" priority="4908" stopIfTrue="1" operator="equal">
      <formula>"Napkin Hs"</formula>
    </cfRule>
  </conditionalFormatting>
  <conditionalFormatting sqref="C112">
    <cfRule type="cellIs" dxfId="4215" priority="4901" stopIfTrue="1" operator="equal">
      <formula>"Towel"</formula>
    </cfRule>
    <cfRule type="cellIs" dxfId="4214" priority="4902" stopIfTrue="1" operator="equal">
      <formula>"Napkin Hs"</formula>
    </cfRule>
  </conditionalFormatting>
  <conditionalFormatting sqref="C112">
    <cfRule type="cellIs" dxfId="4213" priority="4895" stopIfTrue="1" operator="equal">
      <formula>"Towel"</formula>
    </cfRule>
    <cfRule type="cellIs" dxfId="4212" priority="4896" stopIfTrue="1" operator="equal">
      <formula>"Napkin Hs"</formula>
    </cfRule>
  </conditionalFormatting>
  <conditionalFormatting sqref="C112">
    <cfRule type="cellIs" dxfId="4211" priority="4889" stopIfTrue="1" operator="equal">
      <formula>"Towel"</formula>
    </cfRule>
    <cfRule type="cellIs" dxfId="4210" priority="4890" stopIfTrue="1" operator="equal">
      <formula>"Napkin Hs"</formula>
    </cfRule>
  </conditionalFormatting>
  <conditionalFormatting sqref="C112">
    <cfRule type="cellIs" dxfId="4209" priority="4883" stopIfTrue="1" operator="equal">
      <formula>"Towel"</formula>
    </cfRule>
    <cfRule type="cellIs" dxfId="4208" priority="4884" stopIfTrue="1" operator="equal">
      <formula>"Napkin Hs"</formula>
    </cfRule>
  </conditionalFormatting>
  <conditionalFormatting sqref="B112:C112">
    <cfRule type="cellIs" dxfId="4207" priority="4882" stopIfTrue="1" operator="equal">
      <formula>"Napkin Hs"</formula>
    </cfRule>
  </conditionalFormatting>
  <conditionalFormatting sqref="B112:C112">
    <cfRule type="cellIs" dxfId="4206" priority="4881" stopIfTrue="1" operator="equal">
      <formula>"Towel"</formula>
    </cfRule>
  </conditionalFormatting>
  <conditionalFormatting sqref="C112">
    <cfRule type="cellIs" dxfId="4205" priority="4880" stopIfTrue="1" operator="equal">
      <formula>"Napkin Hs"</formula>
    </cfRule>
  </conditionalFormatting>
  <conditionalFormatting sqref="C112">
    <cfRule type="cellIs" dxfId="4204" priority="4877" stopIfTrue="1" operator="equal">
      <formula>"Towel"</formula>
    </cfRule>
    <cfRule type="cellIs" dxfId="4203" priority="4878" stopIfTrue="1" operator="equal">
      <formula>"Napkin Hs"</formula>
    </cfRule>
  </conditionalFormatting>
  <conditionalFormatting sqref="C112">
    <cfRule type="cellIs" dxfId="4202" priority="4879" stopIfTrue="1" operator="equal">
      <formula>"Towel"</formula>
    </cfRule>
  </conditionalFormatting>
  <conditionalFormatting sqref="B112:C112">
    <cfRule type="cellIs" dxfId="4201" priority="4876" stopIfTrue="1" operator="equal">
      <formula>"Napkin Hs"</formula>
    </cfRule>
  </conditionalFormatting>
  <conditionalFormatting sqref="B112:C112">
    <cfRule type="cellIs" dxfId="4200" priority="4875" stopIfTrue="1" operator="equal">
      <formula>"Towel"</formula>
    </cfRule>
  </conditionalFormatting>
  <conditionalFormatting sqref="C112">
    <cfRule type="cellIs" dxfId="4199" priority="4874" stopIfTrue="1" operator="equal">
      <formula>"Napkin Hs"</formula>
    </cfRule>
  </conditionalFormatting>
  <conditionalFormatting sqref="C112">
    <cfRule type="cellIs" dxfId="4198" priority="4871" stopIfTrue="1" operator="equal">
      <formula>"Towel"</formula>
    </cfRule>
    <cfRule type="cellIs" dxfId="4197" priority="4872" stopIfTrue="1" operator="equal">
      <formula>"Napkin Hs"</formula>
    </cfRule>
  </conditionalFormatting>
  <conditionalFormatting sqref="C112">
    <cfRule type="cellIs" dxfId="4196" priority="4873" stopIfTrue="1" operator="equal">
      <formula>"Towel"</formula>
    </cfRule>
  </conditionalFormatting>
  <conditionalFormatting sqref="B112:C112">
    <cfRule type="cellIs" dxfId="4195" priority="4923" stopIfTrue="1" operator="equal">
      <formula>"Towel"</formula>
    </cfRule>
    <cfRule type="cellIs" dxfId="4194" priority="4924" stopIfTrue="1" operator="equal">
      <formula>"Napkin Hs"</formula>
    </cfRule>
  </conditionalFormatting>
  <conditionalFormatting sqref="C112">
    <cfRule type="cellIs" dxfId="4193" priority="4921" stopIfTrue="1" operator="equal">
      <formula>"Towel"</formula>
    </cfRule>
    <cfRule type="cellIs" dxfId="4192" priority="4922" stopIfTrue="1" operator="equal">
      <formula>"Napkin Hs"</formula>
    </cfRule>
  </conditionalFormatting>
  <conditionalFormatting sqref="B112:C112">
    <cfRule type="cellIs" dxfId="4191" priority="4911" stopIfTrue="1" operator="equal">
      <formula>"Towel"</formula>
    </cfRule>
    <cfRule type="cellIs" dxfId="4190" priority="4912" stopIfTrue="1" operator="equal">
      <formula>"Napkin Hs"</formula>
    </cfRule>
  </conditionalFormatting>
  <conditionalFormatting sqref="C112">
    <cfRule type="cellIs" dxfId="4189" priority="4909" stopIfTrue="1" operator="equal">
      <formula>"Towel"</formula>
    </cfRule>
    <cfRule type="cellIs" dxfId="4188" priority="4910" stopIfTrue="1" operator="equal">
      <formula>"Napkin Hs"</formula>
    </cfRule>
  </conditionalFormatting>
  <conditionalFormatting sqref="B112:C112">
    <cfRule type="cellIs" dxfId="4187" priority="4905" stopIfTrue="1" operator="equal">
      <formula>"Towel"</formula>
    </cfRule>
    <cfRule type="cellIs" dxfId="4186" priority="4906" stopIfTrue="1" operator="equal">
      <formula>"Napkin Hs"</formula>
    </cfRule>
  </conditionalFormatting>
  <conditionalFormatting sqref="C112">
    <cfRule type="cellIs" dxfId="4185" priority="4903" stopIfTrue="1" operator="equal">
      <formula>"Towel"</formula>
    </cfRule>
    <cfRule type="cellIs" dxfId="4184" priority="4904" stopIfTrue="1" operator="equal">
      <formula>"Napkin Hs"</formula>
    </cfRule>
  </conditionalFormatting>
  <conditionalFormatting sqref="B112:C112">
    <cfRule type="cellIs" dxfId="4183" priority="4899" stopIfTrue="1" operator="equal">
      <formula>"Towel"</formula>
    </cfRule>
    <cfRule type="cellIs" dxfId="4182" priority="4900" stopIfTrue="1" operator="equal">
      <formula>"Napkin Hs"</formula>
    </cfRule>
  </conditionalFormatting>
  <conditionalFormatting sqref="C112">
    <cfRule type="cellIs" dxfId="4181" priority="4897" stopIfTrue="1" operator="equal">
      <formula>"Towel"</formula>
    </cfRule>
    <cfRule type="cellIs" dxfId="4180" priority="4898" stopIfTrue="1" operator="equal">
      <formula>"Napkin Hs"</formula>
    </cfRule>
  </conditionalFormatting>
  <conditionalFormatting sqref="B112:C112">
    <cfRule type="cellIs" dxfId="4179" priority="4893" stopIfTrue="1" operator="equal">
      <formula>"Towel"</formula>
    </cfRule>
    <cfRule type="cellIs" dxfId="4178" priority="4894" stopIfTrue="1" operator="equal">
      <formula>"Napkin Hs"</formula>
    </cfRule>
  </conditionalFormatting>
  <conditionalFormatting sqref="C112">
    <cfRule type="cellIs" dxfId="4177" priority="4891" stopIfTrue="1" operator="equal">
      <formula>"Towel"</formula>
    </cfRule>
    <cfRule type="cellIs" dxfId="4176" priority="4892" stopIfTrue="1" operator="equal">
      <formula>"Napkin Hs"</formula>
    </cfRule>
  </conditionalFormatting>
  <conditionalFormatting sqref="B112:C112">
    <cfRule type="cellIs" dxfId="4175" priority="4887" stopIfTrue="1" operator="equal">
      <formula>"Towel"</formula>
    </cfRule>
    <cfRule type="cellIs" dxfId="4174" priority="4888" stopIfTrue="1" operator="equal">
      <formula>"Napkin Hs"</formula>
    </cfRule>
  </conditionalFormatting>
  <conditionalFormatting sqref="C112">
    <cfRule type="cellIs" dxfId="4173" priority="4885" stopIfTrue="1" operator="equal">
      <formula>"Towel"</formula>
    </cfRule>
    <cfRule type="cellIs" dxfId="4172" priority="4886" stopIfTrue="1" operator="equal">
      <formula>"Napkin Hs"</formula>
    </cfRule>
  </conditionalFormatting>
  <conditionalFormatting sqref="B112:C112">
    <cfRule type="cellIs" dxfId="4171" priority="4870" stopIfTrue="1" operator="equal">
      <formula>"Napkin Hs"</formula>
    </cfRule>
  </conditionalFormatting>
  <conditionalFormatting sqref="B112:C112">
    <cfRule type="cellIs" dxfId="4170" priority="4869" stopIfTrue="1" operator="equal">
      <formula>"Towel"</formula>
    </cfRule>
  </conditionalFormatting>
  <conditionalFormatting sqref="C112">
    <cfRule type="cellIs" dxfId="4169" priority="4868" stopIfTrue="1" operator="equal">
      <formula>"Napkin Hs"</formula>
    </cfRule>
  </conditionalFormatting>
  <conditionalFormatting sqref="C112">
    <cfRule type="cellIs" dxfId="4168" priority="4865" stopIfTrue="1" operator="equal">
      <formula>"Towel"</formula>
    </cfRule>
    <cfRule type="cellIs" dxfId="4167" priority="4866" stopIfTrue="1" operator="equal">
      <formula>"Napkin Hs"</formula>
    </cfRule>
  </conditionalFormatting>
  <conditionalFormatting sqref="C112">
    <cfRule type="cellIs" dxfId="4166" priority="4867" stopIfTrue="1" operator="equal">
      <formula>"Towel"</formula>
    </cfRule>
  </conditionalFormatting>
  <conditionalFormatting sqref="B111:C111">
    <cfRule type="cellIs" dxfId="4165" priority="4861" stopIfTrue="1" operator="equal">
      <formula>"Towel"</formula>
    </cfRule>
    <cfRule type="cellIs" dxfId="4164" priority="4862" stopIfTrue="1" operator="equal">
      <formula>"Napkin Hs"</formula>
    </cfRule>
  </conditionalFormatting>
  <conditionalFormatting sqref="C111">
    <cfRule type="cellIs" dxfId="4163" priority="4863" stopIfTrue="1" operator="equal">
      <formula>"Towel"</formula>
    </cfRule>
    <cfRule type="cellIs" dxfId="4162" priority="4864" stopIfTrue="1" operator="equal">
      <formula>"Napkin Hs"</formula>
    </cfRule>
  </conditionalFormatting>
  <conditionalFormatting sqref="C111">
    <cfRule type="cellIs" dxfId="4161" priority="4859" stopIfTrue="1" operator="equal">
      <formula>"Towel"</formula>
    </cfRule>
    <cfRule type="cellIs" dxfId="4160" priority="4860" stopIfTrue="1" operator="equal">
      <formula>"Napkin Hs"</formula>
    </cfRule>
  </conditionalFormatting>
  <conditionalFormatting sqref="B111:C111">
    <cfRule type="cellIs" dxfId="4159" priority="4858" stopIfTrue="1" operator="equal">
      <formula>"Napkin Hs"</formula>
    </cfRule>
  </conditionalFormatting>
  <conditionalFormatting sqref="B111:C111">
    <cfRule type="cellIs" dxfId="4158" priority="4857" stopIfTrue="1" operator="equal">
      <formula>"Towel"</formula>
    </cfRule>
  </conditionalFormatting>
  <conditionalFormatting sqref="C111">
    <cfRule type="cellIs" dxfId="4157" priority="4856" stopIfTrue="1" operator="equal">
      <formula>"Napkin Hs"</formula>
    </cfRule>
  </conditionalFormatting>
  <conditionalFormatting sqref="C111">
    <cfRule type="cellIs" dxfId="4156" priority="4855" stopIfTrue="1" operator="equal">
      <formula>"Towel"</formula>
    </cfRule>
  </conditionalFormatting>
  <conditionalFormatting sqref="C111">
    <cfRule type="cellIs" dxfId="4155" priority="4853" stopIfTrue="1" operator="equal">
      <formula>"Towel"</formula>
    </cfRule>
    <cfRule type="cellIs" dxfId="4154" priority="4854" stopIfTrue="1" operator="equal">
      <formula>"Napkin Hs"</formula>
    </cfRule>
  </conditionalFormatting>
  <conditionalFormatting sqref="B111:C111">
    <cfRule type="cellIs" dxfId="4153" priority="4851" stopIfTrue="1" operator="equal">
      <formula>"Towel"</formula>
    </cfRule>
    <cfRule type="cellIs" dxfId="4152" priority="4852" stopIfTrue="1" operator="equal">
      <formula>"Napkin Hs"</formula>
    </cfRule>
  </conditionalFormatting>
  <conditionalFormatting sqref="C111">
    <cfRule type="cellIs" dxfId="4151" priority="4847" stopIfTrue="1" operator="equal">
      <formula>"Towel"</formula>
    </cfRule>
    <cfRule type="cellIs" dxfId="4150" priority="4848" stopIfTrue="1" operator="equal">
      <formula>"Napkin Hs"</formula>
    </cfRule>
  </conditionalFormatting>
  <conditionalFormatting sqref="C111">
    <cfRule type="cellIs" dxfId="4149" priority="4849" stopIfTrue="1" operator="equal">
      <formula>"Towel"</formula>
    </cfRule>
    <cfRule type="cellIs" dxfId="4148" priority="4850" stopIfTrue="1" operator="equal">
      <formula>"Napkin Hs"</formula>
    </cfRule>
  </conditionalFormatting>
  <conditionalFormatting sqref="B111:C111">
    <cfRule type="cellIs" dxfId="4147" priority="4846" stopIfTrue="1" operator="equal">
      <formula>"Napkin Hs"</formula>
    </cfRule>
  </conditionalFormatting>
  <conditionalFormatting sqref="B111:C111">
    <cfRule type="cellIs" dxfId="4146" priority="4845" stopIfTrue="1" operator="equal">
      <formula>"Towel"</formula>
    </cfRule>
  </conditionalFormatting>
  <conditionalFormatting sqref="C111">
    <cfRule type="cellIs" dxfId="4145" priority="4844" stopIfTrue="1" operator="equal">
      <formula>"Napkin Hs"</formula>
    </cfRule>
  </conditionalFormatting>
  <conditionalFormatting sqref="C111">
    <cfRule type="cellIs" dxfId="4144" priority="4843" stopIfTrue="1" operator="equal">
      <formula>"Towel"</formula>
    </cfRule>
  </conditionalFormatting>
  <conditionalFormatting sqref="C111">
    <cfRule type="cellIs" dxfId="4143" priority="4841" stopIfTrue="1" operator="equal">
      <formula>"Towel"</formula>
    </cfRule>
    <cfRule type="cellIs" dxfId="4142" priority="4842" stopIfTrue="1" operator="equal">
      <formula>"Napkin Hs"</formula>
    </cfRule>
  </conditionalFormatting>
  <conditionalFormatting sqref="B111:C111">
    <cfRule type="cellIs" dxfId="4141" priority="4839" stopIfTrue="1" operator="equal">
      <formula>"Towel"</formula>
    </cfRule>
    <cfRule type="cellIs" dxfId="4140" priority="4840" stopIfTrue="1" operator="equal">
      <formula>"Napkin Hs"</formula>
    </cfRule>
  </conditionalFormatting>
  <conditionalFormatting sqref="C111">
    <cfRule type="cellIs" dxfId="4139" priority="4837" stopIfTrue="1" operator="equal">
      <formula>"Towel"</formula>
    </cfRule>
    <cfRule type="cellIs" dxfId="4138" priority="4838" stopIfTrue="1" operator="equal">
      <formula>"Napkin Hs"</formula>
    </cfRule>
  </conditionalFormatting>
  <conditionalFormatting sqref="C111">
    <cfRule type="cellIs" dxfId="4137" priority="4835" stopIfTrue="1" operator="equal">
      <formula>"Towel"</formula>
    </cfRule>
    <cfRule type="cellIs" dxfId="4136" priority="4836" stopIfTrue="1" operator="equal">
      <formula>"Napkin Hs"</formula>
    </cfRule>
  </conditionalFormatting>
  <conditionalFormatting sqref="B111:C111">
    <cfRule type="cellIs" dxfId="4135" priority="4833" stopIfTrue="1" operator="equal">
      <formula>"Towel"</formula>
    </cfRule>
    <cfRule type="cellIs" dxfId="4134" priority="4834" stopIfTrue="1" operator="equal">
      <formula>"Napkin Hs"</formula>
    </cfRule>
  </conditionalFormatting>
  <conditionalFormatting sqref="C111">
    <cfRule type="cellIs" dxfId="4133" priority="4831" stopIfTrue="1" operator="equal">
      <formula>"Towel"</formula>
    </cfRule>
    <cfRule type="cellIs" dxfId="4132" priority="4832" stopIfTrue="1" operator="equal">
      <formula>"Napkin Hs"</formula>
    </cfRule>
  </conditionalFormatting>
  <conditionalFormatting sqref="C111">
    <cfRule type="cellIs" dxfId="4131" priority="4829" stopIfTrue="1" operator="equal">
      <formula>"Towel"</formula>
    </cfRule>
    <cfRule type="cellIs" dxfId="4130" priority="4830" stopIfTrue="1" operator="equal">
      <formula>"Napkin Hs"</formula>
    </cfRule>
  </conditionalFormatting>
  <conditionalFormatting sqref="B111:C111">
    <cfRule type="cellIs" dxfId="4129" priority="4827" stopIfTrue="1" operator="equal">
      <formula>"Towel"</formula>
    </cfRule>
    <cfRule type="cellIs" dxfId="4128" priority="4828" stopIfTrue="1" operator="equal">
      <formula>"Napkin Hs"</formula>
    </cfRule>
  </conditionalFormatting>
  <conditionalFormatting sqref="C111">
    <cfRule type="cellIs" dxfId="4127" priority="4825" stopIfTrue="1" operator="equal">
      <formula>"Towel"</formula>
    </cfRule>
    <cfRule type="cellIs" dxfId="4126" priority="4826" stopIfTrue="1" operator="equal">
      <formula>"Napkin Hs"</formula>
    </cfRule>
  </conditionalFormatting>
  <conditionalFormatting sqref="C111">
    <cfRule type="cellIs" dxfId="4125" priority="4823" stopIfTrue="1" operator="equal">
      <formula>"Towel"</formula>
    </cfRule>
    <cfRule type="cellIs" dxfId="4124" priority="4824" stopIfTrue="1" operator="equal">
      <formula>"Napkin Hs"</formula>
    </cfRule>
  </conditionalFormatting>
  <conditionalFormatting sqref="B111:C111">
    <cfRule type="cellIs" dxfId="4123" priority="4821" stopIfTrue="1" operator="equal">
      <formula>"Towel"</formula>
    </cfRule>
    <cfRule type="cellIs" dxfId="4122" priority="4822" stopIfTrue="1" operator="equal">
      <formula>"Napkin Hs"</formula>
    </cfRule>
  </conditionalFormatting>
  <conditionalFormatting sqref="C111">
    <cfRule type="cellIs" dxfId="4121" priority="4819" stopIfTrue="1" operator="equal">
      <formula>"Towel"</formula>
    </cfRule>
    <cfRule type="cellIs" dxfId="4120" priority="4820" stopIfTrue="1" operator="equal">
      <formula>"Napkin Hs"</formula>
    </cfRule>
  </conditionalFormatting>
  <conditionalFormatting sqref="C111">
    <cfRule type="cellIs" dxfId="4119" priority="4817" stopIfTrue="1" operator="equal">
      <formula>"Towel"</formula>
    </cfRule>
    <cfRule type="cellIs" dxfId="4118" priority="4818" stopIfTrue="1" operator="equal">
      <formula>"Napkin Hs"</formula>
    </cfRule>
  </conditionalFormatting>
  <conditionalFormatting sqref="B111:C111">
    <cfRule type="cellIs" dxfId="4117" priority="4815" stopIfTrue="1" operator="equal">
      <formula>"Towel"</formula>
    </cfRule>
    <cfRule type="cellIs" dxfId="4116" priority="4816" stopIfTrue="1" operator="equal">
      <formula>"Napkin Hs"</formula>
    </cfRule>
  </conditionalFormatting>
  <conditionalFormatting sqref="C111">
    <cfRule type="cellIs" dxfId="4115" priority="4813" stopIfTrue="1" operator="equal">
      <formula>"Towel"</formula>
    </cfRule>
    <cfRule type="cellIs" dxfId="4114" priority="4814" stopIfTrue="1" operator="equal">
      <formula>"Napkin Hs"</formula>
    </cfRule>
  </conditionalFormatting>
  <conditionalFormatting sqref="C111">
    <cfRule type="cellIs" dxfId="4113" priority="4811" stopIfTrue="1" operator="equal">
      <formula>"Towel"</formula>
    </cfRule>
    <cfRule type="cellIs" dxfId="4112" priority="4812" stopIfTrue="1" operator="equal">
      <formula>"Napkin Hs"</formula>
    </cfRule>
  </conditionalFormatting>
  <conditionalFormatting sqref="B111:C111">
    <cfRule type="cellIs" dxfId="4111" priority="4810" stopIfTrue="1" operator="equal">
      <formula>"Napkin Hs"</formula>
    </cfRule>
  </conditionalFormatting>
  <conditionalFormatting sqref="B111:C111">
    <cfRule type="cellIs" dxfId="4110" priority="4809" stopIfTrue="1" operator="equal">
      <formula>"Towel"</formula>
    </cfRule>
  </conditionalFormatting>
  <conditionalFormatting sqref="C111">
    <cfRule type="cellIs" dxfId="4109" priority="4808" stopIfTrue="1" operator="equal">
      <formula>"Napkin Hs"</formula>
    </cfRule>
  </conditionalFormatting>
  <conditionalFormatting sqref="C111">
    <cfRule type="cellIs" dxfId="4108" priority="4805" stopIfTrue="1" operator="equal">
      <formula>"Towel"</formula>
    </cfRule>
    <cfRule type="cellIs" dxfId="4107" priority="4806" stopIfTrue="1" operator="equal">
      <formula>"Napkin Hs"</formula>
    </cfRule>
  </conditionalFormatting>
  <conditionalFormatting sqref="C111">
    <cfRule type="cellIs" dxfId="4106" priority="4807" stopIfTrue="1" operator="equal">
      <formula>"Towel"</formula>
    </cfRule>
  </conditionalFormatting>
  <conditionalFormatting sqref="B111:C111">
    <cfRule type="cellIs" dxfId="4105" priority="4804" stopIfTrue="1" operator="equal">
      <formula>"Napkin Hs"</formula>
    </cfRule>
  </conditionalFormatting>
  <conditionalFormatting sqref="B111:C111">
    <cfRule type="cellIs" dxfId="4104" priority="4803" stopIfTrue="1" operator="equal">
      <formula>"Towel"</formula>
    </cfRule>
  </conditionalFormatting>
  <conditionalFormatting sqref="C111">
    <cfRule type="cellIs" dxfId="4103" priority="4802" stopIfTrue="1" operator="equal">
      <formula>"Napkin Hs"</formula>
    </cfRule>
  </conditionalFormatting>
  <conditionalFormatting sqref="C111">
    <cfRule type="cellIs" dxfId="4102" priority="4801" stopIfTrue="1" operator="equal">
      <formula>"Towel"</formula>
    </cfRule>
  </conditionalFormatting>
  <conditionalFormatting sqref="C111">
    <cfRule type="cellIs" dxfId="4101" priority="4799" stopIfTrue="1" operator="equal">
      <formula>"Towel"</formula>
    </cfRule>
    <cfRule type="cellIs" dxfId="4100" priority="4800" stopIfTrue="1" operator="equal">
      <formula>"Napkin Hs"</formula>
    </cfRule>
  </conditionalFormatting>
  <conditionalFormatting sqref="C111">
    <cfRule type="cellIs" dxfId="4099" priority="4793" stopIfTrue="1" operator="equal">
      <formula>"Towel"</formula>
    </cfRule>
    <cfRule type="cellIs" dxfId="4098" priority="4794" stopIfTrue="1" operator="equal">
      <formula>"Napkin Hs"</formula>
    </cfRule>
  </conditionalFormatting>
  <conditionalFormatting sqref="B111:C111">
    <cfRule type="cellIs" dxfId="4097" priority="4792" stopIfTrue="1" operator="equal">
      <formula>"Napkin Hs"</formula>
    </cfRule>
  </conditionalFormatting>
  <conditionalFormatting sqref="B111:C111">
    <cfRule type="cellIs" dxfId="4096" priority="4791" stopIfTrue="1" operator="equal">
      <formula>"Towel"</formula>
    </cfRule>
  </conditionalFormatting>
  <conditionalFormatting sqref="C111">
    <cfRule type="cellIs" dxfId="4095" priority="4790" stopIfTrue="1" operator="equal">
      <formula>"Napkin Hs"</formula>
    </cfRule>
  </conditionalFormatting>
  <conditionalFormatting sqref="C111">
    <cfRule type="cellIs" dxfId="4094" priority="4789" stopIfTrue="1" operator="equal">
      <formula>"Towel"</formula>
    </cfRule>
  </conditionalFormatting>
  <conditionalFormatting sqref="C111">
    <cfRule type="cellIs" dxfId="4093" priority="4787" stopIfTrue="1" operator="equal">
      <formula>"Towel"</formula>
    </cfRule>
    <cfRule type="cellIs" dxfId="4092" priority="4788" stopIfTrue="1" operator="equal">
      <formula>"Napkin Hs"</formula>
    </cfRule>
  </conditionalFormatting>
  <conditionalFormatting sqref="C111">
    <cfRule type="cellIs" dxfId="4091" priority="4781" stopIfTrue="1" operator="equal">
      <formula>"Towel"</formula>
    </cfRule>
    <cfRule type="cellIs" dxfId="4090" priority="4782" stopIfTrue="1" operator="equal">
      <formula>"Napkin Hs"</formula>
    </cfRule>
  </conditionalFormatting>
  <conditionalFormatting sqref="C111">
    <cfRule type="cellIs" dxfId="4089" priority="4775" stopIfTrue="1" operator="equal">
      <formula>"Towel"</formula>
    </cfRule>
    <cfRule type="cellIs" dxfId="4088" priority="4776" stopIfTrue="1" operator="equal">
      <formula>"Napkin Hs"</formula>
    </cfRule>
  </conditionalFormatting>
  <conditionalFormatting sqref="C111">
    <cfRule type="cellIs" dxfId="4087" priority="4769" stopIfTrue="1" operator="equal">
      <formula>"Towel"</formula>
    </cfRule>
    <cfRule type="cellIs" dxfId="4086" priority="4770" stopIfTrue="1" operator="equal">
      <formula>"Napkin Hs"</formula>
    </cfRule>
  </conditionalFormatting>
  <conditionalFormatting sqref="C111">
    <cfRule type="cellIs" dxfId="4085" priority="4763" stopIfTrue="1" operator="equal">
      <formula>"Towel"</formula>
    </cfRule>
    <cfRule type="cellIs" dxfId="4084" priority="4764" stopIfTrue="1" operator="equal">
      <formula>"Napkin Hs"</formula>
    </cfRule>
  </conditionalFormatting>
  <conditionalFormatting sqref="C111">
    <cfRule type="cellIs" dxfId="4083" priority="4757" stopIfTrue="1" operator="equal">
      <formula>"Towel"</formula>
    </cfRule>
    <cfRule type="cellIs" dxfId="4082" priority="4758" stopIfTrue="1" operator="equal">
      <formula>"Napkin Hs"</formula>
    </cfRule>
  </conditionalFormatting>
  <conditionalFormatting sqref="B111:C111">
    <cfRule type="cellIs" dxfId="4081" priority="4756" stopIfTrue="1" operator="equal">
      <formula>"Napkin Hs"</formula>
    </cfRule>
  </conditionalFormatting>
  <conditionalFormatting sqref="B111:C111">
    <cfRule type="cellIs" dxfId="4080" priority="4755" stopIfTrue="1" operator="equal">
      <formula>"Towel"</formula>
    </cfRule>
  </conditionalFormatting>
  <conditionalFormatting sqref="C111">
    <cfRule type="cellIs" dxfId="4079" priority="4754" stopIfTrue="1" operator="equal">
      <formula>"Napkin Hs"</formula>
    </cfRule>
  </conditionalFormatting>
  <conditionalFormatting sqref="C111">
    <cfRule type="cellIs" dxfId="4078" priority="4751" stopIfTrue="1" operator="equal">
      <formula>"Towel"</formula>
    </cfRule>
    <cfRule type="cellIs" dxfId="4077" priority="4752" stopIfTrue="1" operator="equal">
      <formula>"Napkin Hs"</formula>
    </cfRule>
  </conditionalFormatting>
  <conditionalFormatting sqref="C111">
    <cfRule type="cellIs" dxfId="4076" priority="4753" stopIfTrue="1" operator="equal">
      <formula>"Towel"</formula>
    </cfRule>
  </conditionalFormatting>
  <conditionalFormatting sqref="B111:C111">
    <cfRule type="cellIs" dxfId="4075" priority="4750" stopIfTrue="1" operator="equal">
      <formula>"Napkin Hs"</formula>
    </cfRule>
  </conditionalFormatting>
  <conditionalFormatting sqref="B111:C111">
    <cfRule type="cellIs" dxfId="4074" priority="4749" stopIfTrue="1" operator="equal">
      <formula>"Towel"</formula>
    </cfRule>
  </conditionalFormatting>
  <conditionalFormatting sqref="C111">
    <cfRule type="cellIs" dxfId="4073" priority="4748" stopIfTrue="1" operator="equal">
      <formula>"Napkin Hs"</formula>
    </cfRule>
  </conditionalFormatting>
  <conditionalFormatting sqref="C111">
    <cfRule type="cellIs" dxfId="4072" priority="4745" stopIfTrue="1" operator="equal">
      <formula>"Towel"</formula>
    </cfRule>
    <cfRule type="cellIs" dxfId="4071" priority="4746" stopIfTrue="1" operator="equal">
      <formula>"Napkin Hs"</formula>
    </cfRule>
  </conditionalFormatting>
  <conditionalFormatting sqref="C111">
    <cfRule type="cellIs" dxfId="4070" priority="4747" stopIfTrue="1" operator="equal">
      <formula>"Towel"</formula>
    </cfRule>
  </conditionalFormatting>
  <conditionalFormatting sqref="B111:C111">
    <cfRule type="cellIs" dxfId="4069" priority="4797" stopIfTrue="1" operator="equal">
      <formula>"Towel"</formula>
    </cfRule>
    <cfRule type="cellIs" dxfId="4068" priority="4798" stopIfTrue="1" operator="equal">
      <formula>"Napkin Hs"</formula>
    </cfRule>
  </conditionalFormatting>
  <conditionalFormatting sqref="C111">
    <cfRule type="cellIs" dxfId="4067" priority="4795" stopIfTrue="1" operator="equal">
      <formula>"Towel"</formula>
    </cfRule>
    <cfRule type="cellIs" dxfId="4066" priority="4796" stopIfTrue="1" operator="equal">
      <formula>"Napkin Hs"</formula>
    </cfRule>
  </conditionalFormatting>
  <conditionalFormatting sqref="B111:C111">
    <cfRule type="cellIs" dxfId="4065" priority="4785" stopIfTrue="1" operator="equal">
      <formula>"Towel"</formula>
    </cfRule>
    <cfRule type="cellIs" dxfId="4064" priority="4786" stopIfTrue="1" operator="equal">
      <formula>"Napkin Hs"</formula>
    </cfRule>
  </conditionalFormatting>
  <conditionalFormatting sqref="C111">
    <cfRule type="cellIs" dxfId="4063" priority="4783" stopIfTrue="1" operator="equal">
      <formula>"Towel"</formula>
    </cfRule>
    <cfRule type="cellIs" dxfId="4062" priority="4784" stopIfTrue="1" operator="equal">
      <formula>"Napkin Hs"</formula>
    </cfRule>
  </conditionalFormatting>
  <conditionalFormatting sqref="B111:C111">
    <cfRule type="cellIs" dxfId="4061" priority="4779" stopIfTrue="1" operator="equal">
      <formula>"Towel"</formula>
    </cfRule>
    <cfRule type="cellIs" dxfId="4060" priority="4780" stopIfTrue="1" operator="equal">
      <formula>"Napkin Hs"</formula>
    </cfRule>
  </conditionalFormatting>
  <conditionalFormatting sqref="C111">
    <cfRule type="cellIs" dxfId="4059" priority="4777" stopIfTrue="1" operator="equal">
      <formula>"Towel"</formula>
    </cfRule>
    <cfRule type="cellIs" dxfId="4058" priority="4778" stopIfTrue="1" operator="equal">
      <formula>"Napkin Hs"</formula>
    </cfRule>
  </conditionalFormatting>
  <conditionalFormatting sqref="B111:C111">
    <cfRule type="cellIs" dxfId="4057" priority="4773" stopIfTrue="1" operator="equal">
      <formula>"Towel"</formula>
    </cfRule>
    <cfRule type="cellIs" dxfId="4056" priority="4774" stopIfTrue="1" operator="equal">
      <formula>"Napkin Hs"</formula>
    </cfRule>
  </conditionalFormatting>
  <conditionalFormatting sqref="C111">
    <cfRule type="cellIs" dxfId="4055" priority="4771" stopIfTrue="1" operator="equal">
      <formula>"Towel"</formula>
    </cfRule>
    <cfRule type="cellIs" dxfId="4054" priority="4772" stopIfTrue="1" operator="equal">
      <formula>"Napkin Hs"</formula>
    </cfRule>
  </conditionalFormatting>
  <conditionalFormatting sqref="B111:C111">
    <cfRule type="cellIs" dxfId="4053" priority="4767" stopIfTrue="1" operator="equal">
      <formula>"Towel"</formula>
    </cfRule>
    <cfRule type="cellIs" dxfId="4052" priority="4768" stopIfTrue="1" operator="equal">
      <formula>"Napkin Hs"</formula>
    </cfRule>
  </conditionalFormatting>
  <conditionalFormatting sqref="C111">
    <cfRule type="cellIs" dxfId="4051" priority="4765" stopIfTrue="1" operator="equal">
      <formula>"Towel"</formula>
    </cfRule>
    <cfRule type="cellIs" dxfId="4050" priority="4766" stopIfTrue="1" operator="equal">
      <formula>"Napkin Hs"</formula>
    </cfRule>
  </conditionalFormatting>
  <conditionalFormatting sqref="B111:C111">
    <cfRule type="cellIs" dxfId="4049" priority="4761" stopIfTrue="1" operator="equal">
      <formula>"Towel"</formula>
    </cfRule>
    <cfRule type="cellIs" dxfId="4048" priority="4762" stopIfTrue="1" operator="equal">
      <formula>"Napkin Hs"</formula>
    </cfRule>
  </conditionalFormatting>
  <conditionalFormatting sqref="C111">
    <cfRule type="cellIs" dxfId="4047" priority="4759" stopIfTrue="1" operator="equal">
      <formula>"Towel"</formula>
    </cfRule>
    <cfRule type="cellIs" dxfId="4046" priority="4760" stopIfTrue="1" operator="equal">
      <formula>"Napkin Hs"</formula>
    </cfRule>
  </conditionalFormatting>
  <conditionalFormatting sqref="B111:C111">
    <cfRule type="cellIs" dxfId="4045" priority="4744" stopIfTrue="1" operator="equal">
      <formula>"Napkin Hs"</formula>
    </cfRule>
  </conditionalFormatting>
  <conditionalFormatting sqref="B111:C111">
    <cfRule type="cellIs" dxfId="4044" priority="4743" stopIfTrue="1" operator="equal">
      <formula>"Towel"</formula>
    </cfRule>
  </conditionalFormatting>
  <conditionalFormatting sqref="C111">
    <cfRule type="cellIs" dxfId="4043" priority="4742" stopIfTrue="1" operator="equal">
      <formula>"Napkin Hs"</formula>
    </cfRule>
  </conditionalFormatting>
  <conditionalFormatting sqref="C111">
    <cfRule type="cellIs" dxfId="4042" priority="4739" stopIfTrue="1" operator="equal">
      <formula>"Towel"</formula>
    </cfRule>
    <cfRule type="cellIs" dxfId="4041" priority="4740" stopIfTrue="1" operator="equal">
      <formula>"Napkin Hs"</formula>
    </cfRule>
  </conditionalFormatting>
  <conditionalFormatting sqref="C111">
    <cfRule type="cellIs" dxfId="4040" priority="4741" stopIfTrue="1" operator="equal">
      <formula>"Towel"</formula>
    </cfRule>
  </conditionalFormatting>
  <conditionalFormatting sqref="B119:C119">
    <cfRule type="cellIs" dxfId="4039" priority="4738" stopIfTrue="1" operator="equal">
      <formula>"Napkin Hs"</formula>
    </cfRule>
  </conditionalFormatting>
  <conditionalFormatting sqref="B119:C119">
    <cfRule type="cellIs" dxfId="4038" priority="4737" stopIfTrue="1" operator="equal">
      <formula>"Towel"</formula>
    </cfRule>
  </conditionalFormatting>
  <conditionalFormatting sqref="C119">
    <cfRule type="cellIs" dxfId="4037" priority="4736" stopIfTrue="1" operator="equal">
      <formula>"Napkin Hs"</formula>
    </cfRule>
  </conditionalFormatting>
  <conditionalFormatting sqref="C119">
    <cfRule type="cellIs" dxfId="4036" priority="4735" stopIfTrue="1" operator="equal">
      <formula>"Towel"</formula>
    </cfRule>
  </conditionalFormatting>
  <conditionalFormatting sqref="C119">
    <cfRule type="cellIs" dxfId="4035" priority="4733" stopIfTrue="1" operator="equal">
      <formula>"Towel"</formula>
    </cfRule>
    <cfRule type="cellIs" dxfId="4034" priority="4734" stopIfTrue="1" operator="equal">
      <formula>"Napkin Hs"</formula>
    </cfRule>
  </conditionalFormatting>
  <conditionalFormatting sqref="B119:C119">
    <cfRule type="cellIs" dxfId="4033" priority="4731" stopIfTrue="1" operator="equal">
      <formula>"Towel"</formula>
    </cfRule>
    <cfRule type="cellIs" dxfId="4032" priority="4732" stopIfTrue="1" operator="equal">
      <formula>"Napkin Hs"</formula>
    </cfRule>
  </conditionalFormatting>
  <conditionalFormatting sqref="C119">
    <cfRule type="cellIs" dxfId="4031" priority="4727" stopIfTrue="1" operator="equal">
      <formula>"Towel"</formula>
    </cfRule>
    <cfRule type="cellIs" dxfId="4030" priority="4728" stopIfTrue="1" operator="equal">
      <formula>"Napkin Hs"</formula>
    </cfRule>
  </conditionalFormatting>
  <conditionalFormatting sqref="C119">
    <cfRule type="cellIs" dxfId="4029" priority="4729" stopIfTrue="1" operator="equal">
      <formula>"Towel"</formula>
    </cfRule>
    <cfRule type="cellIs" dxfId="4028" priority="4730" stopIfTrue="1" operator="equal">
      <formula>"Napkin Hs"</formula>
    </cfRule>
  </conditionalFormatting>
  <conditionalFormatting sqref="B119:C119">
    <cfRule type="cellIs" dxfId="4027" priority="4726" stopIfTrue="1" operator="equal">
      <formula>"Napkin Hs"</formula>
    </cfRule>
  </conditionalFormatting>
  <conditionalFormatting sqref="B119:C119">
    <cfRule type="cellIs" dxfId="4026" priority="4725" stopIfTrue="1" operator="equal">
      <formula>"Towel"</formula>
    </cfRule>
  </conditionalFormatting>
  <conditionalFormatting sqref="C119">
    <cfRule type="cellIs" dxfId="4025" priority="4724" stopIfTrue="1" operator="equal">
      <formula>"Napkin Hs"</formula>
    </cfRule>
  </conditionalFormatting>
  <conditionalFormatting sqref="C119">
    <cfRule type="cellIs" dxfId="4024" priority="4723" stopIfTrue="1" operator="equal">
      <formula>"Towel"</formula>
    </cfRule>
  </conditionalFormatting>
  <conditionalFormatting sqref="C119">
    <cfRule type="cellIs" dxfId="4023" priority="4721" stopIfTrue="1" operator="equal">
      <formula>"Towel"</formula>
    </cfRule>
    <cfRule type="cellIs" dxfId="4022" priority="4722" stopIfTrue="1" operator="equal">
      <formula>"Napkin Hs"</formula>
    </cfRule>
  </conditionalFormatting>
  <conditionalFormatting sqref="B119:C119">
    <cfRule type="cellIs" dxfId="4021" priority="4719" stopIfTrue="1" operator="equal">
      <formula>"Towel"</formula>
    </cfRule>
    <cfRule type="cellIs" dxfId="4020" priority="4720" stopIfTrue="1" operator="equal">
      <formula>"Napkin Hs"</formula>
    </cfRule>
  </conditionalFormatting>
  <conditionalFormatting sqref="C119">
    <cfRule type="cellIs" dxfId="4019" priority="4717" stopIfTrue="1" operator="equal">
      <formula>"Towel"</formula>
    </cfRule>
    <cfRule type="cellIs" dxfId="4018" priority="4718" stopIfTrue="1" operator="equal">
      <formula>"Napkin Hs"</formula>
    </cfRule>
  </conditionalFormatting>
  <conditionalFormatting sqref="C119">
    <cfRule type="cellIs" dxfId="4017" priority="4715" stopIfTrue="1" operator="equal">
      <formula>"Towel"</formula>
    </cfRule>
    <cfRule type="cellIs" dxfId="4016" priority="4716" stopIfTrue="1" operator="equal">
      <formula>"Napkin Hs"</formula>
    </cfRule>
  </conditionalFormatting>
  <conditionalFormatting sqref="B119:C119">
    <cfRule type="cellIs" dxfId="4015" priority="4713" stopIfTrue="1" operator="equal">
      <formula>"Towel"</formula>
    </cfRule>
    <cfRule type="cellIs" dxfId="4014" priority="4714" stopIfTrue="1" operator="equal">
      <formula>"Napkin Hs"</formula>
    </cfRule>
  </conditionalFormatting>
  <conditionalFormatting sqref="C119">
    <cfRule type="cellIs" dxfId="4013" priority="4711" stopIfTrue="1" operator="equal">
      <formula>"Towel"</formula>
    </cfRule>
    <cfRule type="cellIs" dxfId="4012" priority="4712" stopIfTrue="1" operator="equal">
      <formula>"Napkin Hs"</formula>
    </cfRule>
  </conditionalFormatting>
  <conditionalFormatting sqref="C119">
    <cfRule type="cellIs" dxfId="4011" priority="4709" stopIfTrue="1" operator="equal">
      <formula>"Towel"</formula>
    </cfRule>
    <cfRule type="cellIs" dxfId="4010" priority="4710" stopIfTrue="1" operator="equal">
      <formula>"Napkin Hs"</formula>
    </cfRule>
  </conditionalFormatting>
  <conditionalFormatting sqref="B119:C119">
    <cfRule type="cellIs" dxfId="4009" priority="4707" stopIfTrue="1" operator="equal">
      <formula>"Towel"</formula>
    </cfRule>
    <cfRule type="cellIs" dxfId="4008" priority="4708" stopIfTrue="1" operator="equal">
      <formula>"Napkin Hs"</formula>
    </cfRule>
  </conditionalFormatting>
  <conditionalFormatting sqref="C119">
    <cfRule type="cellIs" dxfId="4007" priority="4705" stopIfTrue="1" operator="equal">
      <formula>"Towel"</formula>
    </cfRule>
    <cfRule type="cellIs" dxfId="4006" priority="4706" stopIfTrue="1" operator="equal">
      <formula>"Napkin Hs"</formula>
    </cfRule>
  </conditionalFormatting>
  <conditionalFormatting sqref="C119">
    <cfRule type="cellIs" dxfId="4005" priority="4703" stopIfTrue="1" operator="equal">
      <formula>"Towel"</formula>
    </cfRule>
    <cfRule type="cellIs" dxfId="4004" priority="4704" stopIfTrue="1" operator="equal">
      <formula>"Napkin Hs"</formula>
    </cfRule>
  </conditionalFormatting>
  <conditionalFormatting sqref="B119:C119">
    <cfRule type="cellIs" dxfId="4003" priority="4701" stopIfTrue="1" operator="equal">
      <formula>"Towel"</formula>
    </cfRule>
    <cfRule type="cellIs" dxfId="4002" priority="4702" stopIfTrue="1" operator="equal">
      <formula>"Napkin Hs"</formula>
    </cfRule>
  </conditionalFormatting>
  <conditionalFormatting sqref="C119">
    <cfRule type="cellIs" dxfId="4001" priority="4699" stopIfTrue="1" operator="equal">
      <formula>"Towel"</formula>
    </cfRule>
    <cfRule type="cellIs" dxfId="4000" priority="4700" stopIfTrue="1" operator="equal">
      <formula>"Napkin Hs"</formula>
    </cfRule>
  </conditionalFormatting>
  <conditionalFormatting sqref="C119">
    <cfRule type="cellIs" dxfId="3999" priority="4697" stopIfTrue="1" operator="equal">
      <formula>"Towel"</formula>
    </cfRule>
    <cfRule type="cellIs" dxfId="3998" priority="4698" stopIfTrue="1" operator="equal">
      <formula>"Napkin Hs"</formula>
    </cfRule>
  </conditionalFormatting>
  <conditionalFormatting sqref="B119:C119">
    <cfRule type="cellIs" dxfId="3997" priority="4695" stopIfTrue="1" operator="equal">
      <formula>"Towel"</formula>
    </cfRule>
    <cfRule type="cellIs" dxfId="3996" priority="4696" stopIfTrue="1" operator="equal">
      <formula>"Napkin Hs"</formula>
    </cfRule>
  </conditionalFormatting>
  <conditionalFormatting sqref="C119">
    <cfRule type="cellIs" dxfId="3995" priority="4693" stopIfTrue="1" operator="equal">
      <formula>"Towel"</formula>
    </cfRule>
    <cfRule type="cellIs" dxfId="3994" priority="4694" stopIfTrue="1" operator="equal">
      <formula>"Napkin Hs"</formula>
    </cfRule>
  </conditionalFormatting>
  <conditionalFormatting sqref="C119">
    <cfRule type="cellIs" dxfId="3993" priority="4691" stopIfTrue="1" operator="equal">
      <formula>"Towel"</formula>
    </cfRule>
    <cfRule type="cellIs" dxfId="3992" priority="4692" stopIfTrue="1" operator="equal">
      <formula>"Napkin Hs"</formula>
    </cfRule>
  </conditionalFormatting>
  <conditionalFormatting sqref="B119:C119">
    <cfRule type="cellIs" dxfId="3991" priority="4690" stopIfTrue="1" operator="equal">
      <formula>"Napkin Hs"</formula>
    </cfRule>
  </conditionalFormatting>
  <conditionalFormatting sqref="B119:C119">
    <cfRule type="cellIs" dxfId="3990" priority="4689" stopIfTrue="1" operator="equal">
      <formula>"Towel"</formula>
    </cfRule>
  </conditionalFormatting>
  <conditionalFormatting sqref="C119">
    <cfRule type="cellIs" dxfId="3989" priority="4688" stopIfTrue="1" operator="equal">
      <formula>"Napkin Hs"</formula>
    </cfRule>
  </conditionalFormatting>
  <conditionalFormatting sqref="C119">
    <cfRule type="cellIs" dxfId="3988" priority="4685" stopIfTrue="1" operator="equal">
      <formula>"Towel"</formula>
    </cfRule>
    <cfRule type="cellIs" dxfId="3987" priority="4686" stopIfTrue="1" operator="equal">
      <formula>"Napkin Hs"</formula>
    </cfRule>
  </conditionalFormatting>
  <conditionalFormatting sqref="C119">
    <cfRule type="cellIs" dxfId="3986" priority="4687" stopIfTrue="1" operator="equal">
      <formula>"Towel"</formula>
    </cfRule>
  </conditionalFormatting>
  <conditionalFormatting sqref="B118">
    <cfRule type="cellIs" dxfId="3985" priority="4684" stopIfTrue="1" operator="equal">
      <formula>"Napkin Hs"</formula>
    </cfRule>
  </conditionalFormatting>
  <conditionalFormatting sqref="B118">
    <cfRule type="cellIs" dxfId="3984" priority="4683" stopIfTrue="1" operator="equal">
      <formula>"Towel"</formula>
    </cfRule>
  </conditionalFormatting>
  <conditionalFormatting sqref="B118">
    <cfRule type="cellIs" dxfId="3983" priority="4681" stopIfTrue="1" operator="equal">
      <formula>"Towel"</formula>
    </cfRule>
    <cfRule type="cellIs" dxfId="3982" priority="4682" stopIfTrue="1" operator="equal">
      <formula>"Napkin Hs"</formula>
    </cfRule>
  </conditionalFormatting>
  <conditionalFormatting sqref="B118">
    <cfRule type="cellIs" dxfId="3981" priority="4680" stopIfTrue="1" operator="equal">
      <formula>"Napkin Hs"</formula>
    </cfRule>
  </conditionalFormatting>
  <conditionalFormatting sqref="B118">
    <cfRule type="cellIs" dxfId="3980" priority="4679" stopIfTrue="1" operator="equal">
      <formula>"Towel"</formula>
    </cfRule>
  </conditionalFormatting>
  <conditionalFormatting sqref="B118">
    <cfRule type="cellIs" dxfId="3979" priority="4677" stopIfTrue="1" operator="equal">
      <formula>"Towel"</formula>
    </cfRule>
    <cfRule type="cellIs" dxfId="3978" priority="4678" stopIfTrue="1" operator="equal">
      <formula>"Napkin Hs"</formula>
    </cfRule>
  </conditionalFormatting>
  <conditionalFormatting sqref="B118">
    <cfRule type="cellIs" dxfId="3977" priority="4675" stopIfTrue="1" operator="equal">
      <formula>"Towel"</formula>
    </cfRule>
    <cfRule type="cellIs" dxfId="3976" priority="4676" stopIfTrue="1" operator="equal">
      <formula>"Napkin Hs"</formula>
    </cfRule>
  </conditionalFormatting>
  <conditionalFormatting sqref="B118">
    <cfRule type="cellIs" dxfId="3975" priority="4673" stopIfTrue="1" operator="equal">
      <formula>"Towel"</formula>
    </cfRule>
    <cfRule type="cellIs" dxfId="3974" priority="4674" stopIfTrue="1" operator="equal">
      <formula>"Napkin Hs"</formula>
    </cfRule>
  </conditionalFormatting>
  <conditionalFormatting sqref="B118">
    <cfRule type="cellIs" dxfId="3973" priority="4671" stopIfTrue="1" operator="equal">
      <formula>"Towel"</formula>
    </cfRule>
    <cfRule type="cellIs" dxfId="3972" priority="4672" stopIfTrue="1" operator="equal">
      <formula>"Napkin Hs"</formula>
    </cfRule>
  </conditionalFormatting>
  <conditionalFormatting sqref="B118">
    <cfRule type="cellIs" dxfId="3971" priority="4669" stopIfTrue="1" operator="equal">
      <formula>"Towel"</formula>
    </cfRule>
    <cfRule type="cellIs" dxfId="3970" priority="4670" stopIfTrue="1" operator="equal">
      <formula>"Napkin Hs"</formula>
    </cfRule>
  </conditionalFormatting>
  <conditionalFormatting sqref="B118">
    <cfRule type="cellIs" dxfId="3969" priority="4668" stopIfTrue="1" operator="equal">
      <formula>"Napkin Hs"</formula>
    </cfRule>
  </conditionalFormatting>
  <conditionalFormatting sqref="B118">
    <cfRule type="cellIs" dxfId="3968" priority="4667" stopIfTrue="1" operator="equal">
      <formula>"Towel"</formula>
    </cfRule>
  </conditionalFormatting>
  <conditionalFormatting sqref="C118">
    <cfRule type="cellIs" dxfId="3967" priority="4666" stopIfTrue="1" operator="equal">
      <formula>"Napkin Hs"</formula>
    </cfRule>
  </conditionalFormatting>
  <conditionalFormatting sqref="C118">
    <cfRule type="cellIs" dxfId="3966" priority="4665" stopIfTrue="1" operator="equal">
      <formula>"Towel"</formula>
    </cfRule>
  </conditionalFormatting>
  <conditionalFormatting sqref="C118">
    <cfRule type="cellIs" dxfId="3965" priority="4664" stopIfTrue="1" operator="equal">
      <formula>"Napkin Hs"</formula>
    </cfRule>
  </conditionalFormatting>
  <conditionalFormatting sqref="C118">
    <cfRule type="cellIs" dxfId="3964" priority="4663" stopIfTrue="1" operator="equal">
      <formula>"Towel"</formula>
    </cfRule>
  </conditionalFormatting>
  <conditionalFormatting sqref="C118">
    <cfRule type="cellIs" dxfId="3963" priority="4661" stopIfTrue="1" operator="equal">
      <formula>"Towel"</formula>
    </cfRule>
    <cfRule type="cellIs" dxfId="3962" priority="4662" stopIfTrue="1" operator="equal">
      <formula>"Napkin Hs"</formula>
    </cfRule>
  </conditionalFormatting>
  <conditionalFormatting sqref="C118">
    <cfRule type="cellIs" dxfId="3961" priority="4659" stopIfTrue="1" operator="equal">
      <formula>"Towel"</formula>
    </cfRule>
    <cfRule type="cellIs" dxfId="3960" priority="4660" stopIfTrue="1" operator="equal">
      <formula>"Napkin Hs"</formula>
    </cfRule>
  </conditionalFormatting>
  <conditionalFormatting sqref="C118">
    <cfRule type="cellIs" dxfId="3959" priority="4655" stopIfTrue="1" operator="equal">
      <formula>"Towel"</formula>
    </cfRule>
    <cfRule type="cellIs" dxfId="3958" priority="4656" stopIfTrue="1" operator="equal">
      <formula>"Napkin Hs"</formula>
    </cfRule>
  </conditionalFormatting>
  <conditionalFormatting sqref="C118">
    <cfRule type="cellIs" dxfId="3957" priority="4657" stopIfTrue="1" operator="equal">
      <formula>"Towel"</formula>
    </cfRule>
    <cfRule type="cellIs" dxfId="3956" priority="4658" stopIfTrue="1" operator="equal">
      <formula>"Napkin Hs"</formula>
    </cfRule>
  </conditionalFormatting>
  <conditionalFormatting sqref="C118">
    <cfRule type="cellIs" dxfId="3955" priority="4654" stopIfTrue="1" operator="equal">
      <formula>"Napkin Hs"</formula>
    </cfRule>
  </conditionalFormatting>
  <conditionalFormatting sqref="C118">
    <cfRule type="cellIs" dxfId="3954" priority="4653" stopIfTrue="1" operator="equal">
      <formula>"Towel"</formula>
    </cfRule>
  </conditionalFormatting>
  <conditionalFormatting sqref="C118">
    <cfRule type="cellIs" dxfId="3953" priority="4652" stopIfTrue="1" operator="equal">
      <formula>"Napkin Hs"</formula>
    </cfRule>
  </conditionalFormatting>
  <conditionalFormatting sqref="C118">
    <cfRule type="cellIs" dxfId="3952" priority="4651" stopIfTrue="1" operator="equal">
      <formula>"Towel"</formula>
    </cfRule>
  </conditionalFormatting>
  <conditionalFormatting sqref="C118">
    <cfRule type="cellIs" dxfId="3951" priority="4649" stopIfTrue="1" operator="equal">
      <formula>"Towel"</formula>
    </cfRule>
    <cfRule type="cellIs" dxfId="3950" priority="4650" stopIfTrue="1" operator="equal">
      <formula>"Napkin Hs"</formula>
    </cfRule>
  </conditionalFormatting>
  <conditionalFormatting sqref="C118">
    <cfRule type="cellIs" dxfId="3949" priority="4647" stopIfTrue="1" operator="equal">
      <formula>"Towel"</formula>
    </cfRule>
    <cfRule type="cellIs" dxfId="3948" priority="4648" stopIfTrue="1" operator="equal">
      <formula>"Napkin Hs"</formula>
    </cfRule>
  </conditionalFormatting>
  <conditionalFormatting sqref="C118">
    <cfRule type="cellIs" dxfId="3947" priority="4645" stopIfTrue="1" operator="equal">
      <formula>"Towel"</formula>
    </cfRule>
    <cfRule type="cellIs" dxfId="3946" priority="4646" stopIfTrue="1" operator="equal">
      <formula>"Napkin Hs"</formula>
    </cfRule>
  </conditionalFormatting>
  <conditionalFormatting sqref="C118">
    <cfRule type="cellIs" dxfId="3945" priority="4643" stopIfTrue="1" operator="equal">
      <formula>"Towel"</formula>
    </cfRule>
    <cfRule type="cellIs" dxfId="3944" priority="4644" stopIfTrue="1" operator="equal">
      <formula>"Napkin Hs"</formula>
    </cfRule>
  </conditionalFormatting>
  <conditionalFormatting sqref="C118">
    <cfRule type="cellIs" dxfId="3943" priority="4641" stopIfTrue="1" operator="equal">
      <formula>"Towel"</formula>
    </cfRule>
    <cfRule type="cellIs" dxfId="3942" priority="4642" stopIfTrue="1" operator="equal">
      <formula>"Napkin Hs"</formula>
    </cfRule>
  </conditionalFormatting>
  <conditionalFormatting sqref="C118">
    <cfRule type="cellIs" dxfId="3941" priority="4639" stopIfTrue="1" operator="equal">
      <formula>"Towel"</formula>
    </cfRule>
    <cfRule type="cellIs" dxfId="3940" priority="4640" stopIfTrue="1" operator="equal">
      <formula>"Napkin Hs"</formula>
    </cfRule>
  </conditionalFormatting>
  <conditionalFormatting sqref="C118">
    <cfRule type="cellIs" dxfId="3939" priority="4637" stopIfTrue="1" operator="equal">
      <formula>"Towel"</formula>
    </cfRule>
    <cfRule type="cellIs" dxfId="3938" priority="4638" stopIfTrue="1" operator="equal">
      <formula>"Napkin Hs"</formula>
    </cfRule>
  </conditionalFormatting>
  <conditionalFormatting sqref="C118">
    <cfRule type="cellIs" dxfId="3937" priority="4635" stopIfTrue="1" operator="equal">
      <formula>"Towel"</formula>
    </cfRule>
    <cfRule type="cellIs" dxfId="3936" priority="4636" stopIfTrue="1" operator="equal">
      <formula>"Napkin Hs"</formula>
    </cfRule>
  </conditionalFormatting>
  <conditionalFormatting sqref="C118">
    <cfRule type="cellIs" dxfId="3935" priority="4633" stopIfTrue="1" operator="equal">
      <formula>"Towel"</formula>
    </cfRule>
    <cfRule type="cellIs" dxfId="3934" priority="4634" stopIfTrue="1" operator="equal">
      <formula>"Napkin Hs"</formula>
    </cfRule>
  </conditionalFormatting>
  <conditionalFormatting sqref="C118">
    <cfRule type="cellIs" dxfId="3933" priority="4631" stopIfTrue="1" operator="equal">
      <formula>"Towel"</formula>
    </cfRule>
    <cfRule type="cellIs" dxfId="3932" priority="4632" stopIfTrue="1" operator="equal">
      <formula>"Napkin Hs"</formula>
    </cfRule>
  </conditionalFormatting>
  <conditionalFormatting sqref="C118">
    <cfRule type="cellIs" dxfId="3931" priority="4629" stopIfTrue="1" operator="equal">
      <formula>"Towel"</formula>
    </cfRule>
    <cfRule type="cellIs" dxfId="3930" priority="4630" stopIfTrue="1" operator="equal">
      <formula>"Napkin Hs"</formula>
    </cfRule>
  </conditionalFormatting>
  <conditionalFormatting sqref="C118">
    <cfRule type="cellIs" dxfId="3929" priority="4627" stopIfTrue="1" operator="equal">
      <formula>"Towel"</formula>
    </cfRule>
    <cfRule type="cellIs" dxfId="3928" priority="4628" stopIfTrue="1" operator="equal">
      <formula>"Napkin Hs"</formula>
    </cfRule>
  </conditionalFormatting>
  <conditionalFormatting sqref="C118">
    <cfRule type="cellIs" dxfId="3927" priority="4625" stopIfTrue="1" operator="equal">
      <formula>"Towel"</formula>
    </cfRule>
    <cfRule type="cellIs" dxfId="3926" priority="4626" stopIfTrue="1" operator="equal">
      <formula>"Napkin Hs"</formula>
    </cfRule>
  </conditionalFormatting>
  <conditionalFormatting sqref="C118">
    <cfRule type="cellIs" dxfId="3925" priority="4623" stopIfTrue="1" operator="equal">
      <formula>"Towel"</formula>
    </cfRule>
    <cfRule type="cellIs" dxfId="3924" priority="4624" stopIfTrue="1" operator="equal">
      <formula>"Napkin Hs"</formula>
    </cfRule>
  </conditionalFormatting>
  <conditionalFormatting sqref="C118">
    <cfRule type="cellIs" dxfId="3923" priority="4621" stopIfTrue="1" operator="equal">
      <formula>"Towel"</formula>
    </cfRule>
    <cfRule type="cellIs" dxfId="3922" priority="4622" stopIfTrue="1" operator="equal">
      <formula>"Napkin Hs"</formula>
    </cfRule>
  </conditionalFormatting>
  <conditionalFormatting sqref="C118">
    <cfRule type="cellIs" dxfId="3921" priority="4619" stopIfTrue="1" operator="equal">
      <formula>"Towel"</formula>
    </cfRule>
    <cfRule type="cellIs" dxfId="3920" priority="4620" stopIfTrue="1" operator="equal">
      <formula>"Napkin Hs"</formula>
    </cfRule>
  </conditionalFormatting>
  <conditionalFormatting sqref="C118">
    <cfRule type="cellIs" dxfId="3919" priority="4618" stopIfTrue="1" operator="equal">
      <formula>"Napkin Hs"</formula>
    </cfRule>
  </conditionalFormatting>
  <conditionalFormatting sqref="C118">
    <cfRule type="cellIs" dxfId="3918" priority="4617" stopIfTrue="1" operator="equal">
      <formula>"Towel"</formula>
    </cfRule>
  </conditionalFormatting>
  <conditionalFormatting sqref="C118">
    <cfRule type="cellIs" dxfId="3917" priority="4616" stopIfTrue="1" operator="equal">
      <formula>"Napkin Hs"</formula>
    </cfRule>
  </conditionalFormatting>
  <conditionalFormatting sqref="C118">
    <cfRule type="cellIs" dxfId="3916" priority="4613" stopIfTrue="1" operator="equal">
      <formula>"Towel"</formula>
    </cfRule>
    <cfRule type="cellIs" dxfId="3915" priority="4614" stopIfTrue="1" operator="equal">
      <formula>"Napkin Hs"</formula>
    </cfRule>
  </conditionalFormatting>
  <conditionalFormatting sqref="C118">
    <cfRule type="cellIs" dxfId="3914" priority="4615" stopIfTrue="1" operator="equal">
      <formula>"Towel"</formula>
    </cfRule>
  </conditionalFormatting>
  <conditionalFormatting sqref="B118:C118">
    <cfRule type="cellIs" dxfId="3913" priority="4611" stopIfTrue="1" operator="equal">
      <formula>"Towel"</formula>
    </cfRule>
    <cfRule type="cellIs" dxfId="3912" priority="4612" stopIfTrue="1" operator="equal">
      <formula>"Napkin Hs"</formula>
    </cfRule>
  </conditionalFormatting>
  <conditionalFormatting sqref="C118">
    <cfRule type="cellIs" dxfId="3911" priority="4609" stopIfTrue="1" operator="equal">
      <formula>"Towel"</formula>
    </cfRule>
    <cfRule type="cellIs" dxfId="3910" priority="4610" stopIfTrue="1" operator="equal">
      <formula>"Napkin Hs"</formula>
    </cfRule>
  </conditionalFormatting>
  <conditionalFormatting sqref="C118">
    <cfRule type="cellIs" dxfId="3909" priority="4607" stopIfTrue="1" operator="equal">
      <formula>"Towel"</formula>
    </cfRule>
    <cfRule type="cellIs" dxfId="3908" priority="4608" stopIfTrue="1" operator="equal">
      <formula>"Napkin Hs"</formula>
    </cfRule>
  </conditionalFormatting>
  <conditionalFormatting sqref="B118:C118">
    <cfRule type="cellIs" dxfId="3907" priority="4546" stopIfTrue="1" operator="equal">
      <formula>"Napkin Hs"</formula>
    </cfRule>
  </conditionalFormatting>
  <conditionalFormatting sqref="B118:C118">
    <cfRule type="cellIs" dxfId="3906" priority="4545" stopIfTrue="1" operator="equal">
      <formula>"Towel"</formula>
    </cfRule>
  </conditionalFormatting>
  <conditionalFormatting sqref="C118">
    <cfRule type="cellIs" dxfId="3905" priority="4544" stopIfTrue="1" operator="equal">
      <formula>"Napkin Hs"</formula>
    </cfRule>
  </conditionalFormatting>
  <conditionalFormatting sqref="C118">
    <cfRule type="cellIs" dxfId="3904" priority="4541" stopIfTrue="1" operator="equal">
      <formula>"Towel"</formula>
    </cfRule>
    <cfRule type="cellIs" dxfId="3903" priority="4542" stopIfTrue="1" operator="equal">
      <formula>"Napkin Hs"</formula>
    </cfRule>
  </conditionalFormatting>
  <conditionalFormatting sqref="C118">
    <cfRule type="cellIs" dxfId="3902" priority="4543" stopIfTrue="1" operator="equal">
      <formula>"Towel"</formula>
    </cfRule>
  </conditionalFormatting>
  <conditionalFormatting sqref="B118:C118">
    <cfRule type="cellIs" dxfId="3901" priority="4606" stopIfTrue="1" operator="equal">
      <formula>"Napkin Hs"</formula>
    </cfRule>
  </conditionalFormatting>
  <conditionalFormatting sqref="B118:C118">
    <cfRule type="cellIs" dxfId="3900" priority="4605" stopIfTrue="1" operator="equal">
      <formula>"Towel"</formula>
    </cfRule>
  </conditionalFormatting>
  <conditionalFormatting sqref="C118">
    <cfRule type="cellIs" dxfId="3899" priority="4604" stopIfTrue="1" operator="equal">
      <formula>"Napkin Hs"</formula>
    </cfRule>
  </conditionalFormatting>
  <conditionalFormatting sqref="C118">
    <cfRule type="cellIs" dxfId="3898" priority="4603" stopIfTrue="1" operator="equal">
      <formula>"Towel"</formula>
    </cfRule>
  </conditionalFormatting>
  <conditionalFormatting sqref="C118">
    <cfRule type="cellIs" dxfId="3897" priority="4601" stopIfTrue="1" operator="equal">
      <formula>"Towel"</formula>
    </cfRule>
    <cfRule type="cellIs" dxfId="3896" priority="4602" stopIfTrue="1" operator="equal">
      <formula>"Napkin Hs"</formula>
    </cfRule>
  </conditionalFormatting>
  <conditionalFormatting sqref="B118:C118">
    <cfRule type="cellIs" dxfId="3895" priority="4599" stopIfTrue="1" operator="equal">
      <formula>"Towel"</formula>
    </cfRule>
    <cfRule type="cellIs" dxfId="3894" priority="4600" stopIfTrue="1" operator="equal">
      <formula>"Napkin Hs"</formula>
    </cfRule>
  </conditionalFormatting>
  <conditionalFormatting sqref="C118">
    <cfRule type="cellIs" dxfId="3893" priority="4595" stopIfTrue="1" operator="equal">
      <formula>"Towel"</formula>
    </cfRule>
    <cfRule type="cellIs" dxfId="3892" priority="4596" stopIfTrue="1" operator="equal">
      <formula>"Napkin Hs"</formula>
    </cfRule>
  </conditionalFormatting>
  <conditionalFormatting sqref="C118">
    <cfRule type="cellIs" dxfId="3891" priority="4597" stopIfTrue="1" operator="equal">
      <formula>"Towel"</formula>
    </cfRule>
    <cfRule type="cellIs" dxfId="3890" priority="4598" stopIfTrue="1" operator="equal">
      <formula>"Napkin Hs"</formula>
    </cfRule>
  </conditionalFormatting>
  <conditionalFormatting sqref="B118:C118">
    <cfRule type="cellIs" dxfId="3889" priority="4594" stopIfTrue="1" operator="equal">
      <formula>"Napkin Hs"</formula>
    </cfRule>
  </conditionalFormatting>
  <conditionalFormatting sqref="B118:C118">
    <cfRule type="cellIs" dxfId="3888" priority="4593" stopIfTrue="1" operator="equal">
      <formula>"Towel"</formula>
    </cfRule>
  </conditionalFormatting>
  <conditionalFormatting sqref="C118">
    <cfRule type="cellIs" dxfId="3887" priority="4592" stopIfTrue="1" operator="equal">
      <formula>"Napkin Hs"</formula>
    </cfRule>
  </conditionalFormatting>
  <conditionalFormatting sqref="C118">
    <cfRule type="cellIs" dxfId="3886" priority="4591" stopIfTrue="1" operator="equal">
      <formula>"Towel"</formula>
    </cfRule>
  </conditionalFormatting>
  <conditionalFormatting sqref="C118">
    <cfRule type="cellIs" dxfId="3885" priority="4589" stopIfTrue="1" operator="equal">
      <formula>"Towel"</formula>
    </cfRule>
    <cfRule type="cellIs" dxfId="3884" priority="4590" stopIfTrue="1" operator="equal">
      <formula>"Napkin Hs"</formula>
    </cfRule>
  </conditionalFormatting>
  <conditionalFormatting sqref="B118:C118">
    <cfRule type="cellIs" dxfId="3883" priority="4587" stopIfTrue="1" operator="equal">
      <formula>"Towel"</formula>
    </cfRule>
    <cfRule type="cellIs" dxfId="3882" priority="4588" stopIfTrue="1" operator="equal">
      <formula>"Napkin Hs"</formula>
    </cfRule>
  </conditionalFormatting>
  <conditionalFormatting sqref="C118">
    <cfRule type="cellIs" dxfId="3881" priority="4585" stopIfTrue="1" operator="equal">
      <formula>"Towel"</formula>
    </cfRule>
    <cfRule type="cellIs" dxfId="3880" priority="4586" stopIfTrue="1" operator="equal">
      <formula>"Napkin Hs"</formula>
    </cfRule>
  </conditionalFormatting>
  <conditionalFormatting sqref="C118">
    <cfRule type="cellIs" dxfId="3879" priority="4583" stopIfTrue="1" operator="equal">
      <formula>"Towel"</formula>
    </cfRule>
    <cfRule type="cellIs" dxfId="3878" priority="4584" stopIfTrue="1" operator="equal">
      <formula>"Napkin Hs"</formula>
    </cfRule>
  </conditionalFormatting>
  <conditionalFormatting sqref="B118:C118">
    <cfRule type="cellIs" dxfId="3877" priority="4581" stopIfTrue="1" operator="equal">
      <formula>"Towel"</formula>
    </cfRule>
    <cfRule type="cellIs" dxfId="3876" priority="4582" stopIfTrue="1" operator="equal">
      <formula>"Napkin Hs"</formula>
    </cfRule>
  </conditionalFormatting>
  <conditionalFormatting sqref="C118">
    <cfRule type="cellIs" dxfId="3875" priority="4579" stopIfTrue="1" operator="equal">
      <formula>"Towel"</formula>
    </cfRule>
    <cfRule type="cellIs" dxfId="3874" priority="4580" stopIfTrue="1" operator="equal">
      <formula>"Napkin Hs"</formula>
    </cfRule>
  </conditionalFormatting>
  <conditionalFormatting sqref="C118">
    <cfRule type="cellIs" dxfId="3873" priority="4577" stopIfTrue="1" operator="equal">
      <formula>"Towel"</formula>
    </cfRule>
    <cfRule type="cellIs" dxfId="3872" priority="4578" stopIfTrue="1" operator="equal">
      <formula>"Napkin Hs"</formula>
    </cfRule>
  </conditionalFormatting>
  <conditionalFormatting sqref="B118:C118">
    <cfRule type="cellIs" dxfId="3871" priority="4575" stopIfTrue="1" operator="equal">
      <formula>"Towel"</formula>
    </cfRule>
    <cfRule type="cellIs" dxfId="3870" priority="4576" stopIfTrue="1" operator="equal">
      <formula>"Napkin Hs"</formula>
    </cfRule>
  </conditionalFormatting>
  <conditionalFormatting sqref="C118">
    <cfRule type="cellIs" dxfId="3869" priority="4573" stopIfTrue="1" operator="equal">
      <formula>"Towel"</formula>
    </cfRule>
    <cfRule type="cellIs" dxfId="3868" priority="4574" stopIfTrue="1" operator="equal">
      <formula>"Napkin Hs"</formula>
    </cfRule>
  </conditionalFormatting>
  <conditionalFormatting sqref="C118">
    <cfRule type="cellIs" dxfId="3867" priority="4571" stopIfTrue="1" operator="equal">
      <formula>"Towel"</formula>
    </cfRule>
    <cfRule type="cellIs" dxfId="3866" priority="4572" stopIfTrue="1" operator="equal">
      <formula>"Napkin Hs"</formula>
    </cfRule>
  </conditionalFormatting>
  <conditionalFormatting sqref="B118:C118">
    <cfRule type="cellIs" dxfId="3865" priority="4569" stopIfTrue="1" operator="equal">
      <formula>"Towel"</formula>
    </cfRule>
    <cfRule type="cellIs" dxfId="3864" priority="4570" stopIfTrue="1" operator="equal">
      <formula>"Napkin Hs"</formula>
    </cfRule>
  </conditionalFormatting>
  <conditionalFormatting sqref="C118">
    <cfRule type="cellIs" dxfId="3863" priority="4567" stopIfTrue="1" operator="equal">
      <formula>"Towel"</formula>
    </cfRule>
    <cfRule type="cellIs" dxfId="3862" priority="4568" stopIfTrue="1" operator="equal">
      <formula>"Napkin Hs"</formula>
    </cfRule>
  </conditionalFormatting>
  <conditionalFormatting sqref="C118">
    <cfRule type="cellIs" dxfId="3861" priority="4565" stopIfTrue="1" operator="equal">
      <formula>"Towel"</formula>
    </cfRule>
    <cfRule type="cellIs" dxfId="3860" priority="4566" stopIfTrue="1" operator="equal">
      <formula>"Napkin Hs"</formula>
    </cfRule>
  </conditionalFormatting>
  <conditionalFormatting sqref="B118:C118">
    <cfRule type="cellIs" dxfId="3859" priority="4563" stopIfTrue="1" operator="equal">
      <formula>"Towel"</formula>
    </cfRule>
    <cfRule type="cellIs" dxfId="3858" priority="4564" stopIfTrue="1" operator="equal">
      <formula>"Napkin Hs"</formula>
    </cfRule>
  </conditionalFormatting>
  <conditionalFormatting sqref="C118">
    <cfRule type="cellIs" dxfId="3857" priority="4561" stopIfTrue="1" operator="equal">
      <formula>"Towel"</formula>
    </cfRule>
    <cfRule type="cellIs" dxfId="3856" priority="4562" stopIfTrue="1" operator="equal">
      <formula>"Napkin Hs"</formula>
    </cfRule>
  </conditionalFormatting>
  <conditionalFormatting sqref="C118">
    <cfRule type="cellIs" dxfId="3855" priority="4559" stopIfTrue="1" operator="equal">
      <formula>"Towel"</formula>
    </cfRule>
    <cfRule type="cellIs" dxfId="3854" priority="4560" stopIfTrue="1" operator="equal">
      <formula>"Napkin Hs"</formula>
    </cfRule>
  </conditionalFormatting>
  <conditionalFormatting sqref="B118:C118">
    <cfRule type="cellIs" dxfId="3853" priority="4558" stopIfTrue="1" operator="equal">
      <formula>"Napkin Hs"</formula>
    </cfRule>
  </conditionalFormatting>
  <conditionalFormatting sqref="B118:C118">
    <cfRule type="cellIs" dxfId="3852" priority="4557" stopIfTrue="1" operator="equal">
      <formula>"Towel"</formula>
    </cfRule>
  </conditionalFormatting>
  <conditionalFormatting sqref="C118">
    <cfRule type="cellIs" dxfId="3851" priority="4556" stopIfTrue="1" operator="equal">
      <formula>"Napkin Hs"</formula>
    </cfRule>
  </conditionalFormatting>
  <conditionalFormatting sqref="C118">
    <cfRule type="cellIs" dxfId="3850" priority="4553" stopIfTrue="1" operator="equal">
      <formula>"Towel"</formula>
    </cfRule>
    <cfRule type="cellIs" dxfId="3849" priority="4554" stopIfTrue="1" operator="equal">
      <formula>"Napkin Hs"</formula>
    </cfRule>
  </conditionalFormatting>
  <conditionalFormatting sqref="C118">
    <cfRule type="cellIs" dxfId="3848" priority="4555" stopIfTrue="1" operator="equal">
      <formula>"Towel"</formula>
    </cfRule>
  </conditionalFormatting>
  <conditionalFormatting sqref="B118:C118">
    <cfRule type="cellIs" dxfId="3847" priority="4552" stopIfTrue="1" operator="equal">
      <formula>"Napkin Hs"</formula>
    </cfRule>
  </conditionalFormatting>
  <conditionalFormatting sqref="B118:C118">
    <cfRule type="cellIs" dxfId="3846" priority="4551" stopIfTrue="1" operator="equal">
      <formula>"Towel"</formula>
    </cfRule>
  </conditionalFormatting>
  <conditionalFormatting sqref="C118">
    <cfRule type="cellIs" dxfId="3845" priority="4550" stopIfTrue="1" operator="equal">
      <formula>"Napkin Hs"</formula>
    </cfRule>
  </conditionalFormatting>
  <conditionalFormatting sqref="C118">
    <cfRule type="cellIs" dxfId="3844" priority="4547" stopIfTrue="1" operator="equal">
      <formula>"Towel"</formula>
    </cfRule>
    <cfRule type="cellIs" dxfId="3843" priority="4548" stopIfTrue="1" operator="equal">
      <formula>"Napkin Hs"</formula>
    </cfRule>
  </conditionalFormatting>
  <conditionalFormatting sqref="C118">
    <cfRule type="cellIs" dxfId="3842" priority="4549" stopIfTrue="1" operator="equal">
      <formula>"Towel"</formula>
    </cfRule>
  </conditionalFormatting>
  <conditionalFormatting sqref="B116:C116">
    <cfRule type="cellIs" dxfId="3841" priority="4537" stopIfTrue="1" operator="equal">
      <formula>"Towel"</formula>
    </cfRule>
    <cfRule type="cellIs" dxfId="3840" priority="4538" stopIfTrue="1" operator="equal">
      <formula>"Napkin Hs"</formula>
    </cfRule>
  </conditionalFormatting>
  <conditionalFormatting sqref="C116">
    <cfRule type="cellIs" dxfId="3839" priority="4539" stopIfTrue="1" operator="equal">
      <formula>"Towel"</formula>
    </cfRule>
    <cfRule type="cellIs" dxfId="3838" priority="4540" stopIfTrue="1" operator="equal">
      <formula>"Napkin Hs"</formula>
    </cfRule>
  </conditionalFormatting>
  <conditionalFormatting sqref="C116">
    <cfRule type="cellIs" dxfId="3837" priority="4535" stopIfTrue="1" operator="equal">
      <formula>"Towel"</formula>
    </cfRule>
    <cfRule type="cellIs" dxfId="3836" priority="4536" stopIfTrue="1" operator="equal">
      <formula>"Napkin Hs"</formula>
    </cfRule>
  </conditionalFormatting>
  <conditionalFormatting sqref="B116:C116">
    <cfRule type="cellIs" dxfId="3835" priority="4534" stopIfTrue="1" operator="equal">
      <formula>"Napkin Hs"</formula>
    </cfRule>
  </conditionalFormatting>
  <conditionalFormatting sqref="B116:C116">
    <cfRule type="cellIs" dxfId="3834" priority="4533" stopIfTrue="1" operator="equal">
      <formula>"Towel"</formula>
    </cfRule>
  </conditionalFormatting>
  <conditionalFormatting sqref="C116">
    <cfRule type="cellIs" dxfId="3833" priority="4532" stopIfTrue="1" operator="equal">
      <formula>"Napkin Hs"</formula>
    </cfRule>
  </conditionalFormatting>
  <conditionalFormatting sqref="C116">
    <cfRule type="cellIs" dxfId="3832" priority="4531" stopIfTrue="1" operator="equal">
      <formula>"Towel"</formula>
    </cfRule>
  </conditionalFormatting>
  <conditionalFormatting sqref="C116">
    <cfRule type="cellIs" dxfId="3831" priority="4529" stopIfTrue="1" operator="equal">
      <formula>"Towel"</formula>
    </cfRule>
    <cfRule type="cellIs" dxfId="3830" priority="4530" stopIfTrue="1" operator="equal">
      <formula>"Napkin Hs"</formula>
    </cfRule>
  </conditionalFormatting>
  <conditionalFormatting sqref="B116:C116">
    <cfRule type="cellIs" dxfId="3829" priority="4527" stopIfTrue="1" operator="equal">
      <formula>"Towel"</formula>
    </cfRule>
    <cfRule type="cellIs" dxfId="3828" priority="4528" stopIfTrue="1" operator="equal">
      <formula>"Napkin Hs"</formula>
    </cfRule>
  </conditionalFormatting>
  <conditionalFormatting sqref="C116">
    <cfRule type="cellIs" dxfId="3827" priority="4523" stopIfTrue="1" operator="equal">
      <formula>"Towel"</formula>
    </cfRule>
    <cfRule type="cellIs" dxfId="3826" priority="4524" stopIfTrue="1" operator="equal">
      <formula>"Napkin Hs"</formula>
    </cfRule>
  </conditionalFormatting>
  <conditionalFormatting sqref="C116">
    <cfRule type="cellIs" dxfId="3825" priority="4525" stopIfTrue="1" operator="equal">
      <formula>"Towel"</formula>
    </cfRule>
    <cfRule type="cellIs" dxfId="3824" priority="4526" stopIfTrue="1" operator="equal">
      <formula>"Napkin Hs"</formula>
    </cfRule>
  </conditionalFormatting>
  <conditionalFormatting sqref="B116:C116">
    <cfRule type="cellIs" dxfId="3823" priority="4522" stopIfTrue="1" operator="equal">
      <formula>"Napkin Hs"</formula>
    </cfRule>
  </conditionalFormatting>
  <conditionalFormatting sqref="B116:C116">
    <cfRule type="cellIs" dxfId="3822" priority="4521" stopIfTrue="1" operator="equal">
      <formula>"Towel"</formula>
    </cfRule>
  </conditionalFormatting>
  <conditionalFormatting sqref="C116">
    <cfRule type="cellIs" dxfId="3821" priority="4520" stopIfTrue="1" operator="equal">
      <formula>"Napkin Hs"</formula>
    </cfRule>
  </conditionalFormatting>
  <conditionalFormatting sqref="C116">
    <cfRule type="cellIs" dxfId="3820" priority="4519" stopIfTrue="1" operator="equal">
      <formula>"Towel"</formula>
    </cfRule>
  </conditionalFormatting>
  <conditionalFormatting sqref="C116">
    <cfRule type="cellIs" dxfId="3819" priority="4517" stopIfTrue="1" operator="equal">
      <formula>"Towel"</formula>
    </cfRule>
    <cfRule type="cellIs" dxfId="3818" priority="4518" stopIfTrue="1" operator="equal">
      <formula>"Napkin Hs"</formula>
    </cfRule>
  </conditionalFormatting>
  <conditionalFormatting sqref="B116:C116">
    <cfRule type="cellIs" dxfId="3817" priority="4515" stopIfTrue="1" operator="equal">
      <formula>"Towel"</formula>
    </cfRule>
    <cfRule type="cellIs" dxfId="3816" priority="4516" stopIfTrue="1" operator="equal">
      <formula>"Napkin Hs"</formula>
    </cfRule>
  </conditionalFormatting>
  <conditionalFormatting sqref="C116">
    <cfRule type="cellIs" dxfId="3815" priority="4513" stopIfTrue="1" operator="equal">
      <formula>"Towel"</formula>
    </cfRule>
    <cfRule type="cellIs" dxfId="3814" priority="4514" stopIfTrue="1" operator="equal">
      <formula>"Napkin Hs"</formula>
    </cfRule>
  </conditionalFormatting>
  <conditionalFormatting sqref="C116">
    <cfRule type="cellIs" dxfId="3813" priority="4511" stopIfTrue="1" operator="equal">
      <formula>"Towel"</formula>
    </cfRule>
    <cfRule type="cellIs" dxfId="3812" priority="4512" stopIfTrue="1" operator="equal">
      <formula>"Napkin Hs"</formula>
    </cfRule>
  </conditionalFormatting>
  <conditionalFormatting sqref="B116:C116">
    <cfRule type="cellIs" dxfId="3811" priority="4509" stopIfTrue="1" operator="equal">
      <formula>"Towel"</formula>
    </cfRule>
    <cfRule type="cellIs" dxfId="3810" priority="4510" stopIfTrue="1" operator="equal">
      <formula>"Napkin Hs"</formula>
    </cfRule>
  </conditionalFormatting>
  <conditionalFormatting sqref="C116">
    <cfRule type="cellIs" dxfId="3809" priority="4507" stopIfTrue="1" operator="equal">
      <formula>"Towel"</formula>
    </cfRule>
    <cfRule type="cellIs" dxfId="3808" priority="4508" stopIfTrue="1" operator="equal">
      <formula>"Napkin Hs"</formula>
    </cfRule>
  </conditionalFormatting>
  <conditionalFormatting sqref="C116">
    <cfRule type="cellIs" dxfId="3807" priority="4505" stopIfTrue="1" operator="equal">
      <formula>"Towel"</formula>
    </cfRule>
    <cfRule type="cellIs" dxfId="3806" priority="4506" stopIfTrue="1" operator="equal">
      <formula>"Napkin Hs"</formula>
    </cfRule>
  </conditionalFormatting>
  <conditionalFormatting sqref="B116:C116">
    <cfRule type="cellIs" dxfId="3805" priority="4503" stopIfTrue="1" operator="equal">
      <formula>"Towel"</formula>
    </cfRule>
    <cfRule type="cellIs" dxfId="3804" priority="4504" stopIfTrue="1" operator="equal">
      <formula>"Napkin Hs"</formula>
    </cfRule>
  </conditionalFormatting>
  <conditionalFormatting sqref="C116">
    <cfRule type="cellIs" dxfId="3803" priority="4501" stopIfTrue="1" operator="equal">
      <formula>"Towel"</formula>
    </cfRule>
    <cfRule type="cellIs" dxfId="3802" priority="4502" stopIfTrue="1" operator="equal">
      <formula>"Napkin Hs"</formula>
    </cfRule>
  </conditionalFormatting>
  <conditionalFormatting sqref="C116">
    <cfRule type="cellIs" dxfId="3801" priority="4499" stopIfTrue="1" operator="equal">
      <formula>"Towel"</formula>
    </cfRule>
    <cfRule type="cellIs" dxfId="3800" priority="4500" stopIfTrue="1" operator="equal">
      <formula>"Napkin Hs"</formula>
    </cfRule>
  </conditionalFormatting>
  <conditionalFormatting sqref="B116:C116">
    <cfRule type="cellIs" dxfId="3799" priority="4497" stopIfTrue="1" operator="equal">
      <formula>"Towel"</formula>
    </cfRule>
    <cfRule type="cellIs" dxfId="3798" priority="4498" stopIfTrue="1" operator="equal">
      <formula>"Napkin Hs"</formula>
    </cfRule>
  </conditionalFormatting>
  <conditionalFormatting sqref="C116">
    <cfRule type="cellIs" dxfId="3797" priority="4495" stopIfTrue="1" operator="equal">
      <formula>"Towel"</formula>
    </cfRule>
    <cfRule type="cellIs" dxfId="3796" priority="4496" stopIfTrue="1" operator="equal">
      <formula>"Napkin Hs"</formula>
    </cfRule>
  </conditionalFormatting>
  <conditionalFormatting sqref="C116">
    <cfRule type="cellIs" dxfId="3795" priority="4493" stopIfTrue="1" operator="equal">
      <formula>"Towel"</formula>
    </cfRule>
    <cfRule type="cellIs" dxfId="3794" priority="4494" stopIfTrue="1" operator="equal">
      <formula>"Napkin Hs"</formula>
    </cfRule>
  </conditionalFormatting>
  <conditionalFormatting sqref="B116:C116">
    <cfRule type="cellIs" dxfId="3793" priority="4491" stopIfTrue="1" operator="equal">
      <formula>"Towel"</formula>
    </cfRule>
    <cfRule type="cellIs" dxfId="3792" priority="4492" stopIfTrue="1" operator="equal">
      <formula>"Napkin Hs"</formula>
    </cfRule>
  </conditionalFormatting>
  <conditionalFormatting sqref="C116">
    <cfRule type="cellIs" dxfId="3791" priority="4489" stopIfTrue="1" operator="equal">
      <formula>"Towel"</formula>
    </cfRule>
    <cfRule type="cellIs" dxfId="3790" priority="4490" stopIfTrue="1" operator="equal">
      <formula>"Napkin Hs"</formula>
    </cfRule>
  </conditionalFormatting>
  <conditionalFormatting sqref="C116">
    <cfRule type="cellIs" dxfId="3789" priority="4487" stopIfTrue="1" operator="equal">
      <formula>"Towel"</formula>
    </cfRule>
    <cfRule type="cellIs" dxfId="3788" priority="4488" stopIfTrue="1" operator="equal">
      <formula>"Napkin Hs"</formula>
    </cfRule>
  </conditionalFormatting>
  <conditionalFormatting sqref="B116:C116">
    <cfRule type="cellIs" dxfId="3787" priority="4486" stopIfTrue="1" operator="equal">
      <formula>"Napkin Hs"</formula>
    </cfRule>
  </conditionalFormatting>
  <conditionalFormatting sqref="B116:C116">
    <cfRule type="cellIs" dxfId="3786" priority="4485" stopIfTrue="1" operator="equal">
      <formula>"Towel"</formula>
    </cfRule>
  </conditionalFormatting>
  <conditionalFormatting sqref="C116">
    <cfRule type="cellIs" dxfId="3785" priority="4484" stopIfTrue="1" operator="equal">
      <formula>"Napkin Hs"</formula>
    </cfRule>
  </conditionalFormatting>
  <conditionalFormatting sqref="C116">
    <cfRule type="cellIs" dxfId="3784" priority="4481" stopIfTrue="1" operator="equal">
      <formula>"Towel"</formula>
    </cfRule>
    <cfRule type="cellIs" dxfId="3783" priority="4482" stopIfTrue="1" operator="equal">
      <formula>"Napkin Hs"</formula>
    </cfRule>
  </conditionalFormatting>
  <conditionalFormatting sqref="C116">
    <cfRule type="cellIs" dxfId="3782" priority="4483" stopIfTrue="1" operator="equal">
      <formula>"Towel"</formula>
    </cfRule>
  </conditionalFormatting>
  <conditionalFormatting sqref="B116:C116">
    <cfRule type="cellIs" dxfId="3781" priority="4480" stopIfTrue="1" operator="equal">
      <formula>"Napkin Hs"</formula>
    </cfRule>
  </conditionalFormatting>
  <conditionalFormatting sqref="B116:C116">
    <cfRule type="cellIs" dxfId="3780" priority="4479" stopIfTrue="1" operator="equal">
      <formula>"Towel"</formula>
    </cfRule>
  </conditionalFormatting>
  <conditionalFormatting sqref="C116">
    <cfRule type="cellIs" dxfId="3779" priority="4478" stopIfTrue="1" operator="equal">
      <formula>"Napkin Hs"</formula>
    </cfRule>
  </conditionalFormatting>
  <conditionalFormatting sqref="C116">
    <cfRule type="cellIs" dxfId="3778" priority="4477" stopIfTrue="1" operator="equal">
      <formula>"Towel"</formula>
    </cfRule>
  </conditionalFormatting>
  <conditionalFormatting sqref="C116">
    <cfRule type="cellIs" dxfId="3777" priority="4475" stopIfTrue="1" operator="equal">
      <formula>"Towel"</formula>
    </cfRule>
    <cfRule type="cellIs" dxfId="3776" priority="4476" stopIfTrue="1" operator="equal">
      <formula>"Napkin Hs"</formula>
    </cfRule>
  </conditionalFormatting>
  <conditionalFormatting sqref="C116">
    <cfRule type="cellIs" dxfId="3775" priority="4469" stopIfTrue="1" operator="equal">
      <formula>"Towel"</formula>
    </cfRule>
    <cfRule type="cellIs" dxfId="3774" priority="4470" stopIfTrue="1" operator="equal">
      <formula>"Napkin Hs"</formula>
    </cfRule>
  </conditionalFormatting>
  <conditionalFormatting sqref="B116:C116">
    <cfRule type="cellIs" dxfId="3773" priority="4468" stopIfTrue="1" operator="equal">
      <formula>"Napkin Hs"</formula>
    </cfRule>
  </conditionalFormatting>
  <conditionalFormatting sqref="B116:C116">
    <cfRule type="cellIs" dxfId="3772" priority="4467" stopIfTrue="1" operator="equal">
      <formula>"Towel"</formula>
    </cfRule>
  </conditionalFormatting>
  <conditionalFormatting sqref="C116">
    <cfRule type="cellIs" dxfId="3771" priority="4466" stopIfTrue="1" operator="equal">
      <formula>"Napkin Hs"</formula>
    </cfRule>
  </conditionalFormatting>
  <conditionalFormatting sqref="C116">
    <cfRule type="cellIs" dxfId="3770" priority="4465" stopIfTrue="1" operator="equal">
      <formula>"Towel"</formula>
    </cfRule>
  </conditionalFormatting>
  <conditionalFormatting sqref="C116">
    <cfRule type="cellIs" dxfId="3769" priority="4463" stopIfTrue="1" operator="equal">
      <formula>"Towel"</formula>
    </cfRule>
    <cfRule type="cellIs" dxfId="3768" priority="4464" stopIfTrue="1" operator="equal">
      <formula>"Napkin Hs"</formula>
    </cfRule>
  </conditionalFormatting>
  <conditionalFormatting sqref="C116">
    <cfRule type="cellIs" dxfId="3767" priority="4457" stopIfTrue="1" operator="equal">
      <formula>"Towel"</formula>
    </cfRule>
    <cfRule type="cellIs" dxfId="3766" priority="4458" stopIfTrue="1" operator="equal">
      <formula>"Napkin Hs"</formula>
    </cfRule>
  </conditionalFormatting>
  <conditionalFormatting sqref="C116">
    <cfRule type="cellIs" dxfId="3765" priority="4451" stopIfTrue="1" operator="equal">
      <formula>"Towel"</formula>
    </cfRule>
    <cfRule type="cellIs" dxfId="3764" priority="4452" stopIfTrue="1" operator="equal">
      <formula>"Napkin Hs"</formula>
    </cfRule>
  </conditionalFormatting>
  <conditionalFormatting sqref="C116">
    <cfRule type="cellIs" dxfId="3763" priority="4445" stopIfTrue="1" operator="equal">
      <formula>"Towel"</formula>
    </cfRule>
    <cfRule type="cellIs" dxfId="3762" priority="4446" stopIfTrue="1" operator="equal">
      <formula>"Napkin Hs"</formula>
    </cfRule>
  </conditionalFormatting>
  <conditionalFormatting sqref="C116">
    <cfRule type="cellIs" dxfId="3761" priority="4439" stopIfTrue="1" operator="equal">
      <formula>"Towel"</formula>
    </cfRule>
    <cfRule type="cellIs" dxfId="3760" priority="4440" stopIfTrue="1" operator="equal">
      <formula>"Napkin Hs"</formula>
    </cfRule>
  </conditionalFormatting>
  <conditionalFormatting sqref="C116">
    <cfRule type="cellIs" dxfId="3759" priority="4433" stopIfTrue="1" operator="equal">
      <formula>"Towel"</formula>
    </cfRule>
    <cfRule type="cellIs" dxfId="3758" priority="4434" stopIfTrue="1" operator="equal">
      <formula>"Napkin Hs"</formula>
    </cfRule>
  </conditionalFormatting>
  <conditionalFormatting sqref="B116:C116">
    <cfRule type="cellIs" dxfId="3757" priority="4432" stopIfTrue="1" operator="equal">
      <formula>"Napkin Hs"</formula>
    </cfRule>
  </conditionalFormatting>
  <conditionalFormatting sqref="B116:C116">
    <cfRule type="cellIs" dxfId="3756" priority="4431" stopIfTrue="1" operator="equal">
      <formula>"Towel"</formula>
    </cfRule>
  </conditionalFormatting>
  <conditionalFormatting sqref="C116">
    <cfRule type="cellIs" dxfId="3755" priority="4430" stopIfTrue="1" operator="equal">
      <formula>"Napkin Hs"</formula>
    </cfRule>
  </conditionalFormatting>
  <conditionalFormatting sqref="C116">
    <cfRule type="cellIs" dxfId="3754" priority="4427" stopIfTrue="1" operator="equal">
      <formula>"Towel"</formula>
    </cfRule>
    <cfRule type="cellIs" dxfId="3753" priority="4428" stopIfTrue="1" operator="equal">
      <formula>"Napkin Hs"</formula>
    </cfRule>
  </conditionalFormatting>
  <conditionalFormatting sqref="C116">
    <cfRule type="cellIs" dxfId="3752" priority="4429" stopIfTrue="1" operator="equal">
      <formula>"Towel"</formula>
    </cfRule>
  </conditionalFormatting>
  <conditionalFormatting sqref="B116:C116">
    <cfRule type="cellIs" dxfId="3751" priority="4426" stopIfTrue="1" operator="equal">
      <formula>"Napkin Hs"</formula>
    </cfRule>
  </conditionalFormatting>
  <conditionalFormatting sqref="B116:C116">
    <cfRule type="cellIs" dxfId="3750" priority="4425" stopIfTrue="1" operator="equal">
      <formula>"Towel"</formula>
    </cfRule>
  </conditionalFormatting>
  <conditionalFormatting sqref="C116">
    <cfRule type="cellIs" dxfId="3749" priority="4424" stopIfTrue="1" operator="equal">
      <formula>"Napkin Hs"</formula>
    </cfRule>
  </conditionalFormatting>
  <conditionalFormatting sqref="C116">
    <cfRule type="cellIs" dxfId="3748" priority="4421" stopIfTrue="1" operator="equal">
      <formula>"Towel"</formula>
    </cfRule>
    <cfRule type="cellIs" dxfId="3747" priority="4422" stopIfTrue="1" operator="equal">
      <formula>"Napkin Hs"</formula>
    </cfRule>
  </conditionalFormatting>
  <conditionalFormatting sqref="C116">
    <cfRule type="cellIs" dxfId="3746" priority="4423" stopIfTrue="1" operator="equal">
      <formula>"Towel"</formula>
    </cfRule>
  </conditionalFormatting>
  <conditionalFormatting sqref="B116:C116">
    <cfRule type="cellIs" dxfId="3745" priority="4473" stopIfTrue="1" operator="equal">
      <formula>"Towel"</formula>
    </cfRule>
    <cfRule type="cellIs" dxfId="3744" priority="4474" stopIfTrue="1" operator="equal">
      <formula>"Napkin Hs"</formula>
    </cfRule>
  </conditionalFormatting>
  <conditionalFormatting sqref="C116">
    <cfRule type="cellIs" dxfId="3743" priority="4471" stopIfTrue="1" operator="equal">
      <formula>"Towel"</formula>
    </cfRule>
    <cfRule type="cellIs" dxfId="3742" priority="4472" stopIfTrue="1" operator="equal">
      <formula>"Napkin Hs"</formula>
    </cfRule>
  </conditionalFormatting>
  <conditionalFormatting sqref="B116:C116">
    <cfRule type="cellIs" dxfId="3741" priority="4461" stopIfTrue="1" operator="equal">
      <formula>"Towel"</formula>
    </cfRule>
    <cfRule type="cellIs" dxfId="3740" priority="4462" stopIfTrue="1" operator="equal">
      <formula>"Napkin Hs"</formula>
    </cfRule>
  </conditionalFormatting>
  <conditionalFormatting sqref="C116">
    <cfRule type="cellIs" dxfId="3739" priority="4459" stopIfTrue="1" operator="equal">
      <formula>"Towel"</formula>
    </cfRule>
    <cfRule type="cellIs" dxfId="3738" priority="4460" stopIfTrue="1" operator="equal">
      <formula>"Napkin Hs"</formula>
    </cfRule>
  </conditionalFormatting>
  <conditionalFormatting sqref="B116:C116">
    <cfRule type="cellIs" dxfId="3737" priority="4455" stopIfTrue="1" operator="equal">
      <formula>"Towel"</formula>
    </cfRule>
    <cfRule type="cellIs" dxfId="3736" priority="4456" stopIfTrue="1" operator="equal">
      <formula>"Napkin Hs"</formula>
    </cfRule>
  </conditionalFormatting>
  <conditionalFormatting sqref="C116">
    <cfRule type="cellIs" dxfId="3735" priority="4453" stopIfTrue="1" operator="equal">
      <formula>"Towel"</formula>
    </cfRule>
    <cfRule type="cellIs" dxfId="3734" priority="4454" stopIfTrue="1" operator="equal">
      <formula>"Napkin Hs"</formula>
    </cfRule>
  </conditionalFormatting>
  <conditionalFormatting sqref="B116:C116">
    <cfRule type="cellIs" dxfId="3733" priority="4449" stopIfTrue="1" operator="equal">
      <formula>"Towel"</formula>
    </cfRule>
    <cfRule type="cellIs" dxfId="3732" priority="4450" stopIfTrue="1" operator="equal">
      <formula>"Napkin Hs"</formula>
    </cfRule>
  </conditionalFormatting>
  <conditionalFormatting sqref="C116">
    <cfRule type="cellIs" dxfId="3731" priority="4447" stopIfTrue="1" operator="equal">
      <formula>"Towel"</formula>
    </cfRule>
    <cfRule type="cellIs" dxfId="3730" priority="4448" stopIfTrue="1" operator="equal">
      <formula>"Napkin Hs"</formula>
    </cfRule>
  </conditionalFormatting>
  <conditionalFormatting sqref="B116:C116">
    <cfRule type="cellIs" dxfId="3729" priority="4443" stopIfTrue="1" operator="equal">
      <formula>"Towel"</formula>
    </cfRule>
    <cfRule type="cellIs" dxfId="3728" priority="4444" stopIfTrue="1" operator="equal">
      <formula>"Napkin Hs"</formula>
    </cfRule>
  </conditionalFormatting>
  <conditionalFormatting sqref="C116">
    <cfRule type="cellIs" dxfId="3727" priority="4441" stopIfTrue="1" operator="equal">
      <formula>"Towel"</formula>
    </cfRule>
    <cfRule type="cellIs" dxfId="3726" priority="4442" stopIfTrue="1" operator="equal">
      <formula>"Napkin Hs"</formula>
    </cfRule>
  </conditionalFormatting>
  <conditionalFormatting sqref="B116:C116">
    <cfRule type="cellIs" dxfId="3725" priority="4437" stopIfTrue="1" operator="equal">
      <formula>"Towel"</formula>
    </cfRule>
    <cfRule type="cellIs" dxfId="3724" priority="4438" stopIfTrue="1" operator="equal">
      <formula>"Napkin Hs"</formula>
    </cfRule>
  </conditionalFormatting>
  <conditionalFormatting sqref="C116">
    <cfRule type="cellIs" dxfId="3723" priority="4435" stopIfTrue="1" operator="equal">
      <formula>"Towel"</formula>
    </cfRule>
    <cfRule type="cellIs" dxfId="3722" priority="4436" stopIfTrue="1" operator="equal">
      <formula>"Napkin Hs"</formula>
    </cfRule>
  </conditionalFormatting>
  <conditionalFormatting sqref="B116:C116">
    <cfRule type="cellIs" dxfId="3721" priority="4420" stopIfTrue="1" operator="equal">
      <formula>"Napkin Hs"</formula>
    </cfRule>
  </conditionalFormatting>
  <conditionalFormatting sqref="B116:C116">
    <cfRule type="cellIs" dxfId="3720" priority="4419" stopIfTrue="1" operator="equal">
      <formula>"Towel"</formula>
    </cfRule>
  </conditionalFormatting>
  <conditionalFormatting sqref="C116">
    <cfRule type="cellIs" dxfId="3719" priority="4418" stopIfTrue="1" operator="equal">
      <formula>"Napkin Hs"</formula>
    </cfRule>
  </conditionalFormatting>
  <conditionalFormatting sqref="C116">
    <cfRule type="cellIs" dxfId="3718" priority="4415" stopIfTrue="1" operator="equal">
      <formula>"Towel"</formula>
    </cfRule>
    <cfRule type="cellIs" dxfId="3717" priority="4416" stopIfTrue="1" operator="equal">
      <formula>"Napkin Hs"</formula>
    </cfRule>
  </conditionalFormatting>
  <conditionalFormatting sqref="C116">
    <cfRule type="cellIs" dxfId="3716" priority="4417" stopIfTrue="1" operator="equal">
      <formula>"Towel"</formula>
    </cfRule>
  </conditionalFormatting>
  <conditionalFormatting sqref="B117:C117">
    <cfRule type="cellIs" dxfId="3715" priority="4411" stopIfTrue="1" operator="equal">
      <formula>"Towel"</formula>
    </cfRule>
    <cfRule type="cellIs" dxfId="3714" priority="4412" stopIfTrue="1" operator="equal">
      <formula>"Napkin Hs"</formula>
    </cfRule>
  </conditionalFormatting>
  <conditionalFormatting sqref="C117">
    <cfRule type="cellIs" dxfId="3713" priority="4413" stopIfTrue="1" operator="equal">
      <formula>"Towel"</formula>
    </cfRule>
    <cfRule type="cellIs" dxfId="3712" priority="4414" stopIfTrue="1" operator="equal">
      <formula>"Napkin Hs"</formula>
    </cfRule>
  </conditionalFormatting>
  <conditionalFormatting sqref="C117">
    <cfRule type="cellIs" dxfId="3711" priority="4409" stopIfTrue="1" operator="equal">
      <formula>"Towel"</formula>
    </cfRule>
    <cfRule type="cellIs" dxfId="3710" priority="4410" stopIfTrue="1" operator="equal">
      <formula>"Napkin Hs"</formula>
    </cfRule>
  </conditionalFormatting>
  <conditionalFormatting sqref="B117:C117">
    <cfRule type="cellIs" dxfId="3709" priority="4408" stopIfTrue="1" operator="equal">
      <formula>"Napkin Hs"</formula>
    </cfRule>
  </conditionalFormatting>
  <conditionalFormatting sqref="B117:C117">
    <cfRule type="cellIs" dxfId="3708" priority="4407" stopIfTrue="1" operator="equal">
      <formula>"Towel"</formula>
    </cfRule>
  </conditionalFormatting>
  <conditionalFormatting sqref="C117">
    <cfRule type="cellIs" dxfId="3707" priority="4406" stopIfTrue="1" operator="equal">
      <formula>"Napkin Hs"</formula>
    </cfRule>
  </conditionalFormatting>
  <conditionalFormatting sqref="C117">
    <cfRule type="cellIs" dxfId="3706" priority="4405" stopIfTrue="1" operator="equal">
      <formula>"Towel"</formula>
    </cfRule>
  </conditionalFormatting>
  <conditionalFormatting sqref="C117">
    <cfRule type="cellIs" dxfId="3705" priority="4403" stopIfTrue="1" operator="equal">
      <formula>"Towel"</formula>
    </cfRule>
    <cfRule type="cellIs" dxfId="3704" priority="4404" stopIfTrue="1" operator="equal">
      <formula>"Napkin Hs"</formula>
    </cfRule>
  </conditionalFormatting>
  <conditionalFormatting sqref="B117:C117">
    <cfRule type="cellIs" dxfId="3703" priority="4401" stopIfTrue="1" operator="equal">
      <formula>"Towel"</formula>
    </cfRule>
    <cfRule type="cellIs" dxfId="3702" priority="4402" stopIfTrue="1" operator="equal">
      <formula>"Napkin Hs"</formula>
    </cfRule>
  </conditionalFormatting>
  <conditionalFormatting sqref="C117">
    <cfRule type="cellIs" dxfId="3701" priority="4397" stopIfTrue="1" operator="equal">
      <formula>"Towel"</formula>
    </cfRule>
    <cfRule type="cellIs" dxfId="3700" priority="4398" stopIfTrue="1" operator="equal">
      <formula>"Napkin Hs"</formula>
    </cfRule>
  </conditionalFormatting>
  <conditionalFormatting sqref="C117">
    <cfRule type="cellIs" dxfId="3699" priority="4399" stopIfTrue="1" operator="equal">
      <formula>"Towel"</formula>
    </cfRule>
    <cfRule type="cellIs" dxfId="3698" priority="4400" stopIfTrue="1" operator="equal">
      <formula>"Napkin Hs"</formula>
    </cfRule>
  </conditionalFormatting>
  <conditionalFormatting sqref="B117:C117">
    <cfRule type="cellIs" dxfId="3697" priority="4396" stopIfTrue="1" operator="equal">
      <formula>"Napkin Hs"</formula>
    </cfRule>
  </conditionalFormatting>
  <conditionalFormatting sqref="B117:C117">
    <cfRule type="cellIs" dxfId="3696" priority="4395" stopIfTrue="1" operator="equal">
      <formula>"Towel"</formula>
    </cfRule>
  </conditionalFormatting>
  <conditionalFormatting sqref="C117">
    <cfRule type="cellIs" dxfId="3695" priority="4394" stopIfTrue="1" operator="equal">
      <formula>"Napkin Hs"</formula>
    </cfRule>
  </conditionalFormatting>
  <conditionalFormatting sqref="C117">
    <cfRule type="cellIs" dxfId="3694" priority="4393" stopIfTrue="1" operator="equal">
      <formula>"Towel"</formula>
    </cfRule>
  </conditionalFormatting>
  <conditionalFormatting sqref="C117">
    <cfRule type="cellIs" dxfId="3693" priority="4391" stopIfTrue="1" operator="equal">
      <formula>"Towel"</formula>
    </cfRule>
    <cfRule type="cellIs" dxfId="3692" priority="4392" stopIfTrue="1" operator="equal">
      <formula>"Napkin Hs"</formula>
    </cfRule>
  </conditionalFormatting>
  <conditionalFormatting sqref="B117:C117">
    <cfRule type="cellIs" dxfId="3691" priority="4389" stopIfTrue="1" operator="equal">
      <formula>"Towel"</formula>
    </cfRule>
    <cfRule type="cellIs" dxfId="3690" priority="4390" stopIfTrue="1" operator="equal">
      <formula>"Napkin Hs"</formula>
    </cfRule>
  </conditionalFormatting>
  <conditionalFormatting sqref="C117">
    <cfRule type="cellIs" dxfId="3689" priority="4387" stopIfTrue="1" operator="equal">
      <formula>"Towel"</formula>
    </cfRule>
    <cfRule type="cellIs" dxfId="3688" priority="4388" stopIfTrue="1" operator="equal">
      <formula>"Napkin Hs"</formula>
    </cfRule>
  </conditionalFormatting>
  <conditionalFormatting sqref="C117">
    <cfRule type="cellIs" dxfId="3687" priority="4385" stopIfTrue="1" operator="equal">
      <formula>"Towel"</formula>
    </cfRule>
    <cfRule type="cellIs" dxfId="3686" priority="4386" stopIfTrue="1" operator="equal">
      <formula>"Napkin Hs"</formula>
    </cfRule>
  </conditionalFormatting>
  <conditionalFormatting sqref="B117:C117">
    <cfRule type="cellIs" dxfId="3685" priority="4383" stopIfTrue="1" operator="equal">
      <formula>"Towel"</formula>
    </cfRule>
    <cfRule type="cellIs" dxfId="3684" priority="4384" stopIfTrue="1" operator="equal">
      <formula>"Napkin Hs"</formula>
    </cfRule>
  </conditionalFormatting>
  <conditionalFormatting sqref="C117">
    <cfRule type="cellIs" dxfId="3683" priority="4381" stopIfTrue="1" operator="equal">
      <formula>"Towel"</formula>
    </cfRule>
    <cfRule type="cellIs" dxfId="3682" priority="4382" stopIfTrue="1" operator="equal">
      <formula>"Napkin Hs"</formula>
    </cfRule>
  </conditionalFormatting>
  <conditionalFormatting sqref="C117">
    <cfRule type="cellIs" dxfId="3681" priority="4379" stopIfTrue="1" operator="equal">
      <formula>"Towel"</formula>
    </cfRule>
    <cfRule type="cellIs" dxfId="3680" priority="4380" stopIfTrue="1" operator="equal">
      <formula>"Napkin Hs"</formula>
    </cfRule>
  </conditionalFormatting>
  <conditionalFormatting sqref="B117:C117">
    <cfRule type="cellIs" dxfId="3679" priority="4377" stopIfTrue="1" operator="equal">
      <formula>"Towel"</formula>
    </cfRule>
    <cfRule type="cellIs" dxfId="3678" priority="4378" stopIfTrue="1" operator="equal">
      <formula>"Napkin Hs"</formula>
    </cfRule>
  </conditionalFormatting>
  <conditionalFormatting sqref="C117">
    <cfRule type="cellIs" dxfId="3677" priority="4375" stopIfTrue="1" operator="equal">
      <formula>"Towel"</formula>
    </cfRule>
    <cfRule type="cellIs" dxfId="3676" priority="4376" stopIfTrue="1" operator="equal">
      <formula>"Napkin Hs"</formula>
    </cfRule>
  </conditionalFormatting>
  <conditionalFormatting sqref="C117">
    <cfRule type="cellIs" dxfId="3675" priority="4373" stopIfTrue="1" operator="equal">
      <formula>"Towel"</formula>
    </cfRule>
    <cfRule type="cellIs" dxfId="3674" priority="4374" stopIfTrue="1" operator="equal">
      <formula>"Napkin Hs"</formula>
    </cfRule>
  </conditionalFormatting>
  <conditionalFormatting sqref="B117:C117">
    <cfRule type="cellIs" dxfId="3673" priority="4371" stopIfTrue="1" operator="equal">
      <formula>"Towel"</formula>
    </cfRule>
    <cfRule type="cellIs" dxfId="3672" priority="4372" stopIfTrue="1" operator="equal">
      <formula>"Napkin Hs"</formula>
    </cfRule>
  </conditionalFormatting>
  <conditionalFormatting sqref="C117">
    <cfRule type="cellIs" dxfId="3671" priority="4369" stopIfTrue="1" operator="equal">
      <formula>"Towel"</formula>
    </cfRule>
    <cfRule type="cellIs" dxfId="3670" priority="4370" stopIfTrue="1" operator="equal">
      <formula>"Napkin Hs"</formula>
    </cfRule>
  </conditionalFormatting>
  <conditionalFormatting sqref="C117">
    <cfRule type="cellIs" dxfId="3669" priority="4367" stopIfTrue="1" operator="equal">
      <formula>"Towel"</formula>
    </cfRule>
    <cfRule type="cellIs" dxfId="3668" priority="4368" stopIfTrue="1" operator="equal">
      <formula>"Napkin Hs"</formula>
    </cfRule>
  </conditionalFormatting>
  <conditionalFormatting sqref="B117:C117">
    <cfRule type="cellIs" dxfId="3667" priority="4365" stopIfTrue="1" operator="equal">
      <formula>"Towel"</formula>
    </cfRule>
    <cfRule type="cellIs" dxfId="3666" priority="4366" stopIfTrue="1" operator="equal">
      <formula>"Napkin Hs"</formula>
    </cfRule>
  </conditionalFormatting>
  <conditionalFormatting sqref="C117">
    <cfRule type="cellIs" dxfId="3665" priority="4363" stopIfTrue="1" operator="equal">
      <formula>"Towel"</formula>
    </cfRule>
    <cfRule type="cellIs" dxfId="3664" priority="4364" stopIfTrue="1" operator="equal">
      <formula>"Napkin Hs"</formula>
    </cfRule>
  </conditionalFormatting>
  <conditionalFormatting sqref="C117">
    <cfRule type="cellIs" dxfId="3663" priority="4361" stopIfTrue="1" operator="equal">
      <formula>"Towel"</formula>
    </cfRule>
    <cfRule type="cellIs" dxfId="3662" priority="4362" stopIfTrue="1" operator="equal">
      <formula>"Napkin Hs"</formula>
    </cfRule>
  </conditionalFormatting>
  <conditionalFormatting sqref="B117:C117">
    <cfRule type="cellIs" dxfId="3661" priority="4360" stopIfTrue="1" operator="equal">
      <formula>"Napkin Hs"</formula>
    </cfRule>
  </conditionalFormatting>
  <conditionalFormatting sqref="B117:C117">
    <cfRule type="cellIs" dxfId="3660" priority="4359" stopIfTrue="1" operator="equal">
      <formula>"Towel"</formula>
    </cfRule>
  </conditionalFormatting>
  <conditionalFormatting sqref="C117">
    <cfRule type="cellIs" dxfId="3659" priority="4358" stopIfTrue="1" operator="equal">
      <formula>"Napkin Hs"</formula>
    </cfRule>
  </conditionalFormatting>
  <conditionalFormatting sqref="C117">
    <cfRule type="cellIs" dxfId="3658" priority="4355" stopIfTrue="1" operator="equal">
      <formula>"Towel"</formula>
    </cfRule>
    <cfRule type="cellIs" dxfId="3657" priority="4356" stopIfTrue="1" operator="equal">
      <formula>"Napkin Hs"</formula>
    </cfRule>
  </conditionalFormatting>
  <conditionalFormatting sqref="C117">
    <cfRule type="cellIs" dxfId="3656" priority="4357" stopIfTrue="1" operator="equal">
      <formula>"Towel"</formula>
    </cfRule>
  </conditionalFormatting>
  <conditionalFormatting sqref="B117:C117">
    <cfRule type="cellIs" dxfId="3655" priority="4354" stopIfTrue="1" operator="equal">
      <formula>"Napkin Hs"</formula>
    </cfRule>
  </conditionalFormatting>
  <conditionalFormatting sqref="B117:C117">
    <cfRule type="cellIs" dxfId="3654" priority="4353" stopIfTrue="1" operator="equal">
      <formula>"Towel"</formula>
    </cfRule>
  </conditionalFormatting>
  <conditionalFormatting sqref="C117">
    <cfRule type="cellIs" dxfId="3653" priority="4352" stopIfTrue="1" operator="equal">
      <formula>"Napkin Hs"</formula>
    </cfRule>
  </conditionalFormatting>
  <conditionalFormatting sqref="C117">
    <cfRule type="cellIs" dxfId="3652" priority="4351" stopIfTrue="1" operator="equal">
      <formula>"Towel"</formula>
    </cfRule>
  </conditionalFormatting>
  <conditionalFormatting sqref="C117">
    <cfRule type="cellIs" dxfId="3651" priority="4349" stopIfTrue="1" operator="equal">
      <formula>"Towel"</formula>
    </cfRule>
    <cfRule type="cellIs" dxfId="3650" priority="4350" stopIfTrue="1" operator="equal">
      <formula>"Napkin Hs"</formula>
    </cfRule>
  </conditionalFormatting>
  <conditionalFormatting sqref="C117">
    <cfRule type="cellIs" dxfId="3649" priority="4343" stopIfTrue="1" operator="equal">
      <formula>"Towel"</formula>
    </cfRule>
    <cfRule type="cellIs" dxfId="3648" priority="4344" stopIfTrue="1" operator="equal">
      <formula>"Napkin Hs"</formula>
    </cfRule>
  </conditionalFormatting>
  <conditionalFormatting sqref="B117:C117">
    <cfRule type="cellIs" dxfId="3647" priority="4342" stopIfTrue="1" operator="equal">
      <formula>"Napkin Hs"</formula>
    </cfRule>
  </conditionalFormatting>
  <conditionalFormatting sqref="B117:C117">
    <cfRule type="cellIs" dxfId="3646" priority="4341" stopIfTrue="1" operator="equal">
      <formula>"Towel"</formula>
    </cfRule>
  </conditionalFormatting>
  <conditionalFormatting sqref="C117">
    <cfRule type="cellIs" dxfId="3645" priority="4340" stopIfTrue="1" operator="equal">
      <formula>"Napkin Hs"</formula>
    </cfRule>
  </conditionalFormatting>
  <conditionalFormatting sqref="C117">
    <cfRule type="cellIs" dxfId="3644" priority="4339" stopIfTrue="1" operator="equal">
      <formula>"Towel"</formula>
    </cfRule>
  </conditionalFormatting>
  <conditionalFormatting sqref="C117">
    <cfRule type="cellIs" dxfId="3643" priority="4337" stopIfTrue="1" operator="equal">
      <formula>"Towel"</formula>
    </cfRule>
    <cfRule type="cellIs" dxfId="3642" priority="4338" stopIfTrue="1" operator="equal">
      <formula>"Napkin Hs"</formula>
    </cfRule>
  </conditionalFormatting>
  <conditionalFormatting sqref="C117">
    <cfRule type="cellIs" dxfId="3641" priority="4331" stopIfTrue="1" operator="equal">
      <formula>"Towel"</formula>
    </cfRule>
    <cfRule type="cellIs" dxfId="3640" priority="4332" stopIfTrue="1" operator="equal">
      <formula>"Napkin Hs"</formula>
    </cfRule>
  </conditionalFormatting>
  <conditionalFormatting sqref="C117">
    <cfRule type="cellIs" dxfId="3639" priority="4325" stopIfTrue="1" operator="equal">
      <formula>"Towel"</formula>
    </cfRule>
    <cfRule type="cellIs" dxfId="3638" priority="4326" stopIfTrue="1" operator="equal">
      <formula>"Napkin Hs"</formula>
    </cfRule>
  </conditionalFormatting>
  <conditionalFormatting sqref="C117">
    <cfRule type="cellIs" dxfId="3637" priority="4319" stopIfTrue="1" operator="equal">
      <formula>"Towel"</formula>
    </cfRule>
    <cfRule type="cellIs" dxfId="3636" priority="4320" stopIfTrue="1" operator="equal">
      <formula>"Napkin Hs"</formula>
    </cfRule>
  </conditionalFormatting>
  <conditionalFormatting sqref="C117">
    <cfRule type="cellIs" dxfId="3635" priority="4313" stopIfTrue="1" operator="equal">
      <formula>"Towel"</formula>
    </cfRule>
    <cfRule type="cellIs" dxfId="3634" priority="4314" stopIfTrue="1" operator="equal">
      <formula>"Napkin Hs"</formula>
    </cfRule>
  </conditionalFormatting>
  <conditionalFormatting sqref="C117">
    <cfRule type="cellIs" dxfId="3633" priority="4307" stopIfTrue="1" operator="equal">
      <formula>"Towel"</formula>
    </cfRule>
    <cfRule type="cellIs" dxfId="3632" priority="4308" stopIfTrue="1" operator="equal">
      <formula>"Napkin Hs"</formula>
    </cfRule>
  </conditionalFormatting>
  <conditionalFormatting sqref="B117:C117">
    <cfRule type="cellIs" dxfId="3631" priority="4306" stopIfTrue="1" operator="equal">
      <formula>"Napkin Hs"</formula>
    </cfRule>
  </conditionalFormatting>
  <conditionalFormatting sqref="B117:C117">
    <cfRule type="cellIs" dxfId="3630" priority="4305" stopIfTrue="1" operator="equal">
      <formula>"Towel"</formula>
    </cfRule>
  </conditionalFormatting>
  <conditionalFormatting sqref="C117">
    <cfRule type="cellIs" dxfId="3629" priority="4304" stopIfTrue="1" operator="equal">
      <formula>"Napkin Hs"</formula>
    </cfRule>
  </conditionalFormatting>
  <conditionalFormatting sqref="C117">
    <cfRule type="cellIs" dxfId="3628" priority="4301" stopIfTrue="1" operator="equal">
      <formula>"Towel"</formula>
    </cfRule>
    <cfRule type="cellIs" dxfId="3627" priority="4302" stopIfTrue="1" operator="equal">
      <formula>"Napkin Hs"</formula>
    </cfRule>
  </conditionalFormatting>
  <conditionalFormatting sqref="C117">
    <cfRule type="cellIs" dxfId="3626" priority="4303" stopIfTrue="1" operator="equal">
      <formula>"Towel"</formula>
    </cfRule>
  </conditionalFormatting>
  <conditionalFormatting sqref="B117:C117">
    <cfRule type="cellIs" dxfId="3625" priority="4300" stopIfTrue="1" operator="equal">
      <formula>"Napkin Hs"</formula>
    </cfRule>
  </conditionalFormatting>
  <conditionalFormatting sqref="B117:C117">
    <cfRule type="cellIs" dxfId="3624" priority="4299" stopIfTrue="1" operator="equal">
      <formula>"Towel"</formula>
    </cfRule>
  </conditionalFormatting>
  <conditionalFormatting sqref="C117">
    <cfRule type="cellIs" dxfId="3623" priority="4298" stopIfTrue="1" operator="equal">
      <formula>"Napkin Hs"</formula>
    </cfRule>
  </conditionalFormatting>
  <conditionalFormatting sqref="C117">
    <cfRule type="cellIs" dxfId="3622" priority="4295" stopIfTrue="1" operator="equal">
      <formula>"Towel"</formula>
    </cfRule>
    <cfRule type="cellIs" dxfId="3621" priority="4296" stopIfTrue="1" operator="equal">
      <formula>"Napkin Hs"</formula>
    </cfRule>
  </conditionalFormatting>
  <conditionalFormatting sqref="C117">
    <cfRule type="cellIs" dxfId="3620" priority="4297" stopIfTrue="1" operator="equal">
      <formula>"Towel"</formula>
    </cfRule>
  </conditionalFormatting>
  <conditionalFormatting sqref="B117:C117">
    <cfRule type="cellIs" dxfId="3619" priority="4347" stopIfTrue="1" operator="equal">
      <formula>"Towel"</formula>
    </cfRule>
    <cfRule type="cellIs" dxfId="3618" priority="4348" stopIfTrue="1" operator="equal">
      <formula>"Napkin Hs"</formula>
    </cfRule>
  </conditionalFormatting>
  <conditionalFormatting sqref="C117">
    <cfRule type="cellIs" dxfId="3617" priority="4345" stopIfTrue="1" operator="equal">
      <formula>"Towel"</formula>
    </cfRule>
    <cfRule type="cellIs" dxfId="3616" priority="4346" stopIfTrue="1" operator="equal">
      <formula>"Napkin Hs"</formula>
    </cfRule>
  </conditionalFormatting>
  <conditionalFormatting sqref="B117:C117">
    <cfRule type="cellIs" dxfId="3615" priority="4335" stopIfTrue="1" operator="equal">
      <formula>"Towel"</formula>
    </cfRule>
    <cfRule type="cellIs" dxfId="3614" priority="4336" stopIfTrue="1" operator="equal">
      <formula>"Napkin Hs"</formula>
    </cfRule>
  </conditionalFormatting>
  <conditionalFormatting sqref="C117">
    <cfRule type="cellIs" dxfId="3613" priority="4333" stopIfTrue="1" operator="equal">
      <formula>"Towel"</formula>
    </cfRule>
    <cfRule type="cellIs" dxfId="3612" priority="4334" stopIfTrue="1" operator="equal">
      <formula>"Napkin Hs"</formula>
    </cfRule>
  </conditionalFormatting>
  <conditionalFormatting sqref="B117:C117">
    <cfRule type="cellIs" dxfId="3611" priority="4329" stopIfTrue="1" operator="equal">
      <formula>"Towel"</formula>
    </cfRule>
    <cfRule type="cellIs" dxfId="3610" priority="4330" stopIfTrue="1" operator="equal">
      <formula>"Napkin Hs"</formula>
    </cfRule>
  </conditionalFormatting>
  <conditionalFormatting sqref="C117">
    <cfRule type="cellIs" dxfId="3609" priority="4327" stopIfTrue="1" operator="equal">
      <formula>"Towel"</formula>
    </cfRule>
    <cfRule type="cellIs" dxfId="3608" priority="4328" stopIfTrue="1" operator="equal">
      <formula>"Napkin Hs"</formula>
    </cfRule>
  </conditionalFormatting>
  <conditionalFormatting sqref="B117:C117">
    <cfRule type="cellIs" dxfId="3607" priority="4323" stopIfTrue="1" operator="equal">
      <formula>"Towel"</formula>
    </cfRule>
    <cfRule type="cellIs" dxfId="3606" priority="4324" stopIfTrue="1" operator="equal">
      <formula>"Napkin Hs"</formula>
    </cfRule>
  </conditionalFormatting>
  <conditionalFormatting sqref="C117">
    <cfRule type="cellIs" dxfId="3605" priority="4321" stopIfTrue="1" operator="equal">
      <formula>"Towel"</formula>
    </cfRule>
    <cfRule type="cellIs" dxfId="3604" priority="4322" stopIfTrue="1" operator="equal">
      <formula>"Napkin Hs"</formula>
    </cfRule>
  </conditionalFormatting>
  <conditionalFormatting sqref="B117:C117">
    <cfRule type="cellIs" dxfId="3603" priority="4317" stopIfTrue="1" operator="equal">
      <formula>"Towel"</formula>
    </cfRule>
    <cfRule type="cellIs" dxfId="3602" priority="4318" stopIfTrue="1" operator="equal">
      <formula>"Napkin Hs"</formula>
    </cfRule>
  </conditionalFormatting>
  <conditionalFormatting sqref="C117">
    <cfRule type="cellIs" dxfId="3601" priority="4315" stopIfTrue="1" operator="equal">
      <formula>"Towel"</formula>
    </cfRule>
    <cfRule type="cellIs" dxfId="3600" priority="4316" stopIfTrue="1" operator="equal">
      <formula>"Napkin Hs"</formula>
    </cfRule>
  </conditionalFormatting>
  <conditionalFormatting sqref="B117:C117">
    <cfRule type="cellIs" dxfId="3599" priority="4311" stopIfTrue="1" operator="equal">
      <formula>"Towel"</formula>
    </cfRule>
    <cfRule type="cellIs" dxfId="3598" priority="4312" stopIfTrue="1" operator="equal">
      <formula>"Napkin Hs"</formula>
    </cfRule>
  </conditionalFormatting>
  <conditionalFormatting sqref="C117">
    <cfRule type="cellIs" dxfId="3597" priority="4309" stopIfTrue="1" operator="equal">
      <formula>"Towel"</formula>
    </cfRule>
    <cfRule type="cellIs" dxfId="3596" priority="4310" stopIfTrue="1" operator="equal">
      <formula>"Napkin Hs"</formula>
    </cfRule>
  </conditionalFormatting>
  <conditionalFormatting sqref="B117:C117">
    <cfRule type="cellIs" dxfId="3595" priority="4294" stopIfTrue="1" operator="equal">
      <formula>"Napkin Hs"</formula>
    </cfRule>
  </conditionalFormatting>
  <conditionalFormatting sqref="B117:C117">
    <cfRule type="cellIs" dxfId="3594" priority="4293" stopIfTrue="1" operator="equal">
      <formula>"Towel"</formula>
    </cfRule>
  </conditionalFormatting>
  <conditionalFormatting sqref="C117">
    <cfRule type="cellIs" dxfId="3593" priority="4292" stopIfTrue="1" operator="equal">
      <formula>"Napkin Hs"</formula>
    </cfRule>
  </conditionalFormatting>
  <conditionalFormatting sqref="C117">
    <cfRule type="cellIs" dxfId="3592" priority="4289" stopIfTrue="1" operator="equal">
      <formula>"Towel"</formula>
    </cfRule>
    <cfRule type="cellIs" dxfId="3591" priority="4290" stopIfTrue="1" operator="equal">
      <formula>"Napkin Hs"</formula>
    </cfRule>
  </conditionalFormatting>
  <conditionalFormatting sqref="C117">
    <cfRule type="cellIs" dxfId="3590" priority="4291" stopIfTrue="1" operator="equal">
      <formula>"Towel"</formula>
    </cfRule>
  </conditionalFormatting>
  <conditionalFormatting sqref="B123:C123">
    <cfRule type="cellIs" dxfId="3589" priority="4288" stopIfTrue="1" operator="equal">
      <formula>"Napkin Hs"</formula>
    </cfRule>
  </conditionalFormatting>
  <conditionalFormatting sqref="B123:C123">
    <cfRule type="cellIs" dxfId="3588" priority="4287" stopIfTrue="1" operator="equal">
      <formula>"Towel"</formula>
    </cfRule>
  </conditionalFormatting>
  <conditionalFormatting sqref="B124:C124">
    <cfRule type="cellIs" dxfId="3587" priority="4277" stopIfTrue="1" operator="equal">
      <formula>"Towel"</formula>
    </cfRule>
    <cfRule type="cellIs" dxfId="3586" priority="4278" stopIfTrue="1" operator="equal">
      <formula>"Napkin Hs"</formula>
    </cfRule>
  </conditionalFormatting>
  <conditionalFormatting sqref="C123">
    <cfRule type="cellIs" dxfId="3585" priority="4286" stopIfTrue="1" operator="equal">
      <formula>"Napkin Hs"</formula>
    </cfRule>
  </conditionalFormatting>
  <conditionalFormatting sqref="C123">
    <cfRule type="cellIs" dxfId="3584" priority="4285" stopIfTrue="1" operator="equal">
      <formula>"Towel"</formula>
    </cfRule>
  </conditionalFormatting>
  <conditionalFormatting sqref="C123">
    <cfRule type="cellIs" dxfId="3583" priority="4283" stopIfTrue="1" operator="equal">
      <formula>"Towel"</formula>
    </cfRule>
    <cfRule type="cellIs" dxfId="3582" priority="4284" stopIfTrue="1" operator="equal">
      <formula>"Napkin Hs"</formula>
    </cfRule>
  </conditionalFormatting>
  <conditionalFormatting sqref="C124">
    <cfRule type="cellIs" dxfId="3581" priority="4273" stopIfTrue="1" operator="equal">
      <formula>"Towel"</formula>
    </cfRule>
    <cfRule type="cellIs" dxfId="3580" priority="4274" stopIfTrue="1" operator="equal">
      <formula>"Napkin Hs"</formula>
    </cfRule>
  </conditionalFormatting>
  <conditionalFormatting sqref="C124">
    <cfRule type="cellIs" dxfId="3579" priority="4275" stopIfTrue="1" operator="equal">
      <formula>"Towel"</formula>
    </cfRule>
    <cfRule type="cellIs" dxfId="3578" priority="4276" stopIfTrue="1" operator="equal">
      <formula>"Napkin Hs"</formula>
    </cfRule>
  </conditionalFormatting>
  <conditionalFormatting sqref="C122">
    <cfRule type="cellIs" dxfId="3577" priority="4269" stopIfTrue="1" operator="equal">
      <formula>"Towel"</formula>
    </cfRule>
    <cfRule type="cellIs" dxfId="3576" priority="4270" stopIfTrue="1" operator="equal">
      <formula>"Napkin Hs"</formula>
    </cfRule>
  </conditionalFormatting>
  <conditionalFormatting sqref="C122">
    <cfRule type="cellIs" dxfId="3575" priority="4267" stopIfTrue="1" operator="equal">
      <formula>"Towel"</formula>
    </cfRule>
    <cfRule type="cellIs" dxfId="3574" priority="4268" stopIfTrue="1" operator="equal">
      <formula>"Napkin Hs"</formula>
    </cfRule>
  </conditionalFormatting>
  <conditionalFormatting sqref="B122:C122">
    <cfRule type="cellIs" dxfId="3573" priority="4218" stopIfTrue="1" operator="equal">
      <formula>"Napkin Hs"</formula>
    </cfRule>
  </conditionalFormatting>
  <conditionalFormatting sqref="B122:C122">
    <cfRule type="cellIs" dxfId="3572" priority="4217" stopIfTrue="1" operator="equal">
      <formula>"Towel"</formula>
    </cfRule>
  </conditionalFormatting>
  <conditionalFormatting sqref="B122:C122">
    <cfRule type="cellIs" dxfId="3571" priority="4271" stopIfTrue="1" operator="equal">
      <formula>"Towel"</formula>
    </cfRule>
    <cfRule type="cellIs" dxfId="3570" priority="4272" stopIfTrue="1" operator="equal">
      <formula>"Napkin Hs"</formula>
    </cfRule>
  </conditionalFormatting>
  <conditionalFormatting sqref="C122">
    <cfRule type="cellIs" dxfId="3569" priority="4216" stopIfTrue="1" operator="equal">
      <formula>"Napkin Hs"</formula>
    </cfRule>
  </conditionalFormatting>
  <conditionalFormatting sqref="C122">
    <cfRule type="cellIs" dxfId="3568" priority="4215" stopIfTrue="1" operator="equal">
      <formula>"Towel"</formula>
    </cfRule>
  </conditionalFormatting>
  <conditionalFormatting sqref="C122">
    <cfRule type="cellIs" dxfId="3567" priority="4213" stopIfTrue="1" operator="equal">
      <formula>"Towel"</formula>
    </cfRule>
    <cfRule type="cellIs" dxfId="3566" priority="4214" stopIfTrue="1" operator="equal">
      <formula>"Napkin Hs"</formula>
    </cfRule>
  </conditionalFormatting>
  <conditionalFormatting sqref="B122:C122">
    <cfRule type="cellIs" dxfId="3565" priority="4266" stopIfTrue="1" operator="equal">
      <formula>"Napkin Hs"</formula>
    </cfRule>
  </conditionalFormatting>
  <conditionalFormatting sqref="B122:C122">
    <cfRule type="cellIs" dxfId="3564" priority="4265" stopIfTrue="1" operator="equal">
      <formula>"Towel"</formula>
    </cfRule>
  </conditionalFormatting>
  <conditionalFormatting sqref="C122">
    <cfRule type="cellIs" dxfId="3563" priority="4264" stopIfTrue="1" operator="equal">
      <formula>"Napkin Hs"</formula>
    </cfRule>
  </conditionalFormatting>
  <conditionalFormatting sqref="C122">
    <cfRule type="cellIs" dxfId="3562" priority="4263" stopIfTrue="1" operator="equal">
      <formula>"Towel"</formula>
    </cfRule>
  </conditionalFormatting>
  <conditionalFormatting sqref="C122">
    <cfRule type="cellIs" dxfId="3561" priority="4261" stopIfTrue="1" operator="equal">
      <formula>"Towel"</formula>
    </cfRule>
    <cfRule type="cellIs" dxfId="3560" priority="4262" stopIfTrue="1" operator="equal">
      <formula>"Napkin Hs"</formula>
    </cfRule>
  </conditionalFormatting>
  <conditionalFormatting sqref="B122:C122">
    <cfRule type="cellIs" dxfId="3559" priority="4259" stopIfTrue="1" operator="equal">
      <formula>"Towel"</formula>
    </cfRule>
    <cfRule type="cellIs" dxfId="3558" priority="4260" stopIfTrue="1" operator="equal">
      <formula>"Napkin Hs"</formula>
    </cfRule>
  </conditionalFormatting>
  <conditionalFormatting sqref="C122">
    <cfRule type="cellIs" dxfId="3557" priority="4255" stopIfTrue="1" operator="equal">
      <formula>"Towel"</formula>
    </cfRule>
    <cfRule type="cellIs" dxfId="3556" priority="4256" stopIfTrue="1" operator="equal">
      <formula>"Napkin Hs"</formula>
    </cfRule>
  </conditionalFormatting>
  <conditionalFormatting sqref="C122">
    <cfRule type="cellIs" dxfId="3555" priority="4257" stopIfTrue="1" operator="equal">
      <formula>"Towel"</formula>
    </cfRule>
    <cfRule type="cellIs" dxfId="3554" priority="4258" stopIfTrue="1" operator="equal">
      <formula>"Napkin Hs"</formula>
    </cfRule>
  </conditionalFormatting>
  <conditionalFormatting sqref="B122:C122">
    <cfRule type="cellIs" dxfId="3553" priority="4254" stopIfTrue="1" operator="equal">
      <formula>"Napkin Hs"</formula>
    </cfRule>
  </conditionalFormatting>
  <conditionalFormatting sqref="B122:C122">
    <cfRule type="cellIs" dxfId="3552" priority="4253" stopIfTrue="1" operator="equal">
      <formula>"Towel"</formula>
    </cfRule>
  </conditionalFormatting>
  <conditionalFormatting sqref="C122">
    <cfRule type="cellIs" dxfId="3551" priority="4252" stopIfTrue="1" operator="equal">
      <formula>"Napkin Hs"</formula>
    </cfRule>
  </conditionalFormatting>
  <conditionalFormatting sqref="C122">
    <cfRule type="cellIs" dxfId="3550" priority="4251" stopIfTrue="1" operator="equal">
      <formula>"Towel"</formula>
    </cfRule>
  </conditionalFormatting>
  <conditionalFormatting sqref="C122">
    <cfRule type="cellIs" dxfId="3549" priority="4249" stopIfTrue="1" operator="equal">
      <formula>"Towel"</formula>
    </cfRule>
    <cfRule type="cellIs" dxfId="3548" priority="4250" stopIfTrue="1" operator="equal">
      <formula>"Napkin Hs"</formula>
    </cfRule>
  </conditionalFormatting>
  <conditionalFormatting sqref="B122:C122">
    <cfRule type="cellIs" dxfId="3547" priority="4247" stopIfTrue="1" operator="equal">
      <formula>"Towel"</formula>
    </cfRule>
    <cfRule type="cellIs" dxfId="3546" priority="4248" stopIfTrue="1" operator="equal">
      <formula>"Napkin Hs"</formula>
    </cfRule>
  </conditionalFormatting>
  <conditionalFormatting sqref="C122">
    <cfRule type="cellIs" dxfId="3545" priority="4245" stopIfTrue="1" operator="equal">
      <formula>"Towel"</formula>
    </cfRule>
    <cfRule type="cellIs" dxfId="3544" priority="4246" stopIfTrue="1" operator="equal">
      <formula>"Napkin Hs"</formula>
    </cfRule>
  </conditionalFormatting>
  <conditionalFormatting sqref="C122">
    <cfRule type="cellIs" dxfId="3543" priority="4243" stopIfTrue="1" operator="equal">
      <formula>"Towel"</formula>
    </cfRule>
    <cfRule type="cellIs" dxfId="3542" priority="4244" stopIfTrue="1" operator="equal">
      <formula>"Napkin Hs"</formula>
    </cfRule>
  </conditionalFormatting>
  <conditionalFormatting sqref="B122:C122">
    <cfRule type="cellIs" dxfId="3541" priority="4241" stopIfTrue="1" operator="equal">
      <formula>"Towel"</formula>
    </cfRule>
    <cfRule type="cellIs" dxfId="3540" priority="4242" stopIfTrue="1" operator="equal">
      <formula>"Napkin Hs"</formula>
    </cfRule>
  </conditionalFormatting>
  <conditionalFormatting sqref="C122">
    <cfRule type="cellIs" dxfId="3539" priority="4239" stopIfTrue="1" operator="equal">
      <formula>"Towel"</formula>
    </cfRule>
    <cfRule type="cellIs" dxfId="3538" priority="4240" stopIfTrue="1" operator="equal">
      <formula>"Napkin Hs"</formula>
    </cfRule>
  </conditionalFormatting>
  <conditionalFormatting sqref="C122">
    <cfRule type="cellIs" dxfId="3537" priority="4237" stopIfTrue="1" operator="equal">
      <formula>"Towel"</formula>
    </cfRule>
    <cfRule type="cellIs" dxfId="3536" priority="4238" stopIfTrue="1" operator="equal">
      <formula>"Napkin Hs"</formula>
    </cfRule>
  </conditionalFormatting>
  <conditionalFormatting sqref="B122:C122">
    <cfRule type="cellIs" dxfId="3535" priority="4235" stopIfTrue="1" operator="equal">
      <formula>"Towel"</formula>
    </cfRule>
    <cfRule type="cellIs" dxfId="3534" priority="4236" stopIfTrue="1" operator="equal">
      <formula>"Napkin Hs"</formula>
    </cfRule>
  </conditionalFormatting>
  <conditionalFormatting sqref="C122">
    <cfRule type="cellIs" dxfId="3533" priority="4233" stopIfTrue="1" operator="equal">
      <formula>"Towel"</formula>
    </cfRule>
    <cfRule type="cellIs" dxfId="3532" priority="4234" stopIfTrue="1" operator="equal">
      <formula>"Napkin Hs"</formula>
    </cfRule>
  </conditionalFormatting>
  <conditionalFormatting sqref="C122">
    <cfRule type="cellIs" dxfId="3531" priority="4231" stopIfTrue="1" operator="equal">
      <formula>"Towel"</formula>
    </cfRule>
    <cfRule type="cellIs" dxfId="3530" priority="4232" stopIfTrue="1" operator="equal">
      <formula>"Napkin Hs"</formula>
    </cfRule>
  </conditionalFormatting>
  <conditionalFormatting sqref="B122:C122">
    <cfRule type="cellIs" dxfId="3529" priority="4229" stopIfTrue="1" operator="equal">
      <formula>"Towel"</formula>
    </cfRule>
    <cfRule type="cellIs" dxfId="3528" priority="4230" stopIfTrue="1" operator="equal">
      <formula>"Napkin Hs"</formula>
    </cfRule>
  </conditionalFormatting>
  <conditionalFormatting sqref="C122">
    <cfRule type="cellIs" dxfId="3527" priority="4227" stopIfTrue="1" operator="equal">
      <formula>"Towel"</formula>
    </cfRule>
    <cfRule type="cellIs" dxfId="3526" priority="4228" stopIfTrue="1" operator="equal">
      <formula>"Napkin Hs"</formula>
    </cfRule>
  </conditionalFormatting>
  <conditionalFormatting sqref="C122">
    <cfRule type="cellIs" dxfId="3525" priority="4225" stopIfTrue="1" operator="equal">
      <formula>"Towel"</formula>
    </cfRule>
    <cfRule type="cellIs" dxfId="3524" priority="4226" stopIfTrue="1" operator="equal">
      <formula>"Napkin Hs"</formula>
    </cfRule>
  </conditionalFormatting>
  <conditionalFormatting sqref="B122:C122">
    <cfRule type="cellIs" dxfId="3523" priority="4223" stopIfTrue="1" operator="equal">
      <formula>"Towel"</formula>
    </cfRule>
    <cfRule type="cellIs" dxfId="3522" priority="4224" stopIfTrue="1" operator="equal">
      <formula>"Napkin Hs"</formula>
    </cfRule>
  </conditionalFormatting>
  <conditionalFormatting sqref="C122">
    <cfRule type="cellIs" dxfId="3521" priority="4221" stopIfTrue="1" operator="equal">
      <formula>"Towel"</formula>
    </cfRule>
    <cfRule type="cellIs" dxfId="3520" priority="4222" stopIfTrue="1" operator="equal">
      <formula>"Napkin Hs"</formula>
    </cfRule>
  </conditionalFormatting>
  <conditionalFormatting sqref="C122">
    <cfRule type="cellIs" dxfId="3519" priority="4219" stopIfTrue="1" operator="equal">
      <formula>"Towel"</formula>
    </cfRule>
    <cfRule type="cellIs" dxfId="3518" priority="4220" stopIfTrue="1" operator="equal">
      <formula>"Napkin Hs"</formula>
    </cfRule>
  </conditionalFormatting>
  <conditionalFormatting sqref="B124:C124">
    <cfRule type="cellIs" dxfId="3517" priority="4080" stopIfTrue="1" operator="equal">
      <formula>"Napkin Hs"</formula>
    </cfRule>
  </conditionalFormatting>
  <conditionalFormatting sqref="B124:C124">
    <cfRule type="cellIs" dxfId="3516" priority="4079" stopIfTrue="1" operator="equal">
      <formula>"Towel"</formula>
    </cfRule>
  </conditionalFormatting>
  <conditionalFormatting sqref="C124">
    <cfRule type="cellIs" dxfId="3515" priority="4078" stopIfTrue="1" operator="equal">
      <formula>"Napkin Hs"</formula>
    </cfRule>
  </conditionalFormatting>
  <conditionalFormatting sqref="C124">
    <cfRule type="cellIs" dxfId="3514" priority="4077" stopIfTrue="1" operator="equal">
      <formula>"Towel"</formula>
    </cfRule>
  </conditionalFormatting>
  <conditionalFormatting sqref="C124">
    <cfRule type="cellIs" dxfId="3513" priority="4075" stopIfTrue="1" operator="equal">
      <formula>"Towel"</formula>
    </cfRule>
    <cfRule type="cellIs" dxfId="3512" priority="4076" stopIfTrue="1" operator="equal">
      <formula>"Napkin Hs"</formula>
    </cfRule>
  </conditionalFormatting>
  <conditionalFormatting sqref="B124:C124">
    <cfRule type="cellIs" dxfId="3511" priority="4073" stopIfTrue="1" operator="equal">
      <formula>"Towel"</formula>
    </cfRule>
    <cfRule type="cellIs" dxfId="3510" priority="4074" stopIfTrue="1" operator="equal">
      <formula>"Napkin Hs"</formula>
    </cfRule>
  </conditionalFormatting>
  <conditionalFormatting sqref="C124">
    <cfRule type="cellIs" dxfId="3509" priority="4069" stopIfTrue="1" operator="equal">
      <formula>"Towel"</formula>
    </cfRule>
    <cfRule type="cellIs" dxfId="3508" priority="4070" stopIfTrue="1" operator="equal">
      <formula>"Napkin Hs"</formula>
    </cfRule>
  </conditionalFormatting>
  <conditionalFormatting sqref="C124">
    <cfRule type="cellIs" dxfId="3507" priority="4071" stopIfTrue="1" operator="equal">
      <formula>"Towel"</formula>
    </cfRule>
    <cfRule type="cellIs" dxfId="3506" priority="4072" stopIfTrue="1" operator="equal">
      <formula>"Napkin Hs"</formula>
    </cfRule>
  </conditionalFormatting>
  <conditionalFormatting sqref="B124:C124">
    <cfRule type="cellIs" dxfId="3505" priority="4068" stopIfTrue="1" operator="equal">
      <formula>"Napkin Hs"</formula>
    </cfRule>
  </conditionalFormatting>
  <conditionalFormatting sqref="B124:C124">
    <cfRule type="cellIs" dxfId="3504" priority="4067" stopIfTrue="1" operator="equal">
      <formula>"Towel"</formula>
    </cfRule>
  </conditionalFormatting>
  <conditionalFormatting sqref="C124">
    <cfRule type="cellIs" dxfId="3503" priority="4066" stopIfTrue="1" operator="equal">
      <formula>"Napkin Hs"</formula>
    </cfRule>
  </conditionalFormatting>
  <conditionalFormatting sqref="C124">
    <cfRule type="cellIs" dxfId="3502" priority="4065" stopIfTrue="1" operator="equal">
      <formula>"Towel"</formula>
    </cfRule>
  </conditionalFormatting>
  <conditionalFormatting sqref="C124">
    <cfRule type="cellIs" dxfId="3501" priority="4063" stopIfTrue="1" operator="equal">
      <formula>"Towel"</formula>
    </cfRule>
    <cfRule type="cellIs" dxfId="3500" priority="4064" stopIfTrue="1" operator="equal">
      <formula>"Napkin Hs"</formula>
    </cfRule>
  </conditionalFormatting>
  <conditionalFormatting sqref="B124:C124">
    <cfRule type="cellIs" dxfId="3499" priority="4061" stopIfTrue="1" operator="equal">
      <formula>"Towel"</formula>
    </cfRule>
    <cfRule type="cellIs" dxfId="3498" priority="4062" stopIfTrue="1" operator="equal">
      <formula>"Napkin Hs"</formula>
    </cfRule>
  </conditionalFormatting>
  <conditionalFormatting sqref="C124">
    <cfRule type="cellIs" dxfId="3497" priority="4059" stopIfTrue="1" operator="equal">
      <formula>"Towel"</formula>
    </cfRule>
    <cfRule type="cellIs" dxfId="3496" priority="4060" stopIfTrue="1" operator="equal">
      <formula>"Napkin Hs"</formula>
    </cfRule>
  </conditionalFormatting>
  <conditionalFormatting sqref="C124">
    <cfRule type="cellIs" dxfId="3495" priority="4057" stopIfTrue="1" operator="equal">
      <formula>"Towel"</formula>
    </cfRule>
    <cfRule type="cellIs" dxfId="3494" priority="4058" stopIfTrue="1" operator="equal">
      <formula>"Napkin Hs"</formula>
    </cfRule>
  </conditionalFormatting>
  <conditionalFormatting sqref="B124:C124">
    <cfRule type="cellIs" dxfId="3493" priority="4055" stopIfTrue="1" operator="equal">
      <formula>"Towel"</formula>
    </cfRule>
    <cfRule type="cellIs" dxfId="3492" priority="4056" stopIfTrue="1" operator="equal">
      <formula>"Napkin Hs"</formula>
    </cfRule>
  </conditionalFormatting>
  <conditionalFormatting sqref="C124">
    <cfRule type="cellIs" dxfId="3491" priority="4053" stopIfTrue="1" operator="equal">
      <formula>"Towel"</formula>
    </cfRule>
    <cfRule type="cellIs" dxfId="3490" priority="4054" stopIfTrue="1" operator="equal">
      <formula>"Napkin Hs"</formula>
    </cfRule>
  </conditionalFormatting>
  <conditionalFormatting sqref="C124">
    <cfRule type="cellIs" dxfId="3489" priority="4051" stopIfTrue="1" operator="equal">
      <formula>"Towel"</formula>
    </cfRule>
    <cfRule type="cellIs" dxfId="3488" priority="4052" stopIfTrue="1" operator="equal">
      <formula>"Napkin Hs"</formula>
    </cfRule>
  </conditionalFormatting>
  <conditionalFormatting sqref="B124:C124">
    <cfRule type="cellIs" dxfId="3487" priority="4049" stopIfTrue="1" operator="equal">
      <formula>"Towel"</formula>
    </cfRule>
    <cfRule type="cellIs" dxfId="3486" priority="4050" stopIfTrue="1" operator="equal">
      <formula>"Napkin Hs"</formula>
    </cfRule>
  </conditionalFormatting>
  <conditionalFormatting sqref="C124">
    <cfRule type="cellIs" dxfId="3485" priority="4047" stopIfTrue="1" operator="equal">
      <formula>"Towel"</formula>
    </cfRule>
    <cfRule type="cellIs" dxfId="3484" priority="4048" stopIfTrue="1" operator="equal">
      <formula>"Napkin Hs"</formula>
    </cfRule>
  </conditionalFormatting>
  <conditionalFormatting sqref="C124">
    <cfRule type="cellIs" dxfId="3483" priority="4045" stopIfTrue="1" operator="equal">
      <formula>"Towel"</formula>
    </cfRule>
    <cfRule type="cellIs" dxfId="3482" priority="4046" stopIfTrue="1" operator="equal">
      <formula>"Napkin Hs"</formula>
    </cfRule>
  </conditionalFormatting>
  <conditionalFormatting sqref="B124:C124">
    <cfRule type="cellIs" dxfId="3481" priority="4043" stopIfTrue="1" operator="equal">
      <formula>"Towel"</formula>
    </cfRule>
    <cfRule type="cellIs" dxfId="3480" priority="4044" stopIfTrue="1" operator="equal">
      <formula>"Napkin Hs"</formula>
    </cfRule>
  </conditionalFormatting>
  <conditionalFormatting sqref="C124">
    <cfRule type="cellIs" dxfId="3479" priority="4041" stopIfTrue="1" operator="equal">
      <formula>"Towel"</formula>
    </cfRule>
    <cfRule type="cellIs" dxfId="3478" priority="4042" stopIfTrue="1" operator="equal">
      <formula>"Napkin Hs"</formula>
    </cfRule>
  </conditionalFormatting>
  <conditionalFormatting sqref="C124">
    <cfRule type="cellIs" dxfId="3477" priority="4039" stopIfTrue="1" operator="equal">
      <formula>"Towel"</formula>
    </cfRule>
    <cfRule type="cellIs" dxfId="3476" priority="4040" stopIfTrue="1" operator="equal">
      <formula>"Napkin Hs"</formula>
    </cfRule>
  </conditionalFormatting>
  <conditionalFormatting sqref="B124:C124">
    <cfRule type="cellIs" dxfId="3475" priority="4037" stopIfTrue="1" operator="equal">
      <formula>"Towel"</formula>
    </cfRule>
    <cfRule type="cellIs" dxfId="3474" priority="4038" stopIfTrue="1" operator="equal">
      <formula>"Napkin Hs"</formula>
    </cfRule>
  </conditionalFormatting>
  <conditionalFormatting sqref="C124">
    <cfRule type="cellIs" dxfId="3473" priority="4035" stopIfTrue="1" operator="equal">
      <formula>"Towel"</formula>
    </cfRule>
    <cfRule type="cellIs" dxfId="3472" priority="4036" stopIfTrue="1" operator="equal">
      <formula>"Napkin Hs"</formula>
    </cfRule>
  </conditionalFormatting>
  <conditionalFormatting sqref="C124">
    <cfRule type="cellIs" dxfId="3471" priority="4033" stopIfTrue="1" operator="equal">
      <formula>"Towel"</formula>
    </cfRule>
    <cfRule type="cellIs" dxfId="3470" priority="4034" stopIfTrue="1" operator="equal">
      <formula>"Napkin Hs"</formula>
    </cfRule>
  </conditionalFormatting>
  <conditionalFormatting sqref="B124:C124">
    <cfRule type="cellIs" dxfId="3469" priority="4032" stopIfTrue="1" operator="equal">
      <formula>"Napkin Hs"</formula>
    </cfRule>
  </conditionalFormatting>
  <conditionalFormatting sqref="B124:C124">
    <cfRule type="cellIs" dxfId="3468" priority="4031" stopIfTrue="1" operator="equal">
      <formula>"Towel"</formula>
    </cfRule>
  </conditionalFormatting>
  <conditionalFormatting sqref="C124">
    <cfRule type="cellIs" dxfId="3467" priority="4030" stopIfTrue="1" operator="equal">
      <formula>"Napkin Hs"</formula>
    </cfRule>
  </conditionalFormatting>
  <conditionalFormatting sqref="C124">
    <cfRule type="cellIs" dxfId="3466" priority="4027" stopIfTrue="1" operator="equal">
      <formula>"Towel"</formula>
    </cfRule>
    <cfRule type="cellIs" dxfId="3465" priority="4028" stopIfTrue="1" operator="equal">
      <formula>"Napkin Hs"</formula>
    </cfRule>
  </conditionalFormatting>
  <conditionalFormatting sqref="C124">
    <cfRule type="cellIs" dxfId="3464" priority="4029" stopIfTrue="1" operator="equal">
      <formula>"Towel"</formula>
    </cfRule>
  </conditionalFormatting>
  <conditionalFormatting sqref="C123">
    <cfRule type="cellIs" dxfId="3463" priority="3909" stopIfTrue="1" operator="equal">
      <formula>"Towel"</formula>
    </cfRule>
    <cfRule type="cellIs" dxfId="3462" priority="3910" stopIfTrue="1" operator="equal">
      <formula>"Napkin Hs"</formula>
    </cfRule>
  </conditionalFormatting>
  <conditionalFormatting sqref="B123:C123">
    <cfRule type="cellIs" dxfId="3461" priority="3911" stopIfTrue="1" operator="equal">
      <formula>"Towel"</formula>
    </cfRule>
    <cfRule type="cellIs" dxfId="3460" priority="3912" stopIfTrue="1" operator="equal">
      <formula>"Napkin Hs"</formula>
    </cfRule>
  </conditionalFormatting>
  <conditionalFormatting sqref="C123">
    <cfRule type="cellIs" dxfId="3459" priority="3907" stopIfTrue="1" operator="equal">
      <formula>"Towel"</formula>
    </cfRule>
    <cfRule type="cellIs" dxfId="3458" priority="3908" stopIfTrue="1" operator="equal">
      <formula>"Napkin Hs"</formula>
    </cfRule>
  </conditionalFormatting>
  <conditionalFormatting sqref="C123">
    <cfRule type="cellIs" dxfId="3457" priority="3901" stopIfTrue="1" operator="equal">
      <formula>"Towel"</formula>
    </cfRule>
    <cfRule type="cellIs" dxfId="3456" priority="3902" stopIfTrue="1" operator="equal">
      <formula>"Napkin Hs"</formula>
    </cfRule>
  </conditionalFormatting>
  <conditionalFormatting sqref="B123">
    <cfRule type="cellIs" dxfId="3455" priority="4026" stopIfTrue="1" operator="equal">
      <formula>"Napkin Hs"</formula>
    </cfRule>
  </conditionalFormatting>
  <conditionalFormatting sqref="B123">
    <cfRule type="cellIs" dxfId="3454" priority="4025" stopIfTrue="1" operator="equal">
      <formula>"Towel"</formula>
    </cfRule>
  </conditionalFormatting>
  <conditionalFormatting sqref="B123">
    <cfRule type="cellIs" dxfId="3453" priority="4023" stopIfTrue="1" operator="equal">
      <formula>"Towel"</formula>
    </cfRule>
    <cfRule type="cellIs" dxfId="3452" priority="4024" stopIfTrue="1" operator="equal">
      <formula>"Napkin Hs"</formula>
    </cfRule>
  </conditionalFormatting>
  <conditionalFormatting sqref="B123">
    <cfRule type="cellIs" dxfId="3451" priority="4022" stopIfTrue="1" operator="equal">
      <formula>"Napkin Hs"</formula>
    </cfRule>
  </conditionalFormatting>
  <conditionalFormatting sqref="B123">
    <cfRule type="cellIs" dxfId="3450" priority="4021" stopIfTrue="1" operator="equal">
      <formula>"Towel"</formula>
    </cfRule>
  </conditionalFormatting>
  <conditionalFormatting sqref="B123">
    <cfRule type="cellIs" dxfId="3449" priority="4019" stopIfTrue="1" operator="equal">
      <formula>"Towel"</formula>
    </cfRule>
    <cfRule type="cellIs" dxfId="3448" priority="4020" stopIfTrue="1" operator="equal">
      <formula>"Napkin Hs"</formula>
    </cfRule>
  </conditionalFormatting>
  <conditionalFormatting sqref="B123">
    <cfRule type="cellIs" dxfId="3447" priority="4017" stopIfTrue="1" operator="equal">
      <formula>"Towel"</formula>
    </cfRule>
    <cfRule type="cellIs" dxfId="3446" priority="4018" stopIfTrue="1" operator="equal">
      <formula>"Napkin Hs"</formula>
    </cfRule>
  </conditionalFormatting>
  <conditionalFormatting sqref="B123">
    <cfRule type="cellIs" dxfId="3445" priority="4015" stopIfTrue="1" operator="equal">
      <formula>"Towel"</formula>
    </cfRule>
    <cfRule type="cellIs" dxfId="3444" priority="4016" stopIfTrue="1" operator="equal">
      <formula>"Napkin Hs"</formula>
    </cfRule>
  </conditionalFormatting>
  <conditionalFormatting sqref="B123">
    <cfRule type="cellIs" dxfId="3443" priority="4013" stopIfTrue="1" operator="equal">
      <formula>"Towel"</formula>
    </cfRule>
    <cfRule type="cellIs" dxfId="3442" priority="4014" stopIfTrue="1" operator="equal">
      <formula>"Napkin Hs"</formula>
    </cfRule>
  </conditionalFormatting>
  <conditionalFormatting sqref="B123">
    <cfRule type="cellIs" dxfId="3441" priority="4011" stopIfTrue="1" operator="equal">
      <formula>"Towel"</formula>
    </cfRule>
    <cfRule type="cellIs" dxfId="3440" priority="4012" stopIfTrue="1" operator="equal">
      <formula>"Napkin Hs"</formula>
    </cfRule>
  </conditionalFormatting>
  <conditionalFormatting sqref="B123">
    <cfRule type="cellIs" dxfId="3439" priority="4010" stopIfTrue="1" operator="equal">
      <formula>"Napkin Hs"</formula>
    </cfRule>
  </conditionalFormatting>
  <conditionalFormatting sqref="B123">
    <cfRule type="cellIs" dxfId="3438" priority="4009" stopIfTrue="1" operator="equal">
      <formula>"Towel"</formula>
    </cfRule>
  </conditionalFormatting>
  <conditionalFormatting sqref="C123">
    <cfRule type="cellIs" dxfId="3437" priority="4008" stopIfTrue="1" operator="equal">
      <formula>"Napkin Hs"</formula>
    </cfRule>
  </conditionalFormatting>
  <conditionalFormatting sqref="C123">
    <cfRule type="cellIs" dxfId="3436" priority="4007" stopIfTrue="1" operator="equal">
      <formula>"Towel"</formula>
    </cfRule>
  </conditionalFormatting>
  <conditionalFormatting sqref="C123">
    <cfRule type="cellIs" dxfId="3435" priority="4006" stopIfTrue="1" operator="equal">
      <formula>"Napkin Hs"</formula>
    </cfRule>
  </conditionalFormatting>
  <conditionalFormatting sqref="C123">
    <cfRule type="cellIs" dxfId="3434" priority="4005" stopIfTrue="1" operator="equal">
      <formula>"Towel"</formula>
    </cfRule>
  </conditionalFormatting>
  <conditionalFormatting sqref="C123">
    <cfRule type="cellIs" dxfId="3433" priority="4003" stopIfTrue="1" operator="equal">
      <formula>"Towel"</formula>
    </cfRule>
    <cfRule type="cellIs" dxfId="3432" priority="4004" stopIfTrue="1" operator="equal">
      <formula>"Napkin Hs"</formula>
    </cfRule>
  </conditionalFormatting>
  <conditionalFormatting sqref="C123">
    <cfRule type="cellIs" dxfId="3431" priority="4001" stopIfTrue="1" operator="equal">
      <formula>"Towel"</formula>
    </cfRule>
    <cfRule type="cellIs" dxfId="3430" priority="4002" stopIfTrue="1" operator="equal">
      <formula>"Napkin Hs"</formula>
    </cfRule>
  </conditionalFormatting>
  <conditionalFormatting sqref="C123">
    <cfRule type="cellIs" dxfId="3429" priority="3997" stopIfTrue="1" operator="equal">
      <formula>"Towel"</formula>
    </cfRule>
    <cfRule type="cellIs" dxfId="3428" priority="3998" stopIfTrue="1" operator="equal">
      <formula>"Napkin Hs"</formula>
    </cfRule>
  </conditionalFormatting>
  <conditionalFormatting sqref="C123">
    <cfRule type="cellIs" dxfId="3427" priority="3999" stopIfTrue="1" operator="equal">
      <formula>"Towel"</formula>
    </cfRule>
    <cfRule type="cellIs" dxfId="3426" priority="4000" stopIfTrue="1" operator="equal">
      <formula>"Napkin Hs"</formula>
    </cfRule>
  </conditionalFormatting>
  <conditionalFormatting sqref="C123">
    <cfRule type="cellIs" dxfId="3425" priority="3996" stopIfTrue="1" operator="equal">
      <formula>"Napkin Hs"</formula>
    </cfRule>
  </conditionalFormatting>
  <conditionalFormatting sqref="C123">
    <cfRule type="cellIs" dxfId="3424" priority="3995" stopIfTrue="1" operator="equal">
      <formula>"Towel"</formula>
    </cfRule>
  </conditionalFormatting>
  <conditionalFormatting sqref="C123">
    <cfRule type="cellIs" dxfId="3423" priority="3994" stopIfTrue="1" operator="equal">
      <formula>"Napkin Hs"</formula>
    </cfRule>
  </conditionalFormatting>
  <conditionalFormatting sqref="C123">
    <cfRule type="cellIs" dxfId="3422" priority="3993" stopIfTrue="1" operator="equal">
      <formula>"Towel"</formula>
    </cfRule>
  </conditionalFormatting>
  <conditionalFormatting sqref="C123">
    <cfRule type="cellIs" dxfId="3421" priority="3991" stopIfTrue="1" operator="equal">
      <formula>"Towel"</formula>
    </cfRule>
    <cfRule type="cellIs" dxfId="3420" priority="3992" stopIfTrue="1" operator="equal">
      <formula>"Napkin Hs"</formula>
    </cfRule>
  </conditionalFormatting>
  <conditionalFormatting sqref="C123">
    <cfRule type="cellIs" dxfId="3419" priority="3989" stopIfTrue="1" operator="equal">
      <formula>"Towel"</formula>
    </cfRule>
    <cfRule type="cellIs" dxfId="3418" priority="3990" stopIfTrue="1" operator="equal">
      <formula>"Napkin Hs"</formula>
    </cfRule>
  </conditionalFormatting>
  <conditionalFormatting sqref="C123">
    <cfRule type="cellIs" dxfId="3417" priority="3987" stopIfTrue="1" operator="equal">
      <formula>"Towel"</formula>
    </cfRule>
    <cfRule type="cellIs" dxfId="3416" priority="3988" stopIfTrue="1" operator="equal">
      <formula>"Napkin Hs"</formula>
    </cfRule>
  </conditionalFormatting>
  <conditionalFormatting sqref="C123">
    <cfRule type="cellIs" dxfId="3415" priority="3985" stopIfTrue="1" operator="equal">
      <formula>"Towel"</formula>
    </cfRule>
    <cfRule type="cellIs" dxfId="3414" priority="3986" stopIfTrue="1" operator="equal">
      <formula>"Napkin Hs"</formula>
    </cfRule>
  </conditionalFormatting>
  <conditionalFormatting sqref="C123">
    <cfRule type="cellIs" dxfId="3413" priority="3983" stopIfTrue="1" operator="equal">
      <formula>"Towel"</formula>
    </cfRule>
    <cfRule type="cellIs" dxfId="3412" priority="3984" stopIfTrue="1" operator="equal">
      <formula>"Napkin Hs"</formula>
    </cfRule>
  </conditionalFormatting>
  <conditionalFormatting sqref="C123">
    <cfRule type="cellIs" dxfId="3411" priority="3981" stopIfTrue="1" operator="equal">
      <formula>"Towel"</formula>
    </cfRule>
    <cfRule type="cellIs" dxfId="3410" priority="3982" stopIfTrue="1" operator="equal">
      <formula>"Napkin Hs"</formula>
    </cfRule>
  </conditionalFormatting>
  <conditionalFormatting sqref="C123">
    <cfRule type="cellIs" dxfId="3409" priority="3979" stopIfTrue="1" operator="equal">
      <formula>"Towel"</formula>
    </cfRule>
    <cfRule type="cellIs" dxfId="3408" priority="3980" stopIfTrue="1" operator="equal">
      <formula>"Napkin Hs"</formula>
    </cfRule>
  </conditionalFormatting>
  <conditionalFormatting sqref="C123">
    <cfRule type="cellIs" dxfId="3407" priority="3977" stopIfTrue="1" operator="equal">
      <formula>"Towel"</formula>
    </cfRule>
    <cfRule type="cellIs" dxfId="3406" priority="3978" stopIfTrue="1" operator="equal">
      <formula>"Napkin Hs"</formula>
    </cfRule>
  </conditionalFormatting>
  <conditionalFormatting sqref="C123">
    <cfRule type="cellIs" dxfId="3405" priority="3975" stopIfTrue="1" operator="equal">
      <formula>"Towel"</formula>
    </cfRule>
    <cfRule type="cellIs" dxfId="3404" priority="3976" stopIfTrue="1" operator="equal">
      <formula>"Napkin Hs"</formula>
    </cfRule>
  </conditionalFormatting>
  <conditionalFormatting sqref="C123">
    <cfRule type="cellIs" dxfId="3403" priority="3973" stopIfTrue="1" operator="equal">
      <formula>"Towel"</formula>
    </cfRule>
    <cfRule type="cellIs" dxfId="3402" priority="3974" stopIfTrue="1" operator="equal">
      <formula>"Napkin Hs"</formula>
    </cfRule>
  </conditionalFormatting>
  <conditionalFormatting sqref="C123">
    <cfRule type="cellIs" dxfId="3401" priority="3971" stopIfTrue="1" operator="equal">
      <formula>"Towel"</formula>
    </cfRule>
    <cfRule type="cellIs" dxfId="3400" priority="3972" stopIfTrue="1" operator="equal">
      <formula>"Napkin Hs"</formula>
    </cfRule>
  </conditionalFormatting>
  <conditionalFormatting sqref="C123">
    <cfRule type="cellIs" dxfId="3399" priority="3969" stopIfTrue="1" operator="equal">
      <formula>"Towel"</formula>
    </cfRule>
    <cfRule type="cellIs" dxfId="3398" priority="3970" stopIfTrue="1" operator="equal">
      <formula>"Napkin Hs"</formula>
    </cfRule>
  </conditionalFormatting>
  <conditionalFormatting sqref="C123">
    <cfRule type="cellIs" dxfId="3397" priority="3967" stopIfTrue="1" operator="equal">
      <formula>"Towel"</formula>
    </cfRule>
    <cfRule type="cellIs" dxfId="3396" priority="3968" stopIfTrue="1" operator="equal">
      <formula>"Napkin Hs"</formula>
    </cfRule>
  </conditionalFormatting>
  <conditionalFormatting sqref="C123">
    <cfRule type="cellIs" dxfId="3395" priority="3965" stopIfTrue="1" operator="equal">
      <formula>"Towel"</formula>
    </cfRule>
    <cfRule type="cellIs" dxfId="3394" priority="3966" stopIfTrue="1" operator="equal">
      <formula>"Napkin Hs"</formula>
    </cfRule>
  </conditionalFormatting>
  <conditionalFormatting sqref="C123">
    <cfRule type="cellIs" dxfId="3393" priority="3963" stopIfTrue="1" operator="equal">
      <formula>"Towel"</formula>
    </cfRule>
    <cfRule type="cellIs" dxfId="3392" priority="3964" stopIfTrue="1" operator="equal">
      <formula>"Napkin Hs"</formula>
    </cfRule>
  </conditionalFormatting>
  <conditionalFormatting sqref="C123">
    <cfRule type="cellIs" dxfId="3391" priority="3961" stopIfTrue="1" operator="equal">
      <formula>"Towel"</formula>
    </cfRule>
    <cfRule type="cellIs" dxfId="3390" priority="3962" stopIfTrue="1" operator="equal">
      <formula>"Napkin Hs"</formula>
    </cfRule>
  </conditionalFormatting>
  <conditionalFormatting sqref="C123">
    <cfRule type="cellIs" dxfId="3389" priority="3960" stopIfTrue="1" operator="equal">
      <formula>"Napkin Hs"</formula>
    </cfRule>
  </conditionalFormatting>
  <conditionalFormatting sqref="C123">
    <cfRule type="cellIs" dxfId="3388" priority="3959" stopIfTrue="1" operator="equal">
      <formula>"Towel"</formula>
    </cfRule>
  </conditionalFormatting>
  <conditionalFormatting sqref="C123">
    <cfRule type="cellIs" dxfId="3387" priority="3958" stopIfTrue="1" operator="equal">
      <formula>"Napkin Hs"</formula>
    </cfRule>
  </conditionalFormatting>
  <conditionalFormatting sqref="C123">
    <cfRule type="cellIs" dxfId="3386" priority="3955" stopIfTrue="1" operator="equal">
      <formula>"Towel"</formula>
    </cfRule>
    <cfRule type="cellIs" dxfId="3385" priority="3956" stopIfTrue="1" operator="equal">
      <formula>"Napkin Hs"</formula>
    </cfRule>
  </conditionalFormatting>
  <conditionalFormatting sqref="C123">
    <cfRule type="cellIs" dxfId="3384" priority="3957" stopIfTrue="1" operator="equal">
      <formula>"Towel"</formula>
    </cfRule>
  </conditionalFormatting>
  <conditionalFormatting sqref="B123:C123">
    <cfRule type="cellIs" dxfId="3383" priority="3953" stopIfTrue="1" operator="equal">
      <formula>"Towel"</formula>
    </cfRule>
    <cfRule type="cellIs" dxfId="3382" priority="3954" stopIfTrue="1" operator="equal">
      <formula>"Napkin Hs"</formula>
    </cfRule>
  </conditionalFormatting>
  <conditionalFormatting sqref="C123">
    <cfRule type="cellIs" dxfId="3381" priority="3951" stopIfTrue="1" operator="equal">
      <formula>"Towel"</formula>
    </cfRule>
    <cfRule type="cellIs" dxfId="3380" priority="3952" stopIfTrue="1" operator="equal">
      <formula>"Napkin Hs"</formula>
    </cfRule>
  </conditionalFormatting>
  <conditionalFormatting sqref="C123">
    <cfRule type="cellIs" dxfId="3379" priority="3949" stopIfTrue="1" operator="equal">
      <formula>"Towel"</formula>
    </cfRule>
    <cfRule type="cellIs" dxfId="3378" priority="3950" stopIfTrue="1" operator="equal">
      <formula>"Napkin Hs"</formula>
    </cfRule>
  </conditionalFormatting>
  <conditionalFormatting sqref="B123:C123">
    <cfRule type="cellIs" dxfId="3377" priority="3888" stopIfTrue="1" operator="equal">
      <formula>"Napkin Hs"</formula>
    </cfRule>
  </conditionalFormatting>
  <conditionalFormatting sqref="B123:C123">
    <cfRule type="cellIs" dxfId="3376" priority="3887" stopIfTrue="1" operator="equal">
      <formula>"Towel"</formula>
    </cfRule>
  </conditionalFormatting>
  <conditionalFormatting sqref="C123">
    <cfRule type="cellIs" dxfId="3375" priority="3886" stopIfTrue="1" operator="equal">
      <formula>"Napkin Hs"</formula>
    </cfRule>
  </conditionalFormatting>
  <conditionalFormatting sqref="C123">
    <cfRule type="cellIs" dxfId="3374" priority="3883" stopIfTrue="1" operator="equal">
      <formula>"Towel"</formula>
    </cfRule>
    <cfRule type="cellIs" dxfId="3373" priority="3884" stopIfTrue="1" operator="equal">
      <formula>"Napkin Hs"</formula>
    </cfRule>
  </conditionalFormatting>
  <conditionalFormatting sqref="C123">
    <cfRule type="cellIs" dxfId="3372" priority="3885" stopIfTrue="1" operator="equal">
      <formula>"Towel"</formula>
    </cfRule>
  </conditionalFormatting>
  <conditionalFormatting sqref="B123:C123">
    <cfRule type="cellIs" dxfId="3371" priority="3948" stopIfTrue="1" operator="equal">
      <formula>"Napkin Hs"</formula>
    </cfRule>
  </conditionalFormatting>
  <conditionalFormatting sqref="B123:C123">
    <cfRule type="cellIs" dxfId="3370" priority="3947" stopIfTrue="1" operator="equal">
      <formula>"Towel"</formula>
    </cfRule>
  </conditionalFormatting>
  <conditionalFormatting sqref="C123">
    <cfRule type="cellIs" dxfId="3369" priority="3946" stopIfTrue="1" operator="equal">
      <formula>"Napkin Hs"</formula>
    </cfRule>
  </conditionalFormatting>
  <conditionalFormatting sqref="C123">
    <cfRule type="cellIs" dxfId="3368" priority="3945" stopIfTrue="1" operator="equal">
      <formula>"Towel"</formula>
    </cfRule>
  </conditionalFormatting>
  <conditionalFormatting sqref="C123">
    <cfRule type="cellIs" dxfId="3367" priority="3943" stopIfTrue="1" operator="equal">
      <formula>"Towel"</formula>
    </cfRule>
    <cfRule type="cellIs" dxfId="3366" priority="3944" stopIfTrue="1" operator="equal">
      <formula>"Napkin Hs"</formula>
    </cfRule>
  </conditionalFormatting>
  <conditionalFormatting sqref="B123:C123">
    <cfRule type="cellIs" dxfId="3365" priority="3941" stopIfTrue="1" operator="equal">
      <formula>"Towel"</formula>
    </cfRule>
    <cfRule type="cellIs" dxfId="3364" priority="3942" stopIfTrue="1" operator="equal">
      <formula>"Napkin Hs"</formula>
    </cfRule>
  </conditionalFormatting>
  <conditionalFormatting sqref="C123">
    <cfRule type="cellIs" dxfId="3363" priority="3937" stopIfTrue="1" operator="equal">
      <formula>"Towel"</formula>
    </cfRule>
    <cfRule type="cellIs" dxfId="3362" priority="3938" stopIfTrue="1" operator="equal">
      <formula>"Napkin Hs"</formula>
    </cfRule>
  </conditionalFormatting>
  <conditionalFormatting sqref="C123">
    <cfRule type="cellIs" dxfId="3361" priority="3939" stopIfTrue="1" operator="equal">
      <formula>"Towel"</formula>
    </cfRule>
    <cfRule type="cellIs" dxfId="3360" priority="3940" stopIfTrue="1" operator="equal">
      <formula>"Napkin Hs"</formula>
    </cfRule>
  </conditionalFormatting>
  <conditionalFormatting sqref="B123:C123">
    <cfRule type="cellIs" dxfId="3359" priority="3936" stopIfTrue="1" operator="equal">
      <formula>"Napkin Hs"</formula>
    </cfRule>
  </conditionalFormatting>
  <conditionalFormatting sqref="B123:C123">
    <cfRule type="cellIs" dxfId="3358" priority="3935" stopIfTrue="1" operator="equal">
      <formula>"Towel"</formula>
    </cfRule>
  </conditionalFormatting>
  <conditionalFormatting sqref="C123">
    <cfRule type="cellIs" dxfId="3357" priority="3934" stopIfTrue="1" operator="equal">
      <formula>"Napkin Hs"</formula>
    </cfRule>
  </conditionalFormatting>
  <conditionalFormatting sqref="C123">
    <cfRule type="cellIs" dxfId="3356" priority="3933" stopIfTrue="1" operator="equal">
      <formula>"Towel"</formula>
    </cfRule>
  </conditionalFormatting>
  <conditionalFormatting sqref="C123">
    <cfRule type="cellIs" dxfId="3355" priority="3931" stopIfTrue="1" operator="equal">
      <formula>"Towel"</formula>
    </cfRule>
    <cfRule type="cellIs" dxfId="3354" priority="3932" stopIfTrue="1" operator="equal">
      <formula>"Napkin Hs"</formula>
    </cfRule>
  </conditionalFormatting>
  <conditionalFormatting sqref="B123:C123">
    <cfRule type="cellIs" dxfId="3353" priority="3929" stopIfTrue="1" operator="equal">
      <formula>"Towel"</formula>
    </cfRule>
    <cfRule type="cellIs" dxfId="3352" priority="3930" stopIfTrue="1" operator="equal">
      <formula>"Napkin Hs"</formula>
    </cfRule>
  </conditionalFormatting>
  <conditionalFormatting sqref="C123">
    <cfRule type="cellIs" dxfId="3351" priority="3927" stopIfTrue="1" operator="equal">
      <formula>"Towel"</formula>
    </cfRule>
    <cfRule type="cellIs" dxfId="3350" priority="3928" stopIfTrue="1" operator="equal">
      <formula>"Napkin Hs"</formula>
    </cfRule>
  </conditionalFormatting>
  <conditionalFormatting sqref="C123">
    <cfRule type="cellIs" dxfId="3349" priority="3925" stopIfTrue="1" operator="equal">
      <formula>"Towel"</formula>
    </cfRule>
    <cfRule type="cellIs" dxfId="3348" priority="3926" stopIfTrue="1" operator="equal">
      <formula>"Napkin Hs"</formula>
    </cfRule>
  </conditionalFormatting>
  <conditionalFormatting sqref="B123:C123">
    <cfRule type="cellIs" dxfId="3347" priority="3923" stopIfTrue="1" operator="equal">
      <formula>"Towel"</formula>
    </cfRule>
    <cfRule type="cellIs" dxfId="3346" priority="3924" stopIfTrue="1" operator="equal">
      <formula>"Napkin Hs"</formula>
    </cfRule>
  </conditionalFormatting>
  <conditionalFormatting sqref="C123">
    <cfRule type="cellIs" dxfId="3345" priority="3921" stopIfTrue="1" operator="equal">
      <formula>"Towel"</formula>
    </cfRule>
    <cfRule type="cellIs" dxfId="3344" priority="3922" stopIfTrue="1" operator="equal">
      <formula>"Napkin Hs"</formula>
    </cfRule>
  </conditionalFormatting>
  <conditionalFormatting sqref="C123">
    <cfRule type="cellIs" dxfId="3343" priority="3919" stopIfTrue="1" operator="equal">
      <formula>"Towel"</formula>
    </cfRule>
    <cfRule type="cellIs" dxfId="3342" priority="3920" stopIfTrue="1" operator="equal">
      <formula>"Napkin Hs"</formula>
    </cfRule>
  </conditionalFormatting>
  <conditionalFormatting sqref="B123:C123">
    <cfRule type="cellIs" dxfId="3341" priority="3917" stopIfTrue="1" operator="equal">
      <formula>"Towel"</formula>
    </cfRule>
    <cfRule type="cellIs" dxfId="3340" priority="3918" stopIfTrue="1" operator="equal">
      <formula>"Napkin Hs"</formula>
    </cfRule>
  </conditionalFormatting>
  <conditionalFormatting sqref="C123">
    <cfRule type="cellIs" dxfId="3339" priority="3915" stopIfTrue="1" operator="equal">
      <formula>"Towel"</formula>
    </cfRule>
    <cfRule type="cellIs" dxfId="3338" priority="3916" stopIfTrue="1" operator="equal">
      <formula>"Napkin Hs"</formula>
    </cfRule>
  </conditionalFormatting>
  <conditionalFormatting sqref="C123">
    <cfRule type="cellIs" dxfId="3337" priority="3913" stopIfTrue="1" operator="equal">
      <formula>"Towel"</formula>
    </cfRule>
    <cfRule type="cellIs" dxfId="3336" priority="3914" stopIfTrue="1" operator="equal">
      <formula>"Napkin Hs"</formula>
    </cfRule>
  </conditionalFormatting>
  <conditionalFormatting sqref="B123:C123">
    <cfRule type="cellIs" dxfId="3335" priority="3905" stopIfTrue="1" operator="equal">
      <formula>"Towel"</formula>
    </cfRule>
    <cfRule type="cellIs" dxfId="3334" priority="3906" stopIfTrue="1" operator="equal">
      <formula>"Napkin Hs"</formula>
    </cfRule>
  </conditionalFormatting>
  <conditionalFormatting sqref="C123">
    <cfRule type="cellIs" dxfId="3333" priority="3903" stopIfTrue="1" operator="equal">
      <formula>"Towel"</formula>
    </cfRule>
    <cfRule type="cellIs" dxfId="3332" priority="3904" stopIfTrue="1" operator="equal">
      <formula>"Napkin Hs"</formula>
    </cfRule>
  </conditionalFormatting>
  <conditionalFormatting sqref="B123:C123">
    <cfRule type="cellIs" dxfId="3331" priority="3900" stopIfTrue="1" operator="equal">
      <formula>"Napkin Hs"</formula>
    </cfRule>
  </conditionalFormatting>
  <conditionalFormatting sqref="B123:C123">
    <cfRule type="cellIs" dxfId="3330" priority="3899" stopIfTrue="1" operator="equal">
      <formula>"Towel"</formula>
    </cfRule>
  </conditionalFormatting>
  <conditionalFormatting sqref="C123">
    <cfRule type="cellIs" dxfId="3329" priority="3898" stopIfTrue="1" operator="equal">
      <formula>"Napkin Hs"</formula>
    </cfRule>
  </conditionalFormatting>
  <conditionalFormatting sqref="C123">
    <cfRule type="cellIs" dxfId="3328" priority="3895" stopIfTrue="1" operator="equal">
      <formula>"Towel"</formula>
    </cfRule>
    <cfRule type="cellIs" dxfId="3327" priority="3896" stopIfTrue="1" operator="equal">
      <formula>"Napkin Hs"</formula>
    </cfRule>
  </conditionalFormatting>
  <conditionalFormatting sqref="C123">
    <cfRule type="cellIs" dxfId="3326" priority="3897" stopIfTrue="1" operator="equal">
      <formula>"Towel"</formula>
    </cfRule>
  </conditionalFormatting>
  <conditionalFormatting sqref="B123:C123">
    <cfRule type="cellIs" dxfId="3325" priority="3894" stopIfTrue="1" operator="equal">
      <formula>"Napkin Hs"</formula>
    </cfRule>
  </conditionalFormatting>
  <conditionalFormatting sqref="B123:C123">
    <cfRule type="cellIs" dxfId="3324" priority="3893" stopIfTrue="1" operator="equal">
      <formula>"Towel"</formula>
    </cfRule>
  </conditionalFormatting>
  <conditionalFormatting sqref="C123">
    <cfRule type="cellIs" dxfId="3323" priority="3892" stopIfTrue="1" operator="equal">
      <formula>"Napkin Hs"</formula>
    </cfRule>
  </conditionalFormatting>
  <conditionalFormatting sqref="C123">
    <cfRule type="cellIs" dxfId="3322" priority="3889" stopIfTrue="1" operator="equal">
      <formula>"Towel"</formula>
    </cfRule>
    <cfRule type="cellIs" dxfId="3321" priority="3890" stopIfTrue="1" operator="equal">
      <formula>"Napkin Hs"</formula>
    </cfRule>
  </conditionalFormatting>
  <conditionalFormatting sqref="C123">
    <cfRule type="cellIs" dxfId="3320" priority="3891" stopIfTrue="1" operator="equal">
      <formula>"Towel"</formula>
    </cfRule>
  </conditionalFormatting>
  <conditionalFormatting sqref="B122:C122">
    <cfRule type="cellIs" dxfId="3319" priority="3879" stopIfTrue="1" operator="equal">
      <formula>"Towel"</formula>
    </cfRule>
    <cfRule type="cellIs" dxfId="3318" priority="3880" stopIfTrue="1" operator="equal">
      <formula>"Napkin Hs"</formula>
    </cfRule>
  </conditionalFormatting>
  <conditionalFormatting sqref="C122">
    <cfRule type="cellIs" dxfId="3317" priority="3881" stopIfTrue="1" operator="equal">
      <formula>"Towel"</formula>
    </cfRule>
    <cfRule type="cellIs" dxfId="3316" priority="3882" stopIfTrue="1" operator="equal">
      <formula>"Napkin Hs"</formula>
    </cfRule>
  </conditionalFormatting>
  <conditionalFormatting sqref="C122">
    <cfRule type="cellIs" dxfId="3315" priority="3877" stopIfTrue="1" operator="equal">
      <formula>"Towel"</formula>
    </cfRule>
    <cfRule type="cellIs" dxfId="3314" priority="3878" stopIfTrue="1" operator="equal">
      <formula>"Napkin Hs"</formula>
    </cfRule>
  </conditionalFormatting>
  <conditionalFormatting sqref="B122:C122">
    <cfRule type="cellIs" dxfId="3313" priority="3876" stopIfTrue="1" operator="equal">
      <formula>"Napkin Hs"</formula>
    </cfRule>
  </conditionalFormatting>
  <conditionalFormatting sqref="B122:C122">
    <cfRule type="cellIs" dxfId="3312" priority="3875" stopIfTrue="1" operator="equal">
      <formula>"Towel"</formula>
    </cfRule>
  </conditionalFormatting>
  <conditionalFormatting sqref="C122">
    <cfRule type="cellIs" dxfId="3311" priority="3874" stopIfTrue="1" operator="equal">
      <formula>"Napkin Hs"</formula>
    </cfRule>
  </conditionalFormatting>
  <conditionalFormatting sqref="C122">
    <cfRule type="cellIs" dxfId="3310" priority="3873" stopIfTrue="1" operator="equal">
      <formula>"Towel"</formula>
    </cfRule>
  </conditionalFormatting>
  <conditionalFormatting sqref="C122">
    <cfRule type="cellIs" dxfId="3309" priority="3871" stopIfTrue="1" operator="equal">
      <formula>"Towel"</formula>
    </cfRule>
    <cfRule type="cellIs" dxfId="3308" priority="3872" stopIfTrue="1" operator="equal">
      <formula>"Napkin Hs"</formula>
    </cfRule>
  </conditionalFormatting>
  <conditionalFormatting sqref="B122:C122">
    <cfRule type="cellIs" dxfId="3307" priority="3869" stopIfTrue="1" operator="equal">
      <formula>"Towel"</formula>
    </cfRule>
    <cfRule type="cellIs" dxfId="3306" priority="3870" stopIfTrue="1" operator="equal">
      <formula>"Napkin Hs"</formula>
    </cfRule>
  </conditionalFormatting>
  <conditionalFormatting sqref="C122">
    <cfRule type="cellIs" dxfId="3305" priority="3865" stopIfTrue="1" operator="equal">
      <formula>"Towel"</formula>
    </cfRule>
    <cfRule type="cellIs" dxfId="3304" priority="3866" stopIfTrue="1" operator="equal">
      <formula>"Napkin Hs"</formula>
    </cfRule>
  </conditionalFormatting>
  <conditionalFormatting sqref="C122">
    <cfRule type="cellIs" dxfId="3303" priority="3867" stopIfTrue="1" operator="equal">
      <formula>"Towel"</formula>
    </cfRule>
    <cfRule type="cellIs" dxfId="3302" priority="3868" stopIfTrue="1" operator="equal">
      <formula>"Napkin Hs"</formula>
    </cfRule>
  </conditionalFormatting>
  <conditionalFormatting sqref="B122:C122">
    <cfRule type="cellIs" dxfId="3301" priority="3864" stopIfTrue="1" operator="equal">
      <formula>"Napkin Hs"</formula>
    </cfRule>
  </conditionalFormatting>
  <conditionalFormatting sqref="B122:C122">
    <cfRule type="cellIs" dxfId="3300" priority="3863" stopIfTrue="1" operator="equal">
      <formula>"Towel"</formula>
    </cfRule>
  </conditionalFormatting>
  <conditionalFormatting sqref="C122">
    <cfRule type="cellIs" dxfId="3299" priority="3862" stopIfTrue="1" operator="equal">
      <formula>"Napkin Hs"</formula>
    </cfRule>
  </conditionalFormatting>
  <conditionalFormatting sqref="C122">
    <cfRule type="cellIs" dxfId="3298" priority="3861" stopIfTrue="1" operator="equal">
      <formula>"Towel"</formula>
    </cfRule>
  </conditionalFormatting>
  <conditionalFormatting sqref="C122">
    <cfRule type="cellIs" dxfId="3297" priority="3859" stopIfTrue="1" operator="equal">
      <formula>"Towel"</formula>
    </cfRule>
    <cfRule type="cellIs" dxfId="3296" priority="3860" stopIfTrue="1" operator="equal">
      <formula>"Napkin Hs"</formula>
    </cfRule>
  </conditionalFormatting>
  <conditionalFormatting sqref="B122:C122">
    <cfRule type="cellIs" dxfId="3295" priority="3857" stopIfTrue="1" operator="equal">
      <formula>"Towel"</formula>
    </cfRule>
    <cfRule type="cellIs" dxfId="3294" priority="3858" stopIfTrue="1" operator="equal">
      <formula>"Napkin Hs"</formula>
    </cfRule>
  </conditionalFormatting>
  <conditionalFormatting sqref="C122">
    <cfRule type="cellIs" dxfId="3293" priority="3855" stopIfTrue="1" operator="equal">
      <formula>"Towel"</formula>
    </cfRule>
    <cfRule type="cellIs" dxfId="3292" priority="3856" stopIfTrue="1" operator="equal">
      <formula>"Napkin Hs"</formula>
    </cfRule>
  </conditionalFormatting>
  <conditionalFormatting sqref="C122">
    <cfRule type="cellIs" dxfId="3291" priority="3853" stopIfTrue="1" operator="equal">
      <formula>"Towel"</formula>
    </cfRule>
    <cfRule type="cellIs" dxfId="3290" priority="3854" stopIfTrue="1" operator="equal">
      <formula>"Napkin Hs"</formula>
    </cfRule>
  </conditionalFormatting>
  <conditionalFormatting sqref="B122:C122">
    <cfRule type="cellIs" dxfId="3289" priority="3851" stopIfTrue="1" operator="equal">
      <formula>"Towel"</formula>
    </cfRule>
    <cfRule type="cellIs" dxfId="3288" priority="3852" stopIfTrue="1" operator="equal">
      <formula>"Napkin Hs"</formula>
    </cfRule>
  </conditionalFormatting>
  <conditionalFormatting sqref="C122">
    <cfRule type="cellIs" dxfId="3287" priority="3849" stopIfTrue="1" operator="equal">
      <formula>"Towel"</formula>
    </cfRule>
    <cfRule type="cellIs" dxfId="3286" priority="3850" stopIfTrue="1" operator="equal">
      <formula>"Napkin Hs"</formula>
    </cfRule>
  </conditionalFormatting>
  <conditionalFormatting sqref="C122">
    <cfRule type="cellIs" dxfId="3285" priority="3847" stopIfTrue="1" operator="equal">
      <formula>"Towel"</formula>
    </cfRule>
    <cfRule type="cellIs" dxfId="3284" priority="3848" stopIfTrue="1" operator="equal">
      <formula>"Napkin Hs"</formula>
    </cfRule>
  </conditionalFormatting>
  <conditionalFormatting sqref="B122:C122">
    <cfRule type="cellIs" dxfId="3283" priority="3845" stopIfTrue="1" operator="equal">
      <formula>"Towel"</formula>
    </cfRule>
    <cfRule type="cellIs" dxfId="3282" priority="3846" stopIfTrue="1" operator="equal">
      <formula>"Napkin Hs"</formula>
    </cfRule>
  </conditionalFormatting>
  <conditionalFormatting sqref="C122">
    <cfRule type="cellIs" dxfId="3281" priority="3843" stopIfTrue="1" operator="equal">
      <formula>"Towel"</formula>
    </cfRule>
    <cfRule type="cellIs" dxfId="3280" priority="3844" stopIfTrue="1" operator="equal">
      <formula>"Napkin Hs"</formula>
    </cfRule>
  </conditionalFormatting>
  <conditionalFormatting sqref="C122">
    <cfRule type="cellIs" dxfId="3279" priority="3841" stopIfTrue="1" operator="equal">
      <formula>"Towel"</formula>
    </cfRule>
    <cfRule type="cellIs" dxfId="3278" priority="3842" stopIfTrue="1" operator="equal">
      <formula>"Napkin Hs"</formula>
    </cfRule>
  </conditionalFormatting>
  <conditionalFormatting sqref="B122:C122">
    <cfRule type="cellIs" dxfId="3277" priority="3839" stopIfTrue="1" operator="equal">
      <formula>"Towel"</formula>
    </cfRule>
    <cfRule type="cellIs" dxfId="3276" priority="3840" stopIfTrue="1" operator="equal">
      <formula>"Napkin Hs"</formula>
    </cfRule>
  </conditionalFormatting>
  <conditionalFormatting sqref="C122">
    <cfRule type="cellIs" dxfId="3275" priority="3837" stopIfTrue="1" operator="equal">
      <formula>"Towel"</formula>
    </cfRule>
    <cfRule type="cellIs" dxfId="3274" priority="3838" stopIfTrue="1" operator="equal">
      <formula>"Napkin Hs"</formula>
    </cfRule>
  </conditionalFormatting>
  <conditionalFormatting sqref="C122">
    <cfRule type="cellIs" dxfId="3273" priority="3835" stopIfTrue="1" operator="equal">
      <formula>"Towel"</formula>
    </cfRule>
    <cfRule type="cellIs" dxfId="3272" priority="3836" stopIfTrue="1" operator="equal">
      <formula>"Napkin Hs"</formula>
    </cfRule>
  </conditionalFormatting>
  <conditionalFormatting sqref="B122:C122">
    <cfRule type="cellIs" dxfId="3271" priority="3833" stopIfTrue="1" operator="equal">
      <formula>"Towel"</formula>
    </cfRule>
    <cfRule type="cellIs" dxfId="3270" priority="3834" stopIfTrue="1" operator="equal">
      <formula>"Napkin Hs"</formula>
    </cfRule>
  </conditionalFormatting>
  <conditionalFormatting sqref="C122">
    <cfRule type="cellIs" dxfId="3269" priority="3831" stopIfTrue="1" operator="equal">
      <formula>"Towel"</formula>
    </cfRule>
    <cfRule type="cellIs" dxfId="3268" priority="3832" stopIfTrue="1" operator="equal">
      <formula>"Napkin Hs"</formula>
    </cfRule>
  </conditionalFormatting>
  <conditionalFormatting sqref="C122">
    <cfRule type="cellIs" dxfId="3267" priority="3829" stopIfTrue="1" operator="equal">
      <formula>"Towel"</formula>
    </cfRule>
    <cfRule type="cellIs" dxfId="3266" priority="3830" stopIfTrue="1" operator="equal">
      <formula>"Napkin Hs"</formula>
    </cfRule>
  </conditionalFormatting>
  <conditionalFormatting sqref="B122:C122">
    <cfRule type="cellIs" dxfId="3265" priority="3828" stopIfTrue="1" operator="equal">
      <formula>"Napkin Hs"</formula>
    </cfRule>
  </conditionalFormatting>
  <conditionalFormatting sqref="B122:C122">
    <cfRule type="cellIs" dxfId="3264" priority="3827" stopIfTrue="1" operator="equal">
      <formula>"Towel"</formula>
    </cfRule>
  </conditionalFormatting>
  <conditionalFormatting sqref="C122">
    <cfRule type="cellIs" dxfId="3263" priority="3826" stopIfTrue="1" operator="equal">
      <formula>"Napkin Hs"</formula>
    </cfRule>
  </conditionalFormatting>
  <conditionalFormatting sqref="C122">
    <cfRule type="cellIs" dxfId="3262" priority="3823" stopIfTrue="1" operator="equal">
      <formula>"Towel"</formula>
    </cfRule>
    <cfRule type="cellIs" dxfId="3261" priority="3824" stopIfTrue="1" operator="equal">
      <formula>"Napkin Hs"</formula>
    </cfRule>
  </conditionalFormatting>
  <conditionalFormatting sqref="C122">
    <cfRule type="cellIs" dxfId="3260" priority="3825" stopIfTrue="1" operator="equal">
      <formula>"Towel"</formula>
    </cfRule>
  </conditionalFormatting>
  <conditionalFormatting sqref="B122:C122">
    <cfRule type="cellIs" dxfId="3259" priority="3822" stopIfTrue="1" operator="equal">
      <formula>"Napkin Hs"</formula>
    </cfRule>
  </conditionalFormatting>
  <conditionalFormatting sqref="B122:C122">
    <cfRule type="cellIs" dxfId="3258" priority="3821" stopIfTrue="1" operator="equal">
      <formula>"Towel"</formula>
    </cfRule>
  </conditionalFormatting>
  <conditionalFormatting sqref="C122">
    <cfRule type="cellIs" dxfId="3257" priority="3820" stopIfTrue="1" operator="equal">
      <formula>"Napkin Hs"</formula>
    </cfRule>
  </conditionalFormatting>
  <conditionalFormatting sqref="C122">
    <cfRule type="cellIs" dxfId="3256" priority="3819" stopIfTrue="1" operator="equal">
      <formula>"Towel"</formula>
    </cfRule>
  </conditionalFormatting>
  <conditionalFormatting sqref="C122">
    <cfRule type="cellIs" dxfId="3255" priority="3817" stopIfTrue="1" operator="equal">
      <formula>"Towel"</formula>
    </cfRule>
    <cfRule type="cellIs" dxfId="3254" priority="3818" stopIfTrue="1" operator="equal">
      <formula>"Napkin Hs"</formula>
    </cfRule>
  </conditionalFormatting>
  <conditionalFormatting sqref="C122">
    <cfRule type="cellIs" dxfId="3253" priority="3811" stopIfTrue="1" operator="equal">
      <formula>"Towel"</formula>
    </cfRule>
    <cfRule type="cellIs" dxfId="3252" priority="3812" stopIfTrue="1" operator="equal">
      <formula>"Napkin Hs"</formula>
    </cfRule>
  </conditionalFormatting>
  <conditionalFormatting sqref="B122:C122">
    <cfRule type="cellIs" dxfId="3251" priority="3810" stopIfTrue="1" operator="equal">
      <formula>"Napkin Hs"</formula>
    </cfRule>
  </conditionalFormatting>
  <conditionalFormatting sqref="B122:C122">
    <cfRule type="cellIs" dxfId="3250" priority="3809" stopIfTrue="1" operator="equal">
      <formula>"Towel"</formula>
    </cfRule>
  </conditionalFormatting>
  <conditionalFormatting sqref="C122">
    <cfRule type="cellIs" dxfId="3249" priority="3808" stopIfTrue="1" operator="equal">
      <formula>"Napkin Hs"</formula>
    </cfRule>
  </conditionalFormatting>
  <conditionalFormatting sqref="C122">
    <cfRule type="cellIs" dxfId="3248" priority="3807" stopIfTrue="1" operator="equal">
      <formula>"Towel"</formula>
    </cfRule>
  </conditionalFormatting>
  <conditionalFormatting sqref="C122">
    <cfRule type="cellIs" dxfId="3247" priority="3805" stopIfTrue="1" operator="equal">
      <formula>"Towel"</formula>
    </cfRule>
    <cfRule type="cellIs" dxfId="3246" priority="3806" stopIfTrue="1" operator="equal">
      <formula>"Napkin Hs"</formula>
    </cfRule>
  </conditionalFormatting>
  <conditionalFormatting sqref="C122">
    <cfRule type="cellIs" dxfId="3245" priority="3799" stopIfTrue="1" operator="equal">
      <formula>"Towel"</formula>
    </cfRule>
    <cfRule type="cellIs" dxfId="3244" priority="3800" stopIfTrue="1" operator="equal">
      <formula>"Napkin Hs"</formula>
    </cfRule>
  </conditionalFormatting>
  <conditionalFormatting sqref="C122">
    <cfRule type="cellIs" dxfId="3243" priority="3793" stopIfTrue="1" operator="equal">
      <formula>"Towel"</formula>
    </cfRule>
    <cfRule type="cellIs" dxfId="3242" priority="3794" stopIfTrue="1" operator="equal">
      <formula>"Napkin Hs"</formula>
    </cfRule>
  </conditionalFormatting>
  <conditionalFormatting sqref="C122">
    <cfRule type="cellIs" dxfId="3241" priority="3787" stopIfTrue="1" operator="equal">
      <formula>"Towel"</formula>
    </cfRule>
    <cfRule type="cellIs" dxfId="3240" priority="3788" stopIfTrue="1" operator="equal">
      <formula>"Napkin Hs"</formula>
    </cfRule>
  </conditionalFormatting>
  <conditionalFormatting sqref="C122">
    <cfRule type="cellIs" dxfId="3239" priority="3781" stopIfTrue="1" operator="equal">
      <formula>"Towel"</formula>
    </cfRule>
    <cfRule type="cellIs" dxfId="3238" priority="3782" stopIfTrue="1" operator="equal">
      <formula>"Napkin Hs"</formula>
    </cfRule>
  </conditionalFormatting>
  <conditionalFormatting sqref="C122">
    <cfRule type="cellIs" dxfId="3237" priority="3775" stopIfTrue="1" operator="equal">
      <formula>"Towel"</formula>
    </cfRule>
    <cfRule type="cellIs" dxfId="3236" priority="3776" stopIfTrue="1" operator="equal">
      <formula>"Napkin Hs"</formula>
    </cfRule>
  </conditionalFormatting>
  <conditionalFormatting sqref="B122:C122">
    <cfRule type="cellIs" dxfId="3235" priority="3774" stopIfTrue="1" operator="equal">
      <formula>"Napkin Hs"</formula>
    </cfRule>
  </conditionalFormatting>
  <conditionalFormatting sqref="B122:C122">
    <cfRule type="cellIs" dxfId="3234" priority="3773" stopIfTrue="1" operator="equal">
      <formula>"Towel"</formula>
    </cfRule>
  </conditionalFormatting>
  <conditionalFormatting sqref="C122">
    <cfRule type="cellIs" dxfId="3233" priority="3772" stopIfTrue="1" operator="equal">
      <formula>"Napkin Hs"</formula>
    </cfRule>
  </conditionalFormatting>
  <conditionalFormatting sqref="C122">
    <cfRule type="cellIs" dxfId="3232" priority="3769" stopIfTrue="1" operator="equal">
      <formula>"Towel"</formula>
    </cfRule>
    <cfRule type="cellIs" dxfId="3231" priority="3770" stopIfTrue="1" operator="equal">
      <formula>"Napkin Hs"</formula>
    </cfRule>
  </conditionalFormatting>
  <conditionalFormatting sqref="C122">
    <cfRule type="cellIs" dxfId="3230" priority="3771" stopIfTrue="1" operator="equal">
      <formula>"Towel"</formula>
    </cfRule>
  </conditionalFormatting>
  <conditionalFormatting sqref="B122:C122">
    <cfRule type="cellIs" dxfId="3229" priority="3768" stopIfTrue="1" operator="equal">
      <formula>"Napkin Hs"</formula>
    </cfRule>
  </conditionalFormatting>
  <conditionalFormatting sqref="B122:C122">
    <cfRule type="cellIs" dxfId="3228" priority="3767" stopIfTrue="1" operator="equal">
      <formula>"Towel"</formula>
    </cfRule>
  </conditionalFormatting>
  <conditionalFormatting sqref="C122">
    <cfRule type="cellIs" dxfId="3227" priority="3766" stopIfTrue="1" operator="equal">
      <formula>"Napkin Hs"</formula>
    </cfRule>
  </conditionalFormatting>
  <conditionalFormatting sqref="C122">
    <cfRule type="cellIs" dxfId="3226" priority="3763" stopIfTrue="1" operator="equal">
      <formula>"Towel"</formula>
    </cfRule>
    <cfRule type="cellIs" dxfId="3225" priority="3764" stopIfTrue="1" operator="equal">
      <formula>"Napkin Hs"</formula>
    </cfRule>
  </conditionalFormatting>
  <conditionalFormatting sqref="C122">
    <cfRule type="cellIs" dxfId="3224" priority="3765" stopIfTrue="1" operator="equal">
      <formula>"Towel"</formula>
    </cfRule>
  </conditionalFormatting>
  <conditionalFormatting sqref="B122:C122">
    <cfRule type="cellIs" dxfId="3223" priority="3815" stopIfTrue="1" operator="equal">
      <formula>"Towel"</formula>
    </cfRule>
    <cfRule type="cellIs" dxfId="3222" priority="3816" stopIfTrue="1" operator="equal">
      <formula>"Napkin Hs"</formula>
    </cfRule>
  </conditionalFormatting>
  <conditionalFormatting sqref="C122">
    <cfRule type="cellIs" dxfId="3221" priority="3813" stopIfTrue="1" operator="equal">
      <formula>"Towel"</formula>
    </cfRule>
    <cfRule type="cellIs" dxfId="3220" priority="3814" stopIfTrue="1" operator="equal">
      <formula>"Napkin Hs"</formula>
    </cfRule>
  </conditionalFormatting>
  <conditionalFormatting sqref="B122:C122">
    <cfRule type="cellIs" dxfId="3219" priority="3803" stopIfTrue="1" operator="equal">
      <formula>"Towel"</formula>
    </cfRule>
    <cfRule type="cellIs" dxfId="3218" priority="3804" stopIfTrue="1" operator="equal">
      <formula>"Napkin Hs"</formula>
    </cfRule>
  </conditionalFormatting>
  <conditionalFormatting sqref="C122">
    <cfRule type="cellIs" dxfId="3217" priority="3801" stopIfTrue="1" operator="equal">
      <formula>"Towel"</formula>
    </cfRule>
    <cfRule type="cellIs" dxfId="3216" priority="3802" stopIfTrue="1" operator="equal">
      <formula>"Napkin Hs"</formula>
    </cfRule>
  </conditionalFormatting>
  <conditionalFormatting sqref="B122:C122">
    <cfRule type="cellIs" dxfId="3215" priority="3797" stopIfTrue="1" operator="equal">
      <formula>"Towel"</formula>
    </cfRule>
    <cfRule type="cellIs" dxfId="3214" priority="3798" stopIfTrue="1" operator="equal">
      <formula>"Napkin Hs"</formula>
    </cfRule>
  </conditionalFormatting>
  <conditionalFormatting sqref="C122">
    <cfRule type="cellIs" dxfId="3213" priority="3795" stopIfTrue="1" operator="equal">
      <formula>"Towel"</formula>
    </cfRule>
    <cfRule type="cellIs" dxfId="3212" priority="3796" stopIfTrue="1" operator="equal">
      <formula>"Napkin Hs"</formula>
    </cfRule>
  </conditionalFormatting>
  <conditionalFormatting sqref="B122:C122">
    <cfRule type="cellIs" dxfId="3211" priority="3791" stopIfTrue="1" operator="equal">
      <formula>"Towel"</formula>
    </cfRule>
    <cfRule type="cellIs" dxfId="3210" priority="3792" stopIfTrue="1" operator="equal">
      <formula>"Napkin Hs"</formula>
    </cfRule>
  </conditionalFormatting>
  <conditionalFormatting sqref="C122">
    <cfRule type="cellIs" dxfId="3209" priority="3789" stopIfTrue="1" operator="equal">
      <formula>"Towel"</formula>
    </cfRule>
    <cfRule type="cellIs" dxfId="3208" priority="3790" stopIfTrue="1" operator="equal">
      <formula>"Napkin Hs"</formula>
    </cfRule>
  </conditionalFormatting>
  <conditionalFormatting sqref="B122:C122">
    <cfRule type="cellIs" dxfId="3207" priority="3785" stopIfTrue="1" operator="equal">
      <formula>"Towel"</formula>
    </cfRule>
    <cfRule type="cellIs" dxfId="3206" priority="3786" stopIfTrue="1" operator="equal">
      <formula>"Napkin Hs"</formula>
    </cfRule>
  </conditionalFormatting>
  <conditionalFormatting sqref="C122">
    <cfRule type="cellIs" dxfId="3205" priority="3783" stopIfTrue="1" operator="equal">
      <formula>"Towel"</formula>
    </cfRule>
    <cfRule type="cellIs" dxfId="3204" priority="3784" stopIfTrue="1" operator="equal">
      <formula>"Napkin Hs"</formula>
    </cfRule>
  </conditionalFormatting>
  <conditionalFormatting sqref="B122:C122">
    <cfRule type="cellIs" dxfId="3203" priority="3779" stopIfTrue="1" operator="equal">
      <formula>"Towel"</formula>
    </cfRule>
    <cfRule type="cellIs" dxfId="3202" priority="3780" stopIfTrue="1" operator="equal">
      <formula>"Napkin Hs"</formula>
    </cfRule>
  </conditionalFormatting>
  <conditionalFormatting sqref="C122">
    <cfRule type="cellIs" dxfId="3201" priority="3777" stopIfTrue="1" operator="equal">
      <formula>"Towel"</formula>
    </cfRule>
    <cfRule type="cellIs" dxfId="3200" priority="3778" stopIfTrue="1" operator="equal">
      <formula>"Napkin Hs"</formula>
    </cfRule>
  </conditionalFormatting>
  <conditionalFormatting sqref="B122:C122">
    <cfRule type="cellIs" dxfId="3199" priority="3762" stopIfTrue="1" operator="equal">
      <formula>"Napkin Hs"</formula>
    </cfRule>
  </conditionalFormatting>
  <conditionalFormatting sqref="B122:C122">
    <cfRule type="cellIs" dxfId="3198" priority="3761" stopIfTrue="1" operator="equal">
      <formula>"Towel"</formula>
    </cfRule>
  </conditionalFormatting>
  <conditionalFormatting sqref="C122">
    <cfRule type="cellIs" dxfId="3197" priority="3760" stopIfTrue="1" operator="equal">
      <formula>"Napkin Hs"</formula>
    </cfRule>
  </conditionalFormatting>
  <conditionalFormatting sqref="C122">
    <cfRule type="cellIs" dxfId="3196" priority="3757" stopIfTrue="1" operator="equal">
      <formula>"Towel"</formula>
    </cfRule>
    <cfRule type="cellIs" dxfId="3195" priority="3758" stopIfTrue="1" operator="equal">
      <formula>"Napkin Hs"</formula>
    </cfRule>
  </conditionalFormatting>
  <conditionalFormatting sqref="C122">
    <cfRule type="cellIs" dxfId="3194" priority="3759" stopIfTrue="1" operator="equal">
      <formula>"Towel"</formula>
    </cfRule>
  </conditionalFormatting>
  <conditionalFormatting sqref="C121">
    <cfRule type="cellIs" dxfId="3193" priority="3753" stopIfTrue="1" operator="equal">
      <formula>"Towel"</formula>
    </cfRule>
    <cfRule type="cellIs" dxfId="3192" priority="3754" stopIfTrue="1" operator="equal">
      <formula>"Napkin Hs"</formula>
    </cfRule>
  </conditionalFormatting>
  <conditionalFormatting sqref="C121">
    <cfRule type="cellIs" dxfId="3191" priority="3751" stopIfTrue="1" operator="equal">
      <formula>"Towel"</formula>
    </cfRule>
    <cfRule type="cellIs" dxfId="3190" priority="3752" stopIfTrue="1" operator="equal">
      <formula>"Napkin Hs"</formula>
    </cfRule>
  </conditionalFormatting>
  <conditionalFormatting sqref="B121:C121">
    <cfRule type="cellIs" dxfId="3189" priority="3702" stopIfTrue="1" operator="equal">
      <formula>"Napkin Hs"</formula>
    </cfRule>
  </conditionalFormatting>
  <conditionalFormatting sqref="B121:C121">
    <cfRule type="cellIs" dxfId="3188" priority="3701" stopIfTrue="1" operator="equal">
      <formula>"Towel"</formula>
    </cfRule>
  </conditionalFormatting>
  <conditionalFormatting sqref="B121:C121">
    <cfRule type="cellIs" dxfId="3187" priority="3755" stopIfTrue="1" operator="equal">
      <formula>"Towel"</formula>
    </cfRule>
    <cfRule type="cellIs" dxfId="3186" priority="3756" stopIfTrue="1" operator="equal">
      <formula>"Napkin Hs"</formula>
    </cfRule>
  </conditionalFormatting>
  <conditionalFormatting sqref="C121">
    <cfRule type="cellIs" dxfId="3185" priority="3700" stopIfTrue="1" operator="equal">
      <formula>"Napkin Hs"</formula>
    </cfRule>
  </conditionalFormatting>
  <conditionalFormatting sqref="C121">
    <cfRule type="cellIs" dxfId="3184" priority="3699" stopIfTrue="1" operator="equal">
      <formula>"Towel"</formula>
    </cfRule>
  </conditionalFormatting>
  <conditionalFormatting sqref="C121">
    <cfRule type="cellIs" dxfId="3183" priority="3697" stopIfTrue="1" operator="equal">
      <formula>"Towel"</formula>
    </cfRule>
    <cfRule type="cellIs" dxfId="3182" priority="3698" stopIfTrue="1" operator="equal">
      <formula>"Napkin Hs"</formula>
    </cfRule>
  </conditionalFormatting>
  <conditionalFormatting sqref="B121:C121">
    <cfRule type="cellIs" dxfId="3181" priority="3750" stopIfTrue="1" operator="equal">
      <formula>"Napkin Hs"</formula>
    </cfRule>
  </conditionalFormatting>
  <conditionalFormatting sqref="B121:C121">
    <cfRule type="cellIs" dxfId="3180" priority="3749" stopIfTrue="1" operator="equal">
      <formula>"Towel"</formula>
    </cfRule>
  </conditionalFormatting>
  <conditionalFormatting sqref="C121">
    <cfRule type="cellIs" dxfId="3179" priority="3748" stopIfTrue="1" operator="equal">
      <formula>"Napkin Hs"</formula>
    </cfRule>
  </conditionalFormatting>
  <conditionalFormatting sqref="C121">
    <cfRule type="cellIs" dxfId="3178" priority="3747" stopIfTrue="1" operator="equal">
      <formula>"Towel"</formula>
    </cfRule>
  </conditionalFormatting>
  <conditionalFormatting sqref="C121">
    <cfRule type="cellIs" dxfId="3177" priority="3745" stopIfTrue="1" operator="equal">
      <formula>"Towel"</formula>
    </cfRule>
    <cfRule type="cellIs" dxfId="3176" priority="3746" stopIfTrue="1" operator="equal">
      <formula>"Napkin Hs"</formula>
    </cfRule>
  </conditionalFormatting>
  <conditionalFormatting sqref="B121:C121">
    <cfRule type="cellIs" dxfId="3175" priority="3743" stopIfTrue="1" operator="equal">
      <formula>"Towel"</formula>
    </cfRule>
    <cfRule type="cellIs" dxfId="3174" priority="3744" stopIfTrue="1" operator="equal">
      <formula>"Napkin Hs"</formula>
    </cfRule>
  </conditionalFormatting>
  <conditionalFormatting sqref="C121">
    <cfRule type="cellIs" dxfId="3173" priority="3739" stopIfTrue="1" operator="equal">
      <formula>"Towel"</formula>
    </cfRule>
    <cfRule type="cellIs" dxfId="3172" priority="3740" stopIfTrue="1" operator="equal">
      <formula>"Napkin Hs"</formula>
    </cfRule>
  </conditionalFormatting>
  <conditionalFormatting sqref="C121">
    <cfRule type="cellIs" dxfId="3171" priority="3741" stopIfTrue="1" operator="equal">
      <formula>"Towel"</formula>
    </cfRule>
    <cfRule type="cellIs" dxfId="3170" priority="3742" stopIfTrue="1" operator="equal">
      <formula>"Napkin Hs"</formula>
    </cfRule>
  </conditionalFormatting>
  <conditionalFormatting sqref="B121:C121">
    <cfRule type="cellIs" dxfId="3169" priority="3738" stopIfTrue="1" operator="equal">
      <formula>"Napkin Hs"</formula>
    </cfRule>
  </conditionalFormatting>
  <conditionalFormatting sqref="B121:C121">
    <cfRule type="cellIs" dxfId="3168" priority="3737" stopIfTrue="1" operator="equal">
      <formula>"Towel"</formula>
    </cfRule>
  </conditionalFormatting>
  <conditionalFormatting sqref="C121">
    <cfRule type="cellIs" dxfId="3167" priority="3736" stopIfTrue="1" operator="equal">
      <formula>"Napkin Hs"</formula>
    </cfRule>
  </conditionalFormatting>
  <conditionalFormatting sqref="C121">
    <cfRule type="cellIs" dxfId="3166" priority="3735" stopIfTrue="1" operator="equal">
      <formula>"Towel"</formula>
    </cfRule>
  </conditionalFormatting>
  <conditionalFormatting sqref="C121">
    <cfRule type="cellIs" dxfId="3165" priority="3733" stopIfTrue="1" operator="equal">
      <formula>"Towel"</formula>
    </cfRule>
    <cfRule type="cellIs" dxfId="3164" priority="3734" stopIfTrue="1" operator="equal">
      <formula>"Napkin Hs"</formula>
    </cfRule>
  </conditionalFormatting>
  <conditionalFormatting sqref="B121:C121">
    <cfRule type="cellIs" dxfId="3163" priority="3731" stopIfTrue="1" operator="equal">
      <formula>"Towel"</formula>
    </cfRule>
    <cfRule type="cellIs" dxfId="3162" priority="3732" stopIfTrue="1" operator="equal">
      <formula>"Napkin Hs"</formula>
    </cfRule>
  </conditionalFormatting>
  <conditionalFormatting sqref="C121">
    <cfRule type="cellIs" dxfId="3161" priority="3729" stopIfTrue="1" operator="equal">
      <formula>"Towel"</formula>
    </cfRule>
    <cfRule type="cellIs" dxfId="3160" priority="3730" stopIfTrue="1" operator="equal">
      <formula>"Napkin Hs"</formula>
    </cfRule>
  </conditionalFormatting>
  <conditionalFormatting sqref="C121">
    <cfRule type="cellIs" dxfId="3159" priority="3727" stopIfTrue="1" operator="equal">
      <formula>"Towel"</formula>
    </cfRule>
    <cfRule type="cellIs" dxfId="3158" priority="3728" stopIfTrue="1" operator="equal">
      <formula>"Napkin Hs"</formula>
    </cfRule>
  </conditionalFormatting>
  <conditionalFormatting sqref="B121:C121">
    <cfRule type="cellIs" dxfId="3157" priority="3725" stopIfTrue="1" operator="equal">
      <formula>"Towel"</formula>
    </cfRule>
    <cfRule type="cellIs" dxfId="3156" priority="3726" stopIfTrue="1" operator="equal">
      <formula>"Napkin Hs"</formula>
    </cfRule>
  </conditionalFormatting>
  <conditionalFormatting sqref="C121">
    <cfRule type="cellIs" dxfId="3155" priority="3723" stopIfTrue="1" operator="equal">
      <formula>"Towel"</formula>
    </cfRule>
    <cfRule type="cellIs" dxfId="3154" priority="3724" stopIfTrue="1" operator="equal">
      <formula>"Napkin Hs"</formula>
    </cfRule>
  </conditionalFormatting>
  <conditionalFormatting sqref="C121">
    <cfRule type="cellIs" dxfId="3153" priority="3721" stopIfTrue="1" operator="equal">
      <formula>"Towel"</formula>
    </cfRule>
    <cfRule type="cellIs" dxfId="3152" priority="3722" stopIfTrue="1" operator="equal">
      <formula>"Napkin Hs"</formula>
    </cfRule>
  </conditionalFormatting>
  <conditionalFormatting sqref="B121:C121">
    <cfRule type="cellIs" dxfId="3151" priority="3719" stopIfTrue="1" operator="equal">
      <formula>"Towel"</formula>
    </cfRule>
    <cfRule type="cellIs" dxfId="3150" priority="3720" stopIfTrue="1" operator="equal">
      <formula>"Napkin Hs"</formula>
    </cfRule>
  </conditionalFormatting>
  <conditionalFormatting sqref="C121">
    <cfRule type="cellIs" dxfId="3149" priority="3717" stopIfTrue="1" operator="equal">
      <formula>"Towel"</formula>
    </cfRule>
    <cfRule type="cellIs" dxfId="3148" priority="3718" stopIfTrue="1" operator="equal">
      <formula>"Napkin Hs"</formula>
    </cfRule>
  </conditionalFormatting>
  <conditionalFormatting sqref="C121">
    <cfRule type="cellIs" dxfId="3147" priority="3715" stopIfTrue="1" operator="equal">
      <formula>"Towel"</formula>
    </cfRule>
    <cfRule type="cellIs" dxfId="3146" priority="3716" stopIfTrue="1" operator="equal">
      <formula>"Napkin Hs"</formula>
    </cfRule>
  </conditionalFormatting>
  <conditionalFormatting sqref="B121:C121">
    <cfRule type="cellIs" dxfId="3145" priority="3713" stopIfTrue="1" operator="equal">
      <formula>"Towel"</formula>
    </cfRule>
    <cfRule type="cellIs" dxfId="3144" priority="3714" stopIfTrue="1" operator="equal">
      <formula>"Napkin Hs"</formula>
    </cfRule>
  </conditionalFormatting>
  <conditionalFormatting sqref="C121">
    <cfRule type="cellIs" dxfId="3143" priority="3711" stopIfTrue="1" operator="equal">
      <formula>"Towel"</formula>
    </cfRule>
    <cfRule type="cellIs" dxfId="3142" priority="3712" stopIfTrue="1" operator="equal">
      <formula>"Napkin Hs"</formula>
    </cfRule>
  </conditionalFormatting>
  <conditionalFormatting sqref="C121">
    <cfRule type="cellIs" dxfId="3141" priority="3709" stopIfTrue="1" operator="equal">
      <formula>"Towel"</formula>
    </cfRule>
    <cfRule type="cellIs" dxfId="3140" priority="3710" stopIfTrue="1" operator="equal">
      <formula>"Napkin Hs"</formula>
    </cfRule>
  </conditionalFormatting>
  <conditionalFormatting sqref="B121:C121">
    <cfRule type="cellIs" dxfId="3139" priority="3707" stopIfTrue="1" operator="equal">
      <formula>"Towel"</formula>
    </cfRule>
    <cfRule type="cellIs" dxfId="3138" priority="3708" stopIfTrue="1" operator="equal">
      <formula>"Napkin Hs"</formula>
    </cfRule>
  </conditionalFormatting>
  <conditionalFormatting sqref="C121">
    <cfRule type="cellIs" dxfId="3137" priority="3705" stopIfTrue="1" operator="equal">
      <formula>"Towel"</formula>
    </cfRule>
    <cfRule type="cellIs" dxfId="3136" priority="3706" stopIfTrue="1" operator="equal">
      <formula>"Napkin Hs"</formula>
    </cfRule>
  </conditionalFormatting>
  <conditionalFormatting sqref="C121">
    <cfRule type="cellIs" dxfId="3135" priority="3703" stopIfTrue="1" operator="equal">
      <formula>"Towel"</formula>
    </cfRule>
    <cfRule type="cellIs" dxfId="3134" priority="3704" stopIfTrue="1" operator="equal">
      <formula>"Napkin Hs"</formula>
    </cfRule>
  </conditionalFormatting>
  <conditionalFormatting sqref="B121:C121">
    <cfRule type="cellIs" dxfId="3133" priority="3693" stopIfTrue="1" operator="equal">
      <formula>"Towel"</formula>
    </cfRule>
    <cfRule type="cellIs" dxfId="3132" priority="3694" stopIfTrue="1" operator="equal">
      <formula>"Napkin Hs"</formula>
    </cfRule>
  </conditionalFormatting>
  <conditionalFormatting sqref="C121">
    <cfRule type="cellIs" dxfId="3131" priority="3695" stopIfTrue="1" operator="equal">
      <formula>"Towel"</formula>
    </cfRule>
    <cfRule type="cellIs" dxfId="3130" priority="3696" stopIfTrue="1" operator="equal">
      <formula>"Napkin Hs"</formula>
    </cfRule>
  </conditionalFormatting>
  <conditionalFormatting sqref="C121">
    <cfRule type="cellIs" dxfId="3129" priority="3691" stopIfTrue="1" operator="equal">
      <formula>"Towel"</formula>
    </cfRule>
    <cfRule type="cellIs" dxfId="3128" priority="3692" stopIfTrue="1" operator="equal">
      <formula>"Napkin Hs"</formula>
    </cfRule>
  </conditionalFormatting>
  <conditionalFormatting sqref="B121:C121">
    <cfRule type="cellIs" dxfId="3127" priority="3690" stopIfTrue="1" operator="equal">
      <formula>"Napkin Hs"</formula>
    </cfRule>
  </conditionalFormatting>
  <conditionalFormatting sqref="B121:C121">
    <cfRule type="cellIs" dxfId="3126" priority="3689" stopIfTrue="1" operator="equal">
      <formula>"Towel"</formula>
    </cfRule>
  </conditionalFormatting>
  <conditionalFormatting sqref="C121">
    <cfRule type="cellIs" dxfId="3125" priority="3688" stopIfTrue="1" operator="equal">
      <formula>"Napkin Hs"</formula>
    </cfRule>
  </conditionalFormatting>
  <conditionalFormatting sqref="C121">
    <cfRule type="cellIs" dxfId="3124" priority="3687" stopIfTrue="1" operator="equal">
      <formula>"Towel"</formula>
    </cfRule>
  </conditionalFormatting>
  <conditionalFormatting sqref="C121">
    <cfRule type="cellIs" dxfId="3123" priority="3685" stopIfTrue="1" operator="equal">
      <formula>"Towel"</formula>
    </cfRule>
    <cfRule type="cellIs" dxfId="3122" priority="3686" stopIfTrue="1" operator="equal">
      <formula>"Napkin Hs"</formula>
    </cfRule>
  </conditionalFormatting>
  <conditionalFormatting sqref="B121:C121">
    <cfRule type="cellIs" dxfId="3121" priority="3683" stopIfTrue="1" operator="equal">
      <formula>"Towel"</formula>
    </cfRule>
    <cfRule type="cellIs" dxfId="3120" priority="3684" stopIfTrue="1" operator="equal">
      <formula>"Napkin Hs"</formula>
    </cfRule>
  </conditionalFormatting>
  <conditionalFormatting sqref="C121">
    <cfRule type="cellIs" dxfId="3119" priority="3679" stopIfTrue="1" operator="equal">
      <formula>"Towel"</formula>
    </cfRule>
    <cfRule type="cellIs" dxfId="3118" priority="3680" stopIfTrue="1" operator="equal">
      <formula>"Napkin Hs"</formula>
    </cfRule>
  </conditionalFormatting>
  <conditionalFormatting sqref="C121">
    <cfRule type="cellIs" dxfId="3117" priority="3681" stopIfTrue="1" operator="equal">
      <formula>"Towel"</formula>
    </cfRule>
    <cfRule type="cellIs" dxfId="3116" priority="3682" stopIfTrue="1" operator="equal">
      <formula>"Napkin Hs"</formula>
    </cfRule>
  </conditionalFormatting>
  <conditionalFormatting sqref="B121:C121">
    <cfRule type="cellIs" dxfId="3115" priority="3678" stopIfTrue="1" operator="equal">
      <formula>"Napkin Hs"</formula>
    </cfRule>
  </conditionalFormatting>
  <conditionalFormatting sqref="B121:C121">
    <cfRule type="cellIs" dxfId="3114" priority="3677" stopIfTrue="1" operator="equal">
      <formula>"Towel"</formula>
    </cfRule>
  </conditionalFormatting>
  <conditionalFormatting sqref="C121">
    <cfRule type="cellIs" dxfId="3113" priority="3676" stopIfTrue="1" operator="equal">
      <formula>"Napkin Hs"</formula>
    </cfRule>
  </conditionalFormatting>
  <conditionalFormatting sqref="C121">
    <cfRule type="cellIs" dxfId="3112" priority="3675" stopIfTrue="1" operator="equal">
      <formula>"Towel"</formula>
    </cfRule>
  </conditionalFormatting>
  <conditionalFormatting sqref="C121">
    <cfRule type="cellIs" dxfId="3111" priority="3673" stopIfTrue="1" operator="equal">
      <formula>"Towel"</formula>
    </cfRule>
    <cfRule type="cellIs" dxfId="3110" priority="3674" stopIfTrue="1" operator="equal">
      <formula>"Napkin Hs"</formula>
    </cfRule>
  </conditionalFormatting>
  <conditionalFormatting sqref="B121:C121">
    <cfRule type="cellIs" dxfId="3109" priority="3671" stopIfTrue="1" operator="equal">
      <formula>"Towel"</formula>
    </cfRule>
    <cfRule type="cellIs" dxfId="3108" priority="3672" stopIfTrue="1" operator="equal">
      <formula>"Napkin Hs"</formula>
    </cfRule>
  </conditionalFormatting>
  <conditionalFormatting sqref="C121">
    <cfRule type="cellIs" dxfId="3107" priority="3669" stopIfTrue="1" operator="equal">
      <formula>"Towel"</formula>
    </cfRule>
    <cfRule type="cellIs" dxfId="3106" priority="3670" stopIfTrue="1" operator="equal">
      <formula>"Napkin Hs"</formula>
    </cfRule>
  </conditionalFormatting>
  <conditionalFormatting sqref="C121">
    <cfRule type="cellIs" dxfId="3105" priority="3667" stopIfTrue="1" operator="equal">
      <formula>"Towel"</formula>
    </cfRule>
    <cfRule type="cellIs" dxfId="3104" priority="3668" stopIfTrue="1" operator="equal">
      <formula>"Napkin Hs"</formula>
    </cfRule>
  </conditionalFormatting>
  <conditionalFormatting sqref="B121:C121">
    <cfRule type="cellIs" dxfId="3103" priority="3665" stopIfTrue="1" operator="equal">
      <formula>"Towel"</formula>
    </cfRule>
    <cfRule type="cellIs" dxfId="3102" priority="3666" stopIfTrue="1" operator="equal">
      <formula>"Napkin Hs"</formula>
    </cfRule>
  </conditionalFormatting>
  <conditionalFormatting sqref="C121">
    <cfRule type="cellIs" dxfId="3101" priority="3663" stopIfTrue="1" operator="equal">
      <formula>"Towel"</formula>
    </cfRule>
    <cfRule type="cellIs" dxfId="3100" priority="3664" stopIfTrue="1" operator="equal">
      <formula>"Napkin Hs"</formula>
    </cfRule>
  </conditionalFormatting>
  <conditionalFormatting sqref="C121">
    <cfRule type="cellIs" dxfId="3099" priority="3661" stopIfTrue="1" operator="equal">
      <formula>"Towel"</formula>
    </cfRule>
    <cfRule type="cellIs" dxfId="3098" priority="3662" stopIfTrue="1" operator="equal">
      <formula>"Napkin Hs"</formula>
    </cfRule>
  </conditionalFormatting>
  <conditionalFormatting sqref="B121:C121">
    <cfRule type="cellIs" dxfId="3097" priority="3659" stopIfTrue="1" operator="equal">
      <formula>"Towel"</formula>
    </cfRule>
    <cfRule type="cellIs" dxfId="3096" priority="3660" stopIfTrue="1" operator="equal">
      <formula>"Napkin Hs"</formula>
    </cfRule>
  </conditionalFormatting>
  <conditionalFormatting sqref="C121">
    <cfRule type="cellIs" dxfId="3095" priority="3657" stopIfTrue="1" operator="equal">
      <formula>"Towel"</formula>
    </cfRule>
    <cfRule type="cellIs" dxfId="3094" priority="3658" stopIfTrue="1" operator="equal">
      <formula>"Napkin Hs"</formula>
    </cfRule>
  </conditionalFormatting>
  <conditionalFormatting sqref="C121">
    <cfRule type="cellIs" dxfId="3093" priority="3655" stopIfTrue="1" operator="equal">
      <formula>"Towel"</formula>
    </cfRule>
    <cfRule type="cellIs" dxfId="3092" priority="3656" stopIfTrue="1" operator="equal">
      <formula>"Napkin Hs"</formula>
    </cfRule>
  </conditionalFormatting>
  <conditionalFormatting sqref="B121:C121">
    <cfRule type="cellIs" dxfId="3091" priority="3653" stopIfTrue="1" operator="equal">
      <formula>"Towel"</formula>
    </cfRule>
    <cfRule type="cellIs" dxfId="3090" priority="3654" stopIfTrue="1" operator="equal">
      <formula>"Napkin Hs"</formula>
    </cfRule>
  </conditionalFormatting>
  <conditionalFormatting sqref="C121">
    <cfRule type="cellIs" dxfId="3089" priority="3651" stopIfTrue="1" operator="equal">
      <formula>"Towel"</formula>
    </cfRule>
    <cfRule type="cellIs" dxfId="3088" priority="3652" stopIfTrue="1" operator="equal">
      <formula>"Napkin Hs"</formula>
    </cfRule>
  </conditionalFormatting>
  <conditionalFormatting sqref="C121">
    <cfRule type="cellIs" dxfId="3087" priority="3649" stopIfTrue="1" operator="equal">
      <formula>"Towel"</formula>
    </cfRule>
    <cfRule type="cellIs" dxfId="3086" priority="3650" stopIfTrue="1" operator="equal">
      <formula>"Napkin Hs"</formula>
    </cfRule>
  </conditionalFormatting>
  <conditionalFormatting sqref="B121:C121">
    <cfRule type="cellIs" dxfId="3085" priority="3647" stopIfTrue="1" operator="equal">
      <formula>"Towel"</formula>
    </cfRule>
    <cfRule type="cellIs" dxfId="3084" priority="3648" stopIfTrue="1" operator="equal">
      <formula>"Napkin Hs"</formula>
    </cfRule>
  </conditionalFormatting>
  <conditionalFormatting sqref="C121">
    <cfRule type="cellIs" dxfId="3083" priority="3645" stopIfTrue="1" operator="equal">
      <formula>"Towel"</formula>
    </cfRule>
    <cfRule type="cellIs" dxfId="3082" priority="3646" stopIfTrue="1" operator="equal">
      <formula>"Napkin Hs"</formula>
    </cfRule>
  </conditionalFormatting>
  <conditionalFormatting sqref="C121">
    <cfRule type="cellIs" dxfId="3081" priority="3643" stopIfTrue="1" operator="equal">
      <formula>"Towel"</formula>
    </cfRule>
    <cfRule type="cellIs" dxfId="3080" priority="3644" stopIfTrue="1" operator="equal">
      <formula>"Napkin Hs"</formula>
    </cfRule>
  </conditionalFormatting>
  <conditionalFormatting sqref="B121:C121">
    <cfRule type="cellIs" dxfId="3079" priority="3642" stopIfTrue="1" operator="equal">
      <formula>"Napkin Hs"</formula>
    </cfRule>
  </conditionalFormatting>
  <conditionalFormatting sqref="B121:C121">
    <cfRule type="cellIs" dxfId="3078" priority="3641" stopIfTrue="1" operator="equal">
      <formula>"Towel"</formula>
    </cfRule>
  </conditionalFormatting>
  <conditionalFormatting sqref="C121">
    <cfRule type="cellIs" dxfId="3077" priority="3640" stopIfTrue="1" operator="equal">
      <formula>"Napkin Hs"</formula>
    </cfRule>
  </conditionalFormatting>
  <conditionalFormatting sqref="C121">
    <cfRule type="cellIs" dxfId="3076" priority="3637" stopIfTrue="1" operator="equal">
      <formula>"Towel"</formula>
    </cfRule>
    <cfRule type="cellIs" dxfId="3075" priority="3638" stopIfTrue="1" operator="equal">
      <formula>"Napkin Hs"</formula>
    </cfRule>
  </conditionalFormatting>
  <conditionalFormatting sqref="C121">
    <cfRule type="cellIs" dxfId="3074" priority="3639" stopIfTrue="1" operator="equal">
      <formula>"Towel"</formula>
    </cfRule>
  </conditionalFormatting>
  <conditionalFormatting sqref="B121:C121">
    <cfRule type="cellIs" dxfId="3073" priority="3636" stopIfTrue="1" operator="equal">
      <formula>"Napkin Hs"</formula>
    </cfRule>
  </conditionalFormatting>
  <conditionalFormatting sqref="B121:C121">
    <cfRule type="cellIs" dxfId="3072" priority="3635" stopIfTrue="1" operator="equal">
      <formula>"Towel"</formula>
    </cfRule>
  </conditionalFormatting>
  <conditionalFormatting sqref="C121">
    <cfRule type="cellIs" dxfId="3071" priority="3634" stopIfTrue="1" operator="equal">
      <formula>"Napkin Hs"</formula>
    </cfRule>
  </conditionalFormatting>
  <conditionalFormatting sqref="C121">
    <cfRule type="cellIs" dxfId="3070" priority="3633" stopIfTrue="1" operator="equal">
      <formula>"Towel"</formula>
    </cfRule>
  </conditionalFormatting>
  <conditionalFormatting sqref="C121">
    <cfRule type="cellIs" dxfId="3069" priority="3631" stopIfTrue="1" operator="equal">
      <formula>"Towel"</formula>
    </cfRule>
    <cfRule type="cellIs" dxfId="3068" priority="3632" stopIfTrue="1" operator="equal">
      <formula>"Napkin Hs"</formula>
    </cfRule>
  </conditionalFormatting>
  <conditionalFormatting sqref="C121">
    <cfRule type="cellIs" dxfId="3067" priority="3625" stopIfTrue="1" operator="equal">
      <formula>"Towel"</formula>
    </cfRule>
    <cfRule type="cellIs" dxfId="3066" priority="3626" stopIfTrue="1" operator="equal">
      <formula>"Napkin Hs"</formula>
    </cfRule>
  </conditionalFormatting>
  <conditionalFormatting sqref="B121:C121">
    <cfRule type="cellIs" dxfId="3065" priority="3624" stopIfTrue="1" operator="equal">
      <formula>"Napkin Hs"</formula>
    </cfRule>
  </conditionalFormatting>
  <conditionalFormatting sqref="B121:C121">
    <cfRule type="cellIs" dxfId="3064" priority="3623" stopIfTrue="1" operator="equal">
      <formula>"Towel"</formula>
    </cfRule>
  </conditionalFormatting>
  <conditionalFormatting sqref="C121">
    <cfRule type="cellIs" dxfId="3063" priority="3622" stopIfTrue="1" operator="equal">
      <formula>"Napkin Hs"</formula>
    </cfRule>
  </conditionalFormatting>
  <conditionalFormatting sqref="C121">
    <cfRule type="cellIs" dxfId="3062" priority="3621" stopIfTrue="1" operator="equal">
      <formula>"Towel"</formula>
    </cfRule>
  </conditionalFormatting>
  <conditionalFormatting sqref="C121">
    <cfRule type="cellIs" dxfId="3061" priority="3619" stopIfTrue="1" operator="equal">
      <formula>"Towel"</formula>
    </cfRule>
    <cfRule type="cellIs" dxfId="3060" priority="3620" stopIfTrue="1" operator="equal">
      <formula>"Napkin Hs"</formula>
    </cfRule>
  </conditionalFormatting>
  <conditionalFormatting sqref="C121">
    <cfRule type="cellIs" dxfId="3059" priority="3613" stopIfTrue="1" operator="equal">
      <formula>"Towel"</formula>
    </cfRule>
    <cfRule type="cellIs" dxfId="3058" priority="3614" stopIfTrue="1" operator="equal">
      <formula>"Napkin Hs"</formula>
    </cfRule>
  </conditionalFormatting>
  <conditionalFormatting sqref="C121">
    <cfRule type="cellIs" dxfId="3057" priority="3607" stopIfTrue="1" operator="equal">
      <formula>"Towel"</formula>
    </cfRule>
    <cfRule type="cellIs" dxfId="3056" priority="3608" stopIfTrue="1" operator="equal">
      <formula>"Napkin Hs"</formula>
    </cfRule>
  </conditionalFormatting>
  <conditionalFormatting sqref="C121">
    <cfRule type="cellIs" dxfId="3055" priority="3601" stopIfTrue="1" operator="equal">
      <formula>"Towel"</formula>
    </cfRule>
    <cfRule type="cellIs" dxfId="3054" priority="3602" stopIfTrue="1" operator="equal">
      <formula>"Napkin Hs"</formula>
    </cfRule>
  </conditionalFormatting>
  <conditionalFormatting sqref="C121">
    <cfRule type="cellIs" dxfId="3053" priority="3595" stopIfTrue="1" operator="equal">
      <formula>"Towel"</formula>
    </cfRule>
    <cfRule type="cellIs" dxfId="3052" priority="3596" stopIfTrue="1" operator="equal">
      <formula>"Napkin Hs"</formula>
    </cfRule>
  </conditionalFormatting>
  <conditionalFormatting sqref="C121">
    <cfRule type="cellIs" dxfId="3051" priority="3589" stopIfTrue="1" operator="equal">
      <formula>"Towel"</formula>
    </cfRule>
    <cfRule type="cellIs" dxfId="3050" priority="3590" stopIfTrue="1" operator="equal">
      <formula>"Napkin Hs"</formula>
    </cfRule>
  </conditionalFormatting>
  <conditionalFormatting sqref="B121:C121">
    <cfRule type="cellIs" dxfId="3049" priority="3588" stopIfTrue="1" operator="equal">
      <formula>"Napkin Hs"</formula>
    </cfRule>
  </conditionalFormatting>
  <conditionalFormatting sqref="B121:C121">
    <cfRule type="cellIs" dxfId="3048" priority="3587" stopIfTrue="1" operator="equal">
      <formula>"Towel"</formula>
    </cfRule>
  </conditionalFormatting>
  <conditionalFormatting sqref="C121">
    <cfRule type="cellIs" dxfId="3047" priority="3586" stopIfTrue="1" operator="equal">
      <formula>"Napkin Hs"</formula>
    </cfRule>
  </conditionalFormatting>
  <conditionalFormatting sqref="C121">
    <cfRule type="cellIs" dxfId="3046" priority="3583" stopIfTrue="1" operator="equal">
      <formula>"Towel"</formula>
    </cfRule>
    <cfRule type="cellIs" dxfId="3045" priority="3584" stopIfTrue="1" operator="equal">
      <formula>"Napkin Hs"</formula>
    </cfRule>
  </conditionalFormatting>
  <conditionalFormatting sqref="C121">
    <cfRule type="cellIs" dxfId="3044" priority="3585" stopIfTrue="1" operator="equal">
      <formula>"Towel"</formula>
    </cfRule>
  </conditionalFormatting>
  <conditionalFormatting sqref="B121:C121">
    <cfRule type="cellIs" dxfId="3043" priority="3582" stopIfTrue="1" operator="equal">
      <formula>"Napkin Hs"</formula>
    </cfRule>
  </conditionalFormatting>
  <conditionalFormatting sqref="B121:C121">
    <cfRule type="cellIs" dxfId="3042" priority="3581" stopIfTrue="1" operator="equal">
      <formula>"Towel"</formula>
    </cfRule>
  </conditionalFormatting>
  <conditionalFormatting sqref="C121">
    <cfRule type="cellIs" dxfId="3041" priority="3580" stopIfTrue="1" operator="equal">
      <formula>"Napkin Hs"</formula>
    </cfRule>
  </conditionalFormatting>
  <conditionalFormatting sqref="C121">
    <cfRule type="cellIs" dxfId="3040" priority="3577" stopIfTrue="1" operator="equal">
      <formula>"Towel"</formula>
    </cfRule>
    <cfRule type="cellIs" dxfId="3039" priority="3578" stopIfTrue="1" operator="equal">
      <formula>"Napkin Hs"</formula>
    </cfRule>
  </conditionalFormatting>
  <conditionalFormatting sqref="C121">
    <cfRule type="cellIs" dxfId="3038" priority="3579" stopIfTrue="1" operator="equal">
      <formula>"Towel"</formula>
    </cfRule>
  </conditionalFormatting>
  <conditionalFormatting sqref="B121:C121">
    <cfRule type="cellIs" dxfId="3037" priority="3629" stopIfTrue="1" operator="equal">
      <formula>"Towel"</formula>
    </cfRule>
    <cfRule type="cellIs" dxfId="3036" priority="3630" stopIfTrue="1" operator="equal">
      <formula>"Napkin Hs"</formula>
    </cfRule>
  </conditionalFormatting>
  <conditionalFormatting sqref="C121">
    <cfRule type="cellIs" dxfId="3035" priority="3627" stopIfTrue="1" operator="equal">
      <formula>"Towel"</formula>
    </cfRule>
    <cfRule type="cellIs" dxfId="3034" priority="3628" stopIfTrue="1" operator="equal">
      <formula>"Napkin Hs"</formula>
    </cfRule>
  </conditionalFormatting>
  <conditionalFormatting sqref="B121:C121">
    <cfRule type="cellIs" dxfId="3033" priority="3617" stopIfTrue="1" operator="equal">
      <formula>"Towel"</formula>
    </cfRule>
    <cfRule type="cellIs" dxfId="3032" priority="3618" stopIfTrue="1" operator="equal">
      <formula>"Napkin Hs"</formula>
    </cfRule>
  </conditionalFormatting>
  <conditionalFormatting sqref="C121">
    <cfRule type="cellIs" dxfId="3031" priority="3615" stopIfTrue="1" operator="equal">
      <formula>"Towel"</formula>
    </cfRule>
    <cfRule type="cellIs" dxfId="3030" priority="3616" stopIfTrue="1" operator="equal">
      <formula>"Napkin Hs"</formula>
    </cfRule>
  </conditionalFormatting>
  <conditionalFormatting sqref="B121:C121">
    <cfRule type="cellIs" dxfId="3029" priority="3611" stopIfTrue="1" operator="equal">
      <formula>"Towel"</formula>
    </cfRule>
    <cfRule type="cellIs" dxfId="3028" priority="3612" stopIfTrue="1" operator="equal">
      <formula>"Napkin Hs"</formula>
    </cfRule>
  </conditionalFormatting>
  <conditionalFormatting sqref="C121">
    <cfRule type="cellIs" dxfId="3027" priority="3609" stopIfTrue="1" operator="equal">
      <formula>"Towel"</formula>
    </cfRule>
    <cfRule type="cellIs" dxfId="3026" priority="3610" stopIfTrue="1" operator="equal">
      <formula>"Napkin Hs"</formula>
    </cfRule>
  </conditionalFormatting>
  <conditionalFormatting sqref="B121:C121">
    <cfRule type="cellIs" dxfId="3025" priority="3605" stopIfTrue="1" operator="equal">
      <formula>"Towel"</formula>
    </cfRule>
    <cfRule type="cellIs" dxfId="3024" priority="3606" stopIfTrue="1" operator="equal">
      <formula>"Napkin Hs"</formula>
    </cfRule>
  </conditionalFormatting>
  <conditionalFormatting sqref="C121">
    <cfRule type="cellIs" dxfId="3023" priority="3603" stopIfTrue="1" operator="equal">
      <formula>"Towel"</formula>
    </cfRule>
    <cfRule type="cellIs" dxfId="3022" priority="3604" stopIfTrue="1" operator="equal">
      <formula>"Napkin Hs"</formula>
    </cfRule>
  </conditionalFormatting>
  <conditionalFormatting sqref="B121:C121">
    <cfRule type="cellIs" dxfId="3021" priority="3599" stopIfTrue="1" operator="equal">
      <formula>"Towel"</formula>
    </cfRule>
    <cfRule type="cellIs" dxfId="3020" priority="3600" stopIfTrue="1" operator="equal">
      <formula>"Napkin Hs"</formula>
    </cfRule>
  </conditionalFormatting>
  <conditionalFormatting sqref="C121">
    <cfRule type="cellIs" dxfId="3019" priority="3597" stopIfTrue="1" operator="equal">
      <formula>"Towel"</formula>
    </cfRule>
    <cfRule type="cellIs" dxfId="3018" priority="3598" stopIfTrue="1" operator="equal">
      <formula>"Napkin Hs"</formula>
    </cfRule>
  </conditionalFormatting>
  <conditionalFormatting sqref="B121:C121">
    <cfRule type="cellIs" dxfId="3017" priority="3593" stopIfTrue="1" operator="equal">
      <formula>"Towel"</formula>
    </cfRule>
    <cfRule type="cellIs" dxfId="3016" priority="3594" stopIfTrue="1" operator="equal">
      <formula>"Napkin Hs"</formula>
    </cfRule>
  </conditionalFormatting>
  <conditionalFormatting sqref="C121">
    <cfRule type="cellIs" dxfId="3015" priority="3591" stopIfTrue="1" operator="equal">
      <formula>"Towel"</formula>
    </cfRule>
    <cfRule type="cellIs" dxfId="3014" priority="3592" stopIfTrue="1" operator="equal">
      <formula>"Napkin Hs"</formula>
    </cfRule>
  </conditionalFormatting>
  <conditionalFormatting sqref="B121:C121">
    <cfRule type="cellIs" dxfId="3013" priority="3576" stopIfTrue="1" operator="equal">
      <formula>"Napkin Hs"</formula>
    </cfRule>
  </conditionalFormatting>
  <conditionalFormatting sqref="B121:C121">
    <cfRule type="cellIs" dxfId="3012" priority="3575" stopIfTrue="1" operator="equal">
      <formula>"Towel"</formula>
    </cfRule>
  </conditionalFormatting>
  <conditionalFormatting sqref="C121">
    <cfRule type="cellIs" dxfId="3011" priority="3574" stopIfTrue="1" operator="equal">
      <formula>"Napkin Hs"</formula>
    </cfRule>
  </conditionalFormatting>
  <conditionalFormatting sqref="C121">
    <cfRule type="cellIs" dxfId="3010" priority="3571" stopIfTrue="1" operator="equal">
      <formula>"Towel"</formula>
    </cfRule>
    <cfRule type="cellIs" dxfId="3009" priority="3572" stopIfTrue="1" operator="equal">
      <formula>"Napkin Hs"</formula>
    </cfRule>
  </conditionalFormatting>
  <conditionalFormatting sqref="C121">
    <cfRule type="cellIs" dxfId="3008" priority="3573" stopIfTrue="1" operator="equal">
      <formula>"Towel"</formula>
    </cfRule>
  </conditionalFormatting>
  <conditionalFormatting sqref="C132">
    <cfRule type="cellIs" dxfId="3007" priority="3559" stopIfTrue="1" operator="equal">
      <formula>"Towel"</formula>
    </cfRule>
    <cfRule type="cellIs" dxfId="3006" priority="3560" stopIfTrue="1" operator="equal">
      <formula>"Napkin Hs"</formula>
    </cfRule>
  </conditionalFormatting>
  <conditionalFormatting sqref="B132:C132">
    <cfRule type="cellIs" dxfId="3005" priority="3564" stopIfTrue="1" operator="equal">
      <formula>"Napkin Hs"</formula>
    </cfRule>
  </conditionalFormatting>
  <conditionalFormatting sqref="B132:C132">
    <cfRule type="cellIs" dxfId="3004" priority="3563" stopIfTrue="1" operator="equal">
      <formula>"Towel"</formula>
    </cfRule>
  </conditionalFormatting>
  <conditionalFormatting sqref="C132">
    <cfRule type="cellIs" dxfId="3003" priority="3562" stopIfTrue="1" operator="equal">
      <formula>"Napkin Hs"</formula>
    </cfRule>
  </conditionalFormatting>
  <conditionalFormatting sqref="C132">
    <cfRule type="cellIs" dxfId="3002" priority="3561" stopIfTrue="1" operator="equal">
      <formula>"Towel"</formula>
    </cfRule>
  </conditionalFormatting>
  <conditionalFormatting sqref="B127:C127">
    <cfRule type="cellIs" dxfId="3001" priority="3558" stopIfTrue="1" operator="equal">
      <formula>"Napkin Hs"</formula>
    </cfRule>
  </conditionalFormatting>
  <conditionalFormatting sqref="B127:C127">
    <cfRule type="cellIs" dxfId="3000" priority="3557" stopIfTrue="1" operator="equal">
      <formula>"Towel"</formula>
    </cfRule>
  </conditionalFormatting>
  <conditionalFormatting sqref="B128:C128">
    <cfRule type="cellIs" dxfId="2999" priority="3551" stopIfTrue="1" operator="equal">
      <formula>"Towel"</formula>
    </cfRule>
    <cfRule type="cellIs" dxfId="2998" priority="3552" stopIfTrue="1" operator="equal">
      <formula>"Napkin Hs"</formula>
    </cfRule>
  </conditionalFormatting>
  <conditionalFormatting sqref="C127">
    <cfRule type="cellIs" dxfId="2997" priority="3556" stopIfTrue="1" operator="equal">
      <formula>"Napkin Hs"</formula>
    </cfRule>
  </conditionalFormatting>
  <conditionalFormatting sqref="C127">
    <cfRule type="cellIs" dxfId="2996" priority="3555" stopIfTrue="1" operator="equal">
      <formula>"Towel"</formula>
    </cfRule>
  </conditionalFormatting>
  <conditionalFormatting sqref="C127">
    <cfRule type="cellIs" dxfId="2995" priority="3553" stopIfTrue="1" operator="equal">
      <formula>"Towel"</formula>
    </cfRule>
    <cfRule type="cellIs" dxfId="2994" priority="3554" stopIfTrue="1" operator="equal">
      <formula>"Napkin Hs"</formula>
    </cfRule>
  </conditionalFormatting>
  <conditionalFormatting sqref="C128">
    <cfRule type="cellIs" dxfId="2993" priority="3547" stopIfTrue="1" operator="equal">
      <formula>"Towel"</formula>
    </cfRule>
    <cfRule type="cellIs" dxfId="2992" priority="3548" stopIfTrue="1" operator="equal">
      <formula>"Napkin Hs"</formula>
    </cfRule>
  </conditionalFormatting>
  <conditionalFormatting sqref="C128">
    <cfRule type="cellIs" dxfId="2991" priority="3549" stopIfTrue="1" operator="equal">
      <formula>"Towel"</formula>
    </cfRule>
    <cfRule type="cellIs" dxfId="2990" priority="3550" stopIfTrue="1" operator="equal">
      <formula>"Napkin Hs"</formula>
    </cfRule>
  </conditionalFormatting>
  <conditionalFormatting sqref="B128:C128">
    <cfRule type="cellIs" dxfId="2989" priority="3546" stopIfTrue="1" operator="equal">
      <formula>"Napkin Hs"</formula>
    </cfRule>
  </conditionalFormatting>
  <conditionalFormatting sqref="B128:C128">
    <cfRule type="cellIs" dxfId="2988" priority="3545" stopIfTrue="1" operator="equal">
      <formula>"Towel"</formula>
    </cfRule>
  </conditionalFormatting>
  <conditionalFormatting sqref="C128">
    <cfRule type="cellIs" dxfId="2987" priority="3544" stopIfTrue="1" operator="equal">
      <formula>"Napkin Hs"</formula>
    </cfRule>
  </conditionalFormatting>
  <conditionalFormatting sqref="C128">
    <cfRule type="cellIs" dxfId="2986" priority="3543" stopIfTrue="1" operator="equal">
      <formula>"Towel"</formula>
    </cfRule>
  </conditionalFormatting>
  <conditionalFormatting sqref="C128">
    <cfRule type="cellIs" dxfId="2985" priority="3541" stopIfTrue="1" operator="equal">
      <formula>"Towel"</formula>
    </cfRule>
    <cfRule type="cellIs" dxfId="2984" priority="3542" stopIfTrue="1" operator="equal">
      <formula>"Napkin Hs"</formula>
    </cfRule>
  </conditionalFormatting>
  <conditionalFormatting sqref="B128:C128">
    <cfRule type="cellIs" dxfId="2983" priority="3539" stopIfTrue="1" operator="equal">
      <formula>"Towel"</formula>
    </cfRule>
    <cfRule type="cellIs" dxfId="2982" priority="3540" stopIfTrue="1" operator="equal">
      <formula>"Napkin Hs"</formula>
    </cfRule>
  </conditionalFormatting>
  <conditionalFormatting sqref="C128">
    <cfRule type="cellIs" dxfId="2981" priority="3535" stopIfTrue="1" operator="equal">
      <formula>"Towel"</formula>
    </cfRule>
    <cfRule type="cellIs" dxfId="2980" priority="3536" stopIfTrue="1" operator="equal">
      <formula>"Napkin Hs"</formula>
    </cfRule>
  </conditionalFormatting>
  <conditionalFormatting sqref="C128">
    <cfRule type="cellIs" dxfId="2979" priority="3537" stopIfTrue="1" operator="equal">
      <formula>"Towel"</formula>
    </cfRule>
    <cfRule type="cellIs" dxfId="2978" priority="3538" stopIfTrue="1" operator="equal">
      <formula>"Napkin Hs"</formula>
    </cfRule>
  </conditionalFormatting>
  <conditionalFormatting sqref="B128:C128">
    <cfRule type="cellIs" dxfId="2977" priority="3534" stopIfTrue="1" operator="equal">
      <formula>"Napkin Hs"</formula>
    </cfRule>
  </conditionalFormatting>
  <conditionalFormatting sqref="B128:C128">
    <cfRule type="cellIs" dxfId="2976" priority="3533" stopIfTrue="1" operator="equal">
      <formula>"Towel"</formula>
    </cfRule>
  </conditionalFormatting>
  <conditionalFormatting sqref="C128">
    <cfRule type="cellIs" dxfId="2975" priority="3532" stopIfTrue="1" operator="equal">
      <formula>"Napkin Hs"</formula>
    </cfRule>
  </conditionalFormatting>
  <conditionalFormatting sqref="C128">
    <cfRule type="cellIs" dxfId="2974" priority="3531" stopIfTrue="1" operator="equal">
      <formula>"Towel"</formula>
    </cfRule>
  </conditionalFormatting>
  <conditionalFormatting sqref="C128">
    <cfRule type="cellIs" dxfId="2973" priority="3529" stopIfTrue="1" operator="equal">
      <formula>"Towel"</formula>
    </cfRule>
    <cfRule type="cellIs" dxfId="2972" priority="3530" stopIfTrue="1" operator="equal">
      <formula>"Napkin Hs"</formula>
    </cfRule>
  </conditionalFormatting>
  <conditionalFormatting sqref="B128:C128">
    <cfRule type="cellIs" dxfId="2971" priority="3527" stopIfTrue="1" operator="equal">
      <formula>"Towel"</formula>
    </cfRule>
    <cfRule type="cellIs" dxfId="2970" priority="3528" stopIfTrue="1" operator="equal">
      <formula>"Napkin Hs"</formula>
    </cfRule>
  </conditionalFormatting>
  <conditionalFormatting sqref="C128">
    <cfRule type="cellIs" dxfId="2969" priority="3525" stopIfTrue="1" operator="equal">
      <formula>"Towel"</formula>
    </cfRule>
    <cfRule type="cellIs" dxfId="2968" priority="3526" stopIfTrue="1" operator="equal">
      <formula>"Napkin Hs"</formula>
    </cfRule>
  </conditionalFormatting>
  <conditionalFormatting sqref="C128">
    <cfRule type="cellIs" dxfId="2967" priority="3523" stopIfTrue="1" operator="equal">
      <formula>"Towel"</formula>
    </cfRule>
    <cfRule type="cellIs" dxfId="2966" priority="3524" stopIfTrue="1" operator="equal">
      <formula>"Napkin Hs"</formula>
    </cfRule>
  </conditionalFormatting>
  <conditionalFormatting sqref="B128:C128">
    <cfRule type="cellIs" dxfId="2965" priority="3521" stopIfTrue="1" operator="equal">
      <formula>"Towel"</formula>
    </cfRule>
    <cfRule type="cellIs" dxfId="2964" priority="3522" stopIfTrue="1" operator="equal">
      <formula>"Napkin Hs"</formula>
    </cfRule>
  </conditionalFormatting>
  <conditionalFormatting sqref="C128">
    <cfRule type="cellIs" dxfId="2963" priority="3519" stopIfTrue="1" operator="equal">
      <formula>"Towel"</formula>
    </cfRule>
    <cfRule type="cellIs" dxfId="2962" priority="3520" stopIfTrue="1" operator="equal">
      <formula>"Napkin Hs"</formula>
    </cfRule>
  </conditionalFormatting>
  <conditionalFormatting sqref="C128">
    <cfRule type="cellIs" dxfId="2961" priority="3517" stopIfTrue="1" operator="equal">
      <formula>"Towel"</formula>
    </cfRule>
    <cfRule type="cellIs" dxfId="2960" priority="3518" stopIfTrue="1" operator="equal">
      <formula>"Napkin Hs"</formula>
    </cfRule>
  </conditionalFormatting>
  <conditionalFormatting sqref="B128:C128">
    <cfRule type="cellIs" dxfId="2959" priority="3515" stopIfTrue="1" operator="equal">
      <formula>"Towel"</formula>
    </cfRule>
    <cfRule type="cellIs" dxfId="2958" priority="3516" stopIfTrue="1" operator="equal">
      <formula>"Napkin Hs"</formula>
    </cfRule>
  </conditionalFormatting>
  <conditionalFormatting sqref="C128">
    <cfRule type="cellIs" dxfId="2957" priority="3513" stopIfTrue="1" operator="equal">
      <formula>"Towel"</formula>
    </cfRule>
    <cfRule type="cellIs" dxfId="2956" priority="3514" stopIfTrue="1" operator="equal">
      <formula>"Napkin Hs"</formula>
    </cfRule>
  </conditionalFormatting>
  <conditionalFormatting sqref="C128">
    <cfRule type="cellIs" dxfId="2955" priority="3511" stopIfTrue="1" operator="equal">
      <formula>"Towel"</formula>
    </cfRule>
    <cfRule type="cellIs" dxfId="2954" priority="3512" stopIfTrue="1" operator="equal">
      <formula>"Napkin Hs"</formula>
    </cfRule>
  </conditionalFormatting>
  <conditionalFormatting sqref="B128:C128">
    <cfRule type="cellIs" dxfId="2953" priority="3509" stopIfTrue="1" operator="equal">
      <formula>"Towel"</formula>
    </cfRule>
    <cfRule type="cellIs" dxfId="2952" priority="3510" stopIfTrue="1" operator="equal">
      <formula>"Napkin Hs"</formula>
    </cfRule>
  </conditionalFormatting>
  <conditionalFormatting sqref="C128">
    <cfRule type="cellIs" dxfId="2951" priority="3507" stopIfTrue="1" operator="equal">
      <formula>"Towel"</formula>
    </cfRule>
    <cfRule type="cellIs" dxfId="2950" priority="3508" stopIfTrue="1" operator="equal">
      <formula>"Napkin Hs"</formula>
    </cfRule>
  </conditionalFormatting>
  <conditionalFormatting sqref="C128">
    <cfRule type="cellIs" dxfId="2949" priority="3505" stopIfTrue="1" operator="equal">
      <formula>"Towel"</formula>
    </cfRule>
    <cfRule type="cellIs" dxfId="2948" priority="3506" stopIfTrue="1" operator="equal">
      <formula>"Napkin Hs"</formula>
    </cfRule>
  </conditionalFormatting>
  <conditionalFormatting sqref="B128:C128">
    <cfRule type="cellIs" dxfId="2947" priority="3503" stopIfTrue="1" operator="equal">
      <formula>"Towel"</formula>
    </cfRule>
    <cfRule type="cellIs" dxfId="2946" priority="3504" stopIfTrue="1" operator="equal">
      <formula>"Napkin Hs"</formula>
    </cfRule>
  </conditionalFormatting>
  <conditionalFormatting sqref="C128">
    <cfRule type="cellIs" dxfId="2945" priority="3501" stopIfTrue="1" operator="equal">
      <formula>"Towel"</formula>
    </cfRule>
    <cfRule type="cellIs" dxfId="2944" priority="3502" stopIfTrue="1" operator="equal">
      <formula>"Napkin Hs"</formula>
    </cfRule>
  </conditionalFormatting>
  <conditionalFormatting sqref="C128">
    <cfRule type="cellIs" dxfId="2943" priority="3499" stopIfTrue="1" operator="equal">
      <formula>"Towel"</formula>
    </cfRule>
    <cfRule type="cellIs" dxfId="2942" priority="3500" stopIfTrue="1" operator="equal">
      <formula>"Napkin Hs"</formula>
    </cfRule>
  </conditionalFormatting>
  <conditionalFormatting sqref="B128:C128">
    <cfRule type="cellIs" dxfId="2941" priority="3498" stopIfTrue="1" operator="equal">
      <formula>"Napkin Hs"</formula>
    </cfRule>
  </conditionalFormatting>
  <conditionalFormatting sqref="B128:C128">
    <cfRule type="cellIs" dxfId="2940" priority="3497" stopIfTrue="1" operator="equal">
      <formula>"Towel"</formula>
    </cfRule>
  </conditionalFormatting>
  <conditionalFormatting sqref="C128">
    <cfRule type="cellIs" dxfId="2939" priority="3496" stopIfTrue="1" operator="equal">
      <formula>"Napkin Hs"</formula>
    </cfRule>
  </conditionalFormatting>
  <conditionalFormatting sqref="C128">
    <cfRule type="cellIs" dxfId="2938" priority="3493" stopIfTrue="1" operator="equal">
      <formula>"Towel"</formula>
    </cfRule>
    <cfRule type="cellIs" dxfId="2937" priority="3494" stopIfTrue="1" operator="equal">
      <formula>"Napkin Hs"</formula>
    </cfRule>
  </conditionalFormatting>
  <conditionalFormatting sqref="C128">
    <cfRule type="cellIs" dxfId="2936" priority="3495" stopIfTrue="1" operator="equal">
      <formula>"Towel"</formula>
    </cfRule>
  </conditionalFormatting>
  <conditionalFormatting sqref="C127">
    <cfRule type="cellIs" dxfId="2935" priority="3375" stopIfTrue="1" operator="equal">
      <formula>"Towel"</formula>
    </cfRule>
    <cfRule type="cellIs" dxfId="2934" priority="3376" stopIfTrue="1" operator="equal">
      <formula>"Napkin Hs"</formula>
    </cfRule>
  </conditionalFormatting>
  <conditionalFormatting sqref="B127:C127">
    <cfRule type="cellIs" dxfId="2933" priority="3377" stopIfTrue="1" operator="equal">
      <formula>"Towel"</formula>
    </cfRule>
    <cfRule type="cellIs" dxfId="2932" priority="3378" stopIfTrue="1" operator="equal">
      <formula>"Napkin Hs"</formula>
    </cfRule>
  </conditionalFormatting>
  <conditionalFormatting sqref="C127">
    <cfRule type="cellIs" dxfId="2931" priority="3373" stopIfTrue="1" operator="equal">
      <formula>"Towel"</formula>
    </cfRule>
    <cfRule type="cellIs" dxfId="2930" priority="3374" stopIfTrue="1" operator="equal">
      <formula>"Napkin Hs"</formula>
    </cfRule>
  </conditionalFormatting>
  <conditionalFormatting sqref="C127">
    <cfRule type="cellIs" dxfId="2929" priority="3367" stopIfTrue="1" operator="equal">
      <formula>"Towel"</formula>
    </cfRule>
    <cfRule type="cellIs" dxfId="2928" priority="3368" stopIfTrue="1" operator="equal">
      <formula>"Napkin Hs"</formula>
    </cfRule>
  </conditionalFormatting>
  <conditionalFormatting sqref="B127">
    <cfRule type="cellIs" dxfId="2927" priority="3492" stopIfTrue="1" operator="equal">
      <formula>"Napkin Hs"</formula>
    </cfRule>
  </conditionalFormatting>
  <conditionalFormatting sqref="B127">
    <cfRule type="cellIs" dxfId="2926" priority="3491" stopIfTrue="1" operator="equal">
      <formula>"Towel"</formula>
    </cfRule>
  </conditionalFormatting>
  <conditionalFormatting sqref="B127">
    <cfRule type="cellIs" dxfId="2925" priority="3489" stopIfTrue="1" operator="equal">
      <formula>"Towel"</formula>
    </cfRule>
    <cfRule type="cellIs" dxfId="2924" priority="3490" stopIfTrue="1" operator="equal">
      <formula>"Napkin Hs"</formula>
    </cfRule>
  </conditionalFormatting>
  <conditionalFormatting sqref="B127">
    <cfRule type="cellIs" dxfId="2923" priority="3488" stopIfTrue="1" operator="equal">
      <formula>"Napkin Hs"</formula>
    </cfRule>
  </conditionalFormatting>
  <conditionalFormatting sqref="B127">
    <cfRule type="cellIs" dxfId="2922" priority="3487" stopIfTrue="1" operator="equal">
      <formula>"Towel"</formula>
    </cfRule>
  </conditionalFormatting>
  <conditionalFormatting sqref="B127">
    <cfRule type="cellIs" dxfId="2921" priority="3485" stopIfTrue="1" operator="equal">
      <formula>"Towel"</formula>
    </cfRule>
    <cfRule type="cellIs" dxfId="2920" priority="3486" stopIfTrue="1" operator="equal">
      <formula>"Napkin Hs"</formula>
    </cfRule>
  </conditionalFormatting>
  <conditionalFormatting sqref="B127">
    <cfRule type="cellIs" dxfId="2919" priority="3483" stopIfTrue="1" operator="equal">
      <formula>"Towel"</formula>
    </cfRule>
    <cfRule type="cellIs" dxfId="2918" priority="3484" stopIfTrue="1" operator="equal">
      <formula>"Napkin Hs"</formula>
    </cfRule>
  </conditionalFormatting>
  <conditionalFormatting sqref="B127">
    <cfRule type="cellIs" dxfId="2917" priority="3481" stopIfTrue="1" operator="equal">
      <formula>"Towel"</formula>
    </cfRule>
    <cfRule type="cellIs" dxfId="2916" priority="3482" stopIfTrue="1" operator="equal">
      <formula>"Napkin Hs"</formula>
    </cfRule>
  </conditionalFormatting>
  <conditionalFormatting sqref="B127">
    <cfRule type="cellIs" dxfId="2915" priority="3479" stopIfTrue="1" operator="equal">
      <formula>"Towel"</formula>
    </cfRule>
    <cfRule type="cellIs" dxfId="2914" priority="3480" stopIfTrue="1" operator="equal">
      <formula>"Napkin Hs"</formula>
    </cfRule>
  </conditionalFormatting>
  <conditionalFormatting sqref="B127">
    <cfRule type="cellIs" dxfId="2913" priority="3477" stopIfTrue="1" operator="equal">
      <formula>"Towel"</formula>
    </cfRule>
    <cfRule type="cellIs" dxfId="2912" priority="3478" stopIfTrue="1" operator="equal">
      <formula>"Napkin Hs"</formula>
    </cfRule>
  </conditionalFormatting>
  <conditionalFormatting sqref="B127">
    <cfRule type="cellIs" dxfId="2911" priority="3476" stopIfTrue="1" operator="equal">
      <formula>"Napkin Hs"</formula>
    </cfRule>
  </conditionalFormatting>
  <conditionalFormatting sqref="B127">
    <cfRule type="cellIs" dxfId="2910" priority="3475" stopIfTrue="1" operator="equal">
      <formula>"Towel"</formula>
    </cfRule>
  </conditionalFormatting>
  <conditionalFormatting sqref="C127">
    <cfRule type="cellIs" dxfId="2909" priority="3474" stopIfTrue="1" operator="equal">
      <formula>"Napkin Hs"</formula>
    </cfRule>
  </conditionalFormatting>
  <conditionalFormatting sqref="C127">
    <cfRule type="cellIs" dxfId="2908" priority="3473" stopIfTrue="1" operator="equal">
      <formula>"Towel"</formula>
    </cfRule>
  </conditionalFormatting>
  <conditionalFormatting sqref="C127">
    <cfRule type="cellIs" dxfId="2907" priority="3472" stopIfTrue="1" operator="equal">
      <formula>"Napkin Hs"</formula>
    </cfRule>
  </conditionalFormatting>
  <conditionalFormatting sqref="C127">
    <cfRule type="cellIs" dxfId="2906" priority="3471" stopIfTrue="1" operator="equal">
      <formula>"Towel"</formula>
    </cfRule>
  </conditionalFormatting>
  <conditionalFormatting sqref="C127">
    <cfRule type="cellIs" dxfId="2905" priority="3469" stopIfTrue="1" operator="equal">
      <formula>"Towel"</formula>
    </cfRule>
    <cfRule type="cellIs" dxfId="2904" priority="3470" stopIfTrue="1" operator="equal">
      <formula>"Napkin Hs"</formula>
    </cfRule>
  </conditionalFormatting>
  <conditionalFormatting sqref="C127">
    <cfRule type="cellIs" dxfId="2903" priority="3467" stopIfTrue="1" operator="equal">
      <formula>"Towel"</formula>
    </cfRule>
    <cfRule type="cellIs" dxfId="2902" priority="3468" stopIfTrue="1" operator="equal">
      <formula>"Napkin Hs"</formula>
    </cfRule>
  </conditionalFormatting>
  <conditionalFormatting sqref="C127">
    <cfRule type="cellIs" dxfId="2901" priority="3463" stopIfTrue="1" operator="equal">
      <formula>"Towel"</formula>
    </cfRule>
    <cfRule type="cellIs" dxfId="2900" priority="3464" stopIfTrue="1" operator="equal">
      <formula>"Napkin Hs"</formula>
    </cfRule>
  </conditionalFormatting>
  <conditionalFormatting sqref="C127">
    <cfRule type="cellIs" dxfId="2899" priority="3465" stopIfTrue="1" operator="equal">
      <formula>"Towel"</formula>
    </cfRule>
    <cfRule type="cellIs" dxfId="2898" priority="3466" stopIfTrue="1" operator="equal">
      <formula>"Napkin Hs"</formula>
    </cfRule>
  </conditionalFormatting>
  <conditionalFormatting sqref="C127">
    <cfRule type="cellIs" dxfId="2897" priority="3462" stopIfTrue="1" operator="equal">
      <formula>"Napkin Hs"</formula>
    </cfRule>
  </conditionalFormatting>
  <conditionalFormatting sqref="C127">
    <cfRule type="cellIs" dxfId="2896" priority="3461" stopIfTrue="1" operator="equal">
      <formula>"Towel"</formula>
    </cfRule>
  </conditionalFormatting>
  <conditionalFormatting sqref="C127">
    <cfRule type="cellIs" dxfId="2895" priority="3460" stopIfTrue="1" operator="equal">
      <formula>"Napkin Hs"</formula>
    </cfRule>
  </conditionalFormatting>
  <conditionalFormatting sqref="C127">
    <cfRule type="cellIs" dxfId="2894" priority="3459" stopIfTrue="1" operator="equal">
      <formula>"Towel"</formula>
    </cfRule>
  </conditionalFormatting>
  <conditionalFormatting sqref="C127">
    <cfRule type="cellIs" dxfId="2893" priority="3457" stopIfTrue="1" operator="equal">
      <formula>"Towel"</formula>
    </cfRule>
    <cfRule type="cellIs" dxfId="2892" priority="3458" stopIfTrue="1" operator="equal">
      <formula>"Napkin Hs"</formula>
    </cfRule>
  </conditionalFormatting>
  <conditionalFormatting sqref="C127">
    <cfRule type="cellIs" dxfId="2891" priority="3455" stopIfTrue="1" operator="equal">
      <formula>"Towel"</formula>
    </cfRule>
    <cfRule type="cellIs" dxfId="2890" priority="3456" stopIfTrue="1" operator="equal">
      <formula>"Napkin Hs"</formula>
    </cfRule>
  </conditionalFormatting>
  <conditionalFormatting sqref="C127">
    <cfRule type="cellIs" dxfId="2889" priority="3453" stopIfTrue="1" operator="equal">
      <formula>"Towel"</formula>
    </cfRule>
    <cfRule type="cellIs" dxfId="2888" priority="3454" stopIfTrue="1" operator="equal">
      <formula>"Napkin Hs"</formula>
    </cfRule>
  </conditionalFormatting>
  <conditionalFormatting sqref="C127">
    <cfRule type="cellIs" dxfId="2887" priority="3451" stopIfTrue="1" operator="equal">
      <formula>"Towel"</formula>
    </cfRule>
    <cfRule type="cellIs" dxfId="2886" priority="3452" stopIfTrue="1" operator="equal">
      <formula>"Napkin Hs"</formula>
    </cfRule>
  </conditionalFormatting>
  <conditionalFormatting sqref="C127">
    <cfRule type="cellIs" dxfId="2885" priority="3449" stopIfTrue="1" operator="equal">
      <formula>"Towel"</formula>
    </cfRule>
    <cfRule type="cellIs" dxfId="2884" priority="3450" stopIfTrue="1" operator="equal">
      <formula>"Napkin Hs"</formula>
    </cfRule>
  </conditionalFormatting>
  <conditionalFormatting sqref="C127">
    <cfRule type="cellIs" dxfId="2883" priority="3447" stopIfTrue="1" operator="equal">
      <formula>"Towel"</formula>
    </cfRule>
    <cfRule type="cellIs" dxfId="2882" priority="3448" stopIfTrue="1" operator="equal">
      <formula>"Napkin Hs"</formula>
    </cfRule>
  </conditionalFormatting>
  <conditionalFormatting sqref="C127">
    <cfRule type="cellIs" dxfId="2881" priority="3445" stopIfTrue="1" operator="equal">
      <formula>"Towel"</formula>
    </cfRule>
    <cfRule type="cellIs" dxfId="2880" priority="3446" stopIfTrue="1" operator="equal">
      <formula>"Napkin Hs"</formula>
    </cfRule>
  </conditionalFormatting>
  <conditionalFormatting sqref="C127">
    <cfRule type="cellIs" dxfId="2879" priority="3443" stopIfTrue="1" operator="equal">
      <formula>"Towel"</formula>
    </cfRule>
    <cfRule type="cellIs" dxfId="2878" priority="3444" stopIfTrue="1" operator="equal">
      <formula>"Napkin Hs"</formula>
    </cfRule>
  </conditionalFormatting>
  <conditionalFormatting sqref="C127">
    <cfRule type="cellIs" dxfId="2877" priority="3441" stopIfTrue="1" operator="equal">
      <formula>"Towel"</formula>
    </cfRule>
    <cfRule type="cellIs" dxfId="2876" priority="3442" stopIfTrue="1" operator="equal">
      <formula>"Napkin Hs"</formula>
    </cfRule>
  </conditionalFormatting>
  <conditionalFormatting sqref="C127">
    <cfRule type="cellIs" dxfId="2875" priority="3439" stopIfTrue="1" operator="equal">
      <formula>"Towel"</formula>
    </cfRule>
    <cfRule type="cellIs" dxfId="2874" priority="3440" stopIfTrue="1" operator="equal">
      <formula>"Napkin Hs"</formula>
    </cfRule>
  </conditionalFormatting>
  <conditionalFormatting sqref="C127">
    <cfRule type="cellIs" dxfId="2873" priority="3437" stopIfTrue="1" operator="equal">
      <formula>"Towel"</formula>
    </cfRule>
    <cfRule type="cellIs" dxfId="2872" priority="3438" stopIfTrue="1" operator="equal">
      <formula>"Napkin Hs"</formula>
    </cfRule>
  </conditionalFormatting>
  <conditionalFormatting sqref="C127">
    <cfRule type="cellIs" dxfId="2871" priority="3435" stopIfTrue="1" operator="equal">
      <formula>"Towel"</formula>
    </cfRule>
    <cfRule type="cellIs" dxfId="2870" priority="3436" stopIfTrue="1" operator="equal">
      <formula>"Napkin Hs"</formula>
    </cfRule>
  </conditionalFormatting>
  <conditionalFormatting sqref="C127">
    <cfRule type="cellIs" dxfId="2869" priority="3433" stopIfTrue="1" operator="equal">
      <formula>"Towel"</formula>
    </cfRule>
    <cfRule type="cellIs" dxfId="2868" priority="3434" stopIfTrue="1" operator="equal">
      <formula>"Napkin Hs"</formula>
    </cfRule>
  </conditionalFormatting>
  <conditionalFormatting sqref="C127">
    <cfRule type="cellIs" dxfId="2867" priority="3431" stopIfTrue="1" operator="equal">
      <formula>"Towel"</formula>
    </cfRule>
    <cfRule type="cellIs" dxfId="2866" priority="3432" stopIfTrue="1" operator="equal">
      <formula>"Napkin Hs"</formula>
    </cfRule>
  </conditionalFormatting>
  <conditionalFormatting sqref="C127">
    <cfRule type="cellIs" dxfId="2865" priority="3429" stopIfTrue="1" operator="equal">
      <formula>"Towel"</formula>
    </cfRule>
    <cfRule type="cellIs" dxfId="2864" priority="3430" stopIfTrue="1" operator="equal">
      <formula>"Napkin Hs"</formula>
    </cfRule>
  </conditionalFormatting>
  <conditionalFormatting sqref="C127">
    <cfRule type="cellIs" dxfId="2863" priority="3427" stopIfTrue="1" operator="equal">
      <formula>"Towel"</formula>
    </cfRule>
    <cfRule type="cellIs" dxfId="2862" priority="3428" stopIfTrue="1" operator="equal">
      <formula>"Napkin Hs"</formula>
    </cfRule>
  </conditionalFormatting>
  <conditionalFormatting sqref="C127">
    <cfRule type="cellIs" dxfId="2861" priority="3426" stopIfTrue="1" operator="equal">
      <formula>"Napkin Hs"</formula>
    </cfRule>
  </conditionalFormatting>
  <conditionalFormatting sqref="C127">
    <cfRule type="cellIs" dxfId="2860" priority="3425" stopIfTrue="1" operator="equal">
      <formula>"Towel"</formula>
    </cfRule>
  </conditionalFormatting>
  <conditionalFormatting sqref="C127">
    <cfRule type="cellIs" dxfId="2859" priority="3424" stopIfTrue="1" operator="equal">
      <formula>"Napkin Hs"</formula>
    </cfRule>
  </conditionalFormatting>
  <conditionalFormatting sqref="C127">
    <cfRule type="cellIs" dxfId="2858" priority="3421" stopIfTrue="1" operator="equal">
      <formula>"Towel"</formula>
    </cfRule>
    <cfRule type="cellIs" dxfId="2857" priority="3422" stopIfTrue="1" operator="equal">
      <formula>"Napkin Hs"</formula>
    </cfRule>
  </conditionalFormatting>
  <conditionalFormatting sqref="C127">
    <cfRule type="cellIs" dxfId="2856" priority="3423" stopIfTrue="1" operator="equal">
      <formula>"Towel"</formula>
    </cfRule>
  </conditionalFormatting>
  <conditionalFormatting sqref="B127:C127">
    <cfRule type="cellIs" dxfId="2855" priority="3419" stopIfTrue="1" operator="equal">
      <formula>"Towel"</formula>
    </cfRule>
    <cfRule type="cellIs" dxfId="2854" priority="3420" stopIfTrue="1" operator="equal">
      <formula>"Napkin Hs"</formula>
    </cfRule>
  </conditionalFormatting>
  <conditionalFormatting sqref="C127">
    <cfRule type="cellIs" dxfId="2853" priority="3417" stopIfTrue="1" operator="equal">
      <formula>"Towel"</formula>
    </cfRule>
    <cfRule type="cellIs" dxfId="2852" priority="3418" stopIfTrue="1" operator="equal">
      <formula>"Napkin Hs"</formula>
    </cfRule>
  </conditionalFormatting>
  <conditionalFormatting sqref="C127">
    <cfRule type="cellIs" dxfId="2851" priority="3415" stopIfTrue="1" operator="equal">
      <formula>"Towel"</formula>
    </cfRule>
    <cfRule type="cellIs" dxfId="2850" priority="3416" stopIfTrue="1" operator="equal">
      <formula>"Napkin Hs"</formula>
    </cfRule>
  </conditionalFormatting>
  <conditionalFormatting sqref="B127:C127">
    <cfRule type="cellIs" dxfId="2849" priority="3354" stopIfTrue="1" operator="equal">
      <formula>"Napkin Hs"</formula>
    </cfRule>
  </conditionalFormatting>
  <conditionalFormatting sqref="B127:C127">
    <cfRule type="cellIs" dxfId="2848" priority="3353" stopIfTrue="1" operator="equal">
      <formula>"Towel"</formula>
    </cfRule>
  </conditionalFormatting>
  <conditionalFormatting sqref="C127">
    <cfRule type="cellIs" dxfId="2847" priority="3352" stopIfTrue="1" operator="equal">
      <formula>"Napkin Hs"</formula>
    </cfRule>
  </conditionalFormatting>
  <conditionalFormatting sqref="C127">
    <cfRule type="cellIs" dxfId="2846" priority="3349" stopIfTrue="1" operator="equal">
      <formula>"Towel"</formula>
    </cfRule>
    <cfRule type="cellIs" dxfId="2845" priority="3350" stopIfTrue="1" operator="equal">
      <formula>"Napkin Hs"</formula>
    </cfRule>
  </conditionalFormatting>
  <conditionalFormatting sqref="C127">
    <cfRule type="cellIs" dxfId="2844" priority="3351" stopIfTrue="1" operator="equal">
      <formula>"Towel"</formula>
    </cfRule>
  </conditionalFormatting>
  <conditionalFormatting sqref="B127:C127">
    <cfRule type="cellIs" dxfId="2843" priority="3414" stopIfTrue="1" operator="equal">
      <formula>"Napkin Hs"</formula>
    </cfRule>
  </conditionalFormatting>
  <conditionalFormatting sqref="B127:C127">
    <cfRule type="cellIs" dxfId="2842" priority="3413" stopIfTrue="1" operator="equal">
      <formula>"Towel"</formula>
    </cfRule>
  </conditionalFormatting>
  <conditionalFormatting sqref="C127">
    <cfRule type="cellIs" dxfId="2841" priority="3412" stopIfTrue="1" operator="equal">
      <formula>"Napkin Hs"</formula>
    </cfRule>
  </conditionalFormatting>
  <conditionalFormatting sqref="C127">
    <cfRule type="cellIs" dxfId="2840" priority="3411" stopIfTrue="1" operator="equal">
      <formula>"Towel"</formula>
    </cfRule>
  </conditionalFormatting>
  <conditionalFormatting sqref="C127">
    <cfRule type="cellIs" dxfId="2839" priority="3409" stopIfTrue="1" operator="equal">
      <formula>"Towel"</formula>
    </cfRule>
    <cfRule type="cellIs" dxfId="2838" priority="3410" stopIfTrue="1" operator="equal">
      <formula>"Napkin Hs"</formula>
    </cfRule>
  </conditionalFormatting>
  <conditionalFormatting sqref="B127:C127">
    <cfRule type="cellIs" dxfId="2837" priority="3407" stopIfTrue="1" operator="equal">
      <formula>"Towel"</formula>
    </cfRule>
    <cfRule type="cellIs" dxfId="2836" priority="3408" stopIfTrue="1" operator="equal">
      <formula>"Napkin Hs"</formula>
    </cfRule>
  </conditionalFormatting>
  <conditionalFormatting sqref="C127">
    <cfRule type="cellIs" dxfId="2835" priority="3403" stopIfTrue="1" operator="equal">
      <formula>"Towel"</formula>
    </cfRule>
    <cfRule type="cellIs" dxfId="2834" priority="3404" stopIfTrue="1" operator="equal">
      <formula>"Napkin Hs"</formula>
    </cfRule>
  </conditionalFormatting>
  <conditionalFormatting sqref="C127">
    <cfRule type="cellIs" dxfId="2833" priority="3405" stopIfTrue="1" operator="equal">
      <formula>"Towel"</formula>
    </cfRule>
    <cfRule type="cellIs" dxfId="2832" priority="3406" stopIfTrue="1" operator="equal">
      <formula>"Napkin Hs"</formula>
    </cfRule>
  </conditionalFormatting>
  <conditionalFormatting sqref="B127:C127">
    <cfRule type="cellIs" dxfId="2831" priority="3402" stopIfTrue="1" operator="equal">
      <formula>"Napkin Hs"</formula>
    </cfRule>
  </conditionalFormatting>
  <conditionalFormatting sqref="B127:C127">
    <cfRule type="cellIs" dxfId="2830" priority="3401" stopIfTrue="1" operator="equal">
      <formula>"Towel"</formula>
    </cfRule>
  </conditionalFormatting>
  <conditionalFormatting sqref="C127">
    <cfRule type="cellIs" dxfId="2829" priority="3400" stopIfTrue="1" operator="equal">
      <formula>"Napkin Hs"</formula>
    </cfRule>
  </conditionalFormatting>
  <conditionalFormatting sqref="C127">
    <cfRule type="cellIs" dxfId="2828" priority="3399" stopIfTrue="1" operator="equal">
      <formula>"Towel"</formula>
    </cfRule>
  </conditionalFormatting>
  <conditionalFormatting sqref="C127">
    <cfRule type="cellIs" dxfId="2827" priority="3397" stopIfTrue="1" operator="equal">
      <formula>"Towel"</formula>
    </cfRule>
    <cfRule type="cellIs" dxfId="2826" priority="3398" stopIfTrue="1" operator="equal">
      <formula>"Napkin Hs"</formula>
    </cfRule>
  </conditionalFormatting>
  <conditionalFormatting sqref="B127:C127">
    <cfRule type="cellIs" dxfId="2825" priority="3395" stopIfTrue="1" operator="equal">
      <formula>"Towel"</formula>
    </cfRule>
    <cfRule type="cellIs" dxfId="2824" priority="3396" stopIfTrue="1" operator="equal">
      <formula>"Napkin Hs"</formula>
    </cfRule>
  </conditionalFormatting>
  <conditionalFormatting sqref="C127">
    <cfRule type="cellIs" dxfId="2823" priority="3393" stopIfTrue="1" operator="equal">
      <formula>"Towel"</formula>
    </cfRule>
    <cfRule type="cellIs" dxfId="2822" priority="3394" stopIfTrue="1" operator="equal">
      <formula>"Napkin Hs"</formula>
    </cfRule>
  </conditionalFormatting>
  <conditionalFormatting sqref="C127">
    <cfRule type="cellIs" dxfId="2821" priority="3391" stopIfTrue="1" operator="equal">
      <formula>"Towel"</formula>
    </cfRule>
    <cfRule type="cellIs" dxfId="2820" priority="3392" stopIfTrue="1" operator="equal">
      <formula>"Napkin Hs"</formula>
    </cfRule>
  </conditionalFormatting>
  <conditionalFormatting sqref="B127:C127">
    <cfRule type="cellIs" dxfId="2819" priority="3389" stopIfTrue="1" operator="equal">
      <formula>"Towel"</formula>
    </cfRule>
    <cfRule type="cellIs" dxfId="2818" priority="3390" stopIfTrue="1" operator="equal">
      <formula>"Napkin Hs"</formula>
    </cfRule>
  </conditionalFormatting>
  <conditionalFormatting sqref="C127">
    <cfRule type="cellIs" dxfId="2817" priority="3387" stopIfTrue="1" operator="equal">
      <formula>"Towel"</formula>
    </cfRule>
    <cfRule type="cellIs" dxfId="2816" priority="3388" stopIfTrue="1" operator="equal">
      <formula>"Napkin Hs"</formula>
    </cfRule>
  </conditionalFormatting>
  <conditionalFormatting sqref="C127">
    <cfRule type="cellIs" dxfId="2815" priority="3385" stopIfTrue="1" operator="equal">
      <formula>"Towel"</formula>
    </cfRule>
    <cfRule type="cellIs" dxfId="2814" priority="3386" stopIfTrue="1" operator="equal">
      <formula>"Napkin Hs"</formula>
    </cfRule>
  </conditionalFormatting>
  <conditionalFormatting sqref="B127:C127">
    <cfRule type="cellIs" dxfId="2813" priority="3383" stopIfTrue="1" operator="equal">
      <formula>"Towel"</formula>
    </cfRule>
    <cfRule type="cellIs" dxfId="2812" priority="3384" stopIfTrue="1" operator="equal">
      <formula>"Napkin Hs"</formula>
    </cfRule>
  </conditionalFormatting>
  <conditionalFormatting sqref="C127">
    <cfRule type="cellIs" dxfId="2811" priority="3381" stopIfTrue="1" operator="equal">
      <formula>"Towel"</formula>
    </cfRule>
    <cfRule type="cellIs" dxfId="2810" priority="3382" stopIfTrue="1" operator="equal">
      <formula>"Napkin Hs"</formula>
    </cfRule>
  </conditionalFormatting>
  <conditionalFormatting sqref="C127">
    <cfRule type="cellIs" dxfId="2809" priority="3379" stopIfTrue="1" operator="equal">
      <formula>"Towel"</formula>
    </cfRule>
    <cfRule type="cellIs" dxfId="2808" priority="3380" stopIfTrue="1" operator="equal">
      <formula>"Napkin Hs"</formula>
    </cfRule>
  </conditionalFormatting>
  <conditionalFormatting sqref="B127:C127">
    <cfRule type="cellIs" dxfId="2807" priority="3371" stopIfTrue="1" operator="equal">
      <formula>"Towel"</formula>
    </cfRule>
    <cfRule type="cellIs" dxfId="2806" priority="3372" stopIfTrue="1" operator="equal">
      <formula>"Napkin Hs"</formula>
    </cfRule>
  </conditionalFormatting>
  <conditionalFormatting sqref="C127">
    <cfRule type="cellIs" dxfId="2805" priority="3369" stopIfTrue="1" operator="equal">
      <formula>"Towel"</formula>
    </cfRule>
    <cfRule type="cellIs" dxfId="2804" priority="3370" stopIfTrue="1" operator="equal">
      <formula>"Napkin Hs"</formula>
    </cfRule>
  </conditionalFormatting>
  <conditionalFormatting sqref="B127:C127">
    <cfRule type="cellIs" dxfId="2803" priority="3366" stopIfTrue="1" operator="equal">
      <formula>"Napkin Hs"</formula>
    </cfRule>
  </conditionalFormatting>
  <conditionalFormatting sqref="B127:C127">
    <cfRule type="cellIs" dxfId="2802" priority="3365" stopIfTrue="1" operator="equal">
      <formula>"Towel"</formula>
    </cfRule>
  </conditionalFormatting>
  <conditionalFormatting sqref="C127">
    <cfRule type="cellIs" dxfId="2801" priority="3364" stopIfTrue="1" operator="equal">
      <formula>"Napkin Hs"</formula>
    </cfRule>
  </conditionalFormatting>
  <conditionalFormatting sqref="C127">
    <cfRule type="cellIs" dxfId="2800" priority="3361" stopIfTrue="1" operator="equal">
      <formula>"Towel"</formula>
    </cfRule>
    <cfRule type="cellIs" dxfId="2799" priority="3362" stopIfTrue="1" operator="equal">
      <formula>"Napkin Hs"</formula>
    </cfRule>
  </conditionalFormatting>
  <conditionalFormatting sqref="C127">
    <cfRule type="cellIs" dxfId="2798" priority="3363" stopIfTrue="1" operator="equal">
      <formula>"Towel"</formula>
    </cfRule>
  </conditionalFormatting>
  <conditionalFormatting sqref="B127:C127">
    <cfRule type="cellIs" dxfId="2797" priority="3360" stopIfTrue="1" operator="equal">
      <formula>"Napkin Hs"</formula>
    </cfRule>
  </conditionalFormatting>
  <conditionalFormatting sqref="B127:C127">
    <cfRule type="cellIs" dxfId="2796" priority="3359" stopIfTrue="1" operator="equal">
      <formula>"Towel"</formula>
    </cfRule>
  </conditionalFormatting>
  <conditionalFormatting sqref="C127">
    <cfRule type="cellIs" dxfId="2795" priority="3358" stopIfTrue="1" operator="equal">
      <formula>"Napkin Hs"</formula>
    </cfRule>
  </conditionalFormatting>
  <conditionalFormatting sqref="C127">
    <cfRule type="cellIs" dxfId="2794" priority="3355" stopIfTrue="1" operator="equal">
      <formula>"Towel"</formula>
    </cfRule>
    <cfRule type="cellIs" dxfId="2793" priority="3356" stopIfTrue="1" operator="equal">
      <formula>"Napkin Hs"</formula>
    </cfRule>
  </conditionalFormatting>
  <conditionalFormatting sqref="C127">
    <cfRule type="cellIs" dxfId="2792" priority="3357" stopIfTrue="1" operator="equal">
      <formula>"Towel"</formula>
    </cfRule>
  </conditionalFormatting>
  <conditionalFormatting sqref="C125">
    <cfRule type="cellIs" dxfId="2791" priority="3345" stopIfTrue="1" operator="equal">
      <formula>"Towel"</formula>
    </cfRule>
    <cfRule type="cellIs" dxfId="2790" priority="3346" stopIfTrue="1" operator="equal">
      <formula>"Napkin Hs"</formula>
    </cfRule>
  </conditionalFormatting>
  <conditionalFormatting sqref="C125">
    <cfRule type="cellIs" dxfId="2789" priority="3343" stopIfTrue="1" operator="equal">
      <formula>"Towel"</formula>
    </cfRule>
    <cfRule type="cellIs" dxfId="2788" priority="3344" stopIfTrue="1" operator="equal">
      <formula>"Napkin Hs"</formula>
    </cfRule>
  </conditionalFormatting>
  <conditionalFormatting sqref="B125:C125">
    <cfRule type="cellIs" dxfId="2787" priority="3294" stopIfTrue="1" operator="equal">
      <formula>"Napkin Hs"</formula>
    </cfRule>
  </conditionalFormatting>
  <conditionalFormatting sqref="B125:C125">
    <cfRule type="cellIs" dxfId="2786" priority="3293" stopIfTrue="1" operator="equal">
      <formula>"Towel"</formula>
    </cfRule>
  </conditionalFormatting>
  <conditionalFormatting sqref="B125:C125">
    <cfRule type="cellIs" dxfId="2785" priority="3347" stopIfTrue="1" operator="equal">
      <formula>"Towel"</formula>
    </cfRule>
    <cfRule type="cellIs" dxfId="2784" priority="3348" stopIfTrue="1" operator="equal">
      <formula>"Napkin Hs"</formula>
    </cfRule>
  </conditionalFormatting>
  <conditionalFormatting sqref="C125">
    <cfRule type="cellIs" dxfId="2783" priority="3292" stopIfTrue="1" operator="equal">
      <formula>"Napkin Hs"</formula>
    </cfRule>
  </conditionalFormatting>
  <conditionalFormatting sqref="C125">
    <cfRule type="cellIs" dxfId="2782" priority="3291" stopIfTrue="1" operator="equal">
      <formula>"Towel"</formula>
    </cfRule>
  </conditionalFormatting>
  <conditionalFormatting sqref="C125">
    <cfRule type="cellIs" dxfId="2781" priority="3289" stopIfTrue="1" operator="equal">
      <formula>"Towel"</formula>
    </cfRule>
    <cfRule type="cellIs" dxfId="2780" priority="3290" stopIfTrue="1" operator="equal">
      <formula>"Napkin Hs"</formula>
    </cfRule>
  </conditionalFormatting>
  <conditionalFormatting sqref="B125:C125">
    <cfRule type="cellIs" dxfId="2779" priority="3342" stopIfTrue="1" operator="equal">
      <formula>"Napkin Hs"</formula>
    </cfRule>
  </conditionalFormatting>
  <conditionalFormatting sqref="B125:C125">
    <cfRule type="cellIs" dxfId="2778" priority="3341" stopIfTrue="1" operator="equal">
      <formula>"Towel"</formula>
    </cfRule>
  </conditionalFormatting>
  <conditionalFormatting sqref="C125">
    <cfRule type="cellIs" dxfId="2777" priority="3340" stopIfTrue="1" operator="equal">
      <formula>"Napkin Hs"</formula>
    </cfRule>
  </conditionalFormatting>
  <conditionalFormatting sqref="C125">
    <cfRule type="cellIs" dxfId="2776" priority="3339" stopIfTrue="1" operator="equal">
      <formula>"Towel"</formula>
    </cfRule>
  </conditionalFormatting>
  <conditionalFormatting sqref="C125">
    <cfRule type="cellIs" dxfId="2775" priority="3337" stopIfTrue="1" operator="equal">
      <formula>"Towel"</formula>
    </cfRule>
    <cfRule type="cellIs" dxfId="2774" priority="3338" stopIfTrue="1" operator="equal">
      <formula>"Napkin Hs"</formula>
    </cfRule>
  </conditionalFormatting>
  <conditionalFormatting sqref="B125:C125">
    <cfRule type="cellIs" dxfId="2773" priority="3335" stopIfTrue="1" operator="equal">
      <formula>"Towel"</formula>
    </cfRule>
    <cfRule type="cellIs" dxfId="2772" priority="3336" stopIfTrue="1" operator="equal">
      <formula>"Napkin Hs"</formula>
    </cfRule>
  </conditionalFormatting>
  <conditionalFormatting sqref="C125">
    <cfRule type="cellIs" dxfId="2771" priority="3331" stopIfTrue="1" operator="equal">
      <formula>"Towel"</formula>
    </cfRule>
    <cfRule type="cellIs" dxfId="2770" priority="3332" stopIfTrue="1" operator="equal">
      <formula>"Napkin Hs"</formula>
    </cfRule>
  </conditionalFormatting>
  <conditionalFormatting sqref="C125">
    <cfRule type="cellIs" dxfId="2769" priority="3333" stopIfTrue="1" operator="equal">
      <formula>"Towel"</formula>
    </cfRule>
    <cfRule type="cellIs" dxfId="2768" priority="3334" stopIfTrue="1" operator="equal">
      <formula>"Napkin Hs"</formula>
    </cfRule>
  </conditionalFormatting>
  <conditionalFormatting sqref="B125:C125">
    <cfRule type="cellIs" dxfId="2767" priority="3330" stopIfTrue="1" operator="equal">
      <formula>"Napkin Hs"</formula>
    </cfRule>
  </conditionalFormatting>
  <conditionalFormatting sqref="B125:C125">
    <cfRule type="cellIs" dxfId="2766" priority="3329" stopIfTrue="1" operator="equal">
      <formula>"Towel"</formula>
    </cfRule>
  </conditionalFormatting>
  <conditionalFormatting sqref="C125">
    <cfRule type="cellIs" dxfId="2765" priority="3328" stopIfTrue="1" operator="equal">
      <formula>"Napkin Hs"</formula>
    </cfRule>
  </conditionalFormatting>
  <conditionalFormatting sqref="C125">
    <cfRule type="cellIs" dxfId="2764" priority="3327" stopIfTrue="1" operator="equal">
      <formula>"Towel"</formula>
    </cfRule>
  </conditionalFormatting>
  <conditionalFormatting sqref="C125">
    <cfRule type="cellIs" dxfId="2763" priority="3325" stopIfTrue="1" operator="equal">
      <formula>"Towel"</formula>
    </cfRule>
    <cfRule type="cellIs" dxfId="2762" priority="3326" stopIfTrue="1" operator="equal">
      <formula>"Napkin Hs"</formula>
    </cfRule>
  </conditionalFormatting>
  <conditionalFormatting sqref="B125:C125">
    <cfRule type="cellIs" dxfId="2761" priority="3323" stopIfTrue="1" operator="equal">
      <formula>"Towel"</formula>
    </cfRule>
    <cfRule type="cellIs" dxfId="2760" priority="3324" stopIfTrue="1" operator="equal">
      <formula>"Napkin Hs"</formula>
    </cfRule>
  </conditionalFormatting>
  <conditionalFormatting sqref="C125">
    <cfRule type="cellIs" dxfId="2759" priority="3321" stopIfTrue="1" operator="equal">
      <formula>"Towel"</formula>
    </cfRule>
    <cfRule type="cellIs" dxfId="2758" priority="3322" stopIfTrue="1" operator="equal">
      <formula>"Napkin Hs"</formula>
    </cfRule>
  </conditionalFormatting>
  <conditionalFormatting sqref="C125">
    <cfRule type="cellIs" dxfId="2757" priority="3319" stopIfTrue="1" operator="equal">
      <formula>"Towel"</formula>
    </cfRule>
    <cfRule type="cellIs" dxfId="2756" priority="3320" stopIfTrue="1" operator="equal">
      <formula>"Napkin Hs"</formula>
    </cfRule>
  </conditionalFormatting>
  <conditionalFormatting sqref="B125:C125">
    <cfRule type="cellIs" dxfId="2755" priority="3317" stopIfTrue="1" operator="equal">
      <formula>"Towel"</formula>
    </cfRule>
    <cfRule type="cellIs" dxfId="2754" priority="3318" stopIfTrue="1" operator="equal">
      <formula>"Napkin Hs"</formula>
    </cfRule>
  </conditionalFormatting>
  <conditionalFormatting sqref="C125">
    <cfRule type="cellIs" dxfId="2753" priority="3315" stopIfTrue="1" operator="equal">
      <formula>"Towel"</formula>
    </cfRule>
    <cfRule type="cellIs" dxfId="2752" priority="3316" stopIfTrue="1" operator="equal">
      <formula>"Napkin Hs"</formula>
    </cfRule>
  </conditionalFormatting>
  <conditionalFormatting sqref="C125">
    <cfRule type="cellIs" dxfId="2751" priority="3313" stopIfTrue="1" operator="equal">
      <formula>"Towel"</formula>
    </cfRule>
    <cfRule type="cellIs" dxfId="2750" priority="3314" stopIfTrue="1" operator="equal">
      <formula>"Napkin Hs"</formula>
    </cfRule>
  </conditionalFormatting>
  <conditionalFormatting sqref="B125:C125">
    <cfRule type="cellIs" dxfId="2749" priority="3311" stopIfTrue="1" operator="equal">
      <formula>"Towel"</formula>
    </cfRule>
    <cfRule type="cellIs" dxfId="2748" priority="3312" stopIfTrue="1" operator="equal">
      <formula>"Napkin Hs"</formula>
    </cfRule>
  </conditionalFormatting>
  <conditionalFormatting sqref="C125">
    <cfRule type="cellIs" dxfId="2747" priority="3309" stopIfTrue="1" operator="equal">
      <formula>"Towel"</formula>
    </cfRule>
    <cfRule type="cellIs" dxfId="2746" priority="3310" stopIfTrue="1" operator="equal">
      <formula>"Napkin Hs"</formula>
    </cfRule>
  </conditionalFormatting>
  <conditionalFormatting sqref="C125">
    <cfRule type="cellIs" dxfId="2745" priority="3307" stopIfTrue="1" operator="equal">
      <formula>"Towel"</formula>
    </cfRule>
    <cfRule type="cellIs" dxfId="2744" priority="3308" stopIfTrue="1" operator="equal">
      <formula>"Napkin Hs"</formula>
    </cfRule>
  </conditionalFormatting>
  <conditionalFormatting sqref="B125:C125">
    <cfRule type="cellIs" dxfId="2743" priority="3305" stopIfTrue="1" operator="equal">
      <formula>"Towel"</formula>
    </cfRule>
    <cfRule type="cellIs" dxfId="2742" priority="3306" stopIfTrue="1" operator="equal">
      <formula>"Napkin Hs"</formula>
    </cfRule>
  </conditionalFormatting>
  <conditionalFormatting sqref="C125">
    <cfRule type="cellIs" dxfId="2741" priority="3303" stopIfTrue="1" operator="equal">
      <formula>"Towel"</formula>
    </cfRule>
    <cfRule type="cellIs" dxfId="2740" priority="3304" stopIfTrue="1" operator="equal">
      <formula>"Napkin Hs"</formula>
    </cfRule>
  </conditionalFormatting>
  <conditionalFormatting sqref="C125">
    <cfRule type="cellIs" dxfId="2739" priority="3301" stopIfTrue="1" operator="equal">
      <formula>"Towel"</formula>
    </cfRule>
    <cfRule type="cellIs" dxfId="2738" priority="3302" stopIfTrue="1" operator="equal">
      <formula>"Napkin Hs"</formula>
    </cfRule>
  </conditionalFormatting>
  <conditionalFormatting sqref="B125:C125">
    <cfRule type="cellIs" dxfId="2737" priority="3299" stopIfTrue="1" operator="equal">
      <formula>"Towel"</formula>
    </cfRule>
    <cfRule type="cellIs" dxfId="2736" priority="3300" stopIfTrue="1" operator="equal">
      <formula>"Napkin Hs"</formula>
    </cfRule>
  </conditionalFormatting>
  <conditionalFormatting sqref="C125">
    <cfRule type="cellIs" dxfId="2735" priority="3297" stopIfTrue="1" operator="equal">
      <formula>"Towel"</formula>
    </cfRule>
    <cfRule type="cellIs" dxfId="2734" priority="3298" stopIfTrue="1" operator="equal">
      <formula>"Napkin Hs"</formula>
    </cfRule>
  </conditionalFormatting>
  <conditionalFormatting sqref="C125">
    <cfRule type="cellIs" dxfId="2733" priority="3295" stopIfTrue="1" operator="equal">
      <formula>"Towel"</formula>
    </cfRule>
    <cfRule type="cellIs" dxfId="2732" priority="3296" stopIfTrue="1" operator="equal">
      <formula>"Napkin Hs"</formula>
    </cfRule>
  </conditionalFormatting>
  <conditionalFormatting sqref="B125:C125">
    <cfRule type="cellIs" dxfId="2731" priority="3285" stopIfTrue="1" operator="equal">
      <formula>"Towel"</formula>
    </cfRule>
    <cfRule type="cellIs" dxfId="2730" priority="3286" stopIfTrue="1" operator="equal">
      <formula>"Napkin Hs"</formula>
    </cfRule>
  </conditionalFormatting>
  <conditionalFormatting sqref="C125">
    <cfRule type="cellIs" dxfId="2729" priority="3287" stopIfTrue="1" operator="equal">
      <formula>"Towel"</formula>
    </cfRule>
    <cfRule type="cellIs" dxfId="2728" priority="3288" stopIfTrue="1" operator="equal">
      <formula>"Napkin Hs"</formula>
    </cfRule>
  </conditionalFormatting>
  <conditionalFormatting sqref="C125">
    <cfRule type="cellIs" dxfId="2727" priority="3283" stopIfTrue="1" operator="equal">
      <formula>"Towel"</formula>
    </cfRule>
    <cfRule type="cellIs" dxfId="2726" priority="3284" stopIfTrue="1" operator="equal">
      <formula>"Napkin Hs"</formula>
    </cfRule>
  </conditionalFormatting>
  <conditionalFormatting sqref="B125:C125">
    <cfRule type="cellIs" dxfId="2725" priority="3282" stopIfTrue="1" operator="equal">
      <formula>"Napkin Hs"</formula>
    </cfRule>
  </conditionalFormatting>
  <conditionalFormatting sqref="B125:C125">
    <cfRule type="cellIs" dxfId="2724" priority="3281" stopIfTrue="1" operator="equal">
      <formula>"Towel"</formula>
    </cfRule>
  </conditionalFormatting>
  <conditionalFormatting sqref="C125">
    <cfRule type="cellIs" dxfId="2723" priority="3280" stopIfTrue="1" operator="equal">
      <formula>"Napkin Hs"</formula>
    </cfRule>
  </conditionalFormatting>
  <conditionalFormatting sqref="C125">
    <cfRule type="cellIs" dxfId="2722" priority="3279" stopIfTrue="1" operator="equal">
      <formula>"Towel"</formula>
    </cfRule>
  </conditionalFormatting>
  <conditionalFormatting sqref="C125">
    <cfRule type="cellIs" dxfId="2721" priority="3277" stopIfTrue="1" operator="equal">
      <formula>"Towel"</formula>
    </cfRule>
    <cfRule type="cellIs" dxfId="2720" priority="3278" stopIfTrue="1" operator="equal">
      <formula>"Napkin Hs"</formula>
    </cfRule>
  </conditionalFormatting>
  <conditionalFormatting sqref="B125:C125">
    <cfRule type="cellIs" dxfId="2719" priority="3275" stopIfTrue="1" operator="equal">
      <formula>"Towel"</formula>
    </cfRule>
    <cfRule type="cellIs" dxfId="2718" priority="3276" stopIfTrue="1" operator="equal">
      <formula>"Napkin Hs"</formula>
    </cfRule>
  </conditionalFormatting>
  <conditionalFormatting sqref="C125">
    <cfRule type="cellIs" dxfId="2717" priority="3271" stopIfTrue="1" operator="equal">
      <formula>"Towel"</formula>
    </cfRule>
    <cfRule type="cellIs" dxfId="2716" priority="3272" stopIfTrue="1" operator="equal">
      <formula>"Napkin Hs"</formula>
    </cfRule>
  </conditionalFormatting>
  <conditionalFormatting sqref="C125">
    <cfRule type="cellIs" dxfId="2715" priority="3273" stopIfTrue="1" operator="equal">
      <formula>"Towel"</formula>
    </cfRule>
    <cfRule type="cellIs" dxfId="2714" priority="3274" stopIfTrue="1" operator="equal">
      <formula>"Napkin Hs"</formula>
    </cfRule>
  </conditionalFormatting>
  <conditionalFormatting sqref="B125:C125">
    <cfRule type="cellIs" dxfId="2713" priority="3270" stopIfTrue="1" operator="equal">
      <formula>"Napkin Hs"</formula>
    </cfRule>
  </conditionalFormatting>
  <conditionalFormatting sqref="B125:C125">
    <cfRule type="cellIs" dxfId="2712" priority="3269" stopIfTrue="1" operator="equal">
      <formula>"Towel"</formula>
    </cfRule>
  </conditionalFormatting>
  <conditionalFormatting sqref="C125">
    <cfRule type="cellIs" dxfId="2711" priority="3268" stopIfTrue="1" operator="equal">
      <formula>"Napkin Hs"</formula>
    </cfRule>
  </conditionalFormatting>
  <conditionalFormatting sqref="C125">
    <cfRule type="cellIs" dxfId="2710" priority="3267" stopIfTrue="1" operator="equal">
      <formula>"Towel"</formula>
    </cfRule>
  </conditionalFormatting>
  <conditionalFormatting sqref="C125">
    <cfRule type="cellIs" dxfId="2709" priority="3265" stopIfTrue="1" operator="equal">
      <formula>"Towel"</formula>
    </cfRule>
    <cfRule type="cellIs" dxfId="2708" priority="3266" stopIfTrue="1" operator="equal">
      <formula>"Napkin Hs"</formula>
    </cfRule>
  </conditionalFormatting>
  <conditionalFormatting sqref="B125:C125">
    <cfRule type="cellIs" dxfId="2707" priority="3263" stopIfTrue="1" operator="equal">
      <formula>"Towel"</formula>
    </cfRule>
    <cfRule type="cellIs" dxfId="2706" priority="3264" stopIfTrue="1" operator="equal">
      <formula>"Napkin Hs"</formula>
    </cfRule>
  </conditionalFormatting>
  <conditionalFormatting sqref="C125">
    <cfRule type="cellIs" dxfId="2705" priority="3261" stopIfTrue="1" operator="equal">
      <formula>"Towel"</formula>
    </cfRule>
    <cfRule type="cellIs" dxfId="2704" priority="3262" stopIfTrue="1" operator="equal">
      <formula>"Napkin Hs"</formula>
    </cfRule>
  </conditionalFormatting>
  <conditionalFormatting sqref="C125">
    <cfRule type="cellIs" dxfId="2703" priority="3259" stopIfTrue="1" operator="equal">
      <formula>"Towel"</formula>
    </cfRule>
    <cfRule type="cellIs" dxfId="2702" priority="3260" stopIfTrue="1" operator="equal">
      <formula>"Napkin Hs"</formula>
    </cfRule>
  </conditionalFormatting>
  <conditionalFormatting sqref="B125:C125">
    <cfRule type="cellIs" dxfId="2701" priority="3257" stopIfTrue="1" operator="equal">
      <formula>"Towel"</formula>
    </cfRule>
    <cfRule type="cellIs" dxfId="2700" priority="3258" stopIfTrue="1" operator="equal">
      <formula>"Napkin Hs"</formula>
    </cfRule>
  </conditionalFormatting>
  <conditionalFormatting sqref="C125">
    <cfRule type="cellIs" dxfId="2699" priority="3255" stopIfTrue="1" operator="equal">
      <formula>"Towel"</formula>
    </cfRule>
    <cfRule type="cellIs" dxfId="2698" priority="3256" stopIfTrue="1" operator="equal">
      <formula>"Napkin Hs"</formula>
    </cfRule>
  </conditionalFormatting>
  <conditionalFormatting sqref="C125">
    <cfRule type="cellIs" dxfId="2697" priority="3253" stopIfTrue="1" operator="equal">
      <formula>"Towel"</formula>
    </cfRule>
    <cfRule type="cellIs" dxfId="2696" priority="3254" stopIfTrue="1" operator="equal">
      <formula>"Napkin Hs"</formula>
    </cfRule>
  </conditionalFormatting>
  <conditionalFormatting sqref="B125:C125">
    <cfRule type="cellIs" dxfId="2695" priority="3251" stopIfTrue="1" operator="equal">
      <formula>"Towel"</formula>
    </cfRule>
    <cfRule type="cellIs" dxfId="2694" priority="3252" stopIfTrue="1" operator="equal">
      <formula>"Napkin Hs"</formula>
    </cfRule>
  </conditionalFormatting>
  <conditionalFormatting sqref="C125">
    <cfRule type="cellIs" dxfId="2693" priority="3249" stopIfTrue="1" operator="equal">
      <formula>"Towel"</formula>
    </cfRule>
    <cfRule type="cellIs" dxfId="2692" priority="3250" stopIfTrue="1" operator="equal">
      <formula>"Napkin Hs"</formula>
    </cfRule>
  </conditionalFormatting>
  <conditionalFormatting sqref="C125">
    <cfRule type="cellIs" dxfId="2691" priority="3247" stopIfTrue="1" operator="equal">
      <formula>"Towel"</formula>
    </cfRule>
    <cfRule type="cellIs" dxfId="2690" priority="3248" stopIfTrue="1" operator="equal">
      <formula>"Napkin Hs"</formula>
    </cfRule>
  </conditionalFormatting>
  <conditionalFormatting sqref="B125:C125">
    <cfRule type="cellIs" dxfId="2689" priority="3245" stopIfTrue="1" operator="equal">
      <formula>"Towel"</formula>
    </cfRule>
    <cfRule type="cellIs" dxfId="2688" priority="3246" stopIfTrue="1" operator="equal">
      <formula>"Napkin Hs"</formula>
    </cfRule>
  </conditionalFormatting>
  <conditionalFormatting sqref="C125">
    <cfRule type="cellIs" dxfId="2687" priority="3243" stopIfTrue="1" operator="equal">
      <formula>"Towel"</formula>
    </cfRule>
    <cfRule type="cellIs" dxfId="2686" priority="3244" stopIfTrue="1" operator="equal">
      <formula>"Napkin Hs"</formula>
    </cfRule>
  </conditionalFormatting>
  <conditionalFormatting sqref="C125">
    <cfRule type="cellIs" dxfId="2685" priority="3241" stopIfTrue="1" operator="equal">
      <formula>"Towel"</formula>
    </cfRule>
    <cfRule type="cellIs" dxfId="2684" priority="3242" stopIfTrue="1" operator="equal">
      <formula>"Napkin Hs"</formula>
    </cfRule>
  </conditionalFormatting>
  <conditionalFormatting sqref="B125:C125">
    <cfRule type="cellIs" dxfId="2683" priority="3239" stopIfTrue="1" operator="equal">
      <formula>"Towel"</formula>
    </cfRule>
    <cfRule type="cellIs" dxfId="2682" priority="3240" stopIfTrue="1" operator="equal">
      <formula>"Napkin Hs"</formula>
    </cfRule>
  </conditionalFormatting>
  <conditionalFormatting sqref="C125">
    <cfRule type="cellIs" dxfId="2681" priority="3237" stopIfTrue="1" operator="equal">
      <formula>"Towel"</formula>
    </cfRule>
    <cfRule type="cellIs" dxfId="2680" priority="3238" stopIfTrue="1" operator="equal">
      <formula>"Napkin Hs"</formula>
    </cfRule>
  </conditionalFormatting>
  <conditionalFormatting sqref="C125">
    <cfRule type="cellIs" dxfId="2679" priority="3235" stopIfTrue="1" operator="equal">
      <formula>"Towel"</formula>
    </cfRule>
    <cfRule type="cellIs" dxfId="2678" priority="3236" stopIfTrue="1" operator="equal">
      <formula>"Napkin Hs"</formula>
    </cfRule>
  </conditionalFormatting>
  <conditionalFormatting sqref="B125:C125">
    <cfRule type="cellIs" dxfId="2677" priority="3234" stopIfTrue="1" operator="equal">
      <formula>"Napkin Hs"</formula>
    </cfRule>
  </conditionalFormatting>
  <conditionalFormatting sqref="B125:C125">
    <cfRule type="cellIs" dxfId="2676" priority="3233" stopIfTrue="1" operator="equal">
      <formula>"Towel"</formula>
    </cfRule>
  </conditionalFormatting>
  <conditionalFormatting sqref="C125">
    <cfRule type="cellIs" dxfId="2675" priority="3232" stopIfTrue="1" operator="equal">
      <formula>"Napkin Hs"</formula>
    </cfRule>
  </conditionalFormatting>
  <conditionalFormatting sqref="C125">
    <cfRule type="cellIs" dxfId="2674" priority="3229" stopIfTrue="1" operator="equal">
      <formula>"Towel"</formula>
    </cfRule>
    <cfRule type="cellIs" dxfId="2673" priority="3230" stopIfTrue="1" operator="equal">
      <formula>"Napkin Hs"</formula>
    </cfRule>
  </conditionalFormatting>
  <conditionalFormatting sqref="C125">
    <cfRule type="cellIs" dxfId="2672" priority="3231" stopIfTrue="1" operator="equal">
      <formula>"Towel"</formula>
    </cfRule>
  </conditionalFormatting>
  <conditionalFormatting sqref="B125:C125">
    <cfRule type="cellIs" dxfId="2671" priority="3228" stopIfTrue="1" operator="equal">
      <formula>"Napkin Hs"</formula>
    </cfRule>
  </conditionalFormatting>
  <conditionalFormatting sqref="B125:C125">
    <cfRule type="cellIs" dxfId="2670" priority="3227" stopIfTrue="1" operator="equal">
      <formula>"Towel"</formula>
    </cfRule>
  </conditionalFormatting>
  <conditionalFormatting sqref="C125">
    <cfRule type="cellIs" dxfId="2669" priority="3226" stopIfTrue="1" operator="equal">
      <formula>"Napkin Hs"</formula>
    </cfRule>
  </conditionalFormatting>
  <conditionalFormatting sqref="C125">
    <cfRule type="cellIs" dxfId="2668" priority="3225" stopIfTrue="1" operator="equal">
      <formula>"Towel"</formula>
    </cfRule>
  </conditionalFormatting>
  <conditionalFormatting sqref="C125">
    <cfRule type="cellIs" dxfId="2667" priority="3223" stopIfTrue="1" operator="equal">
      <formula>"Towel"</formula>
    </cfRule>
    <cfRule type="cellIs" dxfId="2666" priority="3224" stopIfTrue="1" operator="equal">
      <formula>"Napkin Hs"</formula>
    </cfRule>
  </conditionalFormatting>
  <conditionalFormatting sqref="C125">
    <cfRule type="cellIs" dxfId="2665" priority="3217" stopIfTrue="1" operator="equal">
      <formula>"Towel"</formula>
    </cfRule>
    <cfRule type="cellIs" dxfId="2664" priority="3218" stopIfTrue="1" operator="equal">
      <formula>"Napkin Hs"</formula>
    </cfRule>
  </conditionalFormatting>
  <conditionalFormatting sqref="B125:C125">
    <cfRule type="cellIs" dxfId="2663" priority="3216" stopIfTrue="1" operator="equal">
      <formula>"Napkin Hs"</formula>
    </cfRule>
  </conditionalFormatting>
  <conditionalFormatting sqref="B125:C125">
    <cfRule type="cellIs" dxfId="2662" priority="3215" stopIfTrue="1" operator="equal">
      <formula>"Towel"</formula>
    </cfRule>
  </conditionalFormatting>
  <conditionalFormatting sqref="C125">
    <cfRule type="cellIs" dxfId="2661" priority="3214" stopIfTrue="1" operator="equal">
      <formula>"Napkin Hs"</formula>
    </cfRule>
  </conditionalFormatting>
  <conditionalFormatting sqref="C125">
    <cfRule type="cellIs" dxfId="2660" priority="3213" stopIfTrue="1" operator="equal">
      <formula>"Towel"</formula>
    </cfRule>
  </conditionalFormatting>
  <conditionalFormatting sqref="C125">
    <cfRule type="cellIs" dxfId="2659" priority="3211" stopIfTrue="1" operator="equal">
      <formula>"Towel"</formula>
    </cfRule>
    <cfRule type="cellIs" dxfId="2658" priority="3212" stopIfTrue="1" operator="equal">
      <formula>"Napkin Hs"</formula>
    </cfRule>
  </conditionalFormatting>
  <conditionalFormatting sqref="C125">
    <cfRule type="cellIs" dxfId="2657" priority="3205" stopIfTrue="1" operator="equal">
      <formula>"Towel"</formula>
    </cfRule>
    <cfRule type="cellIs" dxfId="2656" priority="3206" stopIfTrue="1" operator="equal">
      <formula>"Napkin Hs"</formula>
    </cfRule>
  </conditionalFormatting>
  <conditionalFormatting sqref="C125">
    <cfRule type="cellIs" dxfId="2655" priority="3199" stopIfTrue="1" operator="equal">
      <formula>"Towel"</formula>
    </cfRule>
    <cfRule type="cellIs" dxfId="2654" priority="3200" stopIfTrue="1" operator="equal">
      <formula>"Napkin Hs"</formula>
    </cfRule>
  </conditionalFormatting>
  <conditionalFormatting sqref="C125">
    <cfRule type="cellIs" dxfId="2653" priority="3193" stopIfTrue="1" operator="equal">
      <formula>"Towel"</formula>
    </cfRule>
    <cfRule type="cellIs" dxfId="2652" priority="3194" stopIfTrue="1" operator="equal">
      <formula>"Napkin Hs"</formula>
    </cfRule>
  </conditionalFormatting>
  <conditionalFormatting sqref="C125">
    <cfRule type="cellIs" dxfId="2651" priority="3187" stopIfTrue="1" operator="equal">
      <formula>"Towel"</formula>
    </cfRule>
    <cfRule type="cellIs" dxfId="2650" priority="3188" stopIfTrue="1" operator="equal">
      <formula>"Napkin Hs"</formula>
    </cfRule>
  </conditionalFormatting>
  <conditionalFormatting sqref="C125">
    <cfRule type="cellIs" dxfId="2649" priority="3181" stopIfTrue="1" operator="equal">
      <formula>"Towel"</formula>
    </cfRule>
    <cfRule type="cellIs" dxfId="2648" priority="3182" stopIfTrue="1" operator="equal">
      <formula>"Napkin Hs"</formula>
    </cfRule>
  </conditionalFormatting>
  <conditionalFormatting sqref="B125:C125">
    <cfRule type="cellIs" dxfId="2647" priority="3180" stopIfTrue="1" operator="equal">
      <formula>"Napkin Hs"</formula>
    </cfRule>
  </conditionalFormatting>
  <conditionalFormatting sqref="B125:C125">
    <cfRule type="cellIs" dxfId="2646" priority="3179" stopIfTrue="1" operator="equal">
      <formula>"Towel"</formula>
    </cfRule>
  </conditionalFormatting>
  <conditionalFormatting sqref="C125">
    <cfRule type="cellIs" dxfId="2645" priority="3178" stopIfTrue="1" operator="equal">
      <formula>"Napkin Hs"</formula>
    </cfRule>
  </conditionalFormatting>
  <conditionalFormatting sqref="C125">
    <cfRule type="cellIs" dxfId="2644" priority="3175" stopIfTrue="1" operator="equal">
      <formula>"Towel"</formula>
    </cfRule>
    <cfRule type="cellIs" dxfId="2643" priority="3176" stopIfTrue="1" operator="equal">
      <formula>"Napkin Hs"</formula>
    </cfRule>
  </conditionalFormatting>
  <conditionalFormatting sqref="C125">
    <cfRule type="cellIs" dxfId="2642" priority="3177" stopIfTrue="1" operator="equal">
      <formula>"Towel"</formula>
    </cfRule>
  </conditionalFormatting>
  <conditionalFormatting sqref="B125:C125">
    <cfRule type="cellIs" dxfId="2641" priority="3174" stopIfTrue="1" operator="equal">
      <formula>"Napkin Hs"</formula>
    </cfRule>
  </conditionalFormatting>
  <conditionalFormatting sqref="B125:C125">
    <cfRule type="cellIs" dxfId="2640" priority="3173" stopIfTrue="1" operator="equal">
      <formula>"Towel"</formula>
    </cfRule>
  </conditionalFormatting>
  <conditionalFormatting sqref="C125">
    <cfRule type="cellIs" dxfId="2639" priority="3172" stopIfTrue="1" operator="equal">
      <formula>"Napkin Hs"</formula>
    </cfRule>
  </conditionalFormatting>
  <conditionalFormatting sqref="C125">
    <cfRule type="cellIs" dxfId="2638" priority="3169" stopIfTrue="1" operator="equal">
      <formula>"Towel"</formula>
    </cfRule>
    <cfRule type="cellIs" dxfId="2637" priority="3170" stopIfTrue="1" operator="equal">
      <formula>"Napkin Hs"</formula>
    </cfRule>
  </conditionalFormatting>
  <conditionalFormatting sqref="C125">
    <cfRule type="cellIs" dxfId="2636" priority="3171" stopIfTrue="1" operator="equal">
      <formula>"Towel"</formula>
    </cfRule>
  </conditionalFormatting>
  <conditionalFormatting sqref="B125:C125">
    <cfRule type="cellIs" dxfId="2635" priority="3221" stopIfTrue="1" operator="equal">
      <formula>"Towel"</formula>
    </cfRule>
    <cfRule type="cellIs" dxfId="2634" priority="3222" stopIfTrue="1" operator="equal">
      <formula>"Napkin Hs"</formula>
    </cfRule>
  </conditionalFormatting>
  <conditionalFormatting sqref="C125">
    <cfRule type="cellIs" dxfId="2633" priority="3219" stopIfTrue="1" operator="equal">
      <formula>"Towel"</formula>
    </cfRule>
    <cfRule type="cellIs" dxfId="2632" priority="3220" stopIfTrue="1" operator="equal">
      <formula>"Napkin Hs"</formula>
    </cfRule>
  </conditionalFormatting>
  <conditionalFormatting sqref="B125:C125">
    <cfRule type="cellIs" dxfId="2631" priority="3209" stopIfTrue="1" operator="equal">
      <formula>"Towel"</formula>
    </cfRule>
    <cfRule type="cellIs" dxfId="2630" priority="3210" stopIfTrue="1" operator="equal">
      <formula>"Napkin Hs"</formula>
    </cfRule>
  </conditionalFormatting>
  <conditionalFormatting sqref="C125">
    <cfRule type="cellIs" dxfId="2629" priority="3207" stopIfTrue="1" operator="equal">
      <formula>"Towel"</formula>
    </cfRule>
    <cfRule type="cellIs" dxfId="2628" priority="3208" stopIfTrue="1" operator="equal">
      <formula>"Napkin Hs"</formula>
    </cfRule>
  </conditionalFormatting>
  <conditionalFormatting sqref="B125:C125">
    <cfRule type="cellIs" dxfId="2627" priority="3203" stopIfTrue="1" operator="equal">
      <formula>"Towel"</formula>
    </cfRule>
    <cfRule type="cellIs" dxfId="2626" priority="3204" stopIfTrue="1" operator="equal">
      <formula>"Napkin Hs"</formula>
    </cfRule>
  </conditionalFormatting>
  <conditionalFormatting sqref="C125">
    <cfRule type="cellIs" dxfId="2625" priority="3201" stopIfTrue="1" operator="equal">
      <formula>"Towel"</formula>
    </cfRule>
    <cfRule type="cellIs" dxfId="2624" priority="3202" stopIfTrue="1" operator="equal">
      <formula>"Napkin Hs"</formula>
    </cfRule>
  </conditionalFormatting>
  <conditionalFormatting sqref="B125:C125">
    <cfRule type="cellIs" dxfId="2623" priority="3197" stopIfTrue="1" operator="equal">
      <formula>"Towel"</formula>
    </cfRule>
    <cfRule type="cellIs" dxfId="2622" priority="3198" stopIfTrue="1" operator="equal">
      <formula>"Napkin Hs"</formula>
    </cfRule>
  </conditionalFormatting>
  <conditionalFormatting sqref="C125">
    <cfRule type="cellIs" dxfId="2621" priority="3195" stopIfTrue="1" operator="equal">
      <formula>"Towel"</formula>
    </cfRule>
    <cfRule type="cellIs" dxfId="2620" priority="3196" stopIfTrue="1" operator="equal">
      <formula>"Napkin Hs"</formula>
    </cfRule>
  </conditionalFormatting>
  <conditionalFormatting sqref="B125:C125">
    <cfRule type="cellIs" dxfId="2619" priority="3191" stopIfTrue="1" operator="equal">
      <formula>"Towel"</formula>
    </cfRule>
    <cfRule type="cellIs" dxfId="2618" priority="3192" stopIfTrue="1" operator="equal">
      <formula>"Napkin Hs"</formula>
    </cfRule>
  </conditionalFormatting>
  <conditionalFormatting sqref="C125">
    <cfRule type="cellIs" dxfId="2617" priority="3189" stopIfTrue="1" operator="equal">
      <formula>"Towel"</formula>
    </cfRule>
    <cfRule type="cellIs" dxfId="2616" priority="3190" stopIfTrue="1" operator="equal">
      <formula>"Napkin Hs"</formula>
    </cfRule>
  </conditionalFormatting>
  <conditionalFormatting sqref="B125:C125">
    <cfRule type="cellIs" dxfId="2615" priority="3185" stopIfTrue="1" operator="equal">
      <formula>"Towel"</formula>
    </cfRule>
    <cfRule type="cellIs" dxfId="2614" priority="3186" stopIfTrue="1" operator="equal">
      <formula>"Napkin Hs"</formula>
    </cfRule>
  </conditionalFormatting>
  <conditionalFormatting sqref="C125">
    <cfRule type="cellIs" dxfId="2613" priority="3183" stopIfTrue="1" operator="equal">
      <formula>"Towel"</formula>
    </cfRule>
    <cfRule type="cellIs" dxfId="2612" priority="3184" stopIfTrue="1" operator="equal">
      <formula>"Napkin Hs"</formula>
    </cfRule>
  </conditionalFormatting>
  <conditionalFormatting sqref="B125:C125">
    <cfRule type="cellIs" dxfId="2611" priority="3168" stopIfTrue="1" operator="equal">
      <formula>"Napkin Hs"</formula>
    </cfRule>
  </conditionalFormatting>
  <conditionalFormatting sqref="B125:C125">
    <cfRule type="cellIs" dxfId="2610" priority="3167" stopIfTrue="1" operator="equal">
      <formula>"Towel"</formula>
    </cfRule>
  </conditionalFormatting>
  <conditionalFormatting sqref="C125">
    <cfRule type="cellIs" dxfId="2609" priority="3166" stopIfTrue="1" operator="equal">
      <formula>"Napkin Hs"</formula>
    </cfRule>
  </conditionalFormatting>
  <conditionalFormatting sqref="C125">
    <cfRule type="cellIs" dxfId="2608" priority="3163" stopIfTrue="1" operator="equal">
      <formula>"Towel"</formula>
    </cfRule>
    <cfRule type="cellIs" dxfId="2607" priority="3164" stopIfTrue="1" operator="equal">
      <formula>"Napkin Hs"</formula>
    </cfRule>
  </conditionalFormatting>
  <conditionalFormatting sqref="C125">
    <cfRule type="cellIs" dxfId="2606" priority="3165" stopIfTrue="1" operator="equal">
      <formula>"Towel"</formula>
    </cfRule>
  </conditionalFormatting>
  <conditionalFormatting sqref="C126">
    <cfRule type="cellIs" dxfId="2605" priority="3159" stopIfTrue="1" operator="equal">
      <formula>"Towel"</formula>
    </cfRule>
    <cfRule type="cellIs" dxfId="2604" priority="3160" stopIfTrue="1" operator="equal">
      <formula>"Napkin Hs"</formula>
    </cfRule>
  </conditionalFormatting>
  <conditionalFormatting sqref="C126">
    <cfRule type="cellIs" dxfId="2603" priority="3157" stopIfTrue="1" operator="equal">
      <formula>"Towel"</formula>
    </cfRule>
    <cfRule type="cellIs" dxfId="2602" priority="3158" stopIfTrue="1" operator="equal">
      <formula>"Napkin Hs"</formula>
    </cfRule>
  </conditionalFormatting>
  <conditionalFormatting sqref="B126:C126">
    <cfRule type="cellIs" dxfId="2601" priority="3108" stopIfTrue="1" operator="equal">
      <formula>"Napkin Hs"</formula>
    </cfRule>
  </conditionalFormatting>
  <conditionalFormatting sqref="B126:C126">
    <cfRule type="cellIs" dxfId="2600" priority="3107" stopIfTrue="1" operator="equal">
      <formula>"Towel"</formula>
    </cfRule>
  </conditionalFormatting>
  <conditionalFormatting sqref="B126:C126">
    <cfRule type="cellIs" dxfId="2599" priority="3161" stopIfTrue="1" operator="equal">
      <formula>"Towel"</formula>
    </cfRule>
    <cfRule type="cellIs" dxfId="2598" priority="3162" stopIfTrue="1" operator="equal">
      <formula>"Napkin Hs"</formula>
    </cfRule>
  </conditionalFormatting>
  <conditionalFormatting sqref="C126">
    <cfRule type="cellIs" dxfId="2597" priority="3106" stopIfTrue="1" operator="equal">
      <formula>"Napkin Hs"</formula>
    </cfRule>
  </conditionalFormatting>
  <conditionalFormatting sqref="C126">
    <cfRule type="cellIs" dxfId="2596" priority="3105" stopIfTrue="1" operator="equal">
      <formula>"Towel"</formula>
    </cfRule>
  </conditionalFormatting>
  <conditionalFormatting sqref="C126">
    <cfRule type="cellIs" dxfId="2595" priority="3103" stopIfTrue="1" operator="equal">
      <formula>"Towel"</formula>
    </cfRule>
    <cfRule type="cellIs" dxfId="2594" priority="3104" stopIfTrue="1" operator="equal">
      <formula>"Napkin Hs"</formula>
    </cfRule>
  </conditionalFormatting>
  <conditionalFormatting sqref="B126:C126">
    <cfRule type="cellIs" dxfId="2593" priority="3156" stopIfTrue="1" operator="equal">
      <formula>"Napkin Hs"</formula>
    </cfRule>
  </conditionalFormatting>
  <conditionalFormatting sqref="B126:C126">
    <cfRule type="cellIs" dxfId="2592" priority="3155" stopIfTrue="1" operator="equal">
      <formula>"Towel"</formula>
    </cfRule>
  </conditionalFormatting>
  <conditionalFormatting sqref="C126">
    <cfRule type="cellIs" dxfId="2591" priority="3154" stopIfTrue="1" operator="equal">
      <formula>"Napkin Hs"</formula>
    </cfRule>
  </conditionalFormatting>
  <conditionalFormatting sqref="C126">
    <cfRule type="cellIs" dxfId="2590" priority="3153" stopIfTrue="1" operator="equal">
      <formula>"Towel"</formula>
    </cfRule>
  </conditionalFormatting>
  <conditionalFormatting sqref="C126">
    <cfRule type="cellIs" dxfId="2589" priority="3151" stopIfTrue="1" operator="equal">
      <formula>"Towel"</formula>
    </cfRule>
    <cfRule type="cellIs" dxfId="2588" priority="3152" stopIfTrue="1" operator="equal">
      <formula>"Napkin Hs"</formula>
    </cfRule>
  </conditionalFormatting>
  <conditionalFormatting sqref="B126:C126">
    <cfRule type="cellIs" dxfId="2587" priority="3149" stopIfTrue="1" operator="equal">
      <formula>"Towel"</formula>
    </cfRule>
    <cfRule type="cellIs" dxfId="2586" priority="3150" stopIfTrue="1" operator="equal">
      <formula>"Napkin Hs"</formula>
    </cfRule>
  </conditionalFormatting>
  <conditionalFormatting sqref="C126">
    <cfRule type="cellIs" dxfId="2585" priority="3145" stopIfTrue="1" operator="equal">
      <formula>"Towel"</formula>
    </cfRule>
    <cfRule type="cellIs" dxfId="2584" priority="3146" stopIfTrue="1" operator="equal">
      <formula>"Napkin Hs"</formula>
    </cfRule>
  </conditionalFormatting>
  <conditionalFormatting sqref="C126">
    <cfRule type="cellIs" dxfId="2583" priority="3147" stopIfTrue="1" operator="equal">
      <formula>"Towel"</formula>
    </cfRule>
    <cfRule type="cellIs" dxfId="2582" priority="3148" stopIfTrue="1" operator="equal">
      <formula>"Napkin Hs"</formula>
    </cfRule>
  </conditionalFormatting>
  <conditionalFormatting sqref="B126:C126">
    <cfRule type="cellIs" dxfId="2581" priority="3144" stopIfTrue="1" operator="equal">
      <formula>"Napkin Hs"</formula>
    </cfRule>
  </conditionalFormatting>
  <conditionalFormatting sqref="B126:C126">
    <cfRule type="cellIs" dxfId="2580" priority="3143" stopIfTrue="1" operator="equal">
      <formula>"Towel"</formula>
    </cfRule>
  </conditionalFormatting>
  <conditionalFormatting sqref="C126">
    <cfRule type="cellIs" dxfId="2579" priority="3142" stopIfTrue="1" operator="equal">
      <formula>"Napkin Hs"</formula>
    </cfRule>
  </conditionalFormatting>
  <conditionalFormatting sqref="C126">
    <cfRule type="cellIs" dxfId="2578" priority="3141" stopIfTrue="1" operator="equal">
      <formula>"Towel"</formula>
    </cfRule>
  </conditionalFormatting>
  <conditionalFormatting sqref="C126">
    <cfRule type="cellIs" dxfId="2577" priority="3139" stopIfTrue="1" operator="equal">
      <formula>"Towel"</formula>
    </cfRule>
    <cfRule type="cellIs" dxfId="2576" priority="3140" stopIfTrue="1" operator="equal">
      <formula>"Napkin Hs"</formula>
    </cfRule>
  </conditionalFormatting>
  <conditionalFormatting sqref="B126:C126">
    <cfRule type="cellIs" dxfId="2575" priority="3137" stopIfTrue="1" operator="equal">
      <formula>"Towel"</formula>
    </cfRule>
    <cfRule type="cellIs" dxfId="2574" priority="3138" stopIfTrue="1" operator="equal">
      <formula>"Napkin Hs"</formula>
    </cfRule>
  </conditionalFormatting>
  <conditionalFormatting sqref="C126">
    <cfRule type="cellIs" dxfId="2573" priority="3135" stopIfTrue="1" operator="equal">
      <formula>"Towel"</formula>
    </cfRule>
    <cfRule type="cellIs" dxfId="2572" priority="3136" stopIfTrue="1" operator="equal">
      <formula>"Napkin Hs"</formula>
    </cfRule>
  </conditionalFormatting>
  <conditionalFormatting sqref="C126">
    <cfRule type="cellIs" dxfId="2571" priority="3133" stopIfTrue="1" operator="equal">
      <formula>"Towel"</formula>
    </cfRule>
    <cfRule type="cellIs" dxfId="2570" priority="3134" stopIfTrue="1" operator="equal">
      <formula>"Napkin Hs"</formula>
    </cfRule>
  </conditionalFormatting>
  <conditionalFormatting sqref="B126:C126">
    <cfRule type="cellIs" dxfId="2569" priority="3131" stopIfTrue="1" operator="equal">
      <formula>"Towel"</formula>
    </cfRule>
    <cfRule type="cellIs" dxfId="2568" priority="3132" stopIfTrue="1" operator="equal">
      <formula>"Napkin Hs"</formula>
    </cfRule>
  </conditionalFormatting>
  <conditionalFormatting sqref="C126">
    <cfRule type="cellIs" dxfId="2567" priority="3129" stopIfTrue="1" operator="equal">
      <formula>"Towel"</formula>
    </cfRule>
    <cfRule type="cellIs" dxfId="2566" priority="3130" stopIfTrue="1" operator="equal">
      <formula>"Napkin Hs"</formula>
    </cfRule>
  </conditionalFormatting>
  <conditionalFormatting sqref="C126">
    <cfRule type="cellIs" dxfId="2565" priority="3127" stopIfTrue="1" operator="equal">
      <formula>"Towel"</formula>
    </cfRule>
    <cfRule type="cellIs" dxfId="2564" priority="3128" stopIfTrue="1" operator="equal">
      <formula>"Napkin Hs"</formula>
    </cfRule>
  </conditionalFormatting>
  <conditionalFormatting sqref="B126:C126">
    <cfRule type="cellIs" dxfId="2563" priority="3125" stopIfTrue="1" operator="equal">
      <formula>"Towel"</formula>
    </cfRule>
    <cfRule type="cellIs" dxfId="2562" priority="3126" stopIfTrue="1" operator="equal">
      <formula>"Napkin Hs"</formula>
    </cfRule>
  </conditionalFormatting>
  <conditionalFormatting sqref="C126">
    <cfRule type="cellIs" dxfId="2561" priority="3123" stopIfTrue="1" operator="equal">
      <formula>"Towel"</formula>
    </cfRule>
    <cfRule type="cellIs" dxfId="2560" priority="3124" stopIfTrue="1" operator="equal">
      <formula>"Napkin Hs"</formula>
    </cfRule>
  </conditionalFormatting>
  <conditionalFormatting sqref="C126">
    <cfRule type="cellIs" dxfId="2559" priority="3121" stopIfTrue="1" operator="equal">
      <formula>"Towel"</formula>
    </cfRule>
    <cfRule type="cellIs" dxfId="2558" priority="3122" stopIfTrue="1" operator="equal">
      <formula>"Napkin Hs"</formula>
    </cfRule>
  </conditionalFormatting>
  <conditionalFormatting sqref="B126:C126">
    <cfRule type="cellIs" dxfId="2557" priority="3119" stopIfTrue="1" operator="equal">
      <formula>"Towel"</formula>
    </cfRule>
    <cfRule type="cellIs" dxfId="2556" priority="3120" stopIfTrue="1" operator="equal">
      <formula>"Napkin Hs"</formula>
    </cfRule>
  </conditionalFormatting>
  <conditionalFormatting sqref="C126">
    <cfRule type="cellIs" dxfId="2555" priority="3117" stopIfTrue="1" operator="equal">
      <formula>"Towel"</formula>
    </cfRule>
    <cfRule type="cellIs" dxfId="2554" priority="3118" stopIfTrue="1" operator="equal">
      <formula>"Napkin Hs"</formula>
    </cfRule>
  </conditionalFormatting>
  <conditionalFormatting sqref="C126">
    <cfRule type="cellIs" dxfId="2553" priority="3115" stopIfTrue="1" operator="equal">
      <formula>"Towel"</formula>
    </cfRule>
    <cfRule type="cellIs" dxfId="2552" priority="3116" stopIfTrue="1" operator="equal">
      <formula>"Napkin Hs"</formula>
    </cfRule>
  </conditionalFormatting>
  <conditionalFormatting sqref="B126:C126">
    <cfRule type="cellIs" dxfId="2551" priority="3113" stopIfTrue="1" operator="equal">
      <formula>"Towel"</formula>
    </cfRule>
    <cfRule type="cellIs" dxfId="2550" priority="3114" stopIfTrue="1" operator="equal">
      <formula>"Napkin Hs"</formula>
    </cfRule>
  </conditionalFormatting>
  <conditionalFormatting sqref="C126">
    <cfRule type="cellIs" dxfId="2549" priority="3111" stopIfTrue="1" operator="equal">
      <formula>"Towel"</formula>
    </cfRule>
    <cfRule type="cellIs" dxfId="2548" priority="3112" stopIfTrue="1" operator="equal">
      <formula>"Napkin Hs"</formula>
    </cfRule>
  </conditionalFormatting>
  <conditionalFormatting sqref="C126">
    <cfRule type="cellIs" dxfId="2547" priority="3109" stopIfTrue="1" operator="equal">
      <formula>"Towel"</formula>
    </cfRule>
    <cfRule type="cellIs" dxfId="2546" priority="3110" stopIfTrue="1" operator="equal">
      <formula>"Napkin Hs"</formula>
    </cfRule>
  </conditionalFormatting>
  <conditionalFormatting sqref="B126:C126">
    <cfRule type="cellIs" dxfId="2545" priority="3099" stopIfTrue="1" operator="equal">
      <formula>"Towel"</formula>
    </cfRule>
    <cfRule type="cellIs" dxfId="2544" priority="3100" stopIfTrue="1" operator="equal">
      <formula>"Napkin Hs"</formula>
    </cfRule>
  </conditionalFormatting>
  <conditionalFormatting sqref="C126">
    <cfRule type="cellIs" dxfId="2543" priority="3101" stopIfTrue="1" operator="equal">
      <formula>"Towel"</formula>
    </cfRule>
    <cfRule type="cellIs" dxfId="2542" priority="3102" stopIfTrue="1" operator="equal">
      <formula>"Napkin Hs"</formula>
    </cfRule>
  </conditionalFormatting>
  <conditionalFormatting sqref="C126">
    <cfRule type="cellIs" dxfId="2541" priority="3097" stopIfTrue="1" operator="equal">
      <formula>"Towel"</formula>
    </cfRule>
    <cfRule type="cellIs" dxfId="2540" priority="3098" stopIfTrue="1" operator="equal">
      <formula>"Napkin Hs"</formula>
    </cfRule>
  </conditionalFormatting>
  <conditionalFormatting sqref="B126:C126">
    <cfRule type="cellIs" dxfId="2539" priority="3096" stopIfTrue="1" operator="equal">
      <formula>"Napkin Hs"</formula>
    </cfRule>
  </conditionalFormatting>
  <conditionalFormatting sqref="B126:C126">
    <cfRule type="cellIs" dxfId="2538" priority="3095" stopIfTrue="1" operator="equal">
      <formula>"Towel"</formula>
    </cfRule>
  </conditionalFormatting>
  <conditionalFormatting sqref="C126">
    <cfRule type="cellIs" dxfId="2537" priority="3094" stopIfTrue="1" operator="equal">
      <formula>"Napkin Hs"</formula>
    </cfRule>
  </conditionalFormatting>
  <conditionalFormatting sqref="C126">
    <cfRule type="cellIs" dxfId="2536" priority="3093" stopIfTrue="1" operator="equal">
      <formula>"Towel"</formula>
    </cfRule>
  </conditionalFormatting>
  <conditionalFormatting sqref="C126">
    <cfRule type="cellIs" dxfId="2535" priority="3091" stopIfTrue="1" operator="equal">
      <formula>"Towel"</formula>
    </cfRule>
    <cfRule type="cellIs" dxfId="2534" priority="3092" stopIfTrue="1" operator="equal">
      <formula>"Napkin Hs"</formula>
    </cfRule>
  </conditionalFormatting>
  <conditionalFormatting sqref="B126:C126">
    <cfRule type="cellIs" dxfId="2533" priority="3089" stopIfTrue="1" operator="equal">
      <formula>"Towel"</formula>
    </cfRule>
    <cfRule type="cellIs" dxfId="2532" priority="3090" stopIfTrue="1" operator="equal">
      <formula>"Napkin Hs"</formula>
    </cfRule>
  </conditionalFormatting>
  <conditionalFormatting sqref="C126">
    <cfRule type="cellIs" dxfId="2531" priority="3085" stopIfTrue="1" operator="equal">
      <formula>"Towel"</formula>
    </cfRule>
    <cfRule type="cellIs" dxfId="2530" priority="3086" stopIfTrue="1" operator="equal">
      <formula>"Napkin Hs"</formula>
    </cfRule>
  </conditionalFormatting>
  <conditionalFormatting sqref="C126">
    <cfRule type="cellIs" dxfId="2529" priority="3087" stopIfTrue="1" operator="equal">
      <formula>"Towel"</formula>
    </cfRule>
    <cfRule type="cellIs" dxfId="2528" priority="3088" stopIfTrue="1" operator="equal">
      <formula>"Napkin Hs"</formula>
    </cfRule>
  </conditionalFormatting>
  <conditionalFormatting sqref="B126:C126">
    <cfRule type="cellIs" dxfId="2527" priority="3084" stopIfTrue="1" operator="equal">
      <formula>"Napkin Hs"</formula>
    </cfRule>
  </conditionalFormatting>
  <conditionalFormatting sqref="B126:C126">
    <cfRule type="cellIs" dxfId="2526" priority="3083" stopIfTrue="1" operator="equal">
      <formula>"Towel"</formula>
    </cfRule>
  </conditionalFormatting>
  <conditionalFormatting sqref="C126">
    <cfRule type="cellIs" dxfId="2525" priority="3082" stopIfTrue="1" operator="equal">
      <formula>"Napkin Hs"</formula>
    </cfRule>
  </conditionalFormatting>
  <conditionalFormatting sqref="C126">
    <cfRule type="cellIs" dxfId="2524" priority="3081" stopIfTrue="1" operator="equal">
      <formula>"Towel"</formula>
    </cfRule>
  </conditionalFormatting>
  <conditionalFormatting sqref="C126">
    <cfRule type="cellIs" dxfId="2523" priority="3079" stopIfTrue="1" operator="equal">
      <formula>"Towel"</formula>
    </cfRule>
    <cfRule type="cellIs" dxfId="2522" priority="3080" stopIfTrue="1" operator="equal">
      <formula>"Napkin Hs"</formula>
    </cfRule>
  </conditionalFormatting>
  <conditionalFormatting sqref="B126:C126">
    <cfRule type="cellIs" dxfId="2521" priority="3077" stopIfTrue="1" operator="equal">
      <formula>"Towel"</formula>
    </cfRule>
    <cfRule type="cellIs" dxfId="2520" priority="3078" stopIfTrue="1" operator="equal">
      <formula>"Napkin Hs"</formula>
    </cfRule>
  </conditionalFormatting>
  <conditionalFormatting sqref="C126">
    <cfRule type="cellIs" dxfId="2519" priority="3075" stopIfTrue="1" operator="equal">
      <formula>"Towel"</formula>
    </cfRule>
    <cfRule type="cellIs" dxfId="2518" priority="3076" stopIfTrue="1" operator="equal">
      <formula>"Napkin Hs"</formula>
    </cfRule>
  </conditionalFormatting>
  <conditionalFormatting sqref="C126">
    <cfRule type="cellIs" dxfId="2517" priority="3073" stopIfTrue="1" operator="equal">
      <formula>"Towel"</formula>
    </cfRule>
    <cfRule type="cellIs" dxfId="2516" priority="3074" stopIfTrue="1" operator="equal">
      <formula>"Napkin Hs"</formula>
    </cfRule>
  </conditionalFormatting>
  <conditionalFormatting sqref="B126:C126">
    <cfRule type="cellIs" dxfId="2515" priority="3071" stopIfTrue="1" operator="equal">
      <formula>"Towel"</formula>
    </cfRule>
    <cfRule type="cellIs" dxfId="2514" priority="3072" stopIfTrue="1" operator="equal">
      <formula>"Napkin Hs"</formula>
    </cfRule>
  </conditionalFormatting>
  <conditionalFormatting sqref="C126">
    <cfRule type="cellIs" dxfId="2513" priority="3069" stopIfTrue="1" operator="equal">
      <formula>"Towel"</formula>
    </cfRule>
    <cfRule type="cellIs" dxfId="2512" priority="3070" stopIfTrue="1" operator="equal">
      <formula>"Napkin Hs"</formula>
    </cfRule>
  </conditionalFormatting>
  <conditionalFormatting sqref="C126">
    <cfRule type="cellIs" dxfId="2511" priority="3067" stopIfTrue="1" operator="equal">
      <formula>"Towel"</formula>
    </cfRule>
    <cfRule type="cellIs" dxfId="2510" priority="3068" stopIfTrue="1" operator="equal">
      <formula>"Napkin Hs"</formula>
    </cfRule>
  </conditionalFormatting>
  <conditionalFormatting sqref="B126:C126">
    <cfRule type="cellIs" dxfId="2509" priority="3065" stopIfTrue="1" operator="equal">
      <formula>"Towel"</formula>
    </cfRule>
    <cfRule type="cellIs" dxfId="2508" priority="3066" stopIfTrue="1" operator="equal">
      <formula>"Napkin Hs"</formula>
    </cfRule>
  </conditionalFormatting>
  <conditionalFormatting sqref="C126">
    <cfRule type="cellIs" dxfId="2507" priority="3063" stopIfTrue="1" operator="equal">
      <formula>"Towel"</formula>
    </cfRule>
    <cfRule type="cellIs" dxfId="2506" priority="3064" stopIfTrue="1" operator="equal">
      <formula>"Napkin Hs"</formula>
    </cfRule>
  </conditionalFormatting>
  <conditionalFormatting sqref="C126">
    <cfRule type="cellIs" dxfId="2505" priority="3061" stopIfTrue="1" operator="equal">
      <formula>"Towel"</formula>
    </cfRule>
    <cfRule type="cellIs" dxfId="2504" priority="3062" stopIfTrue="1" operator="equal">
      <formula>"Napkin Hs"</formula>
    </cfRule>
  </conditionalFormatting>
  <conditionalFormatting sqref="B126:C126">
    <cfRule type="cellIs" dxfId="2503" priority="3059" stopIfTrue="1" operator="equal">
      <formula>"Towel"</formula>
    </cfRule>
    <cfRule type="cellIs" dxfId="2502" priority="3060" stopIfTrue="1" operator="equal">
      <formula>"Napkin Hs"</formula>
    </cfRule>
  </conditionalFormatting>
  <conditionalFormatting sqref="C126">
    <cfRule type="cellIs" dxfId="2501" priority="3057" stopIfTrue="1" operator="equal">
      <formula>"Towel"</formula>
    </cfRule>
    <cfRule type="cellIs" dxfId="2500" priority="3058" stopIfTrue="1" operator="equal">
      <formula>"Napkin Hs"</formula>
    </cfRule>
  </conditionalFormatting>
  <conditionalFormatting sqref="C126">
    <cfRule type="cellIs" dxfId="2499" priority="3055" stopIfTrue="1" operator="equal">
      <formula>"Towel"</formula>
    </cfRule>
    <cfRule type="cellIs" dxfId="2498" priority="3056" stopIfTrue="1" operator="equal">
      <formula>"Napkin Hs"</formula>
    </cfRule>
  </conditionalFormatting>
  <conditionalFormatting sqref="B126:C126">
    <cfRule type="cellIs" dxfId="2497" priority="3053" stopIfTrue="1" operator="equal">
      <formula>"Towel"</formula>
    </cfRule>
    <cfRule type="cellIs" dxfId="2496" priority="3054" stopIfTrue="1" operator="equal">
      <formula>"Napkin Hs"</formula>
    </cfRule>
  </conditionalFormatting>
  <conditionalFormatting sqref="C126">
    <cfRule type="cellIs" dxfId="2495" priority="3051" stopIfTrue="1" operator="equal">
      <formula>"Towel"</formula>
    </cfRule>
    <cfRule type="cellIs" dxfId="2494" priority="3052" stopIfTrue="1" operator="equal">
      <formula>"Napkin Hs"</formula>
    </cfRule>
  </conditionalFormatting>
  <conditionalFormatting sqref="C126">
    <cfRule type="cellIs" dxfId="2493" priority="3049" stopIfTrue="1" operator="equal">
      <formula>"Towel"</formula>
    </cfRule>
    <cfRule type="cellIs" dxfId="2492" priority="3050" stopIfTrue="1" operator="equal">
      <formula>"Napkin Hs"</formula>
    </cfRule>
  </conditionalFormatting>
  <conditionalFormatting sqref="B126:C126">
    <cfRule type="cellIs" dxfId="2491" priority="3048" stopIfTrue="1" operator="equal">
      <formula>"Napkin Hs"</formula>
    </cfRule>
  </conditionalFormatting>
  <conditionalFormatting sqref="B126:C126">
    <cfRule type="cellIs" dxfId="2490" priority="3047" stopIfTrue="1" operator="equal">
      <formula>"Towel"</formula>
    </cfRule>
  </conditionalFormatting>
  <conditionalFormatting sqref="C126">
    <cfRule type="cellIs" dxfId="2489" priority="3046" stopIfTrue="1" operator="equal">
      <formula>"Napkin Hs"</formula>
    </cfRule>
  </conditionalFormatting>
  <conditionalFormatting sqref="C126">
    <cfRule type="cellIs" dxfId="2488" priority="3043" stopIfTrue="1" operator="equal">
      <formula>"Towel"</formula>
    </cfRule>
    <cfRule type="cellIs" dxfId="2487" priority="3044" stopIfTrue="1" operator="equal">
      <formula>"Napkin Hs"</formula>
    </cfRule>
  </conditionalFormatting>
  <conditionalFormatting sqref="C126">
    <cfRule type="cellIs" dxfId="2486" priority="3045" stopIfTrue="1" operator="equal">
      <formula>"Towel"</formula>
    </cfRule>
  </conditionalFormatting>
  <conditionalFormatting sqref="B126:C126">
    <cfRule type="cellIs" dxfId="2485" priority="3042" stopIfTrue="1" operator="equal">
      <formula>"Napkin Hs"</formula>
    </cfRule>
  </conditionalFormatting>
  <conditionalFormatting sqref="B126:C126">
    <cfRule type="cellIs" dxfId="2484" priority="3041" stopIfTrue="1" operator="equal">
      <formula>"Towel"</formula>
    </cfRule>
  </conditionalFormatting>
  <conditionalFormatting sqref="C126">
    <cfRule type="cellIs" dxfId="2483" priority="3040" stopIfTrue="1" operator="equal">
      <formula>"Napkin Hs"</formula>
    </cfRule>
  </conditionalFormatting>
  <conditionalFormatting sqref="C126">
    <cfRule type="cellIs" dxfId="2482" priority="3039" stopIfTrue="1" operator="equal">
      <formula>"Towel"</formula>
    </cfRule>
  </conditionalFormatting>
  <conditionalFormatting sqref="C126">
    <cfRule type="cellIs" dxfId="2481" priority="3037" stopIfTrue="1" operator="equal">
      <formula>"Towel"</formula>
    </cfRule>
    <cfRule type="cellIs" dxfId="2480" priority="3038" stopIfTrue="1" operator="equal">
      <formula>"Napkin Hs"</formula>
    </cfRule>
  </conditionalFormatting>
  <conditionalFormatting sqref="C126">
    <cfRule type="cellIs" dxfId="2479" priority="3031" stopIfTrue="1" operator="equal">
      <formula>"Towel"</formula>
    </cfRule>
    <cfRule type="cellIs" dxfId="2478" priority="3032" stopIfTrue="1" operator="equal">
      <formula>"Napkin Hs"</formula>
    </cfRule>
  </conditionalFormatting>
  <conditionalFormatting sqref="B126:C126">
    <cfRule type="cellIs" dxfId="2477" priority="3030" stopIfTrue="1" operator="equal">
      <formula>"Napkin Hs"</formula>
    </cfRule>
  </conditionalFormatting>
  <conditionalFormatting sqref="B126:C126">
    <cfRule type="cellIs" dxfId="2476" priority="3029" stopIfTrue="1" operator="equal">
      <formula>"Towel"</formula>
    </cfRule>
  </conditionalFormatting>
  <conditionalFormatting sqref="C126">
    <cfRule type="cellIs" dxfId="2475" priority="3028" stopIfTrue="1" operator="equal">
      <formula>"Napkin Hs"</formula>
    </cfRule>
  </conditionalFormatting>
  <conditionalFormatting sqref="C126">
    <cfRule type="cellIs" dxfId="2474" priority="3027" stopIfTrue="1" operator="equal">
      <formula>"Towel"</formula>
    </cfRule>
  </conditionalFormatting>
  <conditionalFormatting sqref="C126">
    <cfRule type="cellIs" dxfId="2473" priority="3025" stopIfTrue="1" operator="equal">
      <formula>"Towel"</formula>
    </cfRule>
    <cfRule type="cellIs" dxfId="2472" priority="3026" stopIfTrue="1" operator="equal">
      <formula>"Napkin Hs"</formula>
    </cfRule>
  </conditionalFormatting>
  <conditionalFormatting sqref="C126">
    <cfRule type="cellIs" dxfId="2471" priority="3019" stopIfTrue="1" operator="equal">
      <formula>"Towel"</formula>
    </cfRule>
    <cfRule type="cellIs" dxfId="2470" priority="3020" stopIfTrue="1" operator="equal">
      <formula>"Napkin Hs"</formula>
    </cfRule>
  </conditionalFormatting>
  <conditionalFormatting sqref="C126">
    <cfRule type="cellIs" dxfId="2469" priority="3013" stopIfTrue="1" operator="equal">
      <formula>"Towel"</formula>
    </cfRule>
    <cfRule type="cellIs" dxfId="2468" priority="3014" stopIfTrue="1" operator="equal">
      <formula>"Napkin Hs"</formula>
    </cfRule>
  </conditionalFormatting>
  <conditionalFormatting sqref="C126">
    <cfRule type="cellIs" dxfId="2467" priority="3007" stopIfTrue="1" operator="equal">
      <formula>"Towel"</formula>
    </cfRule>
    <cfRule type="cellIs" dxfId="2466" priority="3008" stopIfTrue="1" operator="equal">
      <formula>"Napkin Hs"</formula>
    </cfRule>
  </conditionalFormatting>
  <conditionalFormatting sqref="C126">
    <cfRule type="cellIs" dxfId="2465" priority="3001" stopIfTrue="1" operator="equal">
      <formula>"Towel"</formula>
    </cfRule>
    <cfRule type="cellIs" dxfId="2464" priority="3002" stopIfTrue="1" operator="equal">
      <formula>"Napkin Hs"</formula>
    </cfRule>
  </conditionalFormatting>
  <conditionalFormatting sqref="C126">
    <cfRule type="cellIs" dxfId="2463" priority="2995" stopIfTrue="1" operator="equal">
      <formula>"Towel"</formula>
    </cfRule>
    <cfRule type="cellIs" dxfId="2462" priority="2996" stopIfTrue="1" operator="equal">
      <formula>"Napkin Hs"</formula>
    </cfRule>
  </conditionalFormatting>
  <conditionalFormatting sqref="B126:C126">
    <cfRule type="cellIs" dxfId="2461" priority="2994" stopIfTrue="1" operator="equal">
      <formula>"Napkin Hs"</formula>
    </cfRule>
  </conditionalFormatting>
  <conditionalFormatting sqref="B126:C126">
    <cfRule type="cellIs" dxfId="2460" priority="2993" stopIfTrue="1" operator="equal">
      <formula>"Towel"</formula>
    </cfRule>
  </conditionalFormatting>
  <conditionalFormatting sqref="C126">
    <cfRule type="cellIs" dxfId="2459" priority="2992" stopIfTrue="1" operator="equal">
      <formula>"Napkin Hs"</formula>
    </cfRule>
  </conditionalFormatting>
  <conditionalFormatting sqref="C126">
    <cfRule type="cellIs" dxfId="2458" priority="2989" stopIfTrue="1" operator="equal">
      <formula>"Towel"</formula>
    </cfRule>
    <cfRule type="cellIs" dxfId="2457" priority="2990" stopIfTrue="1" operator="equal">
      <formula>"Napkin Hs"</formula>
    </cfRule>
  </conditionalFormatting>
  <conditionalFormatting sqref="C126">
    <cfRule type="cellIs" dxfId="2456" priority="2991" stopIfTrue="1" operator="equal">
      <formula>"Towel"</formula>
    </cfRule>
  </conditionalFormatting>
  <conditionalFormatting sqref="B126:C126">
    <cfRule type="cellIs" dxfId="2455" priority="2988" stopIfTrue="1" operator="equal">
      <formula>"Napkin Hs"</formula>
    </cfRule>
  </conditionalFormatting>
  <conditionalFormatting sqref="B126:C126">
    <cfRule type="cellIs" dxfId="2454" priority="2987" stopIfTrue="1" operator="equal">
      <formula>"Towel"</formula>
    </cfRule>
  </conditionalFormatting>
  <conditionalFormatting sqref="C126">
    <cfRule type="cellIs" dxfId="2453" priority="2986" stopIfTrue="1" operator="equal">
      <formula>"Napkin Hs"</formula>
    </cfRule>
  </conditionalFormatting>
  <conditionalFormatting sqref="C126">
    <cfRule type="cellIs" dxfId="2452" priority="2983" stopIfTrue="1" operator="equal">
      <formula>"Towel"</formula>
    </cfRule>
    <cfRule type="cellIs" dxfId="2451" priority="2984" stopIfTrue="1" operator="equal">
      <formula>"Napkin Hs"</formula>
    </cfRule>
  </conditionalFormatting>
  <conditionalFormatting sqref="C126">
    <cfRule type="cellIs" dxfId="2450" priority="2985" stopIfTrue="1" operator="equal">
      <formula>"Towel"</formula>
    </cfRule>
  </conditionalFormatting>
  <conditionalFormatting sqref="B126:C126">
    <cfRule type="cellIs" dxfId="2449" priority="3035" stopIfTrue="1" operator="equal">
      <formula>"Towel"</formula>
    </cfRule>
    <cfRule type="cellIs" dxfId="2448" priority="3036" stopIfTrue="1" operator="equal">
      <formula>"Napkin Hs"</formula>
    </cfRule>
  </conditionalFormatting>
  <conditionalFormatting sqref="C126">
    <cfRule type="cellIs" dxfId="2447" priority="3033" stopIfTrue="1" operator="equal">
      <formula>"Towel"</formula>
    </cfRule>
    <cfRule type="cellIs" dxfId="2446" priority="3034" stopIfTrue="1" operator="equal">
      <formula>"Napkin Hs"</formula>
    </cfRule>
  </conditionalFormatting>
  <conditionalFormatting sqref="B126:C126">
    <cfRule type="cellIs" dxfId="2445" priority="3023" stopIfTrue="1" operator="equal">
      <formula>"Towel"</formula>
    </cfRule>
    <cfRule type="cellIs" dxfId="2444" priority="3024" stopIfTrue="1" operator="equal">
      <formula>"Napkin Hs"</formula>
    </cfRule>
  </conditionalFormatting>
  <conditionalFormatting sqref="C126">
    <cfRule type="cellIs" dxfId="2443" priority="3021" stopIfTrue="1" operator="equal">
      <formula>"Towel"</formula>
    </cfRule>
    <cfRule type="cellIs" dxfId="2442" priority="3022" stopIfTrue="1" operator="equal">
      <formula>"Napkin Hs"</formula>
    </cfRule>
  </conditionalFormatting>
  <conditionalFormatting sqref="B126:C126">
    <cfRule type="cellIs" dxfId="2441" priority="3017" stopIfTrue="1" operator="equal">
      <formula>"Towel"</formula>
    </cfRule>
    <cfRule type="cellIs" dxfId="2440" priority="3018" stopIfTrue="1" operator="equal">
      <formula>"Napkin Hs"</formula>
    </cfRule>
  </conditionalFormatting>
  <conditionalFormatting sqref="C126">
    <cfRule type="cellIs" dxfId="2439" priority="3015" stopIfTrue="1" operator="equal">
      <formula>"Towel"</formula>
    </cfRule>
    <cfRule type="cellIs" dxfId="2438" priority="3016" stopIfTrue="1" operator="equal">
      <formula>"Napkin Hs"</formula>
    </cfRule>
  </conditionalFormatting>
  <conditionalFormatting sqref="B126:C126">
    <cfRule type="cellIs" dxfId="2437" priority="3011" stopIfTrue="1" operator="equal">
      <formula>"Towel"</formula>
    </cfRule>
    <cfRule type="cellIs" dxfId="2436" priority="3012" stopIfTrue="1" operator="equal">
      <formula>"Napkin Hs"</formula>
    </cfRule>
  </conditionalFormatting>
  <conditionalFormatting sqref="C126">
    <cfRule type="cellIs" dxfId="2435" priority="3009" stopIfTrue="1" operator="equal">
      <formula>"Towel"</formula>
    </cfRule>
    <cfRule type="cellIs" dxfId="2434" priority="3010" stopIfTrue="1" operator="equal">
      <formula>"Napkin Hs"</formula>
    </cfRule>
  </conditionalFormatting>
  <conditionalFormatting sqref="B126:C126">
    <cfRule type="cellIs" dxfId="2433" priority="3005" stopIfTrue="1" operator="equal">
      <formula>"Towel"</formula>
    </cfRule>
    <cfRule type="cellIs" dxfId="2432" priority="3006" stopIfTrue="1" operator="equal">
      <formula>"Napkin Hs"</formula>
    </cfRule>
  </conditionalFormatting>
  <conditionalFormatting sqref="C126">
    <cfRule type="cellIs" dxfId="2431" priority="3003" stopIfTrue="1" operator="equal">
      <formula>"Towel"</formula>
    </cfRule>
    <cfRule type="cellIs" dxfId="2430" priority="3004" stopIfTrue="1" operator="equal">
      <formula>"Napkin Hs"</formula>
    </cfRule>
  </conditionalFormatting>
  <conditionalFormatting sqref="B126:C126">
    <cfRule type="cellIs" dxfId="2429" priority="2999" stopIfTrue="1" operator="equal">
      <formula>"Towel"</formula>
    </cfRule>
    <cfRule type="cellIs" dxfId="2428" priority="3000" stopIfTrue="1" operator="equal">
      <formula>"Napkin Hs"</formula>
    </cfRule>
  </conditionalFormatting>
  <conditionalFormatting sqref="C126">
    <cfRule type="cellIs" dxfId="2427" priority="2997" stopIfTrue="1" operator="equal">
      <formula>"Towel"</formula>
    </cfRule>
    <cfRule type="cellIs" dxfId="2426" priority="2998" stopIfTrue="1" operator="equal">
      <formula>"Napkin Hs"</formula>
    </cfRule>
  </conditionalFormatting>
  <conditionalFormatting sqref="B126:C126">
    <cfRule type="cellIs" dxfId="2425" priority="2982" stopIfTrue="1" operator="equal">
      <formula>"Napkin Hs"</formula>
    </cfRule>
  </conditionalFormatting>
  <conditionalFormatting sqref="B126:C126">
    <cfRule type="cellIs" dxfId="2424" priority="2981" stopIfTrue="1" operator="equal">
      <formula>"Towel"</formula>
    </cfRule>
  </conditionalFormatting>
  <conditionalFormatting sqref="C126">
    <cfRule type="cellIs" dxfId="2423" priority="2980" stopIfTrue="1" operator="equal">
      <formula>"Napkin Hs"</formula>
    </cfRule>
  </conditionalFormatting>
  <conditionalFormatting sqref="C126">
    <cfRule type="cellIs" dxfId="2422" priority="2977" stopIfTrue="1" operator="equal">
      <formula>"Towel"</formula>
    </cfRule>
    <cfRule type="cellIs" dxfId="2421" priority="2978" stopIfTrue="1" operator="equal">
      <formula>"Napkin Hs"</formula>
    </cfRule>
  </conditionalFormatting>
  <conditionalFormatting sqref="C126">
    <cfRule type="cellIs" dxfId="2420" priority="2979" stopIfTrue="1" operator="equal">
      <formula>"Towel"</formula>
    </cfRule>
  </conditionalFormatting>
  <conditionalFormatting sqref="B131:C131">
    <cfRule type="cellIs" dxfId="2419" priority="2976" stopIfTrue="1" operator="equal">
      <formula>"Napkin Hs"</formula>
    </cfRule>
  </conditionalFormatting>
  <conditionalFormatting sqref="B131:C131">
    <cfRule type="cellIs" dxfId="2418" priority="2975" stopIfTrue="1" operator="equal">
      <formula>"Towel"</formula>
    </cfRule>
  </conditionalFormatting>
  <conditionalFormatting sqref="C131">
    <cfRule type="cellIs" dxfId="2417" priority="2974" stopIfTrue="1" operator="equal">
      <formula>"Napkin Hs"</formula>
    </cfRule>
  </conditionalFormatting>
  <conditionalFormatting sqref="C131">
    <cfRule type="cellIs" dxfId="2416" priority="2973" stopIfTrue="1" operator="equal">
      <formula>"Towel"</formula>
    </cfRule>
  </conditionalFormatting>
  <conditionalFormatting sqref="C131">
    <cfRule type="cellIs" dxfId="2415" priority="2971" stopIfTrue="1" operator="equal">
      <formula>"Towel"</formula>
    </cfRule>
    <cfRule type="cellIs" dxfId="2414" priority="2972" stopIfTrue="1" operator="equal">
      <formula>"Napkin Hs"</formula>
    </cfRule>
  </conditionalFormatting>
  <conditionalFormatting sqref="C131">
    <cfRule type="cellIs" dxfId="2413" priority="2853" stopIfTrue="1" operator="equal">
      <formula>"Towel"</formula>
    </cfRule>
    <cfRule type="cellIs" dxfId="2412" priority="2854" stopIfTrue="1" operator="equal">
      <formula>"Napkin Hs"</formula>
    </cfRule>
  </conditionalFormatting>
  <conditionalFormatting sqref="B131:C131">
    <cfRule type="cellIs" dxfId="2411" priority="2855" stopIfTrue="1" operator="equal">
      <formula>"Towel"</formula>
    </cfRule>
    <cfRule type="cellIs" dxfId="2410" priority="2856" stopIfTrue="1" operator="equal">
      <formula>"Napkin Hs"</formula>
    </cfRule>
  </conditionalFormatting>
  <conditionalFormatting sqref="C131">
    <cfRule type="cellIs" dxfId="2409" priority="2851" stopIfTrue="1" operator="equal">
      <formula>"Towel"</formula>
    </cfRule>
    <cfRule type="cellIs" dxfId="2408" priority="2852" stopIfTrue="1" operator="equal">
      <formula>"Napkin Hs"</formula>
    </cfRule>
  </conditionalFormatting>
  <conditionalFormatting sqref="C131">
    <cfRule type="cellIs" dxfId="2407" priority="2845" stopIfTrue="1" operator="equal">
      <formula>"Towel"</formula>
    </cfRule>
    <cfRule type="cellIs" dxfId="2406" priority="2846" stopIfTrue="1" operator="equal">
      <formula>"Napkin Hs"</formula>
    </cfRule>
  </conditionalFormatting>
  <conditionalFormatting sqref="B131">
    <cfRule type="cellIs" dxfId="2405" priority="2970" stopIfTrue="1" operator="equal">
      <formula>"Napkin Hs"</formula>
    </cfRule>
  </conditionalFormatting>
  <conditionalFormatting sqref="B131">
    <cfRule type="cellIs" dxfId="2404" priority="2969" stopIfTrue="1" operator="equal">
      <formula>"Towel"</formula>
    </cfRule>
  </conditionalFormatting>
  <conditionalFormatting sqref="B131">
    <cfRule type="cellIs" dxfId="2403" priority="2967" stopIfTrue="1" operator="equal">
      <formula>"Towel"</formula>
    </cfRule>
    <cfRule type="cellIs" dxfId="2402" priority="2968" stopIfTrue="1" operator="equal">
      <formula>"Napkin Hs"</formula>
    </cfRule>
  </conditionalFormatting>
  <conditionalFormatting sqref="B131">
    <cfRule type="cellIs" dxfId="2401" priority="2966" stopIfTrue="1" operator="equal">
      <formula>"Napkin Hs"</formula>
    </cfRule>
  </conditionalFormatting>
  <conditionalFormatting sqref="B131">
    <cfRule type="cellIs" dxfId="2400" priority="2965" stopIfTrue="1" operator="equal">
      <formula>"Towel"</formula>
    </cfRule>
  </conditionalFormatting>
  <conditionalFormatting sqref="B131">
    <cfRule type="cellIs" dxfId="2399" priority="2963" stopIfTrue="1" operator="equal">
      <formula>"Towel"</formula>
    </cfRule>
    <cfRule type="cellIs" dxfId="2398" priority="2964" stopIfTrue="1" operator="equal">
      <formula>"Napkin Hs"</formula>
    </cfRule>
  </conditionalFormatting>
  <conditionalFormatting sqref="B131">
    <cfRule type="cellIs" dxfId="2397" priority="2961" stopIfTrue="1" operator="equal">
      <formula>"Towel"</formula>
    </cfRule>
    <cfRule type="cellIs" dxfId="2396" priority="2962" stopIfTrue="1" operator="equal">
      <formula>"Napkin Hs"</formula>
    </cfRule>
  </conditionalFormatting>
  <conditionalFormatting sqref="B131">
    <cfRule type="cellIs" dxfId="2395" priority="2959" stopIfTrue="1" operator="equal">
      <formula>"Towel"</formula>
    </cfRule>
    <cfRule type="cellIs" dxfId="2394" priority="2960" stopIfTrue="1" operator="equal">
      <formula>"Napkin Hs"</formula>
    </cfRule>
  </conditionalFormatting>
  <conditionalFormatting sqref="B131">
    <cfRule type="cellIs" dxfId="2393" priority="2957" stopIfTrue="1" operator="equal">
      <formula>"Towel"</formula>
    </cfRule>
    <cfRule type="cellIs" dxfId="2392" priority="2958" stopIfTrue="1" operator="equal">
      <formula>"Napkin Hs"</formula>
    </cfRule>
  </conditionalFormatting>
  <conditionalFormatting sqref="B131">
    <cfRule type="cellIs" dxfId="2391" priority="2955" stopIfTrue="1" operator="equal">
      <formula>"Towel"</formula>
    </cfRule>
    <cfRule type="cellIs" dxfId="2390" priority="2956" stopIfTrue="1" operator="equal">
      <formula>"Napkin Hs"</formula>
    </cfRule>
  </conditionalFormatting>
  <conditionalFormatting sqref="B131">
    <cfRule type="cellIs" dxfId="2389" priority="2954" stopIfTrue="1" operator="equal">
      <formula>"Napkin Hs"</formula>
    </cfRule>
  </conditionalFormatting>
  <conditionalFormatting sqref="B131">
    <cfRule type="cellIs" dxfId="2388" priority="2953" stopIfTrue="1" operator="equal">
      <formula>"Towel"</formula>
    </cfRule>
  </conditionalFormatting>
  <conditionalFormatting sqref="C131">
    <cfRule type="cellIs" dxfId="2387" priority="2952" stopIfTrue="1" operator="equal">
      <formula>"Napkin Hs"</formula>
    </cfRule>
  </conditionalFormatting>
  <conditionalFormatting sqref="C131">
    <cfRule type="cellIs" dxfId="2386" priority="2951" stopIfTrue="1" operator="equal">
      <formula>"Towel"</formula>
    </cfRule>
  </conditionalFormatting>
  <conditionalFormatting sqref="C131">
    <cfRule type="cellIs" dxfId="2385" priority="2950" stopIfTrue="1" operator="equal">
      <formula>"Napkin Hs"</formula>
    </cfRule>
  </conditionalFormatting>
  <conditionalFormatting sqref="C131">
    <cfRule type="cellIs" dxfId="2384" priority="2949" stopIfTrue="1" operator="equal">
      <formula>"Towel"</formula>
    </cfRule>
  </conditionalFormatting>
  <conditionalFormatting sqref="C131">
    <cfRule type="cellIs" dxfId="2383" priority="2947" stopIfTrue="1" operator="equal">
      <formula>"Towel"</formula>
    </cfRule>
    <cfRule type="cellIs" dxfId="2382" priority="2948" stopIfTrue="1" operator="equal">
      <formula>"Napkin Hs"</formula>
    </cfRule>
  </conditionalFormatting>
  <conditionalFormatting sqref="C131">
    <cfRule type="cellIs" dxfId="2381" priority="2945" stopIfTrue="1" operator="equal">
      <formula>"Towel"</formula>
    </cfRule>
    <cfRule type="cellIs" dxfId="2380" priority="2946" stopIfTrue="1" operator="equal">
      <formula>"Napkin Hs"</formula>
    </cfRule>
  </conditionalFormatting>
  <conditionalFormatting sqref="C131">
    <cfRule type="cellIs" dxfId="2379" priority="2941" stopIfTrue="1" operator="equal">
      <formula>"Towel"</formula>
    </cfRule>
    <cfRule type="cellIs" dxfId="2378" priority="2942" stopIfTrue="1" operator="equal">
      <formula>"Napkin Hs"</formula>
    </cfRule>
  </conditionalFormatting>
  <conditionalFormatting sqref="C131">
    <cfRule type="cellIs" dxfId="2377" priority="2943" stopIfTrue="1" operator="equal">
      <formula>"Towel"</formula>
    </cfRule>
    <cfRule type="cellIs" dxfId="2376" priority="2944" stopIfTrue="1" operator="equal">
      <formula>"Napkin Hs"</formula>
    </cfRule>
  </conditionalFormatting>
  <conditionalFormatting sqref="C131">
    <cfRule type="cellIs" dxfId="2375" priority="2940" stopIfTrue="1" operator="equal">
      <formula>"Napkin Hs"</formula>
    </cfRule>
  </conditionalFormatting>
  <conditionalFormatting sqref="C131">
    <cfRule type="cellIs" dxfId="2374" priority="2939" stopIfTrue="1" operator="equal">
      <formula>"Towel"</formula>
    </cfRule>
  </conditionalFormatting>
  <conditionalFormatting sqref="C131">
    <cfRule type="cellIs" dxfId="2373" priority="2938" stopIfTrue="1" operator="equal">
      <formula>"Napkin Hs"</formula>
    </cfRule>
  </conditionalFormatting>
  <conditionalFormatting sqref="C131">
    <cfRule type="cellIs" dxfId="2372" priority="2937" stopIfTrue="1" operator="equal">
      <formula>"Towel"</formula>
    </cfRule>
  </conditionalFormatting>
  <conditionalFormatting sqref="C131">
    <cfRule type="cellIs" dxfId="2371" priority="2935" stopIfTrue="1" operator="equal">
      <formula>"Towel"</formula>
    </cfRule>
    <cfRule type="cellIs" dxfId="2370" priority="2936" stopIfTrue="1" operator="equal">
      <formula>"Napkin Hs"</formula>
    </cfRule>
  </conditionalFormatting>
  <conditionalFormatting sqref="C131">
    <cfRule type="cellIs" dxfId="2369" priority="2933" stopIfTrue="1" operator="equal">
      <formula>"Towel"</formula>
    </cfRule>
    <cfRule type="cellIs" dxfId="2368" priority="2934" stopIfTrue="1" operator="equal">
      <formula>"Napkin Hs"</formula>
    </cfRule>
  </conditionalFormatting>
  <conditionalFormatting sqref="C131">
    <cfRule type="cellIs" dxfId="2367" priority="2931" stopIfTrue="1" operator="equal">
      <formula>"Towel"</formula>
    </cfRule>
    <cfRule type="cellIs" dxfId="2366" priority="2932" stopIfTrue="1" operator="equal">
      <formula>"Napkin Hs"</formula>
    </cfRule>
  </conditionalFormatting>
  <conditionalFormatting sqref="C131">
    <cfRule type="cellIs" dxfId="2365" priority="2929" stopIfTrue="1" operator="equal">
      <formula>"Towel"</formula>
    </cfRule>
    <cfRule type="cellIs" dxfId="2364" priority="2930" stopIfTrue="1" operator="equal">
      <formula>"Napkin Hs"</formula>
    </cfRule>
  </conditionalFormatting>
  <conditionalFormatting sqref="C131">
    <cfRule type="cellIs" dxfId="2363" priority="2927" stopIfTrue="1" operator="equal">
      <formula>"Towel"</formula>
    </cfRule>
    <cfRule type="cellIs" dxfId="2362" priority="2928" stopIfTrue="1" operator="equal">
      <formula>"Napkin Hs"</formula>
    </cfRule>
  </conditionalFormatting>
  <conditionalFormatting sqref="C131">
    <cfRule type="cellIs" dxfId="2361" priority="2925" stopIfTrue="1" operator="equal">
      <formula>"Towel"</formula>
    </cfRule>
    <cfRule type="cellIs" dxfId="2360" priority="2926" stopIfTrue="1" operator="equal">
      <formula>"Napkin Hs"</formula>
    </cfRule>
  </conditionalFormatting>
  <conditionalFormatting sqref="C131">
    <cfRule type="cellIs" dxfId="2359" priority="2923" stopIfTrue="1" operator="equal">
      <formula>"Towel"</formula>
    </cfRule>
    <cfRule type="cellIs" dxfId="2358" priority="2924" stopIfTrue="1" operator="equal">
      <formula>"Napkin Hs"</formula>
    </cfRule>
  </conditionalFormatting>
  <conditionalFormatting sqref="C131">
    <cfRule type="cellIs" dxfId="2357" priority="2921" stopIfTrue="1" operator="equal">
      <formula>"Towel"</formula>
    </cfRule>
    <cfRule type="cellIs" dxfId="2356" priority="2922" stopIfTrue="1" operator="equal">
      <formula>"Napkin Hs"</formula>
    </cfRule>
  </conditionalFormatting>
  <conditionalFormatting sqref="C131">
    <cfRule type="cellIs" dxfId="2355" priority="2919" stopIfTrue="1" operator="equal">
      <formula>"Towel"</formula>
    </cfRule>
    <cfRule type="cellIs" dxfId="2354" priority="2920" stopIfTrue="1" operator="equal">
      <formula>"Napkin Hs"</formula>
    </cfRule>
  </conditionalFormatting>
  <conditionalFormatting sqref="C131">
    <cfRule type="cellIs" dxfId="2353" priority="2917" stopIfTrue="1" operator="equal">
      <formula>"Towel"</formula>
    </cfRule>
    <cfRule type="cellIs" dxfId="2352" priority="2918" stopIfTrue="1" operator="equal">
      <formula>"Napkin Hs"</formula>
    </cfRule>
  </conditionalFormatting>
  <conditionalFormatting sqref="C131">
    <cfRule type="cellIs" dxfId="2351" priority="2915" stopIfTrue="1" operator="equal">
      <formula>"Towel"</formula>
    </cfRule>
    <cfRule type="cellIs" dxfId="2350" priority="2916" stopIfTrue="1" operator="equal">
      <formula>"Napkin Hs"</formula>
    </cfRule>
  </conditionalFormatting>
  <conditionalFormatting sqref="C131">
    <cfRule type="cellIs" dxfId="2349" priority="2913" stopIfTrue="1" operator="equal">
      <formula>"Towel"</formula>
    </cfRule>
    <cfRule type="cellIs" dxfId="2348" priority="2914" stopIfTrue="1" operator="equal">
      <formula>"Napkin Hs"</formula>
    </cfRule>
  </conditionalFormatting>
  <conditionalFormatting sqref="C131">
    <cfRule type="cellIs" dxfId="2347" priority="2911" stopIfTrue="1" operator="equal">
      <formula>"Towel"</formula>
    </cfRule>
    <cfRule type="cellIs" dxfId="2346" priority="2912" stopIfTrue="1" operator="equal">
      <formula>"Napkin Hs"</formula>
    </cfRule>
  </conditionalFormatting>
  <conditionalFormatting sqref="C131">
    <cfRule type="cellIs" dxfId="2345" priority="2909" stopIfTrue="1" operator="equal">
      <formula>"Towel"</formula>
    </cfRule>
    <cfRule type="cellIs" dxfId="2344" priority="2910" stopIfTrue="1" operator="equal">
      <formula>"Napkin Hs"</formula>
    </cfRule>
  </conditionalFormatting>
  <conditionalFormatting sqref="C131">
    <cfRule type="cellIs" dxfId="2343" priority="2907" stopIfTrue="1" operator="equal">
      <formula>"Towel"</formula>
    </cfRule>
    <cfRule type="cellIs" dxfId="2342" priority="2908" stopIfTrue="1" operator="equal">
      <formula>"Napkin Hs"</formula>
    </cfRule>
  </conditionalFormatting>
  <conditionalFormatting sqref="C131">
    <cfRule type="cellIs" dxfId="2341" priority="2905" stopIfTrue="1" operator="equal">
      <formula>"Towel"</formula>
    </cfRule>
    <cfRule type="cellIs" dxfId="2340" priority="2906" stopIfTrue="1" operator="equal">
      <formula>"Napkin Hs"</formula>
    </cfRule>
  </conditionalFormatting>
  <conditionalFormatting sqref="C131">
    <cfRule type="cellIs" dxfId="2339" priority="2904" stopIfTrue="1" operator="equal">
      <formula>"Napkin Hs"</formula>
    </cfRule>
  </conditionalFormatting>
  <conditionalFormatting sqref="C131">
    <cfRule type="cellIs" dxfId="2338" priority="2903" stopIfTrue="1" operator="equal">
      <formula>"Towel"</formula>
    </cfRule>
  </conditionalFormatting>
  <conditionalFormatting sqref="C131">
    <cfRule type="cellIs" dxfId="2337" priority="2902" stopIfTrue="1" operator="equal">
      <formula>"Napkin Hs"</formula>
    </cfRule>
  </conditionalFormatting>
  <conditionalFormatting sqref="C131">
    <cfRule type="cellIs" dxfId="2336" priority="2899" stopIfTrue="1" operator="equal">
      <formula>"Towel"</formula>
    </cfRule>
    <cfRule type="cellIs" dxfId="2335" priority="2900" stopIfTrue="1" operator="equal">
      <formula>"Napkin Hs"</formula>
    </cfRule>
  </conditionalFormatting>
  <conditionalFormatting sqref="C131">
    <cfRule type="cellIs" dxfId="2334" priority="2901" stopIfTrue="1" operator="equal">
      <formula>"Towel"</formula>
    </cfRule>
  </conditionalFormatting>
  <conditionalFormatting sqref="B131:C131">
    <cfRule type="cellIs" dxfId="2333" priority="2897" stopIfTrue="1" operator="equal">
      <formula>"Towel"</formula>
    </cfRule>
    <cfRule type="cellIs" dxfId="2332" priority="2898" stopIfTrue="1" operator="equal">
      <formula>"Napkin Hs"</formula>
    </cfRule>
  </conditionalFormatting>
  <conditionalFormatting sqref="C131">
    <cfRule type="cellIs" dxfId="2331" priority="2895" stopIfTrue="1" operator="equal">
      <formula>"Towel"</formula>
    </cfRule>
    <cfRule type="cellIs" dxfId="2330" priority="2896" stopIfTrue="1" operator="equal">
      <formula>"Napkin Hs"</formula>
    </cfRule>
  </conditionalFormatting>
  <conditionalFormatting sqref="C131">
    <cfRule type="cellIs" dxfId="2329" priority="2893" stopIfTrue="1" operator="equal">
      <formula>"Towel"</formula>
    </cfRule>
    <cfRule type="cellIs" dxfId="2328" priority="2894" stopIfTrue="1" operator="equal">
      <formula>"Napkin Hs"</formula>
    </cfRule>
  </conditionalFormatting>
  <conditionalFormatting sqref="B131:C131">
    <cfRule type="cellIs" dxfId="2327" priority="2832" stopIfTrue="1" operator="equal">
      <formula>"Napkin Hs"</formula>
    </cfRule>
  </conditionalFormatting>
  <conditionalFormatting sqref="B131:C131">
    <cfRule type="cellIs" dxfId="2326" priority="2831" stopIfTrue="1" operator="equal">
      <formula>"Towel"</formula>
    </cfRule>
  </conditionalFormatting>
  <conditionalFormatting sqref="C131">
    <cfRule type="cellIs" dxfId="2325" priority="2830" stopIfTrue="1" operator="equal">
      <formula>"Napkin Hs"</formula>
    </cfRule>
  </conditionalFormatting>
  <conditionalFormatting sqref="C131">
    <cfRule type="cellIs" dxfId="2324" priority="2827" stopIfTrue="1" operator="equal">
      <formula>"Towel"</formula>
    </cfRule>
    <cfRule type="cellIs" dxfId="2323" priority="2828" stopIfTrue="1" operator="equal">
      <formula>"Napkin Hs"</formula>
    </cfRule>
  </conditionalFormatting>
  <conditionalFormatting sqref="C131">
    <cfRule type="cellIs" dxfId="2322" priority="2829" stopIfTrue="1" operator="equal">
      <formula>"Towel"</formula>
    </cfRule>
  </conditionalFormatting>
  <conditionalFormatting sqref="B131:C131">
    <cfRule type="cellIs" dxfId="2321" priority="2892" stopIfTrue="1" operator="equal">
      <formula>"Napkin Hs"</formula>
    </cfRule>
  </conditionalFormatting>
  <conditionalFormatting sqref="B131:C131">
    <cfRule type="cellIs" dxfId="2320" priority="2891" stopIfTrue="1" operator="equal">
      <formula>"Towel"</formula>
    </cfRule>
  </conditionalFormatting>
  <conditionalFormatting sqref="C131">
    <cfRule type="cellIs" dxfId="2319" priority="2890" stopIfTrue="1" operator="equal">
      <formula>"Napkin Hs"</formula>
    </cfRule>
  </conditionalFormatting>
  <conditionalFormatting sqref="C131">
    <cfRule type="cellIs" dxfId="2318" priority="2889" stopIfTrue="1" operator="equal">
      <formula>"Towel"</formula>
    </cfRule>
  </conditionalFormatting>
  <conditionalFormatting sqref="C131">
    <cfRule type="cellIs" dxfId="2317" priority="2887" stopIfTrue="1" operator="equal">
      <formula>"Towel"</formula>
    </cfRule>
    <cfRule type="cellIs" dxfId="2316" priority="2888" stopIfTrue="1" operator="equal">
      <formula>"Napkin Hs"</formula>
    </cfRule>
  </conditionalFormatting>
  <conditionalFormatting sqref="B131:C131">
    <cfRule type="cellIs" dxfId="2315" priority="2885" stopIfTrue="1" operator="equal">
      <formula>"Towel"</formula>
    </cfRule>
    <cfRule type="cellIs" dxfId="2314" priority="2886" stopIfTrue="1" operator="equal">
      <formula>"Napkin Hs"</formula>
    </cfRule>
  </conditionalFormatting>
  <conditionalFormatting sqref="C131">
    <cfRule type="cellIs" dxfId="2313" priority="2881" stopIfTrue="1" operator="equal">
      <formula>"Towel"</formula>
    </cfRule>
    <cfRule type="cellIs" dxfId="2312" priority="2882" stopIfTrue="1" operator="equal">
      <formula>"Napkin Hs"</formula>
    </cfRule>
  </conditionalFormatting>
  <conditionalFormatting sqref="C131">
    <cfRule type="cellIs" dxfId="2311" priority="2883" stopIfTrue="1" operator="equal">
      <formula>"Towel"</formula>
    </cfRule>
    <cfRule type="cellIs" dxfId="2310" priority="2884" stopIfTrue="1" operator="equal">
      <formula>"Napkin Hs"</formula>
    </cfRule>
  </conditionalFormatting>
  <conditionalFormatting sqref="B131:C131">
    <cfRule type="cellIs" dxfId="2309" priority="2880" stopIfTrue="1" operator="equal">
      <formula>"Napkin Hs"</formula>
    </cfRule>
  </conditionalFormatting>
  <conditionalFormatting sqref="B131:C131">
    <cfRule type="cellIs" dxfId="2308" priority="2879" stopIfTrue="1" operator="equal">
      <formula>"Towel"</formula>
    </cfRule>
  </conditionalFormatting>
  <conditionalFormatting sqref="C131">
    <cfRule type="cellIs" dxfId="2307" priority="2878" stopIfTrue="1" operator="equal">
      <formula>"Napkin Hs"</formula>
    </cfRule>
  </conditionalFormatting>
  <conditionalFormatting sqref="C131">
    <cfRule type="cellIs" dxfId="2306" priority="2877" stopIfTrue="1" operator="equal">
      <formula>"Towel"</formula>
    </cfRule>
  </conditionalFormatting>
  <conditionalFormatting sqref="C131">
    <cfRule type="cellIs" dxfId="2305" priority="2875" stopIfTrue="1" operator="equal">
      <formula>"Towel"</formula>
    </cfRule>
    <cfRule type="cellIs" dxfId="2304" priority="2876" stopIfTrue="1" operator="equal">
      <formula>"Napkin Hs"</formula>
    </cfRule>
  </conditionalFormatting>
  <conditionalFormatting sqref="B131:C131">
    <cfRule type="cellIs" dxfId="2303" priority="2873" stopIfTrue="1" operator="equal">
      <formula>"Towel"</formula>
    </cfRule>
    <cfRule type="cellIs" dxfId="2302" priority="2874" stopIfTrue="1" operator="equal">
      <formula>"Napkin Hs"</formula>
    </cfRule>
  </conditionalFormatting>
  <conditionalFormatting sqref="C131">
    <cfRule type="cellIs" dxfId="2301" priority="2871" stopIfTrue="1" operator="equal">
      <formula>"Towel"</formula>
    </cfRule>
    <cfRule type="cellIs" dxfId="2300" priority="2872" stopIfTrue="1" operator="equal">
      <formula>"Napkin Hs"</formula>
    </cfRule>
  </conditionalFormatting>
  <conditionalFormatting sqref="C131">
    <cfRule type="cellIs" dxfId="2299" priority="2869" stopIfTrue="1" operator="equal">
      <formula>"Towel"</formula>
    </cfRule>
    <cfRule type="cellIs" dxfId="2298" priority="2870" stopIfTrue="1" operator="equal">
      <formula>"Napkin Hs"</formula>
    </cfRule>
  </conditionalFormatting>
  <conditionalFormatting sqref="B131:C131">
    <cfRule type="cellIs" dxfId="2297" priority="2867" stopIfTrue="1" operator="equal">
      <formula>"Towel"</formula>
    </cfRule>
    <cfRule type="cellIs" dxfId="2296" priority="2868" stopIfTrue="1" operator="equal">
      <formula>"Napkin Hs"</formula>
    </cfRule>
  </conditionalFormatting>
  <conditionalFormatting sqref="C131">
    <cfRule type="cellIs" dxfId="2295" priority="2865" stopIfTrue="1" operator="equal">
      <formula>"Towel"</formula>
    </cfRule>
    <cfRule type="cellIs" dxfId="2294" priority="2866" stopIfTrue="1" operator="equal">
      <formula>"Napkin Hs"</formula>
    </cfRule>
  </conditionalFormatting>
  <conditionalFormatting sqref="C131">
    <cfRule type="cellIs" dxfId="2293" priority="2863" stopIfTrue="1" operator="equal">
      <formula>"Towel"</formula>
    </cfRule>
    <cfRule type="cellIs" dxfId="2292" priority="2864" stopIfTrue="1" operator="equal">
      <formula>"Napkin Hs"</formula>
    </cfRule>
  </conditionalFormatting>
  <conditionalFormatting sqref="B131:C131">
    <cfRule type="cellIs" dxfId="2291" priority="2861" stopIfTrue="1" operator="equal">
      <formula>"Towel"</formula>
    </cfRule>
    <cfRule type="cellIs" dxfId="2290" priority="2862" stopIfTrue="1" operator="equal">
      <formula>"Napkin Hs"</formula>
    </cfRule>
  </conditionalFormatting>
  <conditionalFormatting sqref="C131">
    <cfRule type="cellIs" dxfId="2289" priority="2859" stopIfTrue="1" operator="equal">
      <formula>"Towel"</formula>
    </cfRule>
    <cfRule type="cellIs" dxfId="2288" priority="2860" stopIfTrue="1" operator="equal">
      <formula>"Napkin Hs"</formula>
    </cfRule>
  </conditionalFormatting>
  <conditionalFormatting sqref="C131">
    <cfRule type="cellIs" dxfId="2287" priority="2857" stopIfTrue="1" operator="equal">
      <formula>"Towel"</formula>
    </cfRule>
    <cfRule type="cellIs" dxfId="2286" priority="2858" stopIfTrue="1" operator="equal">
      <formula>"Napkin Hs"</formula>
    </cfRule>
  </conditionalFormatting>
  <conditionalFormatting sqref="B131:C131">
    <cfRule type="cellIs" dxfId="2285" priority="2849" stopIfTrue="1" operator="equal">
      <formula>"Towel"</formula>
    </cfRule>
    <cfRule type="cellIs" dxfId="2284" priority="2850" stopIfTrue="1" operator="equal">
      <formula>"Napkin Hs"</formula>
    </cfRule>
  </conditionalFormatting>
  <conditionalFormatting sqref="C131">
    <cfRule type="cellIs" dxfId="2283" priority="2847" stopIfTrue="1" operator="equal">
      <formula>"Towel"</formula>
    </cfRule>
    <cfRule type="cellIs" dxfId="2282" priority="2848" stopIfTrue="1" operator="equal">
      <formula>"Napkin Hs"</formula>
    </cfRule>
  </conditionalFormatting>
  <conditionalFormatting sqref="B131:C131">
    <cfRule type="cellIs" dxfId="2281" priority="2844" stopIfTrue="1" operator="equal">
      <formula>"Napkin Hs"</formula>
    </cfRule>
  </conditionalFormatting>
  <conditionalFormatting sqref="B131:C131">
    <cfRule type="cellIs" dxfId="2280" priority="2843" stopIfTrue="1" operator="equal">
      <formula>"Towel"</formula>
    </cfRule>
  </conditionalFormatting>
  <conditionalFormatting sqref="C131">
    <cfRule type="cellIs" dxfId="2279" priority="2842" stopIfTrue="1" operator="equal">
      <formula>"Napkin Hs"</formula>
    </cfRule>
  </conditionalFormatting>
  <conditionalFormatting sqref="C131">
    <cfRule type="cellIs" dxfId="2278" priority="2839" stopIfTrue="1" operator="equal">
      <formula>"Towel"</formula>
    </cfRule>
    <cfRule type="cellIs" dxfId="2277" priority="2840" stopIfTrue="1" operator="equal">
      <formula>"Napkin Hs"</formula>
    </cfRule>
  </conditionalFormatting>
  <conditionalFormatting sqref="C131">
    <cfRule type="cellIs" dxfId="2276" priority="2841" stopIfTrue="1" operator="equal">
      <formula>"Towel"</formula>
    </cfRule>
  </conditionalFormatting>
  <conditionalFormatting sqref="B131:C131">
    <cfRule type="cellIs" dxfId="2275" priority="2838" stopIfTrue="1" operator="equal">
      <formula>"Napkin Hs"</formula>
    </cfRule>
  </conditionalFormatting>
  <conditionalFormatting sqref="B131:C131">
    <cfRule type="cellIs" dxfId="2274" priority="2837" stopIfTrue="1" operator="equal">
      <formula>"Towel"</formula>
    </cfRule>
  </conditionalFormatting>
  <conditionalFormatting sqref="C131">
    <cfRule type="cellIs" dxfId="2273" priority="2836" stopIfTrue="1" operator="equal">
      <formula>"Napkin Hs"</formula>
    </cfRule>
  </conditionalFormatting>
  <conditionalFormatting sqref="C131">
    <cfRule type="cellIs" dxfId="2272" priority="2833" stopIfTrue="1" operator="equal">
      <formula>"Towel"</formula>
    </cfRule>
    <cfRule type="cellIs" dxfId="2271" priority="2834" stopIfTrue="1" operator="equal">
      <formula>"Napkin Hs"</formula>
    </cfRule>
  </conditionalFormatting>
  <conditionalFormatting sqref="C131">
    <cfRule type="cellIs" dxfId="2270" priority="2835" stopIfTrue="1" operator="equal">
      <formula>"Towel"</formula>
    </cfRule>
  </conditionalFormatting>
  <conditionalFormatting sqref="C130">
    <cfRule type="cellIs" dxfId="2269" priority="2823" stopIfTrue="1" operator="equal">
      <formula>"Towel"</formula>
    </cfRule>
    <cfRule type="cellIs" dxfId="2268" priority="2824" stopIfTrue="1" operator="equal">
      <formula>"Napkin Hs"</formula>
    </cfRule>
  </conditionalFormatting>
  <conditionalFormatting sqref="C130">
    <cfRule type="cellIs" dxfId="2267" priority="2821" stopIfTrue="1" operator="equal">
      <formula>"Towel"</formula>
    </cfRule>
    <cfRule type="cellIs" dxfId="2266" priority="2822" stopIfTrue="1" operator="equal">
      <formula>"Napkin Hs"</formula>
    </cfRule>
  </conditionalFormatting>
  <conditionalFormatting sqref="B130:C130">
    <cfRule type="cellIs" dxfId="2265" priority="2772" stopIfTrue="1" operator="equal">
      <formula>"Napkin Hs"</formula>
    </cfRule>
  </conditionalFormatting>
  <conditionalFormatting sqref="B130:C130">
    <cfRule type="cellIs" dxfId="2264" priority="2771" stopIfTrue="1" operator="equal">
      <formula>"Towel"</formula>
    </cfRule>
  </conditionalFormatting>
  <conditionalFormatting sqref="B130:C130">
    <cfRule type="cellIs" dxfId="2263" priority="2825" stopIfTrue="1" operator="equal">
      <formula>"Towel"</formula>
    </cfRule>
    <cfRule type="cellIs" dxfId="2262" priority="2826" stopIfTrue="1" operator="equal">
      <formula>"Napkin Hs"</formula>
    </cfRule>
  </conditionalFormatting>
  <conditionalFormatting sqref="C130">
    <cfRule type="cellIs" dxfId="2261" priority="2770" stopIfTrue="1" operator="equal">
      <formula>"Napkin Hs"</formula>
    </cfRule>
  </conditionalFormatting>
  <conditionalFormatting sqref="C130">
    <cfRule type="cellIs" dxfId="2260" priority="2769" stopIfTrue="1" operator="equal">
      <formula>"Towel"</formula>
    </cfRule>
  </conditionalFormatting>
  <conditionalFormatting sqref="C130">
    <cfRule type="cellIs" dxfId="2259" priority="2767" stopIfTrue="1" operator="equal">
      <formula>"Towel"</formula>
    </cfRule>
    <cfRule type="cellIs" dxfId="2258" priority="2768" stopIfTrue="1" operator="equal">
      <formula>"Napkin Hs"</formula>
    </cfRule>
  </conditionalFormatting>
  <conditionalFormatting sqref="B130:C130">
    <cfRule type="cellIs" dxfId="2257" priority="2820" stopIfTrue="1" operator="equal">
      <formula>"Napkin Hs"</formula>
    </cfRule>
  </conditionalFormatting>
  <conditionalFormatting sqref="B130:C130">
    <cfRule type="cellIs" dxfId="2256" priority="2819" stopIfTrue="1" operator="equal">
      <formula>"Towel"</formula>
    </cfRule>
  </conditionalFormatting>
  <conditionalFormatting sqref="C130">
    <cfRule type="cellIs" dxfId="2255" priority="2818" stopIfTrue="1" operator="equal">
      <formula>"Napkin Hs"</formula>
    </cfRule>
  </conditionalFormatting>
  <conditionalFormatting sqref="C130">
    <cfRule type="cellIs" dxfId="2254" priority="2817" stopIfTrue="1" operator="equal">
      <formula>"Towel"</formula>
    </cfRule>
  </conditionalFormatting>
  <conditionalFormatting sqref="C130">
    <cfRule type="cellIs" dxfId="2253" priority="2815" stopIfTrue="1" operator="equal">
      <formula>"Towel"</formula>
    </cfRule>
    <cfRule type="cellIs" dxfId="2252" priority="2816" stopIfTrue="1" operator="equal">
      <formula>"Napkin Hs"</formula>
    </cfRule>
  </conditionalFormatting>
  <conditionalFormatting sqref="B130:C130">
    <cfRule type="cellIs" dxfId="2251" priority="2813" stopIfTrue="1" operator="equal">
      <formula>"Towel"</formula>
    </cfRule>
    <cfRule type="cellIs" dxfId="2250" priority="2814" stopIfTrue="1" operator="equal">
      <formula>"Napkin Hs"</formula>
    </cfRule>
  </conditionalFormatting>
  <conditionalFormatting sqref="C130">
    <cfRule type="cellIs" dxfId="2249" priority="2809" stopIfTrue="1" operator="equal">
      <formula>"Towel"</formula>
    </cfRule>
    <cfRule type="cellIs" dxfId="2248" priority="2810" stopIfTrue="1" operator="equal">
      <formula>"Napkin Hs"</formula>
    </cfRule>
  </conditionalFormatting>
  <conditionalFormatting sqref="C130">
    <cfRule type="cellIs" dxfId="2247" priority="2811" stopIfTrue="1" operator="equal">
      <formula>"Towel"</formula>
    </cfRule>
    <cfRule type="cellIs" dxfId="2246" priority="2812" stopIfTrue="1" operator="equal">
      <formula>"Napkin Hs"</formula>
    </cfRule>
  </conditionalFormatting>
  <conditionalFormatting sqref="B130:C130">
    <cfRule type="cellIs" dxfId="2245" priority="2808" stopIfTrue="1" operator="equal">
      <formula>"Napkin Hs"</formula>
    </cfRule>
  </conditionalFormatting>
  <conditionalFormatting sqref="B130:C130">
    <cfRule type="cellIs" dxfId="2244" priority="2807" stopIfTrue="1" operator="equal">
      <formula>"Towel"</formula>
    </cfRule>
  </conditionalFormatting>
  <conditionalFormatting sqref="C130">
    <cfRule type="cellIs" dxfId="2243" priority="2806" stopIfTrue="1" operator="equal">
      <formula>"Napkin Hs"</formula>
    </cfRule>
  </conditionalFormatting>
  <conditionalFormatting sqref="C130">
    <cfRule type="cellIs" dxfId="2242" priority="2805" stopIfTrue="1" operator="equal">
      <formula>"Towel"</formula>
    </cfRule>
  </conditionalFormatting>
  <conditionalFormatting sqref="C130">
    <cfRule type="cellIs" dxfId="2241" priority="2803" stopIfTrue="1" operator="equal">
      <formula>"Towel"</formula>
    </cfRule>
    <cfRule type="cellIs" dxfId="2240" priority="2804" stopIfTrue="1" operator="equal">
      <formula>"Napkin Hs"</formula>
    </cfRule>
  </conditionalFormatting>
  <conditionalFormatting sqref="B130:C130">
    <cfRule type="cellIs" dxfId="2239" priority="2801" stopIfTrue="1" operator="equal">
      <formula>"Towel"</formula>
    </cfRule>
    <cfRule type="cellIs" dxfId="2238" priority="2802" stopIfTrue="1" operator="equal">
      <formula>"Napkin Hs"</formula>
    </cfRule>
  </conditionalFormatting>
  <conditionalFormatting sqref="C130">
    <cfRule type="cellIs" dxfId="2237" priority="2799" stopIfTrue="1" operator="equal">
      <formula>"Towel"</formula>
    </cfRule>
    <cfRule type="cellIs" dxfId="2236" priority="2800" stopIfTrue="1" operator="equal">
      <formula>"Napkin Hs"</formula>
    </cfRule>
  </conditionalFormatting>
  <conditionalFormatting sqref="C130">
    <cfRule type="cellIs" dxfId="2235" priority="2797" stopIfTrue="1" operator="equal">
      <formula>"Towel"</formula>
    </cfRule>
    <cfRule type="cellIs" dxfId="2234" priority="2798" stopIfTrue="1" operator="equal">
      <formula>"Napkin Hs"</formula>
    </cfRule>
  </conditionalFormatting>
  <conditionalFormatting sqref="B130:C130">
    <cfRule type="cellIs" dxfId="2233" priority="2795" stopIfTrue="1" operator="equal">
      <formula>"Towel"</formula>
    </cfRule>
    <cfRule type="cellIs" dxfId="2232" priority="2796" stopIfTrue="1" operator="equal">
      <formula>"Napkin Hs"</formula>
    </cfRule>
  </conditionalFormatting>
  <conditionalFormatting sqref="C130">
    <cfRule type="cellIs" dxfId="2231" priority="2793" stopIfTrue="1" operator="equal">
      <formula>"Towel"</formula>
    </cfRule>
    <cfRule type="cellIs" dxfId="2230" priority="2794" stopIfTrue="1" operator="equal">
      <formula>"Napkin Hs"</formula>
    </cfRule>
  </conditionalFormatting>
  <conditionalFormatting sqref="C130">
    <cfRule type="cellIs" dxfId="2229" priority="2791" stopIfTrue="1" operator="equal">
      <formula>"Towel"</formula>
    </cfRule>
    <cfRule type="cellIs" dxfId="2228" priority="2792" stopIfTrue="1" operator="equal">
      <formula>"Napkin Hs"</formula>
    </cfRule>
  </conditionalFormatting>
  <conditionalFormatting sqref="B130:C130">
    <cfRule type="cellIs" dxfId="2227" priority="2789" stopIfTrue="1" operator="equal">
      <formula>"Towel"</formula>
    </cfRule>
    <cfRule type="cellIs" dxfId="2226" priority="2790" stopIfTrue="1" operator="equal">
      <formula>"Napkin Hs"</formula>
    </cfRule>
  </conditionalFormatting>
  <conditionalFormatting sqref="C130">
    <cfRule type="cellIs" dxfId="2225" priority="2787" stopIfTrue="1" operator="equal">
      <formula>"Towel"</formula>
    </cfRule>
    <cfRule type="cellIs" dxfId="2224" priority="2788" stopIfTrue="1" operator="equal">
      <formula>"Napkin Hs"</formula>
    </cfRule>
  </conditionalFormatting>
  <conditionalFormatting sqref="C130">
    <cfRule type="cellIs" dxfId="2223" priority="2785" stopIfTrue="1" operator="equal">
      <formula>"Towel"</formula>
    </cfRule>
    <cfRule type="cellIs" dxfId="2222" priority="2786" stopIfTrue="1" operator="equal">
      <formula>"Napkin Hs"</formula>
    </cfRule>
  </conditionalFormatting>
  <conditionalFormatting sqref="B130:C130">
    <cfRule type="cellIs" dxfId="2221" priority="2783" stopIfTrue="1" operator="equal">
      <formula>"Towel"</formula>
    </cfRule>
    <cfRule type="cellIs" dxfId="2220" priority="2784" stopIfTrue="1" operator="equal">
      <formula>"Napkin Hs"</formula>
    </cfRule>
  </conditionalFormatting>
  <conditionalFormatting sqref="C130">
    <cfRule type="cellIs" dxfId="2219" priority="2781" stopIfTrue="1" operator="equal">
      <formula>"Towel"</formula>
    </cfRule>
    <cfRule type="cellIs" dxfId="2218" priority="2782" stopIfTrue="1" operator="equal">
      <formula>"Napkin Hs"</formula>
    </cfRule>
  </conditionalFormatting>
  <conditionalFormatting sqref="C130">
    <cfRule type="cellIs" dxfId="2217" priority="2779" stopIfTrue="1" operator="equal">
      <formula>"Towel"</formula>
    </cfRule>
    <cfRule type="cellIs" dxfId="2216" priority="2780" stopIfTrue="1" operator="equal">
      <formula>"Napkin Hs"</formula>
    </cfRule>
  </conditionalFormatting>
  <conditionalFormatting sqref="B130:C130">
    <cfRule type="cellIs" dxfId="2215" priority="2777" stopIfTrue="1" operator="equal">
      <formula>"Towel"</formula>
    </cfRule>
    <cfRule type="cellIs" dxfId="2214" priority="2778" stopIfTrue="1" operator="equal">
      <formula>"Napkin Hs"</formula>
    </cfRule>
  </conditionalFormatting>
  <conditionalFormatting sqref="C130">
    <cfRule type="cellIs" dxfId="2213" priority="2775" stopIfTrue="1" operator="equal">
      <formula>"Towel"</formula>
    </cfRule>
    <cfRule type="cellIs" dxfId="2212" priority="2776" stopIfTrue="1" operator="equal">
      <formula>"Napkin Hs"</formula>
    </cfRule>
  </conditionalFormatting>
  <conditionalFormatting sqref="C130">
    <cfRule type="cellIs" dxfId="2211" priority="2773" stopIfTrue="1" operator="equal">
      <formula>"Towel"</formula>
    </cfRule>
    <cfRule type="cellIs" dxfId="2210" priority="2774" stopIfTrue="1" operator="equal">
      <formula>"Napkin Hs"</formula>
    </cfRule>
  </conditionalFormatting>
  <conditionalFormatting sqref="B130:C130">
    <cfRule type="cellIs" dxfId="2209" priority="2763" stopIfTrue="1" operator="equal">
      <formula>"Towel"</formula>
    </cfRule>
    <cfRule type="cellIs" dxfId="2208" priority="2764" stopIfTrue="1" operator="equal">
      <formula>"Napkin Hs"</formula>
    </cfRule>
  </conditionalFormatting>
  <conditionalFormatting sqref="C130">
    <cfRule type="cellIs" dxfId="2207" priority="2765" stopIfTrue="1" operator="equal">
      <formula>"Towel"</formula>
    </cfRule>
    <cfRule type="cellIs" dxfId="2206" priority="2766" stopIfTrue="1" operator="equal">
      <formula>"Napkin Hs"</formula>
    </cfRule>
  </conditionalFormatting>
  <conditionalFormatting sqref="C130">
    <cfRule type="cellIs" dxfId="2205" priority="2761" stopIfTrue="1" operator="equal">
      <formula>"Towel"</formula>
    </cfRule>
    <cfRule type="cellIs" dxfId="2204" priority="2762" stopIfTrue="1" operator="equal">
      <formula>"Napkin Hs"</formula>
    </cfRule>
  </conditionalFormatting>
  <conditionalFormatting sqref="B130:C130">
    <cfRule type="cellIs" dxfId="2203" priority="2760" stopIfTrue="1" operator="equal">
      <formula>"Napkin Hs"</formula>
    </cfRule>
  </conditionalFormatting>
  <conditionalFormatting sqref="B130:C130">
    <cfRule type="cellIs" dxfId="2202" priority="2759" stopIfTrue="1" operator="equal">
      <formula>"Towel"</formula>
    </cfRule>
  </conditionalFormatting>
  <conditionalFormatting sqref="C130">
    <cfRule type="cellIs" dxfId="2201" priority="2758" stopIfTrue="1" operator="equal">
      <formula>"Napkin Hs"</formula>
    </cfRule>
  </conditionalFormatting>
  <conditionalFormatting sqref="C130">
    <cfRule type="cellIs" dxfId="2200" priority="2757" stopIfTrue="1" operator="equal">
      <formula>"Towel"</formula>
    </cfRule>
  </conditionalFormatting>
  <conditionalFormatting sqref="C130">
    <cfRule type="cellIs" dxfId="2199" priority="2755" stopIfTrue="1" operator="equal">
      <formula>"Towel"</formula>
    </cfRule>
    <cfRule type="cellIs" dxfId="2198" priority="2756" stopIfTrue="1" operator="equal">
      <formula>"Napkin Hs"</formula>
    </cfRule>
  </conditionalFormatting>
  <conditionalFormatting sqref="B130:C130">
    <cfRule type="cellIs" dxfId="2197" priority="2753" stopIfTrue="1" operator="equal">
      <formula>"Towel"</formula>
    </cfRule>
    <cfRule type="cellIs" dxfId="2196" priority="2754" stopIfTrue="1" operator="equal">
      <formula>"Napkin Hs"</formula>
    </cfRule>
  </conditionalFormatting>
  <conditionalFormatting sqref="C130">
    <cfRule type="cellIs" dxfId="2195" priority="2749" stopIfTrue="1" operator="equal">
      <formula>"Towel"</formula>
    </cfRule>
    <cfRule type="cellIs" dxfId="2194" priority="2750" stopIfTrue="1" operator="equal">
      <formula>"Napkin Hs"</formula>
    </cfRule>
  </conditionalFormatting>
  <conditionalFormatting sqref="C130">
    <cfRule type="cellIs" dxfId="2193" priority="2751" stopIfTrue="1" operator="equal">
      <formula>"Towel"</formula>
    </cfRule>
    <cfRule type="cellIs" dxfId="2192" priority="2752" stopIfTrue="1" operator="equal">
      <formula>"Napkin Hs"</formula>
    </cfRule>
  </conditionalFormatting>
  <conditionalFormatting sqref="B130:C130">
    <cfRule type="cellIs" dxfId="2191" priority="2748" stopIfTrue="1" operator="equal">
      <formula>"Napkin Hs"</formula>
    </cfRule>
  </conditionalFormatting>
  <conditionalFormatting sqref="B130:C130">
    <cfRule type="cellIs" dxfId="2190" priority="2747" stopIfTrue="1" operator="equal">
      <formula>"Towel"</formula>
    </cfRule>
  </conditionalFormatting>
  <conditionalFormatting sqref="C130">
    <cfRule type="cellIs" dxfId="2189" priority="2746" stopIfTrue="1" operator="equal">
      <formula>"Napkin Hs"</formula>
    </cfRule>
  </conditionalFormatting>
  <conditionalFormatting sqref="C130">
    <cfRule type="cellIs" dxfId="2188" priority="2745" stopIfTrue="1" operator="equal">
      <formula>"Towel"</formula>
    </cfRule>
  </conditionalFormatting>
  <conditionalFormatting sqref="C130">
    <cfRule type="cellIs" dxfId="2187" priority="2743" stopIfTrue="1" operator="equal">
      <formula>"Towel"</formula>
    </cfRule>
    <cfRule type="cellIs" dxfId="2186" priority="2744" stopIfTrue="1" operator="equal">
      <formula>"Napkin Hs"</formula>
    </cfRule>
  </conditionalFormatting>
  <conditionalFormatting sqref="B130:C130">
    <cfRule type="cellIs" dxfId="2185" priority="2741" stopIfTrue="1" operator="equal">
      <formula>"Towel"</formula>
    </cfRule>
    <cfRule type="cellIs" dxfId="2184" priority="2742" stopIfTrue="1" operator="equal">
      <formula>"Napkin Hs"</formula>
    </cfRule>
  </conditionalFormatting>
  <conditionalFormatting sqref="C130">
    <cfRule type="cellIs" dxfId="2183" priority="2739" stopIfTrue="1" operator="equal">
      <formula>"Towel"</formula>
    </cfRule>
    <cfRule type="cellIs" dxfId="2182" priority="2740" stopIfTrue="1" operator="equal">
      <formula>"Napkin Hs"</formula>
    </cfRule>
  </conditionalFormatting>
  <conditionalFormatting sqref="C130">
    <cfRule type="cellIs" dxfId="2181" priority="2737" stopIfTrue="1" operator="equal">
      <formula>"Towel"</formula>
    </cfRule>
    <cfRule type="cellIs" dxfId="2180" priority="2738" stopIfTrue="1" operator="equal">
      <formula>"Napkin Hs"</formula>
    </cfRule>
  </conditionalFormatting>
  <conditionalFormatting sqref="B130:C130">
    <cfRule type="cellIs" dxfId="2179" priority="2735" stopIfTrue="1" operator="equal">
      <formula>"Towel"</formula>
    </cfRule>
    <cfRule type="cellIs" dxfId="2178" priority="2736" stopIfTrue="1" operator="equal">
      <formula>"Napkin Hs"</formula>
    </cfRule>
  </conditionalFormatting>
  <conditionalFormatting sqref="C130">
    <cfRule type="cellIs" dxfId="2177" priority="2733" stopIfTrue="1" operator="equal">
      <formula>"Towel"</formula>
    </cfRule>
    <cfRule type="cellIs" dxfId="2176" priority="2734" stopIfTrue="1" operator="equal">
      <formula>"Napkin Hs"</formula>
    </cfRule>
  </conditionalFormatting>
  <conditionalFormatting sqref="C130">
    <cfRule type="cellIs" dxfId="2175" priority="2731" stopIfTrue="1" operator="equal">
      <formula>"Towel"</formula>
    </cfRule>
    <cfRule type="cellIs" dxfId="2174" priority="2732" stopIfTrue="1" operator="equal">
      <formula>"Napkin Hs"</formula>
    </cfRule>
  </conditionalFormatting>
  <conditionalFormatting sqref="B130:C130">
    <cfRule type="cellIs" dxfId="2173" priority="2729" stopIfTrue="1" operator="equal">
      <formula>"Towel"</formula>
    </cfRule>
    <cfRule type="cellIs" dxfId="2172" priority="2730" stopIfTrue="1" operator="equal">
      <formula>"Napkin Hs"</formula>
    </cfRule>
  </conditionalFormatting>
  <conditionalFormatting sqref="C130">
    <cfRule type="cellIs" dxfId="2171" priority="2727" stopIfTrue="1" operator="equal">
      <formula>"Towel"</formula>
    </cfRule>
    <cfRule type="cellIs" dxfId="2170" priority="2728" stopIfTrue="1" operator="equal">
      <formula>"Napkin Hs"</formula>
    </cfRule>
  </conditionalFormatting>
  <conditionalFormatting sqref="C130">
    <cfRule type="cellIs" dxfId="2169" priority="2725" stopIfTrue="1" operator="equal">
      <formula>"Towel"</formula>
    </cfRule>
    <cfRule type="cellIs" dxfId="2168" priority="2726" stopIfTrue="1" operator="equal">
      <formula>"Napkin Hs"</formula>
    </cfRule>
  </conditionalFormatting>
  <conditionalFormatting sqref="B130:C130">
    <cfRule type="cellIs" dxfId="2167" priority="2723" stopIfTrue="1" operator="equal">
      <formula>"Towel"</formula>
    </cfRule>
    <cfRule type="cellIs" dxfId="2166" priority="2724" stopIfTrue="1" operator="equal">
      <formula>"Napkin Hs"</formula>
    </cfRule>
  </conditionalFormatting>
  <conditionalFormatting sqref="C130">
    <cfRule type="cellIs" dxfId="2165" priority="2721" stopIfTrue="1" operator="equal">
      <formula>"Towel"</formula>
    </cfRule>
    <cfRule type="cellIs" dxfId="2164" priority="2722" stopIfTrue="1" operator="equal">
      <formula>"Napkin Hs"</formula>
    </cfRule>
  </conditionalFormatting>
  <conditionalFormatting sqref="C130">
    <cfRule type="cellIs" dxfId="2163" priority="2719" stopIfTrue="1" operator="equal">
      <formula>"Towel"</formula>
    </cfRule>
    <cfRule type="cellIs" dxfId="2162" priority="2720" stopIfTrue="1" operator="equal">
      <formula>"Napkin Hs"</formula>
    </cfRule>
  </conditionalFormatting>
  <conditionalFormatting sqref="B130:C130">
    <cfRule type="cellIs" dxfId="2161" priority="2717" stopIfTrue="1" operator="equal">
      <formula>"Towel"</formula>
    </cfRule>
    <cfRule type="cellIs" dxfId="2160" priority="2718" stopIfTrue="1" operator="equal">
      <formula>"Napkin Hs"</formula>
    </cfRule>
  </conditionalFormatting>
  <conditionalFormatting sqref="C130">
    <cfRule type="cellIs" dxfId="2159" priority="2715" stopIfTrue="1" operator="equal">
      <formula>"Towel"</formula>
    </cfRule>
    <cfRule type="cellIs" dxfId="2158" priority="2716" stopIfTrue="1" operator="equal">
      <formula>"Napkin Hs"</formula>
    </cfRule>
  </conditionalFormatting>
  <conditionalFormatting sqref="C130">
    <cfRule type="cellIs" dxfId="2157" priority="2713" stopIfTrue="1" operator="equal">
      <formula>"Towel"</formula>
    </cfRule>
    <cfRule type="cellIs" dxfId="2156" priority="2714" stopIfTrue="1" operator="equal">
      <formula>"Napkin Hs"</formula>
    </cfRule>
  </conditionalFormatting>
  <conditionalFormatting sqref="B130:C130">
    <cfRule type="cellIs" dxfId="2155" priority="2712" stopIfTrue="1" operator="equal">
      <formula>"Napkin Hs"</formula>
    </cfRule>
  </conditionalFormatting>
  <conditionalFormatting sqref="B130:C130">
    <cfRule type="cellIs" dxfId="2154" priority="2711" stopIfTrue="1" operator="equal">
      <formula>"Towel"</formula>
    </cfRule>
  </conditionalFormatting>
  <conditionalFormatting sqref="C130">
    <cfRule type="cellIs" dxfId="2153" priority="2710" stopIfTrue="1" operator="equal">
      <formula>"Napkin Hs"</formula>
    </cfRule>
  </conditionalFormatting>
  <conditionalFormatting sqref="C130">
    <cfRule type="cellIs" dxfId="2152" priority="2707" stopIfTrue="1" operator="equal">
      <formula>"Towel"</formula>
    </cfRule>
    <cfRule type="cellIs" dxfId="2151" priority="2708" stopIfTrue="1" operator="equal">
      <formula>"Napkin Hs"</formula>
    </cfRule>
  </conditionalFormatting>
  <conditionalFormatting sqref="C130">
    <cfRule type="cellIs" dxfId="2150" priority="2709" stopIfTrue="1" operator="equal">
      <formula>"Towel"</formula>
    </cfRule>
  </conditionalFormatting>
  <conditionalFormatting sqref="B130:C130">
    <cfRule type="cellIs" dxfId="2149" priority="2706" stopIfTrue="1" operator="equal">
      <formula>"Napkin Hs"</formula>
    </cfRule>
  </conditionalFormatting>
  <conditionalFormatting sqref="B130:C130">
    <cfRule type="cellIs" dxfId="2148" priority="2705" stopIfTrue="1" operator="equal">
      <formula>"Towel"</formula>
    </cfRule>
  </conditionalFormatting>
  <conditionalFormatting sqref="C130">
    <cfRule type="cellIs" dxfId="2147" priority="2704" stopIfTrue="1" operator="equal">
      <formula>"Napkin Hs"</formula>
    </cfRule>
  </conditionalFormatting>
  <conditionalFormatting sqref="C130">
    <cfRule type="cellIs" dxfId="2146" priority="2703" stopIfTrue="1" operator="equal">
      <formula>"Towel"</formula>
    </cfRule>
  </conditionalFormatting>
  <conditionalFormatting sqref="C130">
    <cfRule type="cellIs" dxfId="2145" priority="2701" stopIfTrue="1" operator="equal">
      <formula>"Towel"</formula>
    </cfRule>
    <cfRule type="cellIs" dxfId="2144" priority="2702" stopIfTrue="1" operator="equal">
      <formula>"Napkin Hs"</formula>
    </cfRule>
  </conditionalFormatting>
  <conditionalFormatting sqref="C130">
    <cfRule type="cellIs" dxfId="2143" priority="2695" stopIfTrue="1" operator="equal">
      <formula>"Towel"</formula>
    </cfRule>
    <cfRule type="cellIs" dxfId="2142" priority="2696" stopIfTrue="1" operator="equal">
      <formula>"Napkin Hs"</formula>
    </cfRule>
  </conditionalFormatting>
  <conditionalFormatting sqref="B130:C130">
    <cfRule type="cellIs" dxfId="2141" priority="2694" stopIfTrue="1" operator="equal">
      <formula>"Napkin Hs"</formula>
    </cfRule>
  </conditionalFormatting>
  <conditionalFormatting sqref="B130:C130">
    <cfRule type="cellIs" dxfId="2140" priority="2693" stopIfTrue="1" operator="equal">
      <formula>"Towel"</formula>
    </cfRule>
  </conditionalFormatting>
  <conditionalFormatting sqref="C130">
    <cfRule type="cellIs" dxfId="2139" priority="2692" stopIfTrue="1" operator="equal">
      <formula>"Napkin Hs"</formula>
    </cfRule>
  </conditionalFormatting>
  <conditionalFormatting sqref="C130">
    <cfRule type="cellIs" dxfId="2138" priority="2691" stopIfTrue="1" operator="equal">
      <formula>"Towel"</formula>
    </cfRule>
  </conditionalFormatting>
  <conditionalFormatting sqref="C130">
    <cfRule type="cellIs" dxfId="2137" priority="2689" stopIfTrue="1" operator="equal">
      <formula>"Towel"</formula>
    </cfRule>
    <cfRule type="cellIs" dxfId="2136" priority="2690" stopIfTrue="1" operator="equal">
      <formula>"Napkin Hs"</formula>
    </cfRule>
  </conditionalFormatting>
  <conditionalFormatting sqref="C130">
    <cfRule type="cellIs" dxfId="2135" priority="2683" stopIfTrue="1" operator="equal">
      <formula>"Towel"</formula>
    </cfRule>
    <cfRule type="cellIs" dxfId="2134" priority="2684" stopIfTrue="1" operator="equal">
      <formula>"Napkin Hs"</formula>
    </cfRule>
  </conditionalFormatting>
  <conditionalFormatting sqref="C130">
    <cfRule type="cellIs" dxfId="2133" priority="2677" stopIfTrue="1" operator="equal">
      <formula>"Towel"</formula>
    </cfRule>
    <cfRule type="cellIs" dxfId="2132" priority="2678" stopIfTrue="1" operator="equal">
      <formula>"Napkin Hs"</formula>
    </cfRule>
  </conditionalFormatting>
  <conditionalFormatting sqref="C130">
    <cfRule type="cellIs" dxfId="2131" priority="2671" stopIfTrue="1" operator="equal">
      <formula>"Towel"</formula>
    </cfRule>
    <cfRule type="cellIs" dxfId="2130" priority="2672" stopIfTrue="1" operator="equal">
      <formula>"Napkin Hs"</formula>
    </cfRule>
  </conditionalFormatting>
  <conditionalFormatting sqref="C130">
    <cfRule type="cellIs" dxfId="2129" priority="2665" stopIfTrue="1" operator="equal">
      <formula>"Towel"</formula>
    </cfRule>
    <cfRule type="cellIs" dxfId="2128" priority="2666" stopIfTrue="1" operator="equal">
      <formula>"Napkin Hs"</formula>
    </cfRule>
  </conditionalFormatting>
  <conditionalFormatting sqref="C130">
    <cfRule type="cellIs" dxfId="2127" priority="2659" stopIfTrue="1" operator="equal">
      <formula>"Towel"</formula>
    </cfRule>
    <cfRule type="cellIs" dxfId="2126" priority="2660" stopIfTrue="1" operator="equal">
      <formula>"Napkin Hs"</formula>
    </cfRule>
  </conditionalFormatting>
  <conditionalFormatting sqref="B130:C130">
    <cfRule type="cellIs" dxfId="2125" priority="2658" stopIfTrue="1" operator="equal">
      <formula>"Napkin Hs"</formula>
    </cfRule>
  </conditionalFormatting>
  <conditionalFormatting sqref="B130:C130">
    <cfRule type="cellIs" dxfId="2124" priority="2657" stopIfTrue="1" operator="equal">
      <formula>"Towel"</formula>
    </cfRule>
  </conditionalFormatting>
  <conditionalFormatting sqref="C130">
    <cfRule type="cellIs" dxfId="2123" priority="2656" stopIfTrue="1" operator="equal">
      <formula>"Napkin Hs"</formula>
    </cfRule>
  </conditionalFormatting>
  <conditionalFormatting sqref="C130">
    <cfRule type="cellIs" dxfId="2122" priority="2653" stopIfTrue="1" operator="equal">
      <formula>"Towel"</formula>
    </cfRule>
    <cfRule type="cellIs" dxfId="2121" priority="2654" stopIfTrue="1" operator="equal">
      <formula>"Napkin Hs"</formula>
    </cfRule>
  </conditionalFormatting>
  <conditionalFormatting sqref="C130">
    <cfRule type="cellIs" dxfId="2120" priority="2655" stopIfTrue="1" operator="equal">
      <formula>"Towel"</formula>
    </cfRule>
  </conditionalFormatting>
  <conditionalFormatting sqref="B130:C130">
    <cfRule type="cellIs" dxfId="2119" priority="2652" stopIfTrue="1" operator="equal">
      <formula>"Napkin Hs"</formula>
    </cfRule>
  </conditionalFormatting>
  <conditionalFormatting sqref="B130:C130">
    <cfRule type="cellIs" dxfId="2118" priority="2651" stopIfTrue="1" operator="equal">
      <formula>"Towel"</formula>
    </cfRule>
  </conditionalFormatting>
  <conditionalFormatting sqref="C130">
    <cfRule type="cellIs" dxfId="2117" priority="2650" stopIfTrue="1" operator="equal">
      <formula>"Napkin Hs"</formula>
    </cfRule>
  </conditionalFormatting>
  <conditionalFormatting sqref="C130">
    <cfRule type="cellIs" dxfId="2116" priority="2647" stopIfTrue="1" operator="equal">
      <formula>"Towel"</formula>
    </cfRule>
    <cfRule type="cellIs" dxfId="2115" priority="2648" stopIfTrue="1" operator="equal">
      <formula>"Napkin Hs"</formula>
    </cfRule>
  </conditionalFormatting>
  <conditionalFormatting sqref="C130">
    <cfRule type="cellIs" dxfId="2114" priority="2649" stopIfTrue="1" operator="equal">
      <formula>"Towel"</formula>
    </cfRule>
  </conditionalFormatting>
  <conditionalFormatting sqref="B130:C130">
    <cfRule type="cellIs" dxfId="2113" priority="2699" stopIfTrue="1" operator="equal">
      <formula>"Towel"</formula>
    </cfRule>
    <cfRule type="cellIs" dxfId="2112" priority="2700" stopIfTrue="1" operator="equal">
      <formula>"Napkin Hs"</formula>
    </cfRule>
  </conditionalFormatting>
  <conditionalFormatting sqref="C130">
    <cfRule type="cellIs" dxfId="2111" priority="2697" stopIfTrue="1" operator="equal">
      <formula>"Towel"</formula>
    </cfRule>
    <cfRule type="cellIs" dxfId="2110" priority="2698" stopIfTrue="1" operator="equal">
      <formula>"Napkin Hs"</formula>
    </cfRule>
  </conditionalFormatting>
  <conditionalFormatting sqref="B130:C130">
    <cfRule type="cellIs" dxfId="2109" priority="2687" stopIfTrue="1" operator="equal">
      <formula>"Towel"</formula>
    </cfRule>
    <cfRule type="cellIs" dxfId="2108" priority="2688" stopIfTrue="1" operator="equal">
      <formula>"Napkin Hs"</formula>
    </cfRule>
  </conditionalFormatting>
  <conditionalFormatting sqref="C130">
    <cfRule type="cellIs" dxfId="2107" priority="2685" stopIfTrue="1" operator="equal">
      <formula>"Towel"</formula>
    </cfRule>
    <cfRule type="cellIs" dxfId="2106" priority="2686" stopIfTrue="1" operator="equal">
      <formula>"Napkin Hs"</formula>
    </cfRule>
  </conditionalFormatting>
  <conditionalFormatting sqref="B130:C130">
    <cfRule type="cellIs" dxfId="2105" priority="2681" stopIfTrue="1" operator="equal">
      <formula>"Towel"</formula>
    </cfRule>
    <cfRule type="cellIs" dxfId="2104" priority="2682" stopIfTrue="1" operator="equal">
      <formula>"Napkin Hs"</formula>
    </cfRule>
  </conditionalFormatting>
  <conditionalFormatting sqref="C130">
    <cfRule type="cellIs" dxfId="2103" priority="2679" stopIfTrue="1" operator="equal">
      <formula>"Towel"</formula>
    </cfRule>
    <cfRule type="cellIs" dxfId="2102" priority="2680" stopIfTrue="1" operator="equal">
      <formula>"Napkin Hs"</formula>
    </cfRule>
  </conditionalFormatting>
  <conditionalFormatting sqref="B130:C130">
    <cfRule type="cellIs" dxfId="2101" priority="2675" stopIfTrue="1" operator="equal">
      <formula>"Towel"</formula>
    </cfRule>
    <cfRule type="cellIs" dxfId="2100" priority="2676" stopIfTrue="1" operator="equal">
      <formula>"Napkin Hs"</formula>
    </cfRule>
  </conditionalFormatting>
  <conditionalFormatting sqref="C130">
    <cfRule type="cellIs" dxfId="2099" priority="2673" stopIfTrue="1" operator="equal">
      <formula>"Towel"</formula>
    </cfRule>
    <cfRule type="cellIs" dxfId="2098" priority="2674" stopIfTrue="1" operator="equal">
      <formula>"Napkin Hs"</formula>
    </cfRule>
  </conditionalFormatting>
  <conditionalFormatting sqref="B130:C130">
    <cfRule type="cellIs" dxfId="2097" priority="2669" stopIfTrue="1" operator="equal">
      <formula>"Towel"</formula>
    </cfRule>
    <cfRule type="cellIs" dxfId="2096" priority="2670" stopIfTrue="1" operator="equal">
      <formula>"Napkin Hs"</formula>
    </cfRule>
  </conditionalFormatting>
  <conditionalFormatting sqref="C130">
    <cfRule type="cellIs" dxfId="2095" priority="2667" stopIfTrue="1" operator="equal">
      <formula>"Towel"</formula>
    </cfRule>
    <cfRule type="cellIs" dxfId="2094" priority="2668" stopIfTrue="1" operator="equal">
      <formula>"Napkin Hs"</formula>
    </cfRule>
  </conditionalFormatting>
  <conditionalFormatting sqref="B130:C130">
    <cfRule type="cellIs" dxfId="2093" priority="2663" stopIfTrue="1" operator="equal">
      <formula>"Towel"</formula>
    </cfRule>
    <cfRule type="cellIs" dxfId="2092" priority="2664" stopIfTrue="1" operator="equal">
      <formula>"Napkin Hs"</formula>
    </cfRule>
  </conditionalFormatting>
  <conditionalFormatting sqref="C130">
    <cfRule type="cellIs" dxfId="2091" priority="2661" stopIfTrue="1" operator="equal">
      <formula>"Towel"</formula>
    </cfRule>
    <cfRule type="cellIs" dxfId="2090" priority="2662" stopIfTrue="1" operator="equal">
      <formula>"Napkin Hs"</formula>
    </cfRule>
  </conditionalFormatting>
  <conditionalFormatting sqref="B130:C130">
    <cfRule type="cellIs" dxfId="2089" priority="2646" stopIfTrue="1" operator="equal">
      <formula>"Napkin Hs"</formula>
    </cfRule>
  </conditionalFormatting>
  <conditionalFormatting sqref="B130:C130">
    <cfRule type="cellIs" dxfId="2088" priority="2645" stopIfTrue="1" operator="equal">
      <formula>"Towel"</formula>
    </cfRule>
  </conditionalFormatting>
  <conditionalFormatting sqref="C130">
    <cfRule type="cellIs" dxfId="2087" priority="2644" stopIfTrue="1" operator="equal">
      <formula>"Napkin Hs"</formula>
    </cfRule>
  </conditionalFormatting>
  <conditionalFormatting sqref="C130">
    <cfRule type="cellIs" dxfId="2086" priority="2641" stopIfTrue="1" operator="equal">
      <formula>"Towel"</formula>
    </cfRule>
    <cfRule type="cellIs" dxfId="2085" priority="2642" stopIfTrue="1" operator="equal">
      <formula>"Napkin Hs"</formula>
    </cfRule>
  </conditionalFormatting>
  <conditionalFormatting sqref="C130">
    <cfRule type="cellIs" dxfId="2084" priority="2643" stopIfTrue="1" operator="equal">
      <formula>"Towel"</formula>
    </cfRule>
  </conditionalFormatting>
  <conditionalFormatting sqref="C129">
    <cfRule type="cellIs" dxfId="2083" priority="2637" stopIfTrue="1" operator="equal">
      <formula>"Towel"</formula>
    </cfRule>
    <cfRule type="cellIs" dxfId="2082" priority="2638" stopIfTrue="1" operator="equal">
      <formula>"Napkin Hs"</formula>
    </cfRule>
  </conditionalFormatting>
  <conditionalFormatting sqref="C129">
    <cfRule type="cellIs" dxfId="2081" priority="2635" stopIfTrue="1" operator="equal">
      <formula>"Towel"</formula>
    </cfRule>
    <cfRule type="cellIs" dxfId="2080" priority="2636" stopIfTrue="1" operator="equal">
      <formula>"Napkin Hs"</formula>
    </cfRule>
  </conditionalFormatting>
  <conditionalFormatting sqref="B129:C129">
    <cfRule type="cellIs" dxfId="2079" priority="2586" stopIfTrue="1" operator="equal">
      <formula>"Napkin Hs"</formula>
    </cfRule>
  </conditionalFormatting>
  <conditionalFormatting sqref="B129:C129">
    <cfRule type="cellIs" dxfId="2078" priority="2585" stopIfTrue="1" operator="equal">
      <formula>"Towel"</formula>
    </cfRule>
  </conditionalFormatting>
  <conditionalFormatting sqref="B129:C129">
    <cfRule type="cellIs" dxfId="2077" priority="2639" stopIfTrue="1" operator="equal">
      <formula>"Towel"</formula>
    </cfRule>
    <cfRule type="cellIs" dxfId="2076" priority="2640" stopIfTrue="1" operator="equal">
      <formula>"Napkin Hs"</formula>
    </cfRule>
  </conditionalFormatting>
  <conditionalFormatting sqref="C129">
    <cfRule type="cellIs" dxfId="2075" priority="2584" stopIfTrue="1" operator="equal">
      <formula>"Napkin Hs"</formula>
    </cfRule>
  </conditionalFormatting>
  <conditionalFormatting sqref="C129">
    <cfRule type="cellIs" dxfId="2074" priority="2583" stopIfTrue="1" operator="equal">
      <formula>"Towel"</formula>
    </cfRule>
  </conditionalFormatting>
  <conditionalFormatting sqref="C129">
    <cfRule type="cellIs" dxfId="2073" priority="2581" stopIfTrue="1" operator="equal">
      <formula>"Towel"</formula>
    </cfRule>
    <cfRule type="cellIs" dxfId="2072" priority="2582" stopIfTrue="1" operator="equal">
      <formula>"Napkin Hs"</formula>
    </cfRule>
  </conditionalFormatting>
  <conditionalFormatting sqref="B129:C129">
    <cfRule type="cellIs" dxfId="2071" priority="2634" stopIfTrue="1" operator="equal">
      <formula>"Napkin Hs"</formula>
    </cfRule>
  </conditionalFormatting>
  <conditionalFormatting sqref="B129:C129">
    <cfRule type="cellIs" dxfId="2070" priority="2633" stopIfTrue="1" operator="equal">
      <formula>"Towel"</formula>
    </cfRule>
  </conditionalFormatting>
  <conditionalFormatting sqref="C129">
    <cfRule type="cellIs" dxfId="2069" priority="2632" stopIfTrue="1" operator="equal">
      <formula>"Napkin Hs"</formula>
    </cfRule>
  </conditionalFormatting>
  <conditionalFormatting sqref="C129">
    <cfRule type="cellIs" dxfId="2068" priority="2631" stopIfTrue="1" operator="equal">
      <formula>"Towel"</formula>
    </cfRule>
  </conditionalFormatting>
  <conditionalFormatting sqref="C129">
    <cfRule type="cellIs" dxfId="2067" priority="2629" stopIfTrue="1" operator="equal">
      <formula>"Towel"</formula>
    </cfRule>
    <cfRule type="cellIs" dxfId="2066" priority="2630" stopIfTrue="1" operator="equal">
      <formula>"Napkin Hs"</formula>
    </cfRule>
  </conditionalFormatting>
  <conditionalFormatting sqref="B129:C129">
    <cfRule type="cellIs" dxfId="2065" priority="2627" stopIfTrue="1" operator="equal">
      <formula>"Towel"</formula>
    </cfRule>
    <cfRule type="cellIs" dxfId="2064" priority="2628" stopIfTrue="1" operator="equal">
      <formula>"Napkin Hs"</formula>
    </cfRule>
  </conditionalFormatting>
  <conditionalFormatting sqref="C129">
    <cfRule type="cellIs" dxfId="2063" priority="2623" stopIfTrue="1" operator="equal">
      <formula>"Towel"</formula>
    </cfRule>
    <cfRule type="cellIs" dxfId="2062" priority="2624" stopIfTrue="1" operator="equal">
      <formula>"Napkin Hs"</formula>
    </cfRule>
  </conditionalFormatting>
  <conditionalFormatting sqref="C129">
    <cfRule type="cellIs" dxfId="2061" priority="2625" stopIfTrue="1" operator="equal">
      <formula>"Towel"</formula>
    </cfRule>
    <cfRule type="cellIs" dxfId="2060" priority="2626" stopIfTrue="1" operator="equal">
      <formula>"Napkin Hs"</formula>
    </cfRule>
  </conditionalFormatting>
  <conditionalFormatting sqref="B129:C129">
    <cfRule type="cellIs" dxfId="2059" priority="2622" stopIfTrue="1" operator="equal">
      <formula>"Napkin Hs"</formula>
    </cfRule>
  </conditionalFormatting>
  <conditionalFormatting sqref="B129:C129">
    <cfRule type="cellIs" dxfId="2058" priority="2621" stopIfTrue="1" operator="equal">
      <formula>"Towel"</formula>
    </cfRule>
  </conditionalFormatting>
  <conditionalFormatting sqref="C129">
    <cfRule type="cellIs" dxfId="2057" priority="2620" stopIfTrue="1" operator="equal">
      <formula>"Napkin Hs"</formula>
    </cfRule>
  </conditionalFormatting>
  <conditionalFormatting sqref="C129">
    <cfRule type="cellIs" dxfId="2056" priority="2619" stopIfTrue="1" operator="equal">
      <formula>"Towel"</formula>
    </cfRule>
  </conditionalFormatting>
  <conditionalFormatting sqref="C129">
    <cfRule type="cellIs" dxfId="2055" priority="2617" stopIfTrue="1" operator="equal">
      <formula>"Towel"</formula>
    </cfRule>
    <cfRule type="cellIs" dxfId="2054" priority="2618" stopIfTrue="1" operator="equal">
      <formula>"Napkin Hs"</formula>
    </cfRule>
  </conditionalFormatting>
  <conditionalFormatting sqref="B129:C129">
    <cfRule type="cellIs" dxfId="2053" priority="2615" stopIfTrue="1" operator="equal">
      <formula>"Towel"</formula>
    </cfRule>
    <cfRule type="cellIs" dxfId="2052" priority="2616" stopIfTrue="1" operator="equal">
      <formula>"Napkin Hs"</formula>
    </cfRule>
  </conditionalFormatting>
  <conditionalFormatting sqref="C129">
    <cfRule type="cellIs" dxfId="2051" priority="2613" stopIfTrue="1" operator="equal">
      <formula>"Towel"</formula>
    </cfRule>
    <cfRule type="cellIs" dxfId="2050" priority="2614" stopIfTrue="1" operator="equal">
      <formula>"Napkin Hs"</formula>
    </cfRule>
  </conditionalFormatting>
  <conditionalFormatting sqref="C129">
    <cfRule type="cellIs" dxfId="2049" priority="2611" stopIfTrue="1" operator="equal">
      <formula>"Towel"</formula>
    </cfRule>
    <cfRule type="cellIs" dxfId="2048" priority="2612" stopIfTrue="1" operator="equal">
      <formula>"Napkin Hs"</formula>
    </cfRule>
  </conditionalFormatting>
  <conditionalFormatting sqref="B129:C129">
    <cfRule type="cellIs" dxfId="2047" priority="2609" stopIfTrue="1" operator="equal">
      <formula>"Towel"</formula>
    </cfRule>
    <cfRule type="cellIs" dxfId="2046" priority="2610" stopIfTrue="1" operator="equal">
      <formula>"Napkin Hs"</formula>
    </cfRule>
  </conditionalFormatting>
  <conditionalFormatting sqref="C129">
    <cfRule type="cellIs" dxfId="2045" priority="2607" stopIfTrue="1" operator="equal">
      <formula>"Towel"</formula>
    </cfRule>
    <cfRule type="cellIs" dxfId="2044" priority="2608" stopIfTrue="1" operator="equal">
      <formula>"Napkin Hs"</formula>
    </cfRule>
  </conditionalFormatting>
  <conditionalFormatting sqref="C129">
    <cfRule type="cellIs" dxfId="2043" priority="2605" stopIfTrue="1" operator="equal">
      <formula>"Towel"</formula>
    </cfRule>
    <cfRule type="cellIs" dxfId="2042" priority="2606" stopIfTrue="1" operator="equal">
      <formula>"Napkin Hs"</formula>
    </cfRule>
  </conditionalFormatting>
  <conditionalFormatting sqref="B129:C129">
    <cfRule type="cellIs" dxfId="2041" priority="2603" stopIfTrue="1" operator="equal">
      <formula>"Towel"</formula>
    </cfRule>
    <cfRule type="cellIs" dxfId="2040" priority="2604" stopIfTrue="1" operator="equal">
      <formula>"Napkin Hs"</formula>
    </cfRule>
  </conditionalFormatting>
  <conditionalFormatting sqref="C129">
    <cfRule type="cellIs" dxfId="2039" priority="2601" stopIfTrue="1" operator="equal">
      <formula>"Towel"</formula>
    </cfRule>
    <cfRule type="cellIs" dxfId="2038" priority="2602" stopIfTrue="1" operator="equal">
      <formula>"Napkin Hs"</formula>
    </cfRule>
  </conditionalFormatting>
  <conditionalFormatting sqref="C129">
    <cfRule type="cellIs" dxfId="2037" priority="2599" stopIfTrue="1" operator="equal">
      <formula>"Towel"</formula>
    </cfRule>
    <cfRule type="cellIs" dxfId="2036" priority="2600" stopIfTrue="1" operator="equal">
      <formula>"Napkin Hs"</formula>
    </cfRule>
  </conditionalFormatting>
  <conditionalFormatting sqref="B129:C129">
    <cfRule type="cellIs" dxfId="2035" priority="2597" stopIfTrue="1" operator="equal">
      <formula>"Towel"</formula>
    </cfRule>
    <cfRule type="cellIs" dxfId="2034" priority="2598" stopIfTrue="1" operator="equal">
      <formula>"Napkin Hs"</formula>
    </cfRule>
  </conditionalFormatting>
  <conditionalFormatting sqref="C129">
    <cfRule type="cellIs" dxfId="2033" priority="2595" stopIfTrue="1" operator="equal">
      <formula>"Towel"</formula>
    </cfRule>
    <cfRule type="cellIs" dxfId="2032" priority="2596" stopIfTrue="1" operator="equal">
      <formula>"Napkin Hs"</formula>
    </cfRule>
  </conditionalFormatting>
  <conditionalFormatting sqref="C129">
    <cfRule type="cellIs" dxfId="2031" priority="2593" stopIfTrue="1" operator="equal">
      <formula>"Towel"</formula>
    </cfRule>
    <cfRule type="cellIs" dxfId="2030" priority="2594" stopIfTrue="1" operator="equal">
      <formula>"Napkin Hs"</formula>
    </cfRule>
  </conditionalFormatting>
  <conditionalFormatting sqref="B129:C129">
    <cfRule type="cellIs" dxfId="2029" priority="2591" stopIfTrue="1" operator="equal">
      <formula>"Towel"</formula>
    </cfRule>
    <cfRule type="cellIs" dxfId="2028" priority="2592" stopIfTrue="1" operator="equal">
      <formula>"Napkin Hs"</formula>
    </cfRule>
  </conditionalFormatting>
  <conditionalFormatting sqref="C129">
    <cfRule type="cellIs" dxfId="2027" priority="2589" stopIfTrue="1" operator="equal">
      <formula>"Towel"</formula>
    </cfRule>
    <cfRule type="cellIs" dxfId="2026" priority="2590" stopIfTrue="1" operator="equal">
      <formula>"Napkin Hs"</formula>
    </cfRule>
  </conditionalFormatting>
  <conditionalFormatting sqref="C129">
    <cfRule type="cellIs" dxfId="2025" priority="2587" stopIfTrue="1" operator="equal">
      <formula>"Towel"</formula>
    </cfRule>
    <cfRule type="cellIs" dxfId="2024" priority="2588" stopIfTrue="1" operator="equal">
      <formula>"Napkin Hs"</formula>
    </cfRule>
  </conditionalFormatting>
  <conditionalFormatting sqref="B129:C129">
    <cfRule type="cellIs" dxfId="2023" priority="2577" stopIfTrue="1" operator="equal">
      <formula>"Towel"</formula>
    </cfRule>
    <cfRule type="cellIs" dxfId="2022" priority="2578" stopIfTrue="1" operator="equal">
      <formula>"Napkin Hs"</formula>
    </cfRule>
  </conditionalFormatting>
  <conditionalFormatting sqref="C129">
    <cfRule type="cellIs" dxfId="2021" priority="2579" stopIfTrue="1" operator="equal">
      <formula>"Towel"</formula>
    </cfRule>
    <cfRule type="cellIs" dxfId="2020" priority="2580" stopIfTrue="1" operator="equal">
      <formula>"Napkin Hs"</formula>
    </cfRule>
  </conditionalFormatting>
  <conditionalFormatting sqref="C129">
    <cfRule type="cellIs" dxfId="2019" priority="2575" stopIfTrue="1" operator="equal">
      <formula>"Towel"</formula>
    </cfRule>
    <cfRule type="cellIs" dxfId="2018" priority="2576" stopIfTrue="1" operator="equal">
      <formula>"Napkin Hs"</formula>
    </cfRule>
  </conditionalFormatting>
  <conditionalFormatting sqref="B129:C129">
    <cfRule type="cellIs" dxfId="2017" priority="2574" stopIfTrue="1" operator="equal">
      <formula>"Napkin Hs"</formula>
    </cfRule>
  </conditionalFormatting>
  <conditionalFormatting sqref="B129:C129">
    <cfRule type="cellIs" dxfId="2016" priority="2573" stopIfTrue="1" operator="equal">
      <formula>"Towel"</formula>
    </cfRule>
  </conditionalFormatting>
  <conditionalFormatting sqref="C129">
    <cfRule type="cellIs" dxfId="2015" priority="2572" stopIfTrue="1" operator="equal">
      <formula>"Napkin Hs"</formula>
    </cfRule>
  </conditionalFormatting>
  <conditionalFormatting sqref="C129">
    <cfRule type="cellIs" dxfId="2014" priority="2571" stopIfTrue="1" operator="equal">
      <formula>"Towel"</formula>
    </cfRule>
  </conditionalFormatting>
  <conditionalFormatting sqref="C129">
    <cfRule type="cellIs" dxfId="2013" priority="2569" stopIfTrue="1" operator="equal">
      <formula>"Towel"</formula>
    </cfRule>
    <cfRule type="cellIs" dxfId="2012" priority="2570" stopIfTrue="1" operator="equal">
      <formula>"Napkin Hs"</formula>
    </cfRule>
  </conditionalFormatting>
  <conditionalFormatting sqref="B129:C129">
    <cfRule type="cellIs" dxfId="2011" priority="2567" stopIfTrue="1" operator="equal">
      <formula>"Towel"</formula>
    </cfRule>
    <cfRule type="cellIs" dxfId="2010" priority="2568" stopIfTrue="1" operator="equal">
      <formula>"Napkin Hs"</formula>
    </cfRule>
  </conditionalFormatting>
  <conditionalFormatting sqref="C129">
    <cfRule type="cellIs" dxfId="2009" priority="2563" stopIfTrue="1" operator="equal">
      <formula>"Towel"</formula>
    </cfRule>
    <cfRule type="cellIs" dxfId="2008" priority="2564" stopIfTrue="1" operator="equal">
      <formula>"Napkin Hs"</formula>
    </cfRule>
  </conditionalFormatting>
  <conditionalFormatting sqref="C129">
    <cfRule type="cellIs" dxfId="2007" priority="2565" stopIfTrue="1" operator="equal">
      <formula>"Towel"</formula>
    </cfRule>
    <cfRule type="cellIs" dxfId="2006" priority="2566" stopIfTrue="1" operator="equal">
      <formula>"Napkin Hs"</formula>
    </cfRule>
  </conditionalFormatting>
  <conditionalFormatting sqref="B129:C129">
    <cfRule type="cellIs" dxfId="2005" priority="2562" stopIfTrue="1" operator="equal">
      <formula>"Napkin Hs"</formula>
    </cfRule>
  </conditionalFormatting>
  <conditionalFormatting sqref="B129:C129">
    <cfRule type="cellIs" dxfId="2004" priority="2561" stopIfTrue="1" operator="equal">
      <formula>"Towel"</formula>
    </cfRule>
  </conditionalFormatting>
  <conditionalFormatting sqref="C129">
    <cfRule type="cellIs" dxfId="2003" priority="2560" stopIfTrue="1" operator="equal">
      <formula>"Napkin Hs"</formula>
    </cfRule>
  </conditionalFormatting>
  <conditionalFormatting sqref="C129">
    <cfRule type="cellIs" dxfId="2002" priority="2559" stopIfTrue="1" operator="equal">
      <formula>"Towel"</formula>
    </cfRule>
  </conditionalFormatting>
  <conditionalFormatting sqref="C129">
    <cfRule type="cellIs" dxfId="2001" priority="2557" stopIfTrue="1" operator="equal">
      <formula>"Towel"</formula>
    </cfRule>
    <cfRule type="cellIs" dxfId="2000" priority="2558" stopIfTrue="1" operator="equal">
      <formula>"Napkin Hs"</formula>
    </cfRule>
  </conditionalFormatting>
  <conditionalFormatting sqref="B129:C129">
    <cfRule type="cellIs" dxfId="1999" priority="2555" stopIfTrue="1" operator="equal">
      <formula>"Towel"</formula>
    </cfRule>
    <cfRule type="cellIs" dxfId="1998" priority="2556" stopIfTrue="1" operator="equal">
      <formula>"Napkin Hs"</formula>
    </cfRule>
  </conditionalFormatting>
  <conditionalFormatting sqref="C129">
    <cfRule type="cellIs" dxfId="1997" priority="2553" stopIfTrue="1" operator="equal">
      <formula>"Towel"</formula>
    </cfRule>
    <cfRule type="cellIs" dxfId="1996" priority="2554" stopIfTrue="1" operator="equal">
      <formula>"Napkin Hs"</formula>
    </cfRule>
  </conditionalFormatting>
  <conditionalFormatting sqref="C129">
    <cfRule type="cellIs" dxfId="1995" priority="2551" stopIfTrue="1" operator="equal">
      <formula>"Towel"</formula>
    </cfRule>
    <cfRule type="cellIs" dxfId="1994" priority="2552" stopIfTrue="1" operator="equal">
      <formula>"Napkin Hs"</formula>
    </cfRule>
  </conditionalFormatting>
  <conditionalFormatting sqref="B129:C129">
    <cfRule type="cellIs" dxfId="1993" priority="2549" stopIfTrue="1" operator="equal">
      <formula>"Towel"</formula>
    </cfRule>
    <cfRule type="cellIs" dxfId="1992" priority="2550" stopIfTrue="1" operator="equal">
      <formula>"Napkin Hs"</formula>
    </cfRule>
  </conditionalFormatting>
  <conditionalFormatting sqref="C129">
    <cfRule type="cellIs" dxfId="1991" priority="2547" stopIfTrue="1" operator="equal">
      <formula>"Towel"</formula>
    </cfRule>
    <cfRule type="cellIs" dxfId="1990" priority="2548" stopIfTrue="1" operator="equal">
      <formula>"Napkin Hs"</formula>
    </cfRule>
  </conditionalFormatting>
  <conditionalFormatting sqref="C129">
    <cfRule type="cellIs" dxfId="1989" priority="2545" stopIfTrue="1" operator="equal">
      <formula>"Towel"</formula>
    </cfRule>
    <cfRule type="cellIs" dxfId="1988" priority="2546" stopIfTrue="1" operator="equal">
      <formula>"Napkin Hs"</formula>
    </cfRule>
  </conditionalFormatting>
  <conditionalFormatting sqref="B129:C129">
    <cfRule type="cellIs" dxfId="1987" priority="2543" stopIfTrue="1" operator="equal">
      <formula>"Towel"</formula>
    </cfRule>
    <cfRule type="cellIs" dxfId="1986" priority="2544" stopIfTrue="1" operator="equal">
      <formula>"Napkin Hs"</formula>
    </cfRule>
  </conditionalFormatting>
  <conditionalFormatting sqref="C129">
    <cfRule type="cellIs" dxfId="1985" priority="2541" stopIfTrue="1" operator="equal">
      <formula>"Towel"</formula>
    </cfRule>
    <cfRule type="cellIs" dxfId="1984" priority="2542" stopIfTrue="1" operator="equal">
      <formula>"Napkin Hs"</formula>
    </cfRule>
  </conditionalFormatting>
  <conditionalFormatting sqref="C129">
    <cfRule type="cellIs" dxfId="1983" priority="2539" stopIfTrue="1" operator="equal">
      <formula>"Towel"</formula>
    </cfRule>
    <cfRule type="cellIs" dxfId="1982" priority="2540" stopIfTrue="1" operator="equal">
      <formula>"Napkin Hs"</formula>
    </cfRule>
  </conditionalFormatting>
  <conditionalFormatting sqref="B129:C129">
    <cfRule type="cellIs" dxfId="1981" priority="2537" stopIfTrue="1" operator="equal">
      <formula>"Towel"</formula>
    </cfRule>
    <cfRule type="cellIs" dxfId="1980" priority="2538" stopIfTrue="1" operator="equal">
      <formula>"Napkin Hs"</formula>
    </cfRule>
  </conditionalFormatting>
  <conditionalFormatting sqref="C129">
    <cfRule type="cellIs" dxfId="1979" priority="2535" stopIfTrue="1" operator="equal">
      <formula>"Towel"</formula>
    </cfRule>
    <cfRule type="cellIs" dxfId="1978" priority="2536" stopIfTrue="1" operator="equal">
      <formula>"Napkin Hs"</formula>
    </cfRule>
  </conditionalFormatting>
  <conditionalFormatting sqref="C129">
    <cfRule type="cellIs" dxfId="1977" priority="2533" stopIfTrue="1" operator="equal">
      <formula>"Towel"</formula>
    </cfRule>
    <cfRule type="cellIs" dxfId="1976" priority="2534" stopIfTrue="1" operator="equal">
      <formula>"Napkin Hs"</formula>
    </cfRule>
  </conditionalFormatting>
  <conditionalFormatting sqref="B129:C129">
    <cfRule type="cellIs" dxfId="1975" priority="2531" stopIfTrue="1" operator="equal">
      <formula>"Towel"</formula>
    </cfRule>
    <cfRule type="cellIs" dxfId="1974" priority="2532" stopIfTrue="1" operator="equal">
      <formula>"Napkin Hs"</formula>
    </cfRule>
  </conditionalFormatting>
  <conditionalFormatting sqref="C129">
    <cfRule type="cellIs" dxfId="1973" priority="2529" stopIfTrue="1" operator="equal">
      <formula>"Towel"</formula>
    </cfRule>
    <cfRule type="cellIs" dxfId="1972" priority="2530" stopIfTrue="1" operator="equal">
      <formula>"Napkin Hs"</formula>
    </cfRule>
  </conditionalFormatting>
  <conditionalFormatting sqref="C129">
    <cfRule type="cellIs" dxfId="1971" priority="2527" stopIfTrue="1" operator="equal">
      <formula>"Towel"</formula>
    </cfRule>
    <cfRule type="cellIs" dxfId="1970" priority="2528" stopIfTrue="1" operator="equal">
      <formula>"Napkin Hs"</formula>
    </cfRule>
  </conditionalFormatting>
  <conditionalFormatting sqref="B129:C129">
    <cfRule type="cellIs" dxfId="1969" priority="2526" stopIfTrue="1" operator="equal">
      <formula>"Napkin Hs"</formula>
    </cfRule>
  </conditionalFormatting>
  <conditionalFormatting sqref="B129:C129">
    <cfRule type="cellIs" dxfId="1968" priority="2525" stopIfTrue="1" operator="equal">
      <formula>"Towel"</formula>
    </cfRule>
  </conditionalFormatting>
  <conditionalFormatting sqref="C129">
    <cfRule type="cellIs" dxfId="1967" priority="2524" stopIfTrue="1" operator="equal">
      <formula>"Napkin Hs"</formula>
    </cfRule>
  </conditionalFormatting>
  <conditionalFormatting sqref="C129">
    <cfRule type="cellIs" dxfId="1966" priority="2521" stopIfTrue="1" operator="equal">
      <formula>"Towel"</formula>
    </cfRule>
    <cfRule type="cellIs" dxfId="1965" priority="2522" stopIfTrue="1" operator="equal">
      <formula>"Napkin Hs"</formula>
    </cfRule>
  </conditionalFormatting>
  <conditionalFormatting sqref="C129">
    <cfRule type="cellIs" dxfId="1964" priority="2523" stopIfTrue="1" operator="equal">
      <formula>"Towel"</formula>
    </cfRule>
  </conditionalFormatting>
  <conditionalFormatting sqref="B129:C129">
    <cfRule type="cellIs" dxfId="1963" priority="2520" stopIfTrue="1" operator="equal">
      <formula>"Napkin Hs"</formula>
    </cfRule>
  </conditionalFormatting>
  <conditionalFormatting sqref="B129:C129">
    <cfRule type="cellIs" dxfId="1962" priority="2519" stopIfTrue="1" operator="equal">
      <formula>"Towel"</formula>
    </cfRule>
  </conditionalFormatting>
  <conditionalFormatting sqref="C129">
    <cfRule type="cellIs" dxfId="1961" priority="2518" stopIfTrue="1" operator="equal">
      <formula>"Napkin Hs"</formula>
    </cfRule>
  </conditionalFormatting>
  <conditionalFormatting sqref="C129">
    <cfRule type="cellIs" dxfId="1960" priority="2517" stopIfTrue="1" operator="equal">
      <formula>"Towel"</formula>
    </cfRule>
  </conditionalFormatting>
  <conditionalFormatting sqref="C129">
    <cfRule type="cellIs" dxfId="1959" priority="2515" stopIfTrue="1" operator="equal">
      <formula>"Towel"</formula>
    </cfRule>
    <cfRule type="cellIs" dxfId="1958" priority="2516" stopIfTrue="1" operator="equal">
      <formula>"Napkin Hs"</formula>
    </cfRule>
  </conditionalFormatting>
  <conditionalFormatting sqref="C129">
    <cfRule type="cellIs" dxfId="1957" priority="2509" stopIfTrue="1" operator="equal">
      <formula>"Towel"</formula>
    </cfRule>
    <cfRule type="cellIs" dxfId="1956" priority="2510" stopIfTrue="1" operator="equal">
      <formula>"Napkin Hs"</formula>
    </cfRule>
  </conditionalFormatting>
  <conditionalFormatting sqref="B129:C129">
    <cfRule type="cellIs" dxfId="1955" priority="2508" stopIfTrue="1" operator="equal">
      <formula>"Napkin Hs"</formula>
    </cfRule>
  </conditionalFormatting>
  <conditionalFormatting sqref="B129:C129">
    <cfRule type="cellIs" dxfId="1954" priority="2507" stopIfTrue="1" operator="equal">
      <formula>"Towel"</formula>
    </cfRule>
  </conditionalFormatting>
  <conditionalFormatting sqref="C129">
    <cfRule type="cellIs" dxfId="1953" priority="2506" stopIfTrue="1" operator="equal">
      <formula>"Napkin Hs"</formula>
    </cfRule>
  </conditionalFormatting>
  <conditionalFormatting sqref="C129">
    <cfRule type="cellIs" dxfId="1952" priority="2505" stopIfTrue="1" operator="equal">
      <formula>"Towel"</formula>
    </cfRule>
  </conditionalFormatting>
  <conditionalFormatting sqref="C129">
    <cfRule type="cellIs" dxfId="1951" priority="2503" stopIfTrue="1" operator="equal">
      <formula>"Towel"</formula>
    </cfRule>
    <cfRule type="cellIs" dxfId="1950" priority="2504" stopIfTrue="1" operator="equal">
      <formula>"Napkin Hs"</formula>
    </cfRule>
  </conditionalFormatting>
  <conditionalFormatting sqref="C129">
    <cfRule type="cellIs" dxfId="1949" priority="2497" stopIfTrue="1" operator="equal">
      <formula>"Towel"</formula>
    </cfRule>
    <cfRule type="cellIs" dxfId="1948" priority="2498" stopIfTrue="1" operator="equal">
      <formula>"Napkin Hs"</formula>
    </cfRule>
  </conditionalFormatting>
  <conditionalFormatting sqref="C129">
    <cfRule type="cellIs" dxfId="1947" priority="2491" stopIfTrue="1" operator="equal">
      <formula>"Towel"</formula>
    </cfRule>
    <cfRule type="cellIs" dxfId="1946" priority="2492" stopIfTrue="1" operator="equal">
      <formula>"Napkin Hs"</formula>
    </cfRule>
  </conditionalFormatting>
  <conditionalFormatting sqref="C129">
    <cfRule type="cellIs" dxfId="1945" priority="2485" stopIfTrue="1" operator="equal">
      <formula>"Towel"</formula>
    </cfRule>
    <cfRule type="cellIs" dxfId="1944" priority="2486" stopIfTrue="1" operator="equal">
      <formula>"Napkin Hs"</formula>
    </cfRule>
  </conditionalFormatting>
  <conditionalFormatting sqref="C129">
    <cfRule type="cellIs" dxfId="1943" priority="2479" stopIfTrue="1" operator="equal">
      <formula>"Towel"</formula>
    </cfRule>
    <cfRule type="cellIs" dxfId="1942" priority="2480" stopIfTrue="1" operator="equal">
      <formula>"Napkin Hs"</formula>
    </cfRule>
  </conditionalFormatting>
  <conditionalFormatting sqref="C129">
    <cfRule type="cellIs" dxfId="1941" priority="2473" stopIfTrue="1" operator="equal">
      <formula>"Towel"</formula>
    </cfRule>
    <cfRule type="cellIs" dxfId="1940" priority="2474" stopIfTrue="1" operator="equal">
      <formula>"Napkin Hs"</formula>
    </cfRule>
  </conditionalFormatting>
  <conditionalFormatting sqref="B129:C129">
    <cfRule type="cellIs" dxfId="1939" priority="2472" stopIfTrue="1" operator="equal">
      <formula>"Napkin Hs"</formula>
    </cfRule>
  </conditionalFormatting>
  <conditionalFormatting sqref="B129:C129">
    <cfRule type="cellIs" dxfId="1938" priority="2471" stopIfTrue="1" operator="equal">
      <formula>"Towel"</formula>
    </cfRule>
  </conditionalFormatting>
  <conditionalFormatting sqref="C129">
    <cfRule type="cellIs" dxfId="1937" priority="2470" stopIfTrue="1" operator="equal">
      <formula>"Napkin Hs"</formula>
    </cfRule>
  </conditionalFormatting>
  <conditionalFormatting sqref="C129">
    <cfRule type="cellIs" dxfId="1936" priority="2467" stopIfTrue="1" operator="equal">
      <formula>"Towel"</formula>
    </cfRule>
    <cfRule type="cellIs" dxfId="1935" priority="2468" stopIfTrue="1" operator="equal">
      <formula>"Napkin Hs"</formula>
    </cfRule>
  </conditionalFormatting>
  <conditionalFormatting sqref="C129">
    <cfRule type="cellIs" dxfId="1934" priority="2469" stopIfTrue="1" operator="equal">
      <formula>"Towel"</formula>
    </cfRule>
  </conditionalFormatting>
  <conditionalFormatting sqref="B129:C129">
    <cfRule type="cellIs" dxfId="1933" priority="2466" stopIfTrue="1" operator="equal">
      <formula>"Napkin Hs"</formula>
    </cfRule>
  </conditionalFormatting>
  <conditionalFormatting sqref="B129:C129">
    <cfRule type="cellIs" dxfId="1932" priority="2465" stopIfTrue="1" operator="equal">
      <formula>"Towel"</formula>
    </cfRule>
  </conditionalFormatting>
  <conditionalFormatting sqref="C129">
    <cfRule type="cellIs" dxfId="1931" priority="2464" stopIfTrue="1" operator="equal">
      <formula>"Napkin Hs"</formula>
    </cfRule>
  </conditionalFormatting>
  <conditionalFormatting sqref="C129">
    <cfRule type="cellIs" dxfId="1930" priority="2461" stopIfTrue="1" operator="equal">
      <formula>"Towel"</formula>
    </cfRule>
    <cfRule type="cellIs" dxfId="1929" priority="2462" stopIfTrue="1" operator="equal">
      <formula>"Napkin Hs"</formula>
    </cfRule>
  </conditionalFormatting>
  <conditionalFormatting sqref="C129">
    <cfRule type="cellIs" dxfId="1928" priority="2463" stopIfTrue="1" operator="equal">
      <formula>"Towel"</formula>
    </cfRule>
  </conditionalFormatting>
  <conditionalFormatting sqref="B129:C129">
    <cfRule type="cellIs" dxfId="1927" priority="2513" stopIfTrue="1" operator="equal">
      <formula>"Towel"</formula>
    </cfRule>
    <cfRule type="cellIs" dxfId="1926" priority="2514" stopIfTrue="1" operator="equal">
      <formula>"Napkin Hs"</formula>
    </cfRule>
  </conditionalFormatting>
  <conditionalFormatting sqref="C129">
    <cfRule type="cellIs" dxfId="1925" priority="2511" stopIfTrue="1" operator="equal">
      <formula>"Towel"</formula>
    </cfRule>
    <cfRule type="cellIs" dxfId="1924" priority="2512" stopIfTrue="1" operator="equal">
      <formula>"Napkin Hs"</formula>
    </cfRule>
  </conditionalFormatting>
  <conditionalFormatting sqref="B129:C129">
    <cfRule type="cellIs" dxfId="1923" priority="2501" stopIfTrue="1" operator="equal">
      <formula>"Towel"</formula>
    </cfRule>
    <cfRule type="cellIs" dxfId="1922" priority="2502" stopIfTrue="1" operator="equal">
      <formula>"Napkin Hs"</formula>
    </cfRule>
  </conditionalFormatting>
  <conditionalFormatting sqref="C129">
    <cfRule type="cellIs" dxfId="1921" priority="2499" stopIfTrue="1" operator="equal">
      <formula>"Towel"</formula>
    </cfRule>
    <cfRule type="cellIs" dxfId="1920" priority="2500" stopIfTrue="1" operator="equal">
      <formula>"Napkin Hs"</formula>
    </cfRule>
  </conditionalFormatting>
  <conditionalFormatting sqref="B129:C129">
    <cfRule type="cellIs" dxfId="1919" priority="2495" stopIfTrue="1" operator="equal">
      <formula>"Towel"</formula>
    </cfRule>
    <cfRule type="cellIs" dxfId="1918" priority="2496" stopIfTrue="1" operator="equal">
      <formula>"Napkin Hs"</formula>
    </cfRule>
  </conditionalFormatting>
  <conditionalFormatting sqref="C129">
    <cfRule type="cellIs" dxfId="1917" priority="2493" stopIfTrue="1" operator="equal">
      <formula>"Towel"</formula>
    </cfRule>
    <cfRule type="cellIs" dxfId="1916" priority="2494" stopIfTrue="1" operator="equal">
      <formula>"Napkin Hs"</formula>
    </cfRule>
  </conditionalFormatting>
  <conditionalFormatting sqref="B129:C129">
    <cfRule type="cellIs" dxfId="1915" priority="2489" stopIfTrue="1" operator="equal">
      <formula>"Towel"</formula>
    </cfRule>
    <cfRule type="cellIs" dxfId="1914" priority="2490" stopIfTrue="1" operator="equal">
      <formula>"Napkin Hs"</formula>
    </cfRule>
  </conditionalFormatting>
  <conditionalFormatting sqref="C129">
    <cfRule type="cellIs" dxfId="1913" priority="2487" stopIfTrue="1" operator="equal">
      <formula>"Towel"</formula>
    </cfRule>
    <cfRule type="cellIs" dxfId="1912" priority="2488" stopIfTrue="1" operator="equal">
      <formula>"Napkin Hs"</formula>
    </cfRule>
  </conditionalFormatting>
  <conditionalFormatting sqref="B129:C129">
    <cfRule type="cellIs" dxfId="1911" priority="2483" stopIfTrue="1" operator="equal">
      <formula>"Towel"</formula>
    </cfRule>
    <cfRule type="cellIs" dxfId="1910" priority="2484" stopIfTrue="1" operator="equal">
      <formula>"Napkin Hs"</formula>
    </cfRule>
  </conditionalFormatting>
  <conditionalFormatting sqref="C129">
    <cfRule type="cellIs" dxfId="1909" priority="2481" stopIfTrue="1" operator="equal">
      <formula>"Towel"</formula>
    </cfRule>
    <cfRule type="cellIs" dxfId="1908" priority="2482" stopIfTrue="1" operator="equal">
      <formula>"Napkin Hs"</formula>
    </cfRule>
  </conditionalFormatting>
  <conditionalFormatting sqref="B129:C129">
    <cfRule type="cellIs" dxfId="1907" priority="2477" stopIfTrue="1" operator="equal">
      <formula>"Towel"</formula>
    </cfRule>
    <cfRule type="cellIs" dxfId="1906" priority="2478" stopIfTrue="1" operator="equal">
      <formula>"Napkin Hs"</formula>
    </cfRule>
  </conditionalFormatting>
  <conditionalFormatting sqref="C129">
    <cfRule type="cellIs" dxfId="1905" priority="2475" stopIfTrue="1" operator="equal">
      <formula>"Towel"</formula>
    </cfRule>
    <cfRule type="cellIs" dxfId="1904" priority="2476" stopIfTrue="1" operator="equal">
      <formula>"Napkin Hs"</formula>
    </cfRule>
  </conditionalFormatting>
  <conditionalFormatting sqref="B129:C129">
    <cfRule type="cellIs" dxfId="1903" priority="2460" stopIfTrue="1" operator="equal">
      <formula>"Napkin Hs"</formula>
    </cfRule>
  </conditionalFormatting>
  <conditionalFormatting sqref="B129:C129">
    <cfRule type="cellIs" dxfId="1902" priority="2459" stopIfTrue="1" operator="equal">
      <formula>"Towel"</formula>
    </cfRule>
  </conditionalFormatting>
  <conditionalFormatting sqref="C129">
    <cfRule type="cellIs" dxfId="1901" priority="2458" stopIfTrue="1" operator="equal">
      <formula>"Napkin Hs"</formula>
    </cfRule>
  </conditionalFormatting>
  <conditionalFormatting sqref="C129">
    <cfRule type="cellIs" dxfId="1900" priority="2455" stopIfTrue="1" operator="equal">
      <formula>"Towel"</formula>
    </cfRule>
    <cfRule type="cellIs" dxfId="1899" priority="2456" stopIfTrue="1" operator="equal">
      <formula>"Napkin Hs"</formula>
    </cfRule>
  </conditionalFormatting>
  <conditionalFormatting sqref="C129">
    <cfRule type="cellIs" dxfId="1898" priority="2457" stopIfTrue="1" operator="equal">
      <formula>"Towel"</formula>
    </cfRule>
  </conditionalFormatting>
  <conditionalFormatting sqref="C136">
    <cfRule type="cellIs" dxfId="1897" priority="2449" stopIfTrue="1" operator="equal">
      <formula>"Towel"</formula>
    </cfRule>
    <cfRule type="cellIs" dxfId="1896" priority="2450" stopIfTrue="1" operator="equal">
      <formula>"Napkin Hs"</formula>
    </cfRule>
  </conditionalFormatting>
  <conditionalFormatting sqref="B136:C136">
    <cfRule type="cellIs" dxfId="1895" priority="2454" stopIfTrue="1" operator="equal">
      <formula>"Napkin Hs"</formula>
    </cfRule>
  </conditionalFormatting>
  <conditionalFormatting sqref="B136:C136">
    <cfRule type="cellIs" dxfId="1894" priority="2453" stopIfTrue="1" operator="equal">
      <formula>"Towel"</formula>
    </cfRule>
  </conditionalFormatting>
  <conditionalFormatting sqref="C136">
    <cfRule type="cellIs" dxfId="1893" priority="2452" stopIfTrue="1" operator="equal">
      <formula>"Napkin Hs"</formula>
    </cfRule>
  </conditionalFormatting>
  <conditionalFormatting sqref="C136">
    <cfRule type="cellIs" dxfId="1892" priority="2451" stopIfTrue="1" operator="equal">
      <formula>"Towel"</formula>
    </cfRule>
  </conditionalFormatting>
  <conditionalFormatting sqref="C133:C135">
    <cfRule type="cellIs" dxfId="1891" priority="2445" stopIfTrue="1" operator="equal">
      <formula>"Towel"</formula>
    </cfRule>
    <cfRule type="cellIs" dxfId="1890" priority="2446" stopIfTrue="1" operator="equal">
      <formula>"Napkin Hs"</formula>
    </cfRule>
  </conditionalFormatting>
  <conditionalFormatting sqref="C133:C135">
    <cfRule type="cellIs" dxfId="1889" priority="2443" stopIfTrue="1" operator="equal">
      <formula>"Towel"</formula>
    </cfRule>
    <cfRule type="cellIs" dxfId="1888" priority="2444" stopIfTrue="1" operator="equal">
      <formula>"Napkin Hs"</formula>
    </cfRule>
  </conditionalFormatting>
  <conditionalFormatting sqref="B133:C135">
    <cfRule type="cellIs" dxfId="1887" priority="2394" stopIfTrue="1" operator="equal">
      <formula>"Napkin Hs"</formula>
    </cfRule>
  </conditionalFormatting>
  <conditionalFormatting sqref="B133:C135">
    <cfRule type="cellIs" dxfId="1886" priority="2393" stopIfTrue="1" operator="equal">
      <formula>"Towel"</formula>
    </cfRule>
  </conditionalFormatting>
  <conditionalFormatting sqref="B133:C135">
    <cfRule type="cellIs" dxfId="1885" priority="2447" stopIfTrue="1" operator="equal">
      <formula>"Towel"</formula>
    </cfRule>
    <cfRule type="cellIs" dxfId="1884" priority="2448" stopIfTrue="1" operator="equal">
      <formula>"Napkin Hs"</formula>
    </cfRule>
  </conditionalFormatting>
  <conditionalFormatting sqref="C133:C135">
    <cfRule type="cellIs" dxfId="1883" priority="2392" stopIfTrue="1" operator="equal">
      <formula>"Napkin Hs"</formula>
    </cfRule>
  </conditionalFormatting>
  <conditionalFormatting sqref="C133:C135">
    <cfRule type="cellIs" dxfId="1882" priority="2391" stopIfTrue="1" operator="equal">
      <formula>"Towel"</formula>
    </cfRule>
  </conditionalFormatting>
  <conditionalFormatting sqref="C133:C135">
    <cfRule type="cellIs" dxfId="1881" priority="2389" stopIfTrue="1" operator="equal">
      <formula>"Towel"</formula>
    </cfRule>
    <cfRule type="cellIs" dxfId="1880" priority="2390" stopIfTrue="1" operator="equal">
      <formula>"Napkin Hs"</formula>
    </cfRule>
  </conditionalFormatting>
  <conditionalFormatting sqref="B133:C135">
    <cfRule type="cellIs" dxfId="1879" priority="2442" stopIfTrue="1" operator="equal">
      <formula>"Napkin Hs"</formula>
    </cfRule>
  </conditionalFormatting>
  <conditionalFormatting sqref="B133:C135">
    <cfRule type="cellIs" dxfId="1878" priority="2441" stopIfTrue="1" operator="equal">
      <formula>"Towel"</formula>
    </cfRule>
  </conditionalFormatting>
  <conditionalFormatting sqref="C133:C135">
    <cfRule type="cellIs" dxfId="1877" priority="2440" stopIfTrue="1" operator="equal">
      <formula>"Napkin Hs"</formula>
    </cfRule>
  </conditionalFormatting>
  <conditionalFormatting sqref="C133:C135">
    <cfRule type="cellIs" dxfId="1876" priority="2439" stopIfTrue="1" operator="equal">
      <formula>"Towel"</formula>
    </cfRule>
  </conditionalFormatting>
  <conditionalFormatting sqref="C133:C135">
    <cfRule type="cellIs" dxfId="1875" priority="2437" stopIfTrue="1" operator="equal">
      <formula>"Towel"</formula>
    </cfRule>
    <cfRule type="cellIs" dxfId="1874" priority="2438" stopIfTrue="1" operator="equal">
      <formula>"Napkin Hs"</formula>
    </cfRule>
  </conditionalFormatting>
  <conditionalFormatting sqref="B133:C135">
    <cfRule type="cellIs" dxfId="1873" priority="2435" stopIfTrue="1" operator="equal">
      <formula>"Towel"</formula>
    </cfRule>
    <cfRule type="cellIs" dxfId="1872" priority="2436" stopIfTrue="1" operator="equal">
      <formula>"Napkin Hs"</formula>
    </cfRule>
  </conditionalFormatting>
  <conditionalFormatting sqref="C133:C135">
    <cfRule type="cellIs" dxfId="1871" priority="2431" stopIfTrue="1" operator="equal">
      <formula>"Towel"</formula>
    </cfRule>
    <cfRule type="cellIs" dxfId="1870" priority="2432" stopIfTrue="1" operator="equal">
      <formula>"Napkin Hs"</formula>
    </cfRule>
  </conditionalFormatting>
  <conditionalFormatting sqref="C133:C135">
    <cfRule type="cellIs" dxfId="1869" priority="2433" stopIfTrue="1" operator="equal">
      <formula>"Towel"</formula>
    </cfRule>
    <cfRule type="cellIs" dxfId="1868" priority="2434" stopIfTrue="1" operator="equal">
      <formula>"Napkin Hs"</formula>
    </cfRule>
  </conditionalFormatting>
  <conditionalFormatting sqref="B133:C135">
    <cfRule type="cellIs" dxfId="1867" priority="2430" stopIfTrue="1" operator="equal">
      <formula>"Napkin Hs"</formula>
    </cfRule>
  </conditionalFormatting>
  <conditionalFormatting sqref="B133:C135">
    <cfRule type="cellIs" dxfId="1866" priority="2429" stopIfTrue="1" operator="equal">
      <formula>"Towel"</formula>
    </cfRule>
  </conditionalFormatting>
  <conditionalFormatting sqref="C133:C135">
    <cfRule type="cellIs" dxfId="1865" priority="2428" stopIfTrue="1" operator="equal">
      <formula>"Napkin Hs"</formula>
    </cfRule>
  </conditionalFormatting>
  <conditionalFormatting sqref="C133:C135">
    <cfRule type="cellIs" dxfId="1864" priority="2427" stopIfTrue="1" operator="equal">
      <formula>"Towel"</formula>
    </cfRule>
  </conditionalFormatting>
  <conditionalFormatting sqref="C133:C135">
    <cfRule type="cellIs" dxfId="1863" priority="2425" stopIfTrue="1" operator="equal">
      <formula>"Towel"</formula>
    </cfRule>
    <cfRule type="cellIs" dxfId="1862" priority="2426" stopIfTrue="1" operator="equal">
      <formula>"Napkin Hs"</formula>
    </cfRule>
  </conditionalFormatting>
  <conditionalFormatting sqref="B133:C135">
    <cfRule type="cellIs" dxfId="1861" priority="2423" stopIfTrue="1" operator="equal">
      <formula>"Towel"</formula>
    </cfRule>
    <cfRule type="cellIs" dxfId="1860" priority="2424" stopIfTrue="1" operator="equal">
      <formula>"Napkin Hs"</formula>
    </cfRule>
  </conditionalFormatting>
  <conditionalFormatting sqref="C133:C135">
    <cfRule type="cellIs" dxfId="1859" priority="2421" stopIfTrue="1" operator="equal">
      <formula>"Towel"</formula>
    </cfRule>
    <cfRule type="cellIs" dxfId="1858" priority="2422" stopIfTrue="1" operator="equal">
      <formula>"Napkin Hs"</formula>
    </cfRule>
  </conditionalFormatting>
  <conditionalFormatting sqref="C133:C135">
    <cfRule type="cellIs" dxfId="1857" priority="2419" stopIfTrue="1" operator="equal">
      <formula>"Towel"</formula>
    </cfRule>
    <cfRule type="cellIs" dxfId="1856" priority="2420" stopIfTrue="1" operator="equal">
      <formula>"Napkin Hs"</formula>
    </cfRule>
  </conditionalFormatting>
  <conditionalFormatting sqref="B133:C135">
    <cfRule type="cellIs" dxfId="1855" priority="2417" stopIfTrue="1" operator="equal">
      <formula>"Towel"</formula>
    </cfRule>
    <cfRule type="cellIs" dxfId="1854" priority="2418" stopIfTrue="1" operator="equal">
      <formula>"Napkin Hs"</formula>
    </cfRule>
  </conditionalFormatting>
  <conditionalFormatting sqref="C133:C135">
    <cfRule type="cellIs" dxfId="1853" priority="2415" stopIfTrue="1" operator="equal">
      <formula>"Towel"</formula>
    </cfRule>
    <cfRule type="cellIs" dxfId="1852" priority="2416" stopIfTrue="1" operator="equal">
      <formula>"Napkin Hs"</formula>
    </cfRule>
  </conditionalFormatting>
  <conditionalFormatting sqref="C133:C135">
    <cfRule type="cellIs" dxfId="1851" priority="2413" stopIfTrue="1" operator="equal">
      <formula>"Towel"</formula>
    </cfRule>
    <cfRule type="cellIs" dxfId="1850" priority="2414" stopIfTrue="1" operator="equal">
      <formula>"Napkin Hs"</formula>
    </cfRule>
  </conditionalFormatting>
  <conditionalFormatting sqref="B133:C135">
    <cfRule type="cellIs" dxfId="1849" priority="2411" stopIfTrue="1" operator="equal">
      <formula>"Towel"</formula>
    </cfRule>
    <cfRule type="cellIs" dxfId="1848" priority="2412" stopIfTrue="1" operator="equal">
      <formula>"Napkin Hs"</formula>
    </cfRule>
  </conditionalFormatting>
  <conditionalFormatting sqref="C133:C135">
    <cfRule type="cellIs" dxfId="1847" priority="2409" stopIfTrue="1" operator="equal">
      <formula>"Towel"</formula>
    </cfRule>
    <cfRule type="cellIs" dxfId="1846" priority="2410" stopIfTrue="1" operator="equal">
      <formula>"Napkin Hs"</formula>
    </cfRule>
  </conditionalFormatting>
  <conditionalFormatting sqref="C133:C135">
    <cfRule type="cellIs" dxfId="1845" priority="2407" stopIfTrue="1" operator="equal">
      <formula>"Towel"</formula>
    </cfRule>
    <cfRule type="cellIs" dxfId="1844" priority="2408" stopIfTrue="1" operator="equal">
      <formula>"Napkin Hs"</formula>
    </cfRule>
  </conditionalFormatting>
  <conditionalFormatting sqref="B133:C135">
    <cfRule type="cellIs" dxfId="1843" priority="2405" stopIfTrue="1" operator="equal">
      <formula>"Towel"</formula>
    </cfRule>
    <cfRule type="cellIs" dxfId="1842" priority="2406" stopIfTrue="1" operator="equal">
      <formula>"Napkin Hs"</formula>
    </cfRule>
  </conditionalFormatting>
  <conditionalFormatting sqref="C133:C135">
    <cfRule type="cellIs" dxfId="1841" priority="2403" stopIfTrue="1" operator="equal">
      <formula>"Towel"</formula>
    </cfRule>
    <cfRule type="cellIs" dxfId="1840" priority="2404" stopIfTrue="1" operator="equal">
      <formula>"Napkin Hs"</formula>
    </cfRule>
  </conditionalFormatting>
  <conditionalFormatting sqref="C133:C135">
    <cfRule type="cellIs" dxfId="1839" priority="2401" stopIfTrue="1" operator="equal">
      <formula>"Towel"</formula>
    </cfRule>
    <cfRule type="cellIs" dxfId="1838" priority="2402" stopIfTrue="1" operator="equal">
      <formula>"Napkin Hs"</formula>
    </cfRule>
  </conditionalFormatting>
  <conditionalFormatting sqref="B133:C135">
    <cfRule type="cellIs" dxfId="1837" priority="2399" stopIfTrue="1" operator="equal">
      <formula>"Towel"</formula>
    </cfRule>
    <cfRule type="cellIs" dxfId="1836" priority="2400" stopIfTrue="1" operator="equal">
      <formula>"Napkin Hs"</formula>
    </cfRule>
  </conditionalFormatting>
  <conditionalFormatting sqref="C133:C135">
    <cfRule type="cellIs" dxfId="1835" priority="2397" stopIfTrue="1" operator="equal">
      <formula>"Towel"</formula>
    </cfRule>
    <cfRule type="cellIs" dxfId="1834" priority="2398" stopIfTrue="1" operator="equal">
      <formula>"Napkin Hs"</formula>
    </cfRule>
  </conditionalFormatting>
  <conditionalFormatting sqref="C133:C135">
    <cfRule type="cellIs" dxfId="1833" priority="2395" stopIfTrue="1" operator="equal">
      <formula>"Towel"</formula>
    </cfRule>
    <cfRule type="cellIs" dxfId="1832" priority="2396" stopIfTrue="1" operator="equal">
      <formula>"Napkin Hs"</formula>
    </cfRule>
  </conditionalFormatting>
  <conditionalFormatting sqref="B133:C135">
    <cfRule type="cellIs" dxfId="1831" priority="2385" stopIfTrue="1" operator="equal">
      <formula>"Towel"</formula>
    </cfRule>
    <cfRule type="cellIs" dxfId="1830" priority="2386" stopIfTrue="1" operator="equal">
      <formula>"Napkin Hs"</formula>
    </cfRule>
  </conditionalFormatting>
  <conditionalFormatting sqref="C133:C135">
    <cfRule type="cellIs" dxfId="1829" priority="2387" stopIfTrue="1" operator="equal">
      <formula>"Towel"</formula>
    </cfRule>
    <cfRule type="cellIs" dxfId="1828" priority="2388" stopIfTrue="1" operator="equal">
      <formula>"Napkin Hs"</formula>
    </cfRule>
  </conditionalFormatting>
  <conditionalFormatting sqref="C133:C135">
    <cfRule type="cellIs" dxfId="1827" priority="2383" stopIfTrue="1" operator="equal">
      <formula>"Towel"</formula>
    </cfRule>
    <cfRule type="cellIs" dxfId="1826" priority="2384" stopIfTrue="1" operator="equal">
      <formula>"Napkin Hs"</formula>
    </cfRule>
  </conditionalFormatting>
  <conditionalFormatting sqref="B133:C135">
    <cfRule type="cellIs" dxfId="1825" priority="2382" stopIfTrue="1" operator="equal">
      <formula>"Napkin Hs"</formula>
    </cfRule>
  </conditionalFormatting>
  <conditionalFormatting sqref="B133:C135">
    <cfRule type="cellIs" dxfId="1824" priority="2381" stopIfTrue="1" operator="equal">
      <formula>"Towel"</formula>
    </cfRule>
  </conditionalFormatting>
  <conditionalFormatting sqref="C133:C135">
    <cfRule type="cellIs" dxfId="1823" priority="2380" stopIfTrue="1" operator="equal">
      <formula>"Napkin Hs"</formula>
    </cfRule>
  </conditionalFormatting>
  <conditionalFormatting sqref="C133:C135">
    <cfRule type="cellIs" dxfId="1822" priority="2379" stopIfTrue="1" operator="equal">
      <formula>"Towel"</formula>
    </cfRule>
  </conditionalFormatting>
  <conditionalFormatting sqref="C133:C135">
    <cfRule type="cellIs" dxfId="1821" priority="2377" stopIfTrue="1" operator="equal">
      <formula>"Towel"</formula>
    </cfRule>
    <cfRule type="cellIs" dxfId="1820" priority="2378" stopIfTrue="1" operator="equal">
      <formula>"Napkin Hs"</formula>
    </cfRule>
  </conditionalFormatting>
  <conditionalFormatting sqref="B133:C135">
    <cfRule type="cellIs" dxfId="1819" priority="2375" stopIfTrue="1" operator="equal">
      <formula>"Towel"</formula>
    </cfRule>
    <cfRule type="cellIs" dxfId="1818" priority="2376" stopIfTrue="1" operator="equal">
      <formula>"Napkin Hs"</formula>
    </cfRule>
  </conditionalFormatting>
  <conditionalFormatting sqref="C133:C135">
    <cfRule type="cellIs" dxfId="1817" priority="2371" stopIfTrue="1" operator="equal">
      <formula>"Towel"</formula>
    </cfRule>
    <cfRule type="cellIs" dxfId="1816" priority="2372" stopIfTrue="1" operator="equal">
      <formula>"Napkin Hs"</formula>
    </cfRule>
  </conditionalFormatting>
  <conditionalFormatting sqref="C133:C135">
    <cfRule type="cellIs" dxfId="1815" priority="2373" stopIfTrue="1" operator="equal">
      <formula>"Towel"</formula>
    </cfRule>
    <cfRule type="cellIs" dxfId="1814" priority="2374" stopIfTrue="1" operator="equal">
      <formula>"Napkin Hs"</formula>
    </cfRule>
  </conditionalFormatting>
  <conditionalFormatting sqref="B133:C135">
    <cfRule type="cellIs" dxfId="1813" priority="2370" stopIfTrue="1" operator="equal">
      <formula>"Napkin Hs"</formula>
    </cfRule>
  </conditionalFormatting>
  <conditionalFormatting sqref="B133:C135">
    <cfRule type="cellIs" dxfId="1812" priority="2369" stopIfTrue="1" operator="equal">
      <formula>"Towel"</formula>
    </cfRule>
  </conditionalFormatting>
  <conditionalFormatting sqref="C133:C135">
    <cfRule type="cellIs" dxfId="1811" priority="2368" stopIfTrue="1" operator="equal">
      <formula>"Napkin Hs"</formula>
    </cfRule>
  </conditionalFormatting>
  <conditionalFormatting sqref="C133:C135">
    <cfRule type="cellIs" dxfId="1810" priority="2367" stopIfTrue="1" operator="equal">
      <formula>"Towel"</formula>
    </cfRule>
  </conditionalFormatting>
  <conditionalFormatting sqref="C133:C135">
    <cfRule type="cellIs" dxfId="1809" priority="2365" stopIfTrue="1" operator="equal">
      <formula>"Towel"</formula>
    </cfRule>
    <cfRule type="cellIs" dxfId="1808" priority="2366" stopIfTrue="1" operator="equal">
      <formula>"Napkin Hs"</formula>
    </cfRule>
  </conditionalFormatting>
  <conditionalFormatting sqref="B133:C135">
    <cfRule type="cellIs" dxfId="1807" priority="2363" stopIfTrue="1" operator="equal">
      <formula>"Towel"</formula>
    </cfRule>
    <cfRule type="cellIs" dxfId="1806" priority="2364" stopIfTrue="1" operator="equal">
      <formula>"Napkin Hs"</formula>
    </cfRule>
  </conditionalFormatting>
  <conditionalFormatting sqref="C133:C135">
    <cfRule type="cellIs" dxfId="1805" priority="2361" stopIfTrue="1" operator="equal">
      <formula>"Towel"</formula>
    </cfRule>
    <cfRule type="cellIs" dxfId="1804" priority="2362" stopIfTrue="1" operator="equal">
      <formula>"Napkin Hs"</formula>
    </cfRule>
  </conditionalFormatting>
  <conditionalFormatting sqref="C133:C135">
    <cfRule type="cellIs" dxfId="1803" priority="2359" stopIfTrue="1" operator="equal">
      <formula>"Towel"</formula>
    </cfRule>
    <cfRule type="cellIs" dxfId="1802" priority="2360" stopIfTrue="1" operator="equal">
      <formula>"Napkin Hs"</formula>
    </cfRule>
  </conditionalFormatting>
  <conditionalFormatting sqref="B133:C135">
    <cfRule type="cellIs" dxfId="1801" priority="2357" stopIfTrue="1" operator="equal">
      <formula>"Towel"</formula>
    </cfRule>
    <cfRule type="cellIs" dxfId="1800" priority="2358" stopIfTrue="1" operator="equal">
      <formula>"Napkin Hs"</formula>
    </cfRule>
  </conditionalFormatting>
  <conditionalFormatting sqref="C133:C135">
    <cfRule type="cellIs" dxfId="1799" priority="2355" stopIfTrue="1" operator="equal">
      <formula>"Towel"</formula>
    </cfRule>
    <cfRule type="cellIs" dxfId="1798" priority="2356" stopIfTrue="1" operator="equal">
      <formula>"Napkin Hs"</formula>
    </cfRule>
  </conditionalFormatting>
  <conditionalFormatting sqref="C133:C135">
    <cfRule type="cellIs" dxfId="1797" priority="2353" stopIfTrue="1" operator="equal">
      <formula>"Towel"</formula>
    </cfRule>
    <cfRule type="cellIs" dxfId="1796" priority="2354" stopIfTrue="1" operator="equal">
      <formula>"Napkin Hs"</formula>
    </cfRule>
  </conditionalFormatting>
  <conditionalFormatting sqref="B133:C135">
    <cfRule type="cellIs" dxfId="1795" priority="2351" stopIfTrue="1" operator="equal">
      <formula>"Towel"</formula>
    </cfRule>
    <cfRule type="cellIs" dxfId="1794" priority="2352" stopIfTrue="1" operator="equal">
      <formula>"Napkin Hs"</formula>
    </cfRule>
  </conditionalFormatting>
  <conditionalFormatting sqref="C133:C135">
    <cfRule type="cellIs" dxfId="1793" priority="2349" stopIfTrue="1" operator="equal">
      <formula>"Towel"</formula>
    </cfRule>
    <cfRule type="cellIs" dxfId="1792" priority="2350" stopIfTrue="1" operator="equal">
      <formula>"Napkin Hs"</formula>
    </cfRule>
  </conditionalFormatting>
  <conditionalFormatting sqref="C133:C135">
    <cfRule type="cellIs" dxfId="1791" priority="2347" stopIfTrue="1" operator="equal">
      <formula>"Towel"</formula>
    </cfRule>
    <cfRule type="cellIs" dxfId="1790" priority="2348" stopIfTrue="1" operator="equal">
      <formula>"Napkin Hs"</formula>
    </cfRule>
  </conditionalFormatting>
  <conditionalFormatting sqref="B133:C135">
    <cfRule type="cellIs" dxfId="1789" priority="2345" stopIfTrue="1" operator="equal">
      <formula>"Towel"</formula>
    </cfRule>
    <cfRule type="cellIs" dxfId="1788" priority="2346" stopIfTrue="1" operator="equal">
      <formula>"Napkin Hs"</formula>
    </cfRule>
  </conditionalFormatting>
  <conditionalFormatting sqref="C133:C135">
    <cfRule type="cellIs" dxfId="1787" priority="2343" stopIfTrue="1" operator="equal">
      <formula>"Towel"</formula>
    </cfRule>
    <cfRule type="cellIs" dxfId="1786" priority="2344" stopIfTrue="1" operator="equal">
      <formula>"Napkin Hs"</formula>
    </cfRule>
  </conditionalFormatting>
  <conditionalFormatting sqref="C133:C135">
    <cfRule type="cellIs" dxfId="1785" priority="2341" stopIfTrue="1" operator="equal">
      <formula>"Towel"</formula>
    </cfRule>
    <cfRule type="cellIs" dxfId="1784" priority="2342" stopIfTrue="1" operator="equal">
      <formula>"Napkin Hs"</formula>
    </cfRule>
  </conditionalFormatting>
  <conditionalFormatting sqref="B133:C135">
    <cfRule type="cellIs" dxfId="1783" priority="2339" stopIfTrue="1" operator="equal">
      <formula>"Towel"</formula>
    </cfRule>
    <cfRule type="cellIs" dxfId="1782" priority="2340" stopIfTrue="1" operator="equal">
      <formula>"Napkin Hs"</formula>
    </cfRule>
  </conditionalFormatting>
  <conditionalFormatting sqref="C133:C135">
    <cfRule type="cellIs" dxfId="1781" priority="2337" stopIfTrue="1" operator="equal">
      <formula>"Towel"</formula>
    </cfRule>
    <cfRule type="cellIs" dxfId="1780" priority="2338" stopIfTrue="1" operator="equal">
      <formula>"Napkin Hs"</formula>
    </cfRule>
  </conditionalFormatting>
  <conditionalFormatting sqref="C133:C135">
    <cfRule type="cellIs" dxfId="1779" priority="2335" stopIfTrue="1" operator="equal">
      <formula>"Towel"</formula>
    </cfRule>
    <cfRule type="cellIs" dxfId="1778" priority="2336" stopIfTrue="1" operator="equal">
      <formula>"Napkin Hs"</formula>
    </cfRule>
  </conditionalFormatting>
  <conditionalFormatting sqref="B133:C135">
    <cfRule type="cellIs" dxfId="1777" priority="2334" stopIfTrue="1" operator="equal">
      <formula>"Napkin Hs"</formula>
    </cfRule>
  </conditionalFormatting>
  <conditionalFormatting sqref="B133:C135">
    <cfRule type="cellIs" dxfId="1776" priority="2333" stopIfTrue="1" operator="equal">
      <formula>"Towel"</formula>
    </cfRule>
  </conditionalFormatting>
  <conditionalFormatting sqref="C133:C135">
    <cfRule type="cellIs" dxfId="1775" priority="2332" stopIfTrue="1" operator="equal">
      <formula>"Napkin Hs"</formula>
    </cfRule>
  </conditionalFormatting>
  <conditionalFormatting sqref="C133:C135">
    <cfRule type="cellIs" dxfId="1774" priority="2329" stopIfTrue="1" operator="equal">
      <formula>"Towel"</formula>
    </cfRule>
    <cfRule type="cellIs" dxfId="1773" priority="2330" stopIfTrue="1" operator="equal">
      <formula>"Napkin Hs"</formula>
    </cfRule>
  </conditionalFormatting>
  <conditionalFormatting sqref="C133:C135">
    <cfRule type="cellIs" dxfId="1772" priority="2331" stopIfTrue="1" operator="equal">
      <formula>"Towel"</formula>
    </cfRule>
  </conditionalFormatting>
  <conditionalFormatting sqref="B133:C135">
    <cfRule type="cellIs" dxfId="1771" priority="2328" stopIfTrue="1" operator="equal">
      <formula>"Napkin Hs"</formula>
    </cfRule>
  </conditionalFormatting>
  <conditionalFormatting sqref="B133:C135">
    <cfRule type="cellIs" dxfId="1770" priority="2327" stopIfTrue="1" operator="equal">
      <formula>"Towel"</formula>
    </cfRule>
  </conditionalFormatting>
  <conditionalFormatting sqref="C133:C135">
    <cfRule type="cellIs" dxfId="1769" priority="2326" stopIfTrue="1" operator="equal">
      <formula>"Napkin Hs"</formula>
    </cfRule>
  </conditionalFormatting>
  <conditionalFormatting sqref="C133:C135">
    <cfRule type="cellIs" dxfId="1768" priority="2325" stopIfTrue="1" operator="equal">
      <formula>"Towel"</formula>
    </cfRule>
  </conditionalFormatting>
  <conditionalFormatting sqref="C133:C135">
    <cfRule type="cellIs" dxfId="1767" priority="2323" stopIfTrue="1" operator="equal">
      <formula>"Towel"</formula>
    </cfRule>
    <cfRule type="cellIs" dxfId="1766" priority="2324" stopIfTrue="1" operator="equal">
      <formula>"Napkin Hs"</formula>
    </cfRule>
  </conditionalFormatting>
  <conditionalFormatting sqref="C133:C135">
    <cfRule type="cellIs" dxfId="1765" priority="2317" stopIfTrue="1" operator="equal">
      <formula>"Towel"</formula>
    </cfRule>
    <cfRule type="cellIs" dxfId="1764" priority="2318" stopIfTrue="1" operator="equal">
      <formula>"Napkin Hs"</formula>
    </cfRule>
  </conditionalFormatting>
  <conditionalFormatting sqref="B133:C135">
    <cfRule type="cellIs" dxfId="1763" priority="2316" stopIfTrue="1" operator="equal">
      <formula>"Napkin Hs"</formula>
    </cfRule>
  </conditionalFormatting>
  <conditionalFormatting sqref="B133:C135">
    <cfRule type="cellIs" dxfId="1762" priority="2315" stopIfTrue="1" operator="equal">
      <formula>"Towel"</formula>
    </cfRule>
  </conditionalFormatting>
  <conditionalFormatting sqref="C133:C135">
    <cfRule type="cellIs" dxfId="1761" priority="2314" stopIfTrue="1" operator="equal">
      <formula>"Napkin Hs"</formula>
    </cfRule>
  </conditionalFormatting>
  <conditionalFormatting sqref="C133:C135">
    <cfRule type="cellIs" dxfId="1760" priority="2313" stopIfTrue="1" operator="equal">
      <formula>"Towel"</formula>
    </cfRule>
  </conditionalFormatting>
  <conditionalFormatting sqref="C133:C135">
    <cfRule type="cellIs" dxfId="1759" priority="2311" stopIfTrue="1" operator="equal">
      <formula>"Towel"</formula>
    </cfRule>
    <cfRule type="cellIs" dxfId="1758" priority="2312" stopIfTrue="1" operator="equal">
      <formula>"Napkin Hs"</formula>
    </cfRule>
  </conditionalFormatting>
  <conditionalFormatting sqref="C133:C135">
    <cfRule type="cellIs" dxfId="1757" priority="2305" stopIfTrue="1" operator="equal">
      <formula>"Towel"</formula>
    </cfRule>
    <cfRule type="cellIs" dxfId="1756" priority="2306" stopIfTrue="1" operator="equal">
      <formula>"Napkin Hs"</formula>
    </cfRule>
  </conditionalFormatting>
  <conditionalFormatting sqref="C133:C135">
    <cfRule type="cellIs" dxfId="1755" priority="2299" stopIfTrue="1" operator="equal">
      <formula>"Towel"</formula>
    </cfRule>
    <cfRule type="cellIs" dxfId="1754" priority="2300" stopIfTrue="1" operator="equal">
      <formula>"Napkin Hs"</formula>
    </cfRule>
  </conditionalFormatting>
  <conditionalFormatting sqref="C133:C135">
    <cfRule type="cellIs" dxfId="1753" priority="2293" stopIfTrue="1" operator="equal">
      <formula>"Towel"</formula>
    </cfRule>
    <cfRule type="cellIs" dxfId="1752" priority="2294" stopIfTrue="1" operator="equal">
      <formula>"Napkin Hs"</formula>
    </cfRule>
  </conditionalFormatting>
  <conditionalFormatting sqref="C133:C135">
    <cfRule type="cellIs" dxfId="1751" priority="2287" stopIfTrue="1" operator="equal">
      <formula>"Towel"</formula>
    </cfRule>
    <cfRule type="cellIs" dxfId="1750" priority="2288" stopIfTrue="1" operator="equal">
      <formula>"Napkin Hs"</formula>
    </cfRule>
  </conditionalFormatting>
  <conditionalFormatting sqref="C133:C135">
    <cfRule type="cellIs" dxfId="1749" priority="2281" stopIfTrue="1" operator="equal">
      <formula>"Towel"</formula>
    </cfRule>
    <cfRule type="cellIs" dxfId="1748" priority="2282" stopIfTrue="1" operator="equal">
      <formula>"Napkin Hs"</formula>
    </cfRule>
  </conditionalFormatting>
  <conditionalFormatting sqref="B133:C135">
    <cfRule type="cellIs" dxfId="1747" priority="2280" stopIfTrue="1" operator="equal">
      <formula>"Napkin Hs"</formula>
    </cfRule>
  </conditionalFormatting>
  <conditionalFormatting sqref="B133:C135">
    <cfRule type="cellIs" dxfId="1746" priority="2279" stopIfTrue="1" operator="equal">
      <formula>"Towel"</formula>
    </cfRule>
  </conditionalFormatting>
  <conditionalFormatting sqref="C133:C135">
    <cfRule type="cellIs" dxfId="1745" priority="2278" stopIfTrue="1" operator="equal">
      <formula>"Napkin Hs"</formula>
    </cfRule>
  </conditionalFormatting>
  <conditionalFormatting sqref="C133:C135">
    <cfRule type="cellIs" dxfId="1744" priority="2275" stopIfTrue="1" operator="equal">
      <formula>"Towel"</formula>
    </cfRule>
    <cfRule type="cellIs" dxfId="1743" priority="2276" stopIfTrue="1" operator="equal">
      <formula>"Napkin Hs"</formula>
    </cfRule>
  </conditionalFormatting>
  <conditionalFormatting sqref="C133:C135">
    <cfRule type="cellIs" dxfId="1742" priority="2277" stopIfTrue="1" operator="equal">
      <formula>"Towel"</formula>
    </cfRule>
  </conditionalFormatting>
  <conditionalFormatting sqref="B133:C135">
    <cfRule type="cellIs" dxfId="1741" priority="2274" stopIfTrue="1" operator="equal">
      <formula>"Napkin Hs"</formula>
    </cfRule>
  </conditionalFormatting>
  <conditionalFormatting sqref="B133:C135">
    <cfRule type="cellIs" dxfId="1740" priority="2273" stopIfTrue="1" operator="equal">
      <formula>"Towel"</formula>
    </cfRule>
  </conditionalFormatting>
  <conditionalFormatting sqref="C133:C135">
    <cfRule type="cellIs" dxfId="1739" priority="2272" stopIfTrue="1" operator="equal">
      <formula>"Napkin Hs"</formula>
    </cfRule>
  </conditionalFormatting>
  <conditionalFormatting sqref="C133:C135">
    <cfRule type="cellIs" dxfId="1738" priority="2269" stopIfTrue="1" operator="equal">
      <formula>"Towel"</formula>
    </cfRule>
    <cfRule type="cellIs" dxfId="1737" priority="2270" stopIfTrue="1" operator="equal">
      <formula>"Napkin Hs"</formula>
    </cfRule>
  </conditionalFormatting>
  <conditionalFormatting sqref="C133:C135">
    <cfRule type="cellIs" dxfId="1736" priority="2271" stopIfTrue="1" operator="equal">
      <formula>"Towel"</formula>
    </cfRule>
  </conditionalFormatting>
  <conditionalFormatting sqref="B133:C135">
    <cfRule type="cellIs" dxfId="1735" priority="2321" stopIfTrue="1" operator="equal">
      <formula>"Towel"</formula>
    </cfRule>
    <cfRule type="cellIs" dxfId="1734" priority="2322" stopIfTrue="1" operator="equal">
      <formula>"Napkin Hs"</formula>
    </cfRule>
  </conditionalFormatting>
  <conditionalFormatting sqref="C133:C135">
    <cfRule type="cellIs" dxfId="1733" priority="2319" stopIfTrue="1" operator="equal">
      <formula>"Towel"</formula>
    </cfRule>
    <cfRule type="cellIs" dxfId="1732" priority="2320" stopIfTrue="1" operator="equal">
      <formula>"Napkin Hs"</formula>
    </cfRule>
  </conditionalFormatting>
  <conditionalFormatting sqref="B133:C135">
    <cfRule type="cellIs" dxfId="1731" priority="2309" stopIfTrue="1" operator="equal">
      <formula>"Towel"</formula>
    </cfRule>
    <cfRule type="cellIs" dxfId="1730" priority="2310" stopIfTrue="1" operator="equal">
      <formula>"Napkin Hs"</formula>
    </cfRule>
  </conditionalFormatting>
  <conditionalFormatting sqref="C133:C135">
    <cfRule type="cellIs" dxfId="1729" priority="2307" stopIfTrue="1" operator="equal">
      <formula>"Towel"</formula>
    </cfRule>
    <cfRule type="cellIs" dxfId="1728" priority="2308" stopIfTrue="1" operator="equal">
      <formula>"Napkin Hs"</formula>
    </cfRule>
  </conditionalFormatting>
  <conditionalFormatting sqref="B133:C135">
    <cfRule type="cellIs" dxfId="1727" priority="2303" stopIfTrue="1" operator="equal">
      <formula>"Towel"</formula>
    </cfRule>
    <cfRule type="cellIs" dxfId="1726" priority="2304" stopIfTrue="1" operator="equal">
      <formula>"Napkin Hs"</formula>
    </cfRule>
  </conditionalFormatting>
  <conditionalFormatting sqref="C133:C135">
    <cfRule type="cellIs" dxfId="1725" priority="2301" stopIfTrue="1" operator="equal">
      <formula>"Towel"</formula>
    </cfRule>
    <cfRule type="cellIs" dxfId="1724" priority="2302" stopIfTrue="1" operator="equal">
      <formula>"Napkin Hs"</formula>
    </cfRule>
  </conditionalFormatting>
  <conditionalFormatting sqref="B133:C135">
    <cfRule type="cellIs" dxfId="1723" priority="2297" stopIfTrue="1" operator="equal">
      <formula>"Towel"</formula>
    </cfRule>
    <cfRule type="cellIs" dxfId="1722" priority="2298" stopIfTrue="1" operator="equal">
      <formula>"Napkin Hs"</formula>
    </cfRule>
  </conditionalFormatting>
  <conditionalFormatting sqref="C133:C135">
    <cfRule type="cellIs" dxfId="1721" priority="2295" stopIfTrue="1" operator="equal">
      <formula>"Towel"</formula>
    </cfRule>
    <cfRule type="cellIs" dxfId="1720" priority="2296" stopIfTrue="1" operator="equal">
      <formula>"Napkin Hs"</formula>
    </cfRule>
  </conditionalFormatting>
  <conditionalFormatting sqref="B133:C135">
    <cfRule type="cellIs" dxfId="1719" priority="2291" stopIfTrue="1" operator="equal">
      <formula>"Towel"</formula>
    </cfRule>
    <cfRule type="cellIs" dxfId="1718" priority="2292" stopIfTrue="1" operator="equal">
      <formula>"Napkin Hs"</formula>
    </cfRule>
  </conditionalFormatting>
  <conditionalFormatting sqref="C133:C135">
    <cfRule type="cellIs" dxfId="1717" priority="2289" stopIfTrue="1" operator="equal">
      <formula>"Towel"</formula>
    </cfRule>
    <cfRule type="cellIs" dxfId="1716" priority="2290" stopIfTrue="1" operator="equal">
      <formula>"Napkin Hs"</formula>
    </cfRule>
  </conditionalFormatting>
  <conditionalFormatting sqref="B133:C135">
    <cfRule type="cellIs" dxfId="1715" priority="2285" stopIfTrue="1" operator="equal">
      <formula>"Towel"</formula>
    </cfRule>
    <cfRule type="cellIs" dxfId="1714" priority="2286" stopIfTrue="1" operator="equal">
      <formula>"Napkin Hs"</formula>
    </cfRule>
  </conditionalFormatting>
  <conditionalFormatting sqref="C133:C135">
    <cfRule type="cellIs" dxfId="1713" priority="2283" stopIfTrue="1" operator="equal">
      <formula>"Towel"</formula>
    </cfRule>
    <cfRule type="cellIs" dxfId="1712" priority="2284" stopIfTrue="1" operator="equal">
      <formula>"Napkin Hs"</formula>
    </cfRule>
  </conditionalFormatting>
  <conditionalFormatting sqref="B133:C135">
    <cfRule type="cellIs" dxfId="1711" priority="2268" stopIfTrue="1" operator="equal">
      <formula>"Napkin Hs"</formula>
    </cfRule>
  </conditionalFormatting>
  <conditionalFormatting sqref="B133:C135">
    <cfRule type="cellIs" dxfId="1710" priority="2267" stopIfTrue="1" operator="equal">
      <formula>"Towel"</formula>
    </cfRule>
  </conditionalFormatting>
  <conditionalFormatting sqref="C133:C135">
    <cfRule type="cellIs" dxfId="1709" priority="2266" stopIfTrue="1" operator="equal">
      <formula>"Napkin Hs"</formula>
    </cfRule>
  </conditionalFormatting>
  <conditionalFormatting sqref="C133:C135">
    <cfRule type="cellIs" dxfId="1708" priority="2263" stopIfTrue="1" operator="equal">
      <formula>"Towel"</formula>
    </cfRule>
    <cfRule type="cellIs" dxfId="1707" priority="2264" stopIfTrue="1" operator="equal">
      <formula>"Napkin Hs"</formula>
    </cfRule>
  </conditionalFormatting>
  <conditionalFormatting sqref="C133:C135">
    <cfRule type="cellIs" dxfId="1706" priority="2265" stopIfTrue="1" operator="equal">
      <formula>"Towel"</formula>
    </cfRule>
  </conditionalFormatting>
  <conditionalFormatting sqref="B142:C142 B146:C146">
    <cfRule type="cellIs" dxfId="1705" priority="1692" stopIfTrue="1" operator="equal">
      <formula>"Napkin Hs"</formula>
    </cfRule>
  </conditionalFormatting>
  <conditionalFormatting sqref="B142:C142 B146:C146">
    <cfRule type="cellIs" dxfId="1704" priority="1691" stopIfTrue="1" operator="equal">
      <formula>"Towel"</formula>
    </cfRule>
  </conditionalFormatting>
  <conditionalFormatting sqref="C142 C146">
    <cfRule type="cellIs" dxfId="1703" priority="1690" stopIfTrue="1" operator="equal">
      <formula>"Napkin Hs"</formula>
    </cfRule>
  </conditionalFormatting>
  <conditionalFormatting sqref="C142 C146">
    <cfRule type="cellIs" dxfId="1702" priority="1689" stopIfTrue="1" operator="equal">
      <formula>"Towel"</formula>
    </cfRule>
  </conditionalFormatting>
  <conditionalFormatting sqref="C142 C146">
    <cfRule type="cellIs" dxfId="1701" priority="1687" stopIfTrue="1" operator="equal">
      <formula>"Towel"</formula>
    </cfRule>
    <cfRule type="cellIs" dxfId="1700" priority="1688" stopIfTrue="1" operator="equal">
      <formula>"Napkin Hs"</formula>
    </cfRule>
  </conditionalFormatting>
  <conditionalFormatting sqref="C141">
    <cfRule type="cellIs" dxfId="1699" priority="1681" stopIfTrue="1" operator="equal">
      <formula>"Towel"</formula>
    </cfRule>
    <cfRule type="cellIs" dxfId="1698" priority="1682" stopIfTrue="1" operator="equal">
      <formula>"Napkin Hs"</formula>
    </cfRule>
  </conditionalFormatting>
  <conditionalFormatting sqref="B141:C141">
    <cfRule type="cellIs" dxfId="1697" priority="1686" stopIfTrue="1" operator="equal">
      <formula>"Napkin Hs"</formula>
    </cfRule>
  </conditionalFormatting>
  <conditionalFormatting sqref="B141:C141">
    <cfRule type="cellIs" dxfId="1696" priority="1685" stopIfTrue="1" operator="equal">
      <formula>"Towel"</formula>
    </cfRule>
  </conditionalFormatting>
  <conditionalFormatting sqref="C141">
    <cfRule type="cellIs" dxfId="1695" priority="1684" stopIfTrue="1" operator="equal">
      <formula>"Napkin Hs"</formula>
    </cfRule>
  </conditionalFormatting>
  <conditionalFormatting sqref="C141">
    <cfRule type="cellIs" dxfId="1694" priority="1683" stopIfTrue="1" operator="equal">
      <formula>"Towel"</formula>
    </cfRule>
  </conditionalFormatting>
  <conditionalFormatting sqref="C139">
    <cfRule type="cellIs" dxfId="1693" priority="1677" stopIfTrue="1" operator="equal">
      <formula>"Towel"</formula>
    </cfRule>
    <cfRule type="cellIs" dxfId="1692" priority="1678" stopIfTrue="1" operator="equal">
      <formula>"Napkin Hs"</formula>
    </cfRule>
  </conditionalFormatting>
  <conditionalFormatting sqref="C139">
    <cfRule type="cellIs" dxfId="1691" priority="1675" stopIfTrue="1" operator="equal">
      <formula>"Towel"</formula>
    </cfRule>
    <cfRule type="cellIs" dxfId="1690" priority="1676" stopIfTrue="1" operator="equal">
      <formula>"Napkin Hs"</formula>
    </cfRule>
  </conditionalFormatting>
  <conditionalFormatting sqref="B139:C139">
    <cfRule type="cellIs" dxfId="1689" priority="1626" stopIfTrue="1" operator="equal">
      <formula>"Napkin Hs"</formula>
    </cfRule>
  </conditionalFormatting>
  <conditionalFormatting sqref="B139:C139">
    <cfRule type="cellIs" dxfId="1688" priority="1625" stopIfTrue="1" operator="equal">
      <formula>"Towel"</formula>
    </cfRule>
  </conditionalFormatting>
  <conditionalFormatting sqref="B139:C139">
    <cfRule type="cellIs" dxfId="1687" priority="1679" stopIfTrue="1" operator="equal">
      <formula>"Towel"</formula>
    </cfRule>
    <cfRule type="cellIs" dxfId="1686" priority="1680" stopIfTrue="1" operator="equal">
      <formula>"Napkin Hs"</formula>
    </cfRule>
  </conditionalFormatting>
  <conditionalFormatting sqref="C139">
    <cfRule type="cellIs" dxfId="1685" priority="1624" stopIfTrue="1" operator="equal">
      <formula>"Napkin Hs"</formula>
    </cfRule>
  </conditionalFormatting>
  <conditionalFormatting sqref="C139">
    <cfRule type="cellIs" dxfId="1684" priority="1623" stopIfTrue="1" operator="equal">
      <formula>"Towel"</formula>
    </cfRule>
  </conditionalFormatting>
  <conditionalFormatting sqref="C139">
    <cfRule type="cellIs" dxfId="1683" priority="1621" stopIfTrue="1" operator="equal">
      <formula>"Towel"</formula>
    </cfRule>
    <cfRule type="cellIs" dxfId="1682" priority="1622" stopIfTrue="1" operator="equal">
      <formula>"Napkin Hs"</formula>
    </cfRule>
  </conditionalFormatting>
  <conditionalFormatting sqref="B139:C139">
    <cfRule type="cellIs" dxfId="1681" priority="1674" stopIfTrue="1" operator="equal">
      <formula>"Napkin Hs"</formula>
    </cfRule>
  </conditionalFormatting>
  <conditionalFormatting sqref="B139:C139">
    <cfRule type="cellIs" dxfId="1680" priority="1673" stopIfTrue="1" operator="equal">
      <formula>"Towel"</formula>
    </cfRule>
  </conditionalFormatting>
  <conditionalFormatting sqref="C139">
    <cfRule type="cellIs" dxfId="1679" priority="1672" stopIfTrue="1" operator="equal">
      <formula>"Napkin Hs"</formula>
    </cfRule>
  </conditionalFormatting>
  <conditionalFormatting sqref="C139">
    <cfRule type="cellIs" dxfId="1678" priority="1671" stopIfTrue="1" operator="equal">
      <formula>"Towel"</formula>
    </cfRule>
  </conditionalFormatting>
  <conditionalFormatting sqref="C139">
    <cfRule type="cellIs" dxfId="1677" priority="1669" stopIfTrue="1" operator="equal">
      <formula>"Towel"</formula>
    </cfRule>
    <cfRule type="cellIs" dxfId="1676" priority="1670" stopIfTrue="1" operator="equal">
      <formula>"Napkin Hs"</formula>
    </cfRule>
  </conditionalFormatting>
  <conditionalFormatting sqref="B139:C139">
    <cfRule type="cellIs" dxfId="1675" priority="1667" stopIfTrue="1" operator="equal">
      <formula>"Towel"</formula>
    </cfRule>
    <cfRule type="cellIs" dxfId="1674" priority="1668" stopIfTrue="1" operator="equal">
      <formula>"Napkin Hs"</formula>
    </cfRule>
  </conditionalFormatting>
  <conditionalFormatting sqref="C139">
    <cfRule type="cellIs" dxfId="1673" priority="1663" stopIfTrue="1" operator="equal">
      <formula>"Towel"</formula>
    </cfRule>
    <cfRule type="cellIs" dxfId="1672" priority="1664" stopIfTrue="1" operator="equal">
      <formula>"Napkin Hs"</formula>
    </cfRule>
  </conditionalFormatting>
  <conditionalFormatting sqref="C139">
    <cfRule type="cellIs" dxfId="1671" priority="1665" stopIfTrue="1" operator="equal">
      <formula>"Towel"</formula>
    </cfRule>
    <cfRule type="cellIs" dxfId="1670" priority="1666" stopIfTrue="1" operator="equal">
      <formula>"Napkin Hs"</formula>
    </cfRule>
  </conditionalFormatting>
  <conditionalFormatting sqref="B139:C139">
    <cfRule type="cellIs" dxfId="1669" priority="1662" stopIfTrue="1" operator="equal">
      <formula>"Napkin Hs"</formula>
    </cfRule>
  </conditionalFormatting>
  <conditionalFormatting sqref="B139:C139">
    <cfRule type="cellIs" dxfId="1668" priority="1661" stopIfTrue="1" operator="equal">
      <formula>"Towel"</formula>
    </cfRule>
  </conditionalFormatting>
  <conditionalFormatting sqref="C139">
    <cfRule type="cellIs" dxfId="1667" priority="1660" stopIfTrue="1" operator="equal">
      <formula>"Napkin Hs"</formula>
    </cfRule>
  </conditionalFormatting>
  <conditionalFormatting sqref="C139">
    <cfRule type="cellIs" dxfId="1666" priority="1659" stopIfTrue="1" operator="equal">
      <formula>"Towel"</formula>
    </cfRule>
  </conditionalFormatting>
  <conditionalFormatting sqref="C139">
    <cfRule type="cellIs" dxfId="1665" priority="1657" stopIfTrue="1" operator="equal">
      <formula>"Towel"</formula>
    </cfRule>
    <cfRule type="cellIs" dxfId="1664" priority="1658" stopIfTrue="1" operator="equal">
      <formula>"Napkin Hs"</formula>
    </cfRule>
  </conditionalFormatting>
  <conditionalFormatting sqref="B139:C139">
    <cfRule type="cellIs" dxfId="1663" priority="1655" stopIfTrue="1" operator="equal">
      <formula>"Towel"</formula>
    </cfRule>
    <cfRule type="cellIs" dxfId="1662" priority="1656" stopIfTrue="1" operator="equal">
      <formula>"Napkin Hs"</formula>
    </cfRule>
  </conditionalFormatting>
  <conditionalFormatting sqref="C139">
    <cfRule type="cellIs" dxfId="1661" priority="1653" stopIfTrue="1" operator="equal">
      <formula>"Towel"</formula>
    </cfRule>
    <cfRule type="cellIs" dxfId="1660" priority="1654" stopIfTrue="1" operator="equal">
      <formula>"Napkin Hs"</formula>
    </cfRule>
  </conditionalFormatting>
  <conditionalFormatting sqref="C139">
    <cfRule type="cellIs" dxfId="1659" priority="1651" stopIfTrue="1" operator="equal">
      <formula>"Towel"</formula>
    </cfRule>
    <cfRule type="cellIs" dxfId="1658" priority="1652" stopIfTrue="1" operator="equal">
      <formula>"Napkin Hs"</formula>
    </cfRule>
  </conditionalFormatting>
  <conditionalFormatting sqref="B139:C139">
    <cfRule type="cellIs" dxfId="1657" priority="1649" stopIfTrue="1" operator="equal">
      <formula>"Towel"</formula>
    </cfRule>
    <cfRule type="cellIs" dxfId="1656" priority="1650" stopIfTrue="1" operator="equal">
      <formula>"Napkin Hs"</formula>
    </cfRule>
  </conditionalFormatting>
  <conditionalFormatting sqref="C139">
    <cfRule type="cellIs" dxfId="1655" priority="1647" stopIfTrue="1" operator="equal">
      <formula>"Towel"</formula>
    </cfRule>
    <cfRule type="cellIs" dxfId="1654" priority="1648" stopIfTrue="1" operator="equal">
      <formula>"Napkin Hs"</formula>
    </cfRule>
  </conditionalFormatting>
  <conditionalFormatting sqref="C139">
    <cfRule type="cellIs" dxfId="1653" priority="1645" stopIfTrue="1" operator="equal">
      <formula>"Towel"</formula>
    </cfRule>
    <cfRule type="cellIs" dxfId="1652" priority="1646" stopIfTrue="1" operator="equal">
      <formula>"Napkin Hs"</formula>
    </cfRule>
  </conditionalFormatting>
  <conditionalFormatting sqref="B139:C139">
    <cfRule type="cellIs" dxfId="1651" priority="1643" stopIfTrue="1" operator="equal">
      <formula>"Towel"</formula>
    </cfRule>
    <cfRule type="cellIs" dxfId="1650" priority="1644" stopIfTrue="1" operator="equal">
      <formula>"Napkin Hs"</formula>
    </cfRule>
  </conditionalFormatting>
  <conditionalFormatting sqref="C139">
    <cfRule type="cellIs" dxfId="1649" priority="1641" stopIfTrue="1" operator="equal">
      <formula>"Towel"</formula>
    </cfRule>
    <cfRule type="cellIs" dxfId="1648" priority="1642" stopIfTrue="1" operator="equal">
      <formula>"Napkin Hs"</formula>
    </cfRule>
  </conditionalFormatting>
  <conditionalFormatting sqref="C139">
    <cfRule type="cellIs" dxfId="1647" priority="1639" stopIfTrue="1" operator="equal">
      <formula>"Towel"</formula>
    </cfRule>
    <cfRule type="cellIs" dxfId="1646" priority="1640" stopIfTrue="1" operator="equal">
      <formula>"Napkin Hs"</formula>
    </cfRule>
  </conditionalFormatting>
  <conditionalFormatting sqref="B139:C139">
    <cfRule type="cellIs" dxfId="1645" priority="1637" stopIfTrue="1" operator="equal">
      <formula>"Towel"</formula>
    </cfRule>
    <cfRule type="cellIs" dxfId="1644" priority="1638" stopIfTrue="1" operator="equal">
      <formula>"Napkin Hs"</formula>
    </cfRule>
  </conditionalFormatting>
  <conditionalFormatting sqref="C139">
    <cfRule type="cellIs" dxfId="1643" priority="1635" stopIfTrue="1" operator="equal">
      <formula>"Towel"</formula>
    </cfRule>
    <cfRule type="cellIs" dxfId="1642" priority="1636" stopIfTrue="1" operator="equal">
      <formula>"Napkin Hs"</formula>
    </cfRule>
  </conditionalFormatting>
  <conditionalFormatting sqref="C139">
    <cfRule type="cellIs" dxfId="1641" priority="1633" stopIfTrue="1" operator="equal">
      <formula>"Towel"</formula>
    </cfRule>
    <cfRule type="cellIs" dxfId="1640" priority="1634" stopIfTrue="1" operator="equal">
      <formula>"Napkin Hs"</formula>
    </cfRule>
  </conditionalFormatting>
  <conditionalFormatting sqref="B139:C139">
    <cfRule type="cellIs" dxfId="1639" priority="1631" stopIfTrue="1" operator="equal">
      <formula>"Towel"</formula>
    </cfRule>
    <cfRule type="cellIs" dxfId="1638" priority="1632" stopIfTrue="1" operator="equal">
      <formula>"Napkin Hs"</formula>
    </cfRule>
  </conditionalFormatting>
  <conditionalFormatting sqref="C139">
    <cfRule type="cellIs" dxfId="1637" priority="1629" stopIfTrue="1" operator="equal">
      <formula>"Towel"</formula>
    </cfRule>
    <cfRule type="cellIs" dxfId="1636" priority="1630" stopIfTrue="1" operator="equal">
      <formula>"Napkin Hs"</formula>
    </cfRule>
  </conditionalFormatting>
  <conditionalFormatting sqref="C139">
    <cfRule type="cellIs" dxfId="1635" priority="1627" stopIfTrue="1" operator="equal">
      <formula>"Towel"</formula>
    </cfRule>
    <cfRule type="cellIs" dxfId="1634" priority="1628" stopIfTrue="1" operator="equal">
      <formula>"Napkin Hs"</formula>
    </cfRule>
  </conditionalFormatting>
  <conditionalFormatting sqref="B139:C139">
    <cfRule type="cellIs" dxfId="1633" priority="1617" stopIfTrue="1" operator="equal">
      <formula>"Towel"</formula>
    </cfRule>
    <cfRule type="cellIs" dxfId="1632" priority="1618" stopIfTrue="1" operator="equal">
      <formula>"Napkin Hs"</formula>
    </cfRule>
  </conditionalFormatting>
  <conditionalFormatting sqref="C139">
    <cfRule type="cellIs" dxfId="1631" priority="1619" stopIfTrue="1" operator="equal">
      <formula>"Towel"</formula>
    </cfRule>
    <cfRule type="cellIs" dxfId="1630" priority="1620" stopIfTrue="1" operator="equal">
      <formula>"Napkin Hs"</formula>
    </cfRule>
  </conditionalFormatting>
  <conditionalFormatting sqref="C139">
    <cfRule type="cellIs" dxfId="1629" priority="1615" stopIfTrue="1" operator="equal">
      <formula>"Towel"</formula>
    </cfRule>
    <cfRule type="cellIs" dxfId="1628" priority="1616" stopIfTrue="1" operator="equal">
      <formula>"Napkin Hs"</formula>
    </cfRule>
  </conditionalFormatting>
  <conditionalFormatting sqref="B139:C139">
    <cfRule type="cellIs" dxfId="1627" priority="1614" stopIfTrue="1" operator="equal">
      <formula>"Napkin Hs"</formula>
    </cfRule>
  </conditionalFormatting>
  <conditionalFormatting sqref="B139:C139">
    <cfRule type="cellIs" dxfId="1626" priority="1613" stopIfTrue="1" operator="equal">
      <formula>"Towel"</formula>
    </cfRule>
  </conditionalFormatting>
  <conditionalFormatting sqref="C139">
    <cfRule type="cellIs" dxfId="1625" priority="1612" stopIfTrue="1" operator="equal">
      <formula>"Napkin Hs"</formula>
    </cfRule>
  </conditionalFormatting>
  <conditionalFormatting sqref="C139">
    <cfRule type="cellIs" dxfId="1624" priority="1611" stopIfTrue="1" operator="equal">
      <formula>"Towel"</formula>
    </cfRule>
  </conditionalFormatting>
  <conditionalFormatting sqref="C139">
    <cfRule type="cellIs" dxfId="1623" priority="1609" stopIfTrue="1" operator="equal">
      <formula>"Towel"</formula>
    </cfRule>
    <cfRule type="cellIs" dxfId="1622" priority="1610" stopIfTrue="1" operator="equal">
      <formula>"Napkin Hs"</formula>
    </cfRule>
  </conditionalFormatting>
  <conditionalFormatting sqref="B139:C139">
    <cfRule type="cellIs" dxfId="1621" priority="1607" stopIfTrue="1" operator="equal">
      <formula>"Towel"</formula>
    </cfRule>
    <cfRule type="cellIs" dxfId="1620" priority="1608" stopIfTrue="1" operator="equal">
      <formula>"Napkin Hs"</formula>
    </cfRule>
  </conditionalFormatting>
  <conditionalFormatting sqref="C139">
    <cfRule type="cellIs" dxfId="1619" priority="1603" stopIfTrue="1" operator="equal">
      <formula>"Towel"</formula>
    </cfRule>
    <cfRule type="cellIs" dxfId="1618" priority="1604" stopIfTrue="1" operator="equal">
      <formula>"Napkin Hs"</formula>
    </cfRule>
  </conditionalFormatting>
  <conditionalFormatting sqref="C139">
    <cfRule type="cellIs" dxfId="1617" priority="1605" stopIfTrue="1" operator="equal">
      <formula>"Towel"</formula>
    </cfRule>
    <cfRule type="cellIs" dxfId="1616" priority="1606" stopIfTrue="1" operator="equal">
      <formula>"Napkin Hs"</formula>
    </cfRule>
  </conditionalFormatting>
  <conditionalFormatting sqref="B139:C139">
    <cfRule type="cellIs" dxfId="1615" priority="1602" stopIfTrue="1" operator="equal">
      <formula>"Napkin Hs"</formula>
    </cfRule>
  </conditionalFormatting>
  <conditionalFormatting sqref="B139:C139">
    <cfRule type="cellIs" dxfId="1614" priority="1601" stopIfTrue="1" operator="equal">
      <formula>"Towel"</formula>
    </cfRule>
  </conditionalFormatting>
  <conditionalFormatting sqref="C139">
    <cfRule type="cellIs" dxfId="1613" priority="1600" stopIfTrue="1" operator="equal">
      <formula>"Napkin Hs"</formula>
    </cfRule>
  </conditionalFormatting>
  <conditionalFormatting sqref="C139">
    <cfRule type="cellIs" dxfId="1612" priority="1599" stopIfTrue="1" operator="equal">
      <formula>"Towel"</formula>
    </cfRule>
  </conditionalFormatting>
  <conditionalFormatting sqref="C139">
    <cfRule type="cellIs" dxfId="1611" priority="1597" stopIfTrue="1" operator="equal">
      <formula>"Towel"</formula>
    </cfRule>
    <cfRule type="cellIs" dxfId="1610" priority="1598" stopIfTrue="1" operator="equal">
      <formula>"Napkin Hs"</formula>
    </cfRule>
  </conditionalFormatting>
  <conditionalFormatting sqref="B139:C139">
    <cfRule type="cellIs" dxfId="1609" priority="1595" stopIfTrue="1" operator="equal">
      <formula>"Towel"</formula>
    </cfRule>
    <cfRule type="cellIs" dxfId="1608" priority="1596" stopIfTrue="1" operator="equal">
      <formula>"Napkin Hs"</formula>
    </cfRule>
  </conditionalFormatting>
  <conditionalFormatting sqref="C139">
    <cfRule type="cellIs" dxfId="1607" priority="1593" stopIfTrue="1" operator="equal">
      <formula>"Towel"</formula>
    </cfRule>
    <cfRule type="cellIs" dxfId="1606" priority="1594" stopIfTrue="1" operator="equal">
      <formula>"Napkin Hs"</formula>
    </cfRule>
  </conditionalFormatting>
  <conditionalFormatting sqref="C139">
    <cfRule type="cellIs" dxfId="1605" priority="1591" stopIfTrue="1" operator="equal">
      <formula>"Towel"</formula>
    </cfRule>
    <cfRule type="cellIs" dxfId="1604" priority="1592" stopIfTrue="1" operator="equal">
      <formula>"Napkin Hs"</formula>
    </cfRule>
  </conditionalFormatting>
  <conditionalFormatting sqref="B139:C139">
    <cfRule type="cellIs" dxfId="1603" priority="1589" stopIfTrue="1" operator="equal">
      <formula>"Towel"</formula>
    </cfRule>
    <cfRule type="cellIs" dxfId="1602" priority="1590" stopIfTrue="1" operator="equal">
      <formula>"Napkin Hs"</formula>
    </cfRule>
  </conditionalFormatting>
  <conditionalFormatting sqref="C139">
    <cfRule type="cellIs" dxfId="1601" priority="1587" stopIfTrue="1" operator="equal">
      <formula>"Towel"</formula>
    </cfRule>
    <cfRule type="cellIs" dxfId="1600" priority="1588" stopIfTrue="1" operator="equal">
      <formula>"Napkin Hs"</formula>
    </cfRule>
  </conditionalFormatting>
  <conditionalFormatting sqref="C139">
    <cfRule type="cellIs" dxfId="1599" priority="1585" stopIfTrue="1" operator="equal">
      <formula>"Towel"</formula>
    </cfRule>
    <cfRule type="cellIs" dxfId="1598" priority="1586" stopIfTrue="1" operator="equal">
      <formula>"Napkin Hs"</formula>
    </cfRule>
  </conditionalFormatting>
  <conditionalFormatting sqref="B139:C139">
    <cfRule type="cellIs" dxfId="1597" priority="1583" stopIfTrue="1" operator="equal">
      <formula>"Towel"</formula>
    </cfRule>
    <cfRule type="cellIs" dxfId="1596" priority="1584" stopIfTrue="1" operator="equal">
      <formula>"Napkin Hs"</formula>
    </cfRule>
  </conditionalFormatting>
  <conditionalFormatting sqref="C139">
    <cfRule type="cellIs" dxfId="1595" priority="1581" stopIfTrue="1" operator="equal">
      <formula>"Towel"</formula>
    </cfRule>
    <cfRule type="cellIs" dxfId="1594" priority="1582" stopIfTrue="1" operator="equal">
      <formula>"Napkin Hs"</formula>
    </cfRule>
  </conditionalFormatting>
  <conditionalFormatting sqref="C139">
    <cfRule type="cellIs" dxfId="1593" priority="1579" stopIfTrue="1" operator="equal">
      <formula>"Towel"</formula>
    </cfRule>
    <cfRule type="cellIs" dxfId="1592" priority="1580" stopIfTrue="1" operator="equal">
      <formula>"Napkin Hs"</formula>
    </cfRule>
  </conditionalFormatting>
  <conditionalFormatting sqref="B139:C139">
    <cfRule type="cellIs" dxfId="1591" priority="1577" stopIfTrue="1" operator="equal">
      <formula>"Towel"</formula>
    </cfRule>
    <cfRule type="cellIs" dxfId="1590" priority="1578" stopIfTrue="1" operator="equal">
      <formula>"Napkin Hs"</formula>
    </cfRule>
  </conditionalFormatting>
  <conditionalFormatting sqref="C139">
    <cfRule type="cellIs" dxfId="1589" priority="1575" stopIfTrue="1" operator="equal">
      <formula>"Towel"</formula>
    </cfRule>
    <cfRule type="cellIs" dxfId="1588" priority="1576" stopIfTrue="1" operator="equal">
      <formula>"Napkin Hs"</formula>
    </cfRule>
  </conditionalFormatting>
  <conditionalFormatting sqref="C139">
    <cfRule type="cellIs" dxfId="1587" priority="1573" stopIfTrue="1" operator="equal">
      <formula>"Towel"</formula>
    </cfRule>
    <cfRule type="cellIs" dxfId="1586" priority="1574" stopIfTrue="1" operator="equal">
      <formula>"Napkin Hs"</formula>
    </cfRule>
  </conditionalFormatting>
  <conditionalFormatting sqref="B139:C139">
    <cfRule type="cellIs" dxfId="1585" priority="1571" stopIfTrue="1" operator="equal">
      <formula>"Towel"</formula>
    </cfRule>
    <cfRule type="cellIs" dxfId="1584" priority="1572" stopIfTrue="1" operator="equal">
      <formula>"Napkin Hs"</formula>
    </cfRule>
  </conditionalFormatting>
  <conditionalFormatting sqref="C139">
    <cfRule type="cellIs" dxfId="1583" priority="1569" stopIfTrue="1" operator="equal">
      <formula>"Towel"</formula>
    </cfRule>
    <cfRule type="cellIs" dxfId="1582" priority="1570" stopIfTrue="1" operator="equal">
      <formula>"Napkin Hs"</formula>
    </cfRule>
  </conditionalFormatting>
  <conditionalFormatting sqref="C139">
    <cfRule type="cellIs" dxfId="1581" priority="1567" stopIfTrue="1" operator="equal">
      <formula>"Towel"</formula>
    </cfRule>
    <cfRule type="cellIs" dxfId="1580" priority="1568" stopIfTrue="1" operator="equal">
      <formula>"Napkin Hs"</formula>
    </cfRule>
  </conditionalFormatting>
  <conditionalFormatting sqref="B139:C139">
    <cfRule type="cellIs" dxfId="1579" priority="1566" stopIfTrue="1" operator="equal">
      <formula>"Napkin Hs"</formula>
    </cfRule>
  </conditionalFormatting>
  <conditionalFormatting sqref="B139:C139">
    <cfRule type="cellIs" dxfId="1578" priority="1565" stopIfTrue="1" operator="equal">
      <formula>"Towel"</formula>
    </cfRule>
  </conditionalFormatting>
  <conditionalFormatting sqref="C139">
    <cfRule type="cellIs" dxfId="1577" priority="1564" stopIfTrue="1" operator="equal">
      <formula>"Napkin Hs"</formula>
    </cfRule>
  </conditionalFormatting>
  <conditionalFormatting sqref="C139">
    <cfRule type="cellIs" dxfId="1576" priority="1561" stopIfTrue="1" operator="equal">
      <formula>"Towel"</formula>
    </cfRule>
    <cfRule type="cellIs" dxfId="1575" priority="1562" stopIfTrue="1" operator="equal">
      <formula>"Napkin Hs"</formula>
    </cfRule>
  </conditionalFormatting>
  <conditionalFormatting sqref="C139">
    <cfRule type="cellIs" dxfId="1574" priority="1563" stopIfTrue="1" operator="equal">
      <formula>"Towel"</formula>
    </cfRule>
  </conditionalFormatting>
  <conditionalFormatting sqref="B139:C139">
    <cfRule type="cellIs" dxfId="1573" priority="1560" stopIfTrue="1" operator="equal">
      <formula>"Napkin Hs"</formula>
    </cfRule>
  </conditionalFormatting>
  <conditionalFormatting sqref="B139:C139">
    <cfRule type="cellIs" dxfId="1572" priority="1559" stopIfTrue="1" operator="equal">
      <formula>"Towel"</formula>
    </cfRule>
  </conditionalFormatting>
  <conditionalFormatting sqref="C139">
    <cfRule type="cellIs" dxfId="1571" priority="1558" stopIfTrue="1" operator="equal">
      <formula>"Napkin Hs"</formula>
    </cfRule>
  </conditionalFormatting>
  <conditionalFormatting sqref="C139">
    <cfRule type="cellIs" dxfId="1570" priority="1557" stopIfTrue="1" operator="equal">
      <formula>"Towel"</formula>
    </cfRule>
  </conditionalFormatting>
  <conditionalFormatting sqref="C139">
    <cfRule type="cellIs" dxfId="1569" priority="1555" stopIfTrue="1" operator="equal">
      <formula>"Towel"</formula>
    </cfRule>
    <cfRule type="cellIs" dxfId="1568" priority="1556" stopIfTrue="1" operator="equal">
      <formula>"Napkin Hs"</formula>
    </cfRule>
  </conditionalFormatting>
  <conditionalFormatting sqref="C139">
    <cfRule type="cellIs" dxfId="1567" priority="1549" stopIfTrue="1" operator="equal">
      <formula>"Towel"</formula>
    </cfRule>
    <cfRule type="cellIs" dxfId="1566" priority="1550" stopIfTrue="1" operator="equal">
      <formula>"Napkin Hs"</formula>
    </cfRule>
  </conditionalFormatting>
  <conditionalFormatting sqref="B139:C139">
    <cfRule type="cellIs" dxfId="1565" priority="1548" stopIfTrue="1" operator="equal">
      <formula>"Napkin Hs"</formula>
    </cfRule>
  </conditionalFormatting>
  <conditionalFormatting sqref="B139:C139">
    <cfRule type="cellIs" dxfId="1564" priority="1547" stopIfTrue="1" operator="equal">
      <formula>"Towel"</formula>
    </cfRule>
  </conditionalFormatting>
  <conditionalFormatting sqref="C139">
    <cfRule type="cellIs" dxfId="1563" priority="1546" stopIfTrue="1" operator="equal">
      <formula>"Napkin Hs"</formula>
    </cfRule>
  </conditionalFormatting>
  <conditionalFormatting sqref="C139">
    <cfRule type="cellIs" dxfId="1562" priority="1545" stopIfTrue="1" operator="equal">
      <formula>"Towel"</formula>
    </cfRule>
  </conditionalFormatting>
  <conditionalFormatting sqref="C139">
    <cfRule type="cellIs" dxfId="1561" priority="1543" stopIfTrue="1" operator="equal">
      <formula>"Towel"</formula>
    </cfRule>
    <cfRule type="cellIs" dxfId="1560" priority="1544" stopIfTrue="1" operator="equal">
      <formula>"Napkin Hs"</formula>
    </cfRule>
  </conditionalFormatting>
  <conditionalFormatting sqref="C139">
    <cfRule type="cellIs" dxfId="1559" priority="1537" stopIfTrue="1" operator="equal">
      <formula>"Towel"</formula>
    </cfRule>
    <cfRule type="cellIs" dxfId="1558" priority="1538" stopIfTrue="1" operator="equal">
      <formula>"Napkin Hs"</formula>
    </cfRule>
  </conditionalFormatting>
  <conditionalFormatting sqref="C139">
    <cfRule type="cellIs" dxfId="1557" priority="1531" stopIfTrue="1" operator="equal">
      <formula>"Towel"</formula>
    </cfRule>
    <cfRule type="cellIs" dxfId="1556" priority="1532" stopIfTrue="1" operator="equal">
      <formula>"Napkin Hs"</formula>
    </cfRule>
  </conditionalFormatting>
  <conditionalFormatting sqref="C139">
    <cfRule type="cellIs" dxfId="1555" priority="1525" stopIfTrue="1" operator="equal">
      <formula>"Towel"</formula>
    </cfRule>
    <cfRule type="cellIs" dxfId="1554" priority="1526" stopIfTrue="1" operator="equal">
      <formula>"Napkin Hs"</formula>
    </cfRule>
  </conditionalFormatting>
  <conditionalFormatting sqref="C139">
    <cfRule type="cellIs" dxfId="1553" priority="1519" stopIfTrue="1" operator="equal">
      <formula>"Towel"</formula>
    </cfRule>
    <cfRule type="cellIs" dxfId="1552" priority="1520" stopIfTrue="1" operator="equal">
      <formula>"Napkin Hs"</formula>
    </cfRule>
  </conditionalFormatting>
  <conditionalFormatting sqref="C139">
    <cfRule type="cellIs" dxfId="1551" priority="1513" stopIfTrue="1" operator="equal">
      <formula>"Towel"</formula>
    </cfRule>
    <cfRule type="cellIs" dxfId="1550" priority="1514" stopIfTrue="1" operator="equal">
      <formula>"Napkin Hs"</formula>
    </cfRule>
  </conditionalFormatting>
  <conditionalFormatting sqref="B139:C139">
    <cfRule type="cellIs" dxfId="1549" priority="1512" stopIfTrue="1" operator="equal">
      <formula>"Napkin Hs"</formula>
    </cfRule>
  </conditionalFormatting>
  <conditionalFormatting sqref="B139:C139">
    <cfRule type="cellIs" dxfId="1548" priority="1511" stopIfTrue="1" operator="equal">
      <formula>"Towel"</formula>
    </cfRule>
  </conditionalFormatting>
  <conditionalFormatting sqref="C139">
    <cfRule type="cellIs" dxfId="1547" priority="1510" stopIfTrue="1" operator="equal">
      <formula>"Napkin Hs"</formula>
    </cfRule>
  </conditionalFormatting>
  <conditionalFormatting sqref="C139">
    <cfRule type="cellIs" dxfId="1546" priority="1507" stopIfTrue="1" operator="equal">
      <formula>"Towel"</formula>
    </cfRule>
    <cfRule type="cellIs" dxfId="1545" priority="1508" stopIfTrue="1" operator="equal">
      <formula>"Napkin Hs"</formula>
    </cfRule>
  </conditionalFormatting>
  <conditionalFormatting sqref="C139">
    <cfRule type="cellIs" dxfId="1544" priority="1509" stopIfTrue="1" operator="equal">
      <formula>"Towel"</formula>
    </cfRule>
  </conditionalFormatting>
  <conditionalFormatting sqref="B139:C139">
    <cfRule type="cellIs" dxfId="1543" priority="1506" stopIfTrue="1" operator="equal">
      <formula>"Napkin Hs"</formula>
    </cfRule>
  </conditionalFormatting>
  <conditionalFormatting sqref="B139:C139">
    <cfRule type="cellIs" dxfId="1542" priority="1505" stopIfTrue="1" operator="equal">
      <formula>"Towel"</formula>
    </cfRule>
  </conditionalFormatting>
  <conditionalFormatting sqref="C139">
    <cfRule type="cellIs" dxfId="1541" priority="1504" stopIfTrue="1" operator="equal">
      <formula>"Napkin Hs"</formula>
    </cfRule>
  </conditionalFormatting>
  <conditionalFormatting sqref="C139">
    <cfRule type="cellIs" dxfId="1540" priority="1501" stopIfTrue="1" operator="equal">
      <formula>"Towel"</formula>
    </cfRule>
    <cfRule type="cellIs" dxfId="1539" priority="1502" stopIfTrue="1" operator="equal">
      <formula>"Napkin Hs"</formula>
    </cfRule>
  </conditionalFormatting>
  <conditionalFormatting sqref="C139">
    <cfRule type="cellIs" dxfId="1538" priority="1503" stopIfTrue="1" operator="equal">
      <formula>"Towel"</formula>
    </cfRule>
  </conditionalFormatting>
  <conditionalFormatting sqref="B139:C139">
    <cfRule type="cellIs" dxfId="1537" priority="1553" stopIfTrue="1" operator="equal">
      <formula>"Towel"</formula>
    </cfRule>
    <cfRule type="cellIs" dxfId="1536" priority="1554" stopIfTrue="1" operator="equal">
      <formula>"Napkin Hs"</formula>
    </cfRule>
  </conditionalFormatting>
  <conditionalFormatting sqref="C139">
    <cfRule type="cellIs" dxfId="1535" priority="1551" stopIfTrue="1" operator="equal">
      <formula>"Towel"</formula>
    </cfRule>
    <cfRule type="cellIs" dxfId="1534" priority="1552" stopIfTrue="1" operator="equal">
      <formula>"Napkin Hs"</formula>
    </cfRule>
  </conditionalFormatting>
  <conditionalFormatting sqref="B139:C139">
    <cfRule type="cellIs" dxfId="1533" priority="1541" stopIfTrue="1" operator="equal">
      <formula>"Towel"</formula>
    </cfRule>
    <cfRule type="cellIs" dxfId="1532" priority="1542" stopIfTrue="1" operator="equal">
      <formula>"Napkin Hs"</formula>
    </cfRule>
  </conditionalFormatting>
  <conditionalFormatting sqref="C139">
    <cfRule type="cellIs" dxfId="1531" priority="1539" stopIfTrue="1" operator="equal">
      <formula>"Towel"</formula>
    </cfRule>
    <cfRule type="cellIs" dxfId="1530" priority="1540" stopIfTrue="1" operator="equal">
      <formula>"Napkin Hs"</formula>
    </cfRule>
  </conditionalFormatting>
  <conditionalFormatting sqref="B139:C139">
    <cfRule type="cellIs" dxfId="1529" priority="1535" stopIfTrue="1" operator="equal">
      <formula>"Towel"</formula>
    </cfRule>
    <cfRule type="cellIs" dxfId="1528" priority="1536" stopIfTrue="1" operator="equal">
      <formula>"Napkin Hs"</formula>
    </cfRule>
  </conditionalFormatting>
  <conditionalFormatting sqref="C139">
    <cfRule type="cellIs" dxfId="1527" priority="1533" stopIfTrue="1" operator="equal">
      <formula>"Towel"</formula>
    </cfRule>
    <cfRule type="cellIs" dxfId="1526" priority="1534" stopIfTrue="1" operator="equal">
      <formula>"Napkin Hs"</formula>
    </cfRule>
  </conditionalFormatting>
  <conditionalFormatting sqref="B139:C139">
    <cfRule type="cellIs" dxfId="1525" priority="1529" stopIfTrue="1" operator="equal">
      <formula>"Towel"</formula>
    </cfRule>
    <cfRule type="cellIs" dxfId="1524" priority="1530" stopIfTrue="1" operator="equal">
      <formula>"Napkin Hs"</formula>
    </cfRule>
  </conditionalFormatting>
  <conditionalFormatting sqref="C139">
    <cfRule type="cellIs" dxfId="1523" priority="1527" stopIfTrue="1" operator="equal">
      <formula>"Towel"</formula>
    </cfRule>
    <cfRule type="cellIs" dxfId="1522" priority="1528" stopIfTrue="1" operator="equal">
      <formula>"Napkin Hs"</formula>
    </cfRule>
  </conditionalFormatting>
  <conditionalFormatting sqref="B139:C139">
    <cfRule type="cellIs" dxfId="1521" priority="1523" stopIfTrue="1" operator="equal">
      <formula>"Towel"</formula>
    </cfRule>
    <cfRule type="cellIs" dxfId="1520" priority="1524" stopIfTrue="1" operator="equal">
      <formula>"Napkin Hs"</formula>
    </cfRule>
  </conditionalFormatting>
  <conditionalFormatting sqref="C139">
    <cfRule type="cellIs" dxfId="1519" priority="1521" stopIfTrue="1" operator="equal">
      <formula>"Towel"</formula>
    </cfRule>
    <cfRule type="cellIs" dxfId="1518" priority="1522" stopIfTrue="1" operator="equal">
      <formula>"Napkin Hs"</formula>
    </cfRule>
  </conditionalFormatting>
  <conditionalFormatting sqref="B139:C139">
    <cfRule type="cellIs" dxfId="1517" priority="1517" stopIfTrue="1" operator="equal">
      <formula>"Towel"</formula>
    </cfRule>
    <cfRule type="cellIs" dxfId="1516" priority="1518" stopIfTrue="1" operator="equal">
      <formula>"Napkin Hs"</formula>
    </cfRule>
  </conditionalFormatting>
  <conditionalFormatting sqref="C139">
    <cfRule type="cellIs" dxfId="1515" priority="1515" stopIfTrue="1" operator="equal">
      <formula>"Towel"</formula>
    </cfRule>
    <cfRule type="cellIs" dxfId="1514" priority="1516" stopIfTrue="1" operator="equal">
      <formula>"Napkin Hs"</formula>
    </cfRule>
  </conditionalFormatting>
  <conditionalFormatting sqref="B139:C139">
    <cfRule type="cellIs" dxfId="1513" priority="1500" stopIfTrue="1" operator="equal">
      <formula>"Napkin Hs"</formula>
    </cfRule>
  </conditionalFormatting>
  <conditionalFormatting sqref="B139:C139">
    <cfRule type="cellIs" dxfId="1512" priority="1499" stopIfTrue="1" operator="equal">
      <formula>"Towel"</formula>
    </cfRule>
  </conditionalFormatting>
  <conditionalFormatting sqref="C139">
    <cfRule type="cellIs" dxfId="1511" priority="1498" stopIfTrue="1" operator="equal">
      <formula>"Napkin Hs"</formula>
    </cfRule>
  </conditionalFormatting>
  <conditionalFormatting sqref="C139">
    <cfRule type="cellIs" dxfId="1510" priority="1495" stopIfTrue="1" operator="equal">
      <formula>"Towel"</formula>
    </cfRule>
    <cfRule type="cellIs" dxfId="1509" priority="1496" stopIfTrue="1" operator="equal">
      <formula>"Napkin Hs"</formula>
    </cfRule>
  </conditionalFormatting>
  <conditionalFormatting sqref="C139">
    <cfRule type="cellIs" dxfId="1508" priority="1497" stopIfTrue="1" operator="equal">
      <formula>"Towel"</formula>
    </cfRule>
  </conditionalFormatting>
  <conditionalFormatting sqref="C138">
    <cfRule type="cellIs" dxfId="1507" priority="1491" stopIfTrue="1" operator="equal">
      <formula>"Towel"</formula>
    </cfRule>
    <cfRule type="cellIs" dxfId="1506" priority="1492" stopIfTrue="1" operator="equal">
      <formula>"Napkin Hs"</formula>
    </cfRule>
  </conditionalFormatting>
  <conditionalFormatting sqref="C138">
    <cfRule type="cellIs" dxfId="1505" priority="1489" stopIfTrue="1" operator="equal">
      <formula>"Towel"</formula>
    </cfRule>
    <cfRule type="cellIs" dxfId="1504" priority="1490" stopIfTrue="1" operator="equal">
      <formula>"Napkin Hs"</formula>
    </cfRule>
  </conditionalFormatting>
  <conditionalFormatting sqref="B138:C138">
    <cfRule type="cellIs" dxfId="1503" priority="1440" stopIfTrue="1" operator="equal">
      <formula>"Napkin Hs"</formula>
    </cfRule>
  </conditionalFormatting>
  <conditionalFormatting sqref="B138:C138">
    <cfRule type="cellIs" dxfId="1502" priority="1439" stopIfTrue="1" operator="equal">
      <formula>"Towel"</formula>
    </cfRule>
  </conditionalFormatting>
  <conditionalFormatting sqref="B138:C138">
    <cfRule type="cellIs" dxfId="1501" priority="1493" stopIfTrue="1" operator="equal">
      <formula>"Towel"</formula>
    </cfRule>
    <cfRule type="cellIs" dxfId="1500" priority="1494" stopIfTrue="1" operator="equal">
      <formula>"Napkin Hs"</formula>
    </cfRule>
  </conditionalFormatting>
  <conditionalFormatting sqref="C138">
    <cfRule type="cellIs" dxfId="1499" priority="1438" stopIfTrue="1" operator="equal">
      <formula>"Napkin Hs"</formula>
    </cfRule>
  </conditionalFormatting>
  <conditionalFormatting sqref="C138">
    <cfRule type="cellIs" dxfId="1498" priority="1437" stopIfTrue="1" operator="equal">
      <formula>"Towel"</formula>
    </cfRule>
  </conditionalFormatting>
  <conditionalFormatting sqref="C138">
    <cfRule type="cellIs" dxfId="1497" priority="1435" stopIfTrue="1" operator="equal">
      <formula>"Towel"</formula>
    </cfRule>
    <cfRule type="cellIs" dxfId="1496" priority="1436" stopIfTrue="1" operator="equal">
      <formula>"Napkin Hs"</formula>
    </cfRule>
  </conditionalFormatting>
  <conditionalFormatting sqref="B138:C138">
    <cfRule type="cellIs" dxfId="1495" priority="1488" stopIfTrue="1" operator="equal">
      <formula>"Napkin Hs"</formula>
    </cfRule>
  </conditionalFormatting>
  <conditionalFormatting sqref="B138:C138">
    <cfRule type="cellIs" dxfId="1494" priority="1487" stopIfTrue="1" operator="equal">
      <formula>"Towel"</formula>
    </cfRule>
  </conditionalFormatting>
  <conditionalFormatting sqref="C138">
    <cfRule type="cellIs" dxfId="1493" priority="1486" stopIfTrue="1" operator="equal">
      <formula>"Napkin Hs"</formula>
    </cfRule>
  </conditionalFormatting>
  <conditionalFormatting sqref="C138">
    <cfRule type="cellIs" dxfId="1492" priority="1485" stopIfTrue="1" operator="equal">
      <formula>"Towel"</formula>
    </cfRule>
  </conditionalFormatting>
  <conditionalFormatting sqref="C138">
    <cfRule type="cellIs" dxfId="1491" priority="1483" stopIfTrue="1" operator="equal">
      <formula>"Towel"</formula>
    </cfRule>
    <cfRule type="cellIs" dxfId="1490" priority="1484" stopIfTrue="1" operator="equal">
      <formula>"Napkin Hs"</formula>
    </cfRule>
  </conditionalFormatting>
  <conditionalFormatting sqref="B138:C138">
    <cfRule type="cellIs" dxfId="1489" priority="1481" stopIfTrue="1" operator="equal">
      <formula>"Towel"</formula>
    </cfRule>
    <cfRule type="cellIs" dxfId="1488" priority="1482" stopIfTrue="1" operator="equal">
      <formula>"Napkin Hs"</formula>
    </cfRule>
  </conditionalFormatting>
  <conditionalFormatting sqref="C138">
    <cfRule type="cellIs" dxfId="1487" priority="1477" stopIfTrue="1" operator="equal">
      <formula>"Towel"</formula>
    </cfRule>
    <cfRule type="cellIs" dxfId="1486" priority="1478" stopIfTrue="1" operator="equal">
      <formula>"Napkin Hs"</formula>
    </cfRule>
  </conditionalFormatting>
  <conditionalFormatting sqref="C138">
    <cfRule type="cellIs" dxfId="1485" priority="1479" stopIfTrue="1" operator="equal">
      <formula>"Towel"</formula>
    </cfRule>
    <cfRule type="cellIs" dxfId="1484" priority="1480" stopIfTrue="1" operator="equal">
      <formula>"Napkin Hs"</formula>
    </cfRule>
  </conditionalFormatting>
  <conditionalFormatting sqref="B138:C138">
    <cfRule type="cellIs" dxfId="1483" priority="1476" stopIfTrue="1" operator="equal">
      <formula>"Napkin Hs"</formula>
    </cfRule>
  </conditionalFormatting>
  <conditionalFormatting sqref="B138:C138">
    <cfRule type="cellIs" dxfId="1482" priority="1475" stopIfTrue="1" operator="equal">
      <formula>"Towel"</formula>
    </cfRule>
  </conditionalFormatting>
  <conditionalFormatting sqref="C138">
    <cfRule type="cellIs" dxfId="1481" priority="1474" stopIfTrue="1" operator="equal">
      <formula>"Napkin Hs"</formula>
    </cfRule>
  </conditionalFormatting>
  <conditionalFormatting sqref="C138">
    <cfRule type="cellIs" dxfId="1480" priority="1473" stopIfTrue="1" operator="equal">
      <formula>"Towel"</formula>
    </cfRule>
  </conditionalFormatting>
  <conditionalFormatting sqref="C138">
    <cfRule type="cellIs" dxfId="1479" priority="1471" stopIfTrue="1" operator="equal">
      <formula>"Towel"</formula>
    </cfRule>
    <cfRule type="cellIs" dxfId="1478" priority="1472" stopIfTrue="1" operator="equal">
      <formula>"Napkin Hs"</formula>
    </cfRule>
  </conditionalFormatting>
  <conditionalFormatting sqref="B138:C138">
    <cfRule type="cellIs" dxfId="1477" priority="1469" stopIfTrue="1" operator="equal">
      <formula>"Towel"</formula>
    </cfRule>
    <cfRule type="cellIs" dxfId="1476" priority="1470" stopIfTrue="1" operator="equal">
      <formula>"Napkin Hs"</formula>
    </cfRule>
  </conditionalFormatting>
  <conditionalFormatting sqref="C138">
    <cfRule type="cellIs" dxfId="1475" priority="1467" stopIfTrue="1" operator="equal">
      <formula>"Towel"</formula>
    </cfRule>
    <cfRule type="cellIs" dxfId="1474" priority="1468" stopIfTrue="1" operator="equal">
      <formula>"Napkin Hs"</formula>
    </cfRule>
  </conditionalFormatting>
  <conditionalFormatting sqref="C138">
    <cfRule type="cellIs" dxfId="1473" priority="1465" stopIfTrue="1" operator="equal">
      <formula>"Towel"</formula>
    </cfRule>
    <cfRule type="cellIs" dxfId="1472" priority="1466" stopIfTrue="1" operator="equal">
      <formula>"Napkin Hs"</formula>
    </cfRule>
  </conditionalFormatting>
  <conditionalFormatting sqref="B138:C138">
    <cfRule type="cellIs" dxfId="1471" priority="1463" stopIfTrue="1" operator="equal">
      <formula>"Towel"</formula>
    </cfRule>
    <cfRule type="cellIs" dxfId="1470" priority="1464" stopIfTrue="1" operator="equal">
      <formula>"Napkin Hs"</formula>
    </cfRule>
  </conditionalFormatting>
  <conditionalFormatting sqref="C138">
    <cfRule type="cellIs" dxfId="1469" priority="1461" stopIfTrue="1" operator="equal">
      <formula>"Towel"</formula>
    </cfRule>
    <cfRule type="cellIs" dxfId="1468" priority="1462" stopIfTrue="1" operator="equal">
      <formula>"Napkin Hs"</formula>
    </cfRule>
  </conditionalFormatting>
  <conditionalFormatting sqref="C138">
    <cfRule type="cellIs" dxfId="1467" priority="1459" stopIfTrue="1" operator="equal">
      <formula>"Towel"</formula>
    </cfRule>
    <cfRule type="cellIs" dxfId="1466" priority="1460" stopIfTrue="1" operator="equal">
      <formula>"Napkin Hs"</formula>
    </cfRule>
  </conditionalFormatting>
  <conditionalFormatting sqref="B138:C138">
    <cfRule type="cellIs" dxfId="1465" priority="1457" stopIfTrue="1" operator="equal">
      <formula>"Towel"</formula>
    </cfRule>
    <cfRule type="cellIs" dxfId="1464" priority="1458" stopIfTrue="1" operator="equal">
      <formula>"Napkin Hs"</formula>
    </cfRule>
  </conditionalFormatting>
  <conditionalFormatting sqref="C138">
    <cfRule type="cellIs" dxfId="1463" priority="1455" stopIfTrue="1" operator="equal">
      <formula>"Towel"</formula>
    </cfRule>
    <cfRule type="cellIs" dxfId="1462" priority="1456" stopIfTrue="1" operator="equal">
      <formula>"Napkin Hs"</formula>
    </cfRule>
  </conditionalFormatting>
  <conditionalFormatting sqref="C138">
    <cfRule type="cellIs" dxfId="1461" priority="1453" stopIfTrue="1" operator="equal">
      <formula>"Towel"</formula>
    </cfRule>
    <cfRule type="cellIs" dxfId="1460" priority="1454" stopIfTrue="1" operator="equal">
      <formula>"Napkin Hs"</formula>
    </cfRule>
  </conditionalFormatting>
  <conditionalFormatting sqref="B138:C138">
    <cfRule type="cellIs" dxfId="1459" priority="1451" stopIfTrue="1" operator="equal">
      <formula>"Towel"</formula>
    </cfRule>
    <cfRule type="cellIs" dxfId="1458" priority="1452" stopIfTrue="1" operator="equal">
      <formula>"Napkin Hs"</formula>
    </cfRule>
  </conditionalFormatting>
  <conditionalFormatting sqref="C138">
    <cfRule type="cellIs" dxfId="1457" priority="1449" stopIfTrue="1" operator="equal">
      <formula>"Towel"</formula>
    </cfRule>
    <cfRule type="cellIs" dxfId="1456" priority="1450" stopIfTrue="1" operator="equal">
      <formula>"Napkin Hs"</formula>
    </cfRule>
  </conditionalFormatting>
  <conditionalFormatting sqref="C138">
    <cfRule type="cellIs" dxfId="1455" priority="1447" stopIfTrue="1" operator="equal">
      <formula>"Towel"</formula>
    </cfRule>
    <cfRule type="cellIs" dxfId="1454" priority="1448" stopIfTrue="1" operator="equal">
      <formula>"Napkin Hs"</formula>
    </cfRule>
  </conditionalFormatting>
  <conditionalFormatting sqref="B138:C138">
    <cfRule type="cellIs" dxfId="1453" priority="1445" stopIfTrue="1" operator="equal">
      <formula>"Towel"</formula>
    </cfRule>
    <cfRule type="cellIs" dxfId="1452" priority="1446" stopIfTrue="1" operator="equal">
      <formula>"Napkin Hs"</formula>
    </cfRule>
  </conditionalFormatting>
  <conditionalFormatting sqref="C138">
    <cfRule type="cellIs" dxfId="1451" priority="1443" stopIfTrue="1" operator="equal">
      <formula>"Towel"</formula>
    </cfRule>
    <cfRule type="cellIs" dxfId="1450" priority="1444" stopIfTrue="1" operator="equal">
      <formula>"Napkin Hs"</formula>
    </cfRule>
  </conditionalFormatting>
  <conditionalFormatting sqref="C138">
    <cfRule type="cellIs" dxfId="1449" priority="1441" stopIfTrue="1" operator="equal">
      <formula>"Towel"</formula>
    </cfRule>
    <cfRule type="cellIs" dxfId="1448" priority="1442" stopIfTrue="1" operator="equal">
      <formula>"Napkin Hs"</formula>
    </cfRule>
  </conditionalFormatting>
  <conditionalFormatting sqref="B138:C138">
    <cfRule type="cellIs" dxfId="1447" priority="1431" stopIfTrue="1" operator="equal">
      <formula>"Towel"</formula>
    </cfRule>
    <cfRule type="cellIs" dxfId="1446" priority="1432" stopIfTrue="1" operator="equal">
      <formula>"Napkin Hs"</formula>
    </cfRule>
  </conditionalFormatting>
  <conditionalFormatting sqref="C138">
    <cfRule type="cellIs" dxfId="1445" priority="1433" stopIfTrue="1" operator="equal">
      <formula>"Towel"</formula>
    </cfRule>
    <cfRule type="cellIs" dxfId="1444" priority="1434" stopIfTrue="1" operator="equal">
      <formula>"Napkin Hs"</formula>
    </cfRule>
  </conditionalFormatting>
  <conditionalFormatting sqref="C138">
    <cfRule type="cellIs" dxfId="1443" priority="1429" stopIfTrue="1" operator="equal">
      <formula>"Towel"</formula>
    </cfRule>
    <cfRule type="cellIs" dxfId="1442" priority="1430" stopIfTrue="1" operator="equal">
      <formula>"Napkin Hs"</formula>
    </cfRule>
  </conditionalFormatting>
  <conditionalFormatting sqref="B138:C138">
    <cfRule type="cellIs" dxfId="1441" priority="1428" stopIfTrue="1" operator="equal">
      <formula>"Napkin Hs"</formula>
    </cfRule>
  </conditionalFormatting>
  <conditionalFormatting sqref="B138:C138">
    <cfRule type="cellIs" dxfId="1440" priority="1427" stopIfTrue="1" operator="equal">
      <formula>"Towel"</formula>
    </cfRule>
  </conditionalFormatting>
  <conditionalFormatting sqref="C138">
    <cfRule type="cellIs" dxfId="1439" priority="1426" stopIfTrue="1" operator="equal">
      <formula>"Napkin Hs"</formula>
    </cfRule>
  </conditionalFormatting>
  <conditionalFormatting sqref="C138">
    <cfRule type="cellIs" dxfId="1438" priority="1425" stopIfTrue="1" operator="equal">
      <formula>"Towel"</formula>
    </cfRule>
  </conditionalFormatting>
  <conditionalFormatting sqref="C138">
    <cfRule type="cellIs" dxfId="1437" priority="1423" stopIfTrue="1" operator="equal">
      <formula>"Towel"</formula>
    </cfRule>
    <cfRule type="cellIs" dxfId="1436" priority="1424" stopIfTrue="1" operator="equal">
      <formula>"Napkin Hs"</formula>
    </cfRule>
  </conditionalFormatting>
  <conditionalFormatting sqref="B138:C138">
    <cfRule type="cellIs" dxfId="1435" priority="1421" stopIfTrue="1" operator="equal">
      <formula>"Towel"</formula>
    </cfRule>
    <cfRule type="cellIs" dxfId="1434" priority="1422" stopIfTrue="1" operator="equal">
      <formula>"Napkin Hs"</formula>
    </cfRule>
  </conditionalFormatting>
  <conditionalFormatting sqref="C138">
    <cfRule type="cellIs" dxfId="1433" priority="1417" stopIfTrue="1" operator="equal">
      <formula>"Towel"</formula>
    </cfRule>
    <cfRule type="cellIs" dxfId="1432" priority="1418" stopIfTrue="1" operator="equal">
      <formula>"Napkin Hs"</formula>
    </cfRule>
  </conditionalFormatting>
  <conditionalFormatting sqref="C138">
    <cfRule type="cellIs" dxfId="1431" priority="1419" stopIfTrue="1" operator="equal">
      <formula>"Towel"</formula>
    </cfRule>
    <cfRule type="cellIs" dxfId="1430" priority="1420" stopIfTrue="1" operator="equal">
      <formula>"Napkin Hs"</formula>
    </cfRule>
  </conditionalFormatting>
  <conditionalFormatting sqref="B138:C138">
    <cfRule type="cellIs" dxfId="1429" priority="1416" stopIfTrue="1" operator="equal">
      <formula>"Napkin Hs"</formula>
    </cfRule>
  </conditionalFormatting>
  <conditionalFormatting sqref="B138:C138">
    <cfRule type="cellIs" dxfId="1428" priority="1415" stopIfTrue="1" operator="equal">
      <formula>"Towel"</formula>
    </cfRule>
  </conditionalFormatting>
  <conditionalFormatting sqref="C138">
    <cfRule type="cellIs" dxfId="1427" priority="1414" stopIfTrue="1" operator="equal">
      <formula>"Napkin Hs"</formula>
    </cfRule>
  </conditionalFormatting>
  <conditionalFormatting sqref="C138">
    <cfRule type="cellIs" dxfId="1426" priority="1413" stopIfTrue="1" operator="equal">
      <formula>"Towel"</formula>
    </cfRule>
  </conditionalFormatting>
  <conditionalFormatting sqref="C138">
    <cfRule type="cellIs" dxfId="1425" priority="1411" stopIfTrue="1" operator="equal">
      <formula>"Towel"</formula>
    </cfRule>
    <cfRule type="cellIs" dxfId="1424" priority="1412" stopIfTrue="1" operator="equal">
      <formula>"Napkin Hs"</formula>
    </cfRule>
  </conditionalFormatting>
  <conditionalFormatting sqref="B138:C138">
    <cfRule type="cellIs" dxfId="1423" priority="1409" stopIfTrue="1" operator="equal">
      <formula>"Towel"</formula>
    </cfRule>
    <cfRule type="cellIs" dxfId="1422" priority="1410" stopIfTrue="1" operator="equal">
      <formula>"Napkin Hs"</formula>
    </cfRule>
  </conditionalFormatting>
  <conditionalFormatting sqref="C138">
    <cfRule type="cellIs" dxfId="1421" priority="1407" stopIfTrue="1" operator="equal">
      <formula>"Towel"</formula>
    </cfRule>
    <cfRule type="cellIs" dxfId="1420" priority="1408" stopIfTrue="1" operator="equal">
      <formula>"Napkin Hs"</formula>
    </cfRule>
  </conditionalFormatting>
  <conditionalFormatting sqref="C138">
    <cfRule type="cellIs" dxfId="1419" priority="1405" stopIfTrue="1" operator="equal">
      <formula>"Towel"</formula>
    </cfRule>
    <cfRule type="cellIs" dxfId="1418" priority="1406" stopIfTrue="1" operator="equal">
      <formula>"Napkin Hs"</formula>
    </cfRule>
  </conditionalFormatting>
  <conditionalFormatting sqref="B138:C138">
    <cfRule type="cellIs" dxfId="1417" priority="1403" stopIfTrue="1" operator="equal">
      <formula>"Towel"</formula>
    </cfRule>
    <cfRule type="cellIs" dxfId="1416" priority="1404" stopIfTrue="1" operator="equal">
      <formula>"Napkin Hs"</formula>
    </cfRule>
  </conditionalFormatting>
  <conditionalFormatting sqref="C138">
    <cfRule type="cellIs" dxfId="1415" priority="1401" stopIfTrue="1" operator="equal">
      <formula>"Towel"</formula>
    </cfRule>
    <cfRule type="cellIs" dxfId="1414" priority="1402" stopIfTrue="1" operator="equal">
      <formula>"Napkin Hs"</formula>
    </cfRule>
  </conditionalFormatting>
  <conditionalFormatting sqref="C138">
    <cfRule type="cellIs" dxfId="1413" priority="1399" stopIfTrue="1" operator="equal">
      <formula>"Towel"</formula>
    </cfRule>
    <cfRule type="cellIs" dxfId="1412" priority="1400" stopIfTrue="1" operator="equal">
      <formula>"Napkin Hs"</formula>
    </cfRule>
  </conditionalFormatting>
  <conditionalFormatting sqref="B138:C138">
    <cfRule type="cellIs" dxfId="1411" priority="1397" stopIfTrue="1" operator="equal">
      <formula>"Towel"</formula>
    </cfRule>
    <cfRule type="cellIs" dxfId="1410" priority="1398" stopIfTrue="1" operator="equal">
      <formula>"Napkin Hs"</formula>
    </cfRule>
  </conditionalFormatting>
  <conditionalFormatting sqref="C138">
    <cfRule type="cellIs" dxfId="1409" priority="1395" stopIfTrue="1" operator="equal">
      <formula>"Towel"</formula>
    </cfRule>
    <cfRule type="cellIs" dxfId="1408" priority="1396" stopIfTrue="1" operator="equal">
      <formula>"Napkin Hs"</formula>
    </cfRule>
  </conditionalFormatting>
  <conditionalFormatting sqref="C138">
    <cfRule type="cellIs" dxfId="1407" priority="1393" stopIfTrue="1" operator="equal">
      <formula>"Towel"</formula>
    </cfRule>
    <cfRule type="cellIs" dxfId="1406" priority="1394" stopIfTrue="1" operator="equal">
      <formula>"Napkin Hs"</formula>
    </cfRule>
  </conditionalFormatting>
  <conditionalFormatting sqref="B138:C138">
    <cfRule type="cellIs" dxfId="1405" priority="1391" stopIfTrue="1" operator="equal">
      <formula>"Towel"</formula>
    </cfRule>
    <cfRule type="cellIs" dxfId="1404" priority="1392" stopIfTrue="1" operator="equal">
      <formula>"Napkin Hs"</formula>
    </cfRule>
  </conditionalFormatting>
  <conditionalFormatting sqref="C138">
    <cfRule type="cellIs" dxfId="1403" priority="1389" stopIfTrue="1" operator="equal">
      <formula>"Towel"</formula>
    </cfRule>
    <cfRule type="cellIs" dxfId="1402" priority="1390" stopIfTrue="1" operator="equal">
      <formula>"Napkin Hs"</formula>
    </cfRule>
  </conditionalFormatting>
  <conditionalFormatting sqref="C138">
    <cfRule type="cellIs" dxfId="1401" priority="1387" stopIfTrue="1" operator="equal">
      <formula>"Towel"</formula>
    </cfRule>
    <cfRule type="cellIs" dxfId="1400" priority="1388" stopIfTrue="1" operator="equal">
      <formula>"Napkin Hs"</formula>
    </cfRule>
  </conditionalFormatting>
  <conditionalFormatting sqref="B138:C138">
    <cfRule type="cellIs" dxfId="1399" priority="1385" stopIfTrue="1" operator="equal">
      <formula>"Towel"</formula>
    </cfRule>
    <cfRule type="cellIs" dxfId="1398" priority="1386" stopIfTrue="1" operator="equal">
      <formula>"Napkin Hs"</formula>
    </cfRule>
  </conditionalFormatting>
  <conditionalFormatting sqref="C138">
    <cfRule type="cellIs" dxfId="1397" priority="1383" stopIfTrue="1" operator="equal">
      <formula>"Towel"</formula>
    </cfRule>
    <cfRule type="cellIs" dxfId="1396" priority="1384" stopIfTrue="1" operator="equal">
      <formula>"Napkin Hs"</formula>
    </cfRule>
  </conditionalFormatting>
  <conditionalFormatting sqref="C138">
    <cfRule type="cellIs" dxfId="1395" priority="1381" stopIfTrue="1" operator="equal">
      <formula>"Towel"</formula>
    </cfRule>
    <cfRule type="cellIs" dxfId="1394" priority="1382" stopIfTrue="1" operator="equal">
      <formula>"Napkin Hs"</formula>
    </cfRule>
  </conditionalFormatting>
  <conditionalFormatting sqref="B138:C138">
    <cfRule type="cellIs" dxfId="1393" priority="1380" stopIfTrue="1" operator="equal">
      <formula>"Napkin Hs"</formula>
    </cfRule>
  </conditionalFormatting>
  <conditionalFormatting sqref="B138:C138">
    <cfRule type="cellIs" dxfId="1392" priority="1379" stopIfTrue="1" operator="equal">
      <formula>"Towel"</formula>
    </cfRule>
  </conditionalFormatting>
  <conditionalFormatting sqref="C138">
    <cfRule type="cellIs" dxfId="1391" priority="1378" stopIfTrue="1" operator="equal">
      <formula>"Napkin Hs"</formula>
    </cfRule>
  </conditionalFormatting>
  <conditionalFormatting sqref="C138">
    <cfRule type="cellIs" dxfId="1390" priority="1375" stopIfTrue="1" operator="equal">
      <formula>"Towel"</formula>
    </cfRule>
    <cfRule type="cellIs" dxfId="1389" priority="1376" stopIfTrue="1" operator="equal">
      <formula>"Napkin Hs"</formula>
    </cfRule>
  </conditionalFormatting>
  <conditionalFormatting sqref="C138">
    <cfRule type="cellIs" dxfId="1388" priority="1377" stopIfTrue="1" operator="equal">
      <formula>"Towel"</formula>
    </cfRule>
  </conditionalFormatting>
  <conditionalFormatting sqref="B138:C138">
    <cfRule type="cellIs" dxfId="1387" priority="1374" stopIfTrue="1" operator="equal">
      <formula>"Napkin Hs"</formula>
    </cfRule>
  </conditionalFormatting>
  <conditionalFormatting sqref="B138:C138">
    <cfRule type="cellIs" dxfId="1386" priority="1373" stopIfTrue="1" operator="equal">
      <formula>"Towel"</formula>
    </cfRule>
  </conditionalFormatting>
  <conditionalFormatting sqref="C138">
    <cfRule type="cellIs" dxfId="1385" priority="1372" stopIfTrue="1" operator="equal">
      <formula>"Napkin Hs"</formula>
    </cfRule>
  </conditionalFormatting>
  <conditionalFormatting sqref="C138">
    <cfRule type="cellIs" dxfId="1384" priority="1371" stopIfTrue="1" operator="equal">
      <formula>"Towel"</formula>
    </cfRule>
  </conditionalFormatting>
  <conditionalFormatting sqref="C138">
    <cfRule type="cellIs" dxfId="1383" priority="1369" stopIfTrue="1" operator="equal">
      <formula>"Towel"</formula>
    </cfRule>
    <cfRule type="cellIs" dxfId="1382" priority="1370" stopIfTrue="1" operator="equal">
      <formula>"Napkin Hs"</formula>
    </cfRule>
  </conditionalFormatting>
  <conditionalFormatting sqref="C138">
    <cfRule type="cellIs" dxfId="1381" priority="1363" stopIfTrue="1" operator="equal">
      <formula>"Towel"</formula>
    </cfRule>
    <cfRule type="cellIs" dxfId="1380" priority="1364" stopIfTrue="1" operator="equal">
      <formula>"Napkin Hs"</formula>
    </cfRule>
  </conditionalFormatting>
  <conditionalFormatting sqref="B138:C138">
    <cfRule type="cellIs" dxfId="1379" priority="1362" stopIfTrue="1" operator="equal">
      <formula>"Napkin Hs"</formula>
    </cfRule>
  </conditionalFormatting>
  <conditionalFormatting sqref="B138:C138">
    <cfRule type="cellIs" dxfId="1378" priority="1361" stopIfTrue="1" operator="equal">
      <formula>"Towel"</formula>
    </cfRule>
  </conditionalFormatting>
  <conditionalFormatting sqref="C138">
    <cfRule type="cellIs" dxfId="1377" priority="1360" stopIfTrue="1" operator="equal">
      <formula>"Napkin Hs"</formula>
    </cfRule>
  </conditionalFormatting>
  <conditionalFormatting sqref="C138">
    <cfRule type="cellIs" dxfId="1376" priority="1359" stopIfTrue="1" operator="equal">
      <formula>"Towel"</formula>
    </cfRule>
  </conditionalFormatting>
  <conditionalFormatting sqref="C138">
    <cfRule type="cellIs" dxfId="1375" priority="1357" stopIfTrue="1" operator="equal">
      <formula>"Towel"</formula>
    </cfRule>
    <cfRule type="cellIs" dxfId="1374" priority="1358" stopIfTrue="1" operator="equal">
      <formula>"Napkin Hs"</formula>
    </cfRule>
  </conditionalFormatting>
  <conditionalFormatting sqref="C138">
    <cfRule type="cellIs" dxfId="1373" priority="1351" stopIfTrue="1" operator="equal">
      <formula>"Towel"</formula>
    </cfRule>
    <cfRule type="cellIs" dxfId="1372" priority="1352" stopIfTrue="1" operator="equal">
      <formula>"Napkin Hs"</formula>
    </cfRule>
  </conditionalFormatting>
  <conditionalFormatting sqref="C138">
    <cfRule type="cellIs" dxfId="1371" priority="1345" stopIfTrue="1" operator="equal">
      <formula>"Towel"</formula>
    </cfRule>
    <cfRule type="cellIs" dxfId="1370" priority="1346" stopIfTrue="1" operator="equal">
      <formula>"Napkin Hs"</formula>
    </cfRule>
  </conditionalFormatting>
  <conditionalFormatting sqref="C138">
    <cfRule type="cellIs" dxfId="1369" priority="1339" stopIfTrue="1" operator="equal">
      <formula>"Towel"</formula>
    </cfRule>
    <cfRule type="cellIs" dxfId="1368" priority="1340" stopIfTrue="1" operator="equal">
      <formula>"Napkin Hs"</formula>
    </cfRule>
  </conditionalFormatting>
  <conditionalFormatting sqref="C138">
    <cfRule type="cellIs" dxfId="1367" priority="1333" stopIfTrue="1" operator="equal">
      <formula>"Towel"</formula>
    </cfRule>
    <cfRule type="cellIs" dxfId="1366" priority="1334" stopIfTrue="1" operator="equal">
      <formula>"Napkin Hs"</formula>
    </cfRule>
  </conditionalFormatting>
  <conditionalFormatting sqref="C138">
    <cfRule type="cellIs" dxfId="1365" priority="1327" stopIfTrue="1" operator="equal">
      <formula>"Towel"</formula>
    </cfRule>
    <cfRule type="cellIs" dxfId="1364" priority="1328" stopIfTrue="1" operator="equal">
      <formula>"Napkin Hs"</formula>
    </cfRule>
  </conditionalFormatting>
  <conditionalFormatting sqref="B138:C138">
    <cfRule type="cellIs" dxfId="1363" priority="1326" stopIfTrue="1" operator="equal">
      <formula>"Napkin Hs"</formula>
    </cfRule>
  </conditionalFormatting>
  <conditionalFormatting sqref="B138:C138">
    <cfRule type="cellIs" dxfId="1362" priority="1325" stopIfTrue="1" operator="equal">
      <formula>"Towel"</formula>
    </cfRule>
  </conditionalFormatting>
  <conditionalFormatting sqref="C138">
    <cfRule type="cellIs" dxfId="1361" priority="1324" stopIfTrue="1" operator="equal">
      <formula>"Napkin Hs"</formula>
    </cfRule>
  </conditionalFormatting>
  <conditionalFormatting sqref="C138">
    <cfRule type="cellIs" dxfId="1360" priority="1321" stopIfTrue="1" operator="equal">
      <formula>"Towel"</formula>
    </cfRule>
    <cfRule type="cellIs" dxfId="1359" priority="1322" stopIfTrue="1" operator="equal">
      <formula>"Napkin Hs"</formula>
    </cfRule>
  </conditionalFormatting>
  <conditionalFormatting sqref="C138">
    <cfRule type="cellIs" dxfId="1358" priority="1323" stopIfTrue="1" operator="equal">
      <formula>"Towel"</formula>
    </cfRule>
  </conditionalFormatting>
  <conditionalFormatting sqref="B138:C138">
    <cfRule type="cellIs" dxfId="1357" priority="1320" stopIfTrue="1" operator="equal">
      <formula>"Napkin Hs"</formula>
    </cfRule>
  </conditionalFormatting>
  <conditionalFormatting sqref="B138:C138">
    <cfRule type="cellIs" dxfId="1356" priority="1319" stopIfTrue="1" operator="equal">
      <formula>"Towel"</formula>
    </cfRule>
  </conditionalFormatting>
  <conditionalFormatting sqref="C138">
    <cfRule type="cellIs" dxfId="1355" priority="1318" stopIfTrue="1" operator="equal">
      <formula>"Napkin Hs"</formula>
    </cfRule>
  </conditionalFormatting>
  <conditionalFormatting sqref="C138">
    <cfRule type="cellIs" dxfId="1354" priority="1315" stopIfTrue="1" operator="equal">
      <formula>"Towel"</formula>
    </cfRule>
    <cfRule type="cellIs" dxfId="1353" priority="1316" stopIfTrue="1" operator="equal">
      <formula>"Napkin Hs"</formula>
    </cfRule>
  </conditionalFormatting>
  <conditionalFormatting sqref="C138">
    <cfRule type="cellIs" dxfId="1352" priority="1317" stopIfTrue="1" operator="equal">
      <formula>"Towel"</formula>
    </cfRule>
  </conditionalFormatting>
  <conditionalFormatting sqref="B138:C138">
    <cfRule type="cellIs" dxfId="1351" priority="1367" stopIfTrue="1" operator="equal">
      <formula>"Towel"</formula>
    </cfRule>
    <cfRule type="cellIs" dxfId="1350" priority="1368" stopIfTrue="1" operator="equal">
      <formula>"Napkin Hs"</formula>
    </cfRule>
  </conditionalFormatting>
  <conditionalFormatting sqref="C138">
    <cfRule type="cellIs" dxfId="1349" priority="1365" stopIfTrue="1" operator="equal">
      <formula>"Towel"</formula>
    </cfRule>
    <cfRule type="cellIs" dxfId="1348" priority="1366" stopIfTrue="1" operator="equal">
      <formula>"Napkin Hs"</formula>
    </cfRule>
  </conditionalFormatting>
  <conditionalFormatting sqref="B138:C138">
    <cfRule type="cellIs" dxfId="1347" priority="1355" stopIfTrue="1" operator="equal">
      <formula>"Towel"</formula>
    </cfRule>
    <cfRule type="cellIs" dxfId="1346" priority="1356" stopIfTrue="1" operator="equal">
      <formula>"Napkin Hs"</formula>
    </cfRule>
  </conditionalFormatting>
  <conditionalFormatting sqref="C138">
    <cfRule type="cellIs" dxfId="1345" priority="1353" stopIfTrue="1" operator="equal">
      <formula>"Towel"</formula>
    </cfRule>
    <cfRule type="cellIs" dxfId="1344" priority="1354" stopIfTrue="1" operator="equal">
      <formula>"Napkin Hs"</formula>
    </cfRule>
  </conditionalFormatting>
  <conditionalFormatting sqref="B138:C138">
    <cfRule type="cellIs" dxfId="1343" priority="1349" stopIfTrue="1" operator="equal">
      <formula>"Towel"</formula>
    </cfRule>
    <cfRule type="cellIs" dxfId="1342" priority="1350" stopIfTrue="1" operator="equal">
      <formula>"Napkin Hs"</formula>
    </cfRule>
  </conditionalFormatting>
  <conditionalFormatting sqref="C138">
    <cfRule type="cellIs" dxfId="1341" priority="1347" stopIfTrue="1" operator="equal">
      <formula>"Towel"</formula>
    </cfRule>
    <cfRule type="cellIs" dxfId="1340" priority="1348" stopIfTrue="1" operator="equal">
      <formula>"Napkin Hs"</formula>
    </cfRule>
  </conditionalFormatting>
  <conditionalFormatting sqref="B138:C138">
    <cfRule type="cellIs" dxfId="1339" priority="1343" stopIfTrue="1" operator="equal">
      <formula>"Towel"</formula>
    </cfRule>
    <cfRule type="cellIs" dxfId="1338" priority="1344" stopIfTrue="1" operator="equal">
      <formula>"Napkin Hs"</formula>
    </cfRule>
  </conditionalFormatting>
  <conditionalFormatting sqref="C138">
    <cfRule type="cellIs" dxfId="1337" priority="1341" stopIfTrue="1" operator="equal">
      <formula>"Towel"</formula>
    </cfRule>
    <cfRule type="cellIs" dxfId="1336" priority="1342" stopIfTrue="1" operator="equal">
      <formula>"Napkin Hs"</formula>
    </cfRule>
  </conditionalFormatting>
  <conditionalFormatting sqref="B138:C138">
    <cfRule type="cellIs" dxfId="1335" priority="1337" stopIfTrue="1" operator="equal">
      <formula>"Towel"</formula>
    </cfRule>
    <cfRule type="cellIs" dxfId="1334" priority="1338" stopIfTrue="1" operator="equal">
      <formula>"Napkin Hs"</formula>
    </cfRule>
  </conditionalFormatting>
  <conditionalFormatting sqref="C138">
    <cfRule type="cellIs" dxfId="1333" priority="1335" stopIfTrue="1" operator="equal">
      <formula>"Towel"</formula>
    </cfRule>
    <cfRule type="cellIs" dxfId="1332" priority="1336" stopIfTrue="1" operator="equal">
      <formula>"Napkin Hs"</formula>
    </cfRule>
  </conditionalFormatting>
  <conditionalFormatting sqref="B138:C138">
    <cfRule type="cellIs" dxfId="1331" priority="1331" stopIfTrue="1" operator="equal">
      <formula>"Towel"</formula>
    </cfRule>
    <cfRule type="cellIs" dxfId="1330" priority="1332" stopIfTrue="1" operator="equal">
      <formula>"Napkin Hs"</formula>
    </cfRule>
  </conditionalFormatting>
  <conditionalFormatting sqref="C138">
    <cfRule type="cellIs" dxfId="1329" priority="1329" stopIfTrue="1" operator="equal">
      <formula>"Towel"</formula>
    </cfRule>
    <cfRule type="cellIs" dxfId="1328" priority="1330" stopIfTrue="1" operator="equal">
      <formula>"Napkin Hs"</formula>
    </cfRule>
  </conditionalFormatting>
  <conditionalFormatting sqref="B138:C138">
    <cfRule type="cellIs" dxfId="1327" priority="1314" stopIfTrue="1" operator="equal">
      <formula>"Napkin Hs"</formula>
    </cfRule>
  </conditionalFormatting>
  <conditionalFormatting sqref="B138:C138">
    <cfRule type="cellIs" dxfId="1326" priority="1313" stopIfTrue="1" operator="equal">
      <formula>"Towel"</formula>
    </cfRule>
  </conditionalFormatting>
  <conditionalFormatting sqref="C138">
    <cfRule type="cellIs" dxfId="1325" priority="1312" stopIfTrue="1" operator="equal">
      <formula>"Napkin Hs"</formula>
    </cfRule>
  </conditionalFormatting>
  <conditionalFormatting sqref="C138">
    <cfRule type="cellIs" dxfId="1324" priority="1309" stopIfTrue="1" operator="equal">
      <formula>"Towel"</formula>
    </cfRule>
    <cfRule type="cellIs" dxfId="1323" priority="1310" stopIfTrue="1" operator="equal">
      <formula>"Napkin Hs"</formula>
    </cfRule>
  </conditionalFormatting>
  <conditionalFormatting sqref="C138">
    <cfRule type="cellIs" dxfId="1322" priority="1311" stopIfTrue="1" operator="equal">
      <formula>"Towel"</formula>
    </cfRule>
  </conditionalFormatting>
  <conditionalFormatting sqref="C140">
    <cfRule type="cellIs" dxfId="1321" priority="1305" stopIfTrue="1" operator="equal">
      <formula>"Towel"</formula>
    </cfRule>
    <cfRule type="cellIs" dxfId="1320" priority="1306" stopIfTrue="1" operator="equal">
      <formula>"Napkin Hs"</formula>
    </cfRule>
  </conditionalFormatting>
  <conditionalFormatting sqref="C140">
    <cfRule type="cellIs" dxfId="1319" priority="1303" stopIfTrue="1" operator="equal">
      <formula>"Towel"</formula>
    </cfRule>
    <cfRule type="cellIs" dxfId="1318" priority="1304" stopIfTrue="1" operator="equal">
      <formula>"Napkin Hs"</formula>
    </cfRule>
  </conditionalFormatting>
  <conditionalFormatting sqref="B140:C140">
    <cfRule type="cellIs" dxfId="1317" priority="1254" stopIfTrue="1" operator="equal">
      <formula>"Napkin Hs"</formula>
    </cfRule>
  </conditionalFormatting>
  <conditionalFormatting sqref="B140:C140">
    <cfRule type="cellIs" dxfId="1316" priority="1253" stopIfTrue="1" operator="equal">
      <formula>"Towel"</formula>
    </cfRule>
  </conditionalFormatting>
  <conditionalFormatting sqref="B140:C140">
    <cfRule type="cellIs" dxfId="1315" priority="1307" stopIfTrue="1" operator="equal">
      <formula>"Towel"</formula>
    </cfRule>
    <cfRule type="cellIs" dxfId="1314" priority="1308" stopIfTrue="1" operator="equal">
      <formula>"Napkin Hs"</formula>
    </cfRule>
  </conditionalFormatting>
  <conditionalFormatting sqref="C140">
    <cfRule type="cellIs" dxfId="1313" priority="1252" stopIfTrue="1" operator="equal">
      <formula>"Napkin Hs"</formula>
    </cfRule>
  </conditionalFormatting>
  <conditionalFormatting sqref="C140">
    <cfRule type="cellIs" dxfId="1312" priority="1251" stopIfTrue="1" operator="equal">
      <formula>"Towel"</formula>
    </cfRule>
  </conditionalFormatting>
  <conditionalFormatting sqref="C140">
    <cfRule type="cellIs" dxfId="1311" priority="1249" stopIfTrue="1" operator="equal">
      <formula>"Towel"</formula>
    </cfRule>
    <cfRule type="cellIs" dxfId="1310" priority="1250" stopIfTrue="1" operator="equal">
      <formula>"Napkin Hs"</formula>
    </cfRule>
  </conditionalFormatting>
  <conditionalFormatting sqref="B140:C140">
    <cfRule type="cellIs" dxfId="1309" priority="1302" stopIfTrue="1" operator="equal">
      <formula>"Napkin Hs"</formula>
    </cfRule>
  </conditionalFormatting>
  <conditionalFormatting sqref="B140:C140">
    <cfRule type="cellIs" dxfId="1308" priority="1301" stopIfTrue="1" operator="equal">
      <formula>"Towel"</formula>
    </cfRule>
  </conditionalFormatting>
  <conditionalFormatting sqref="C140">
    <cfRule type="cellIs" dxfId="1307" priority="1300" stopIfTrue="1" operator="equal">
      <formula>"Napkin Hs"</formula>
    </cfRule>
  </conditionalFormatting>
  <conditionalFormatting sqref="C140">
    <cfRule type="cellIs" dxfId="1306" priority="1299" stopIfTrue="1" operator="equal">
      <formula>"Towel"</formula>
    </cfRule>
  </conditionalFormatting>
  <conditionalFormatting sqref="C140">
    <cfRule type="cellIs" dxfId="1305" priority="1297" stopIfTrue="1" operator="equal">
      <formula>"Towel"</formula>
    </cfRule>
    <cfRule type="cellIs" dxfId="1304" priority="1298" stopIfTrue="1" operator="equal">
      <formula>"Napkin Hs"</formula>
    </cfRule>
  </conditionalFormatting>
  <conditionalFormatting sqref="B140:C140">
    <cfRule type="cellIs" dxfId="1303" priority="1295" stopIfTrue="1" operator="equal">
      <formula>"Towel"</formula>
    </cfRule>
    <cfRule type="cellIs" dxfId="1302" priority="1296" stopIfTrue="1" operator="equal">
      <formula>"Napkin Hs"</formula>
    </cfRule>
  </conditionalFormatting>
  <conditionalFormatting sqref="C140">
    <cfRule type="cellIs" dxfId="1301" priority="1291" stopIfTrue="1" operator="equal">
      <formula>"Towel"</formula>
    </cfRule>
    <cfRule type="cellIs" dxfId="1300" priority="1292" stopIfTrue="1" operator="equal">
      <formula>"Napkin Hs"</formula>
    </cfRule>
  </conditionalFormatting>
  <conditionalFormatting sqref="C140">
    <cfRule type="cellIs" dxfId="1299" priority="1293" stopIfTrue="1" operator="equal">
      <formula>"Towel"</formula>
    </cfRule>
    <cfRule type="cellIs" dxfId="1298" priority="1294" stopIfTrue="1" operator="equal">
      <formula>"Napkin Hs"</formula>
    </cfRule>
  </conditionalFormatting>
  <conditionalFormatting sqref="B140:C140">
    <cfRule type="cellIs" dxfId="1297" priority="1290" stopIfTrue="1" operator="equal">
      <formula>"Napkin Hs"</formula>
    </cfRule>
  </conditionalFormatting>
  <conditionalFormatting sqref="B140:C140">
    <cfRule type="cellIs" dxfId="1296" priority="1289" stopIfTrue="1" operator="equal">
      <formula>"Towel"</formula>
    </cfRule>
  </conditionalFormatting>
  <conditionalFormatting sqref="C140">
    <cfRule type="cellIs" dxfId="1295" priority="1288" stopIfTrue="1" operator="equal">
      <formula>"Napkin Hs"</formula>
    </cfRule>
  </conditionalFormatting>
  <conditionalFormatting sqref="C140">
    <cfRule type="cellIs" dxfId="1294" priority="1287" stopIfTrue="1" operator="equal">
      <formula>"Towel"</formula>
    </cfRule>
  </conditionalFormatting>
  <conditionalFormatting sqref="C140">
    <cfRule type="cellIs" dxfId="1293" priority="1285" stopIfTrue="1" operator="equal">
      <formula>"Towel"</formula>
    </cfRule>
    <cfRule type="cellIs" dxfId="1292" priority="1286" stopIfTrue="1" operator="equal">
      <formula>"Napkin Hs"</formula>
    </cfRule>
  </conditionalFormatting>
  <conditionalFormatting sqref="B140:C140">
    <cfRule type="cellIs" dxfId="1291" priority="1283" stopIfTrue="1" operator="equal">
      <formula>"Towel"</formula>
    </cfRule>
    <cfRule type="cellIs" dxfId="1290" priority="1284" stopIfTrue="1" operator="equal">
      <formula>"Napkin Hs"</formula>
    </cfRule>
  </conditionalFormatting>
  <conditionalFormatting sqref="C140">
    <cfRule type="cellIs" dxfId="1289" priority="1281" stopIfTrue="1" operator="equal">
      <formula>"Towel"</formula>
    </cfRule>
    <cfRule type="cellIs" dxfId="1288" priority="1282" stopIfTrue="1" operator="equal">
      <formula>"Napkin Hs"</formula>
    </cfRule>
  </conditionalFormatting>
  <conditionalFormatting sqref="C140">
    <cfRule type="cellIs" dxfId="1287" priority="1279" stopIfTrue="1" operator="equal">
      <formula>"Towel"</formula>
    </cfRule>
    <cfRule type="cellIs" dxfId="1286" priority="1280" stopIfTrue="1" operator="equal">
      <formula>"Napkin Hs"</formula>
    </cfRule>
  </conditionalFormatting>
  <conditionalFormatting sqref="B140:C140">
    <cfRule type="cellIs" dxfId="1285" priority="1277" stopIfTrue="1" operator="equal">
      <formula>"Towel"</formula>
    </cfRule>
    <cfRule type="cellIs" dxfId="1284" priority="1278" stopIfTrue="1" operator="equal">
      <formula>"Napkin Hs"</formula>
    </cfRule>
  </conditionalFormatting>
  <conditionalFormatting sqref="C140">
    <cfRule type="cellIs" dxfId="1283" priority="1275" stopIfTrue="1" operator="equal">
      <formula>"Towel"</formula>
    </cfRule>
    <cfRule type="cellIs" dxfId="1282" priority="1276" stopIfTrue="1" operator="equal">
      <formula>"Napkin Hs"</formula>
    </cfRule>
  </conditionalFormatting>
  <conditionalFormatting sqref="C140">
    <cfRule type="cellIs" dxfId="1281" priority="1273" stopIfTrue="1" operator="equal">
      <formula>"Towel"</formula>
    </cfRule>
    <cfRule type="cellIs" dxfId="1280" priority="1274" stopIfTrue="1" operator="equal">
      <formula>"Napkin Hs"</formula>
    </cfRule>
  </conditionalFormatting>
  <conditionalFormatting sqref="B140:C140">
    <cfRule type="cellIs" dxfId="1279" priority="1271" stopIfTrue="1" operator="equal">
      <formula>"Towel"</formula>
    </cfRule>
    <cfRule type="cellIs" dxfId="1278" priority="1272" stopIfTrue="1" operator="equal">
      <formula>"Napkin Hs"</formula>
    </cfRule>
  </conditionalFormatting>
  <conditionalFormatting sqref="C140">
    <cfRule type="cellIs" dxfId="1277" priority="1269" stopIfTrue="1" operator="equal">
      <formula>"Towel"</formula>
    </cfRule>
    <cfRule type="cellIs" dxfId="1276" priority="1270" stopIfTrue="1" operator="equal">
      <formula>"Napkin Hs"</formula>
    </cfRule>
  </conditionalFormatting>
  <conditionalFormatting sqref="C140">
    <cfRule type="cellIs" dxfId="1275" priority="1267" stopIfTrue="1" operator="equal">
      <formula>"Towel"</formula>
    </cfRule>
    <cfRule type="cellIs" dxfId="1274" priority="1268" stopIfTrue="1" operator="equal">
      <formula>"Napkin Hs"</formula>
    </cfRule>
  </conditionalFormatting>
  <conditionalFormatting sqref="B140:C140">
    <cfRule type="cellIs" dxfId="1273" priority="1265" stopIfTrue="1" operator="equal">
      <formula>"Towel"</formula>
    </cfRule>
    <cfRule type="cellIs" dxfId="1272" priority="1266" stopIfTrue="1" operator="equal">
      <formula>"Napkin Hs"</formula>
    </cfRule>
  </conditionalFormatting>
  <conditionalFormatting sqref="C140">
    <cfRule type="cellIs" dxfId="1271" priority="1263" stopIfTrue="1" operator="equal">
      <formula>"Towel"</formula>
    </cfRule>
    <cfRule type="cellIs" dxfId="1270" priority="1264" stopIfTrue="1" operator="equal">
      <formula>"Napkin Hs"</formula>
    </cfRule>
  </conditionalFormatting>
  <conditionalFormatting sqref="C140">
    <cfRule type="cellIs" dxfId="1269" priority="1261" stopIfTrue="1" operator="equal">
      <formula>"Towel"</formula>
    </cfRule>
    <cfRule type="cellIs" dxfId="1268" priority="1262" stopIfTrue="1" operator="equal">
      <formula>"Napkin Hs"</formula>
    </cfRule>
  </conditionalFormatting>
  <conditionalFormatting sqref="B140:C140">
    <cfRule type="cellIs" dxfId="1267" priority="1259" stopIfTrue="1" operator="equal">
      <formula>"Towel"</formula>
    </cfRule>
    <cfRule type="cellIs" dxfId="1266" priority="1260" stopIfTrue="1" operator="equal">
      <formula>"Napkin Hs"</formula>
    </cfRule>
  </conditionalFormatting>
  <conditionalFormatting sqref="C140">
    <cfRule type="cellIs" dxfId="1265" priority="1257" stopIfTrue="1" operator="equal">
      <formula>"Towel"</formula>
    </cfRule>
    <cfRule type="cellIs" dxfId="1264" priority="1258" stopIfTrue="1" operator="equal">
      <formula>"Napkin Hs"</formula>
    </cfRule>
  </conditionalFormatting>
  <conditionalFormatting sqref="C140">
    <cfRule type="cellIs" dxfId="1263" priority="1255" stopIfTrue="1" operator="equal">
      <formula>"Towel"</formula>
    </cfRule>
    <cfRule type="cellIs" dxfId="1262" priority="1256" stopIfTrue="1" operator="equal">
      <formula>"Napkin Hs"</formula>
    </cfRule>
  </conditionalFormatting>
  <conditionalFormatting sqref="B140:C140">
    <cfRule type="cellIs" dxfId="1261" priority="1245" stopIfTrue="1" operator="equal">
      <formula>"Towel"</formula>
    </cfRule>
    <cfRule type="cellIs" dxfId="1260" priority="1246" stopIfTrue="1" operator="equal">
      <formula>"Napkin Hs"</formula>
    </cfRule>
  </conditionalFormatting>
  <conditionalFormatting sqref="C140">
    <cfRule type="cellIs" dxfId="1259" priority="1247" stopIfTrue="1" operator="equal">
      <formula>"Towel"</formula>
    </cfRule>
    <cfRule type="cellIs" dxfId="1258" priority="1248" stopIfTrue="1" operator="equal">
      <formula>"Napkin Hs"</formula>
    </cfRule>
  </conditionalFormatting>
  <conditionalFormatting sqref="C140">
    <cfRule type="cellIs" dxfId="1257" priority="1243" stopIfTrue="1" operator="equal">
      <formula>"Towel"</formula>
    </cfRule>
    <cfRule type="cellIs" dxfId="1256" priority="1244" stopIfTrue="1" operator="equal">
      <formula>"Napkin Hs"</formula>
    </cfRule>
  </conditionalFormatting>
  <conditionalFormatting sqref="B140:C140">
    <cfRule type="cellIs" dxfId="1255" priority="1242" stopIfTrue="1" operator="equal">
      <formula>"Napkin Hs"</formula>
    </cfRule>
  </conditionalFormatting>
  <conditionalFormatting sqref="B140:C140">
    <cfRule type="cellIs" dxfId="1254" priority="1241" stopIfTrue="1" operator="equal">
      <formula>"Towel"</formula>
    </cfRule>
  </conditionalFormatting>
  <conditionalFormatting sqref="C140">
    <cfRule type="cellIs" dxfId="1253" priority="1240" stopIfTrue="1" operator="equal">
      <formula>"Napkin Hs"</formula>
    </cfRule>
  </conditionalFormatting>
  <conditionalFormatting sqref="C140">
    <cfRule type="cellIs" dxfId="1252" priority="1239" stopIfTrue="1" operator="equal">
      <formula>"Towel"</formula>
    </cfRule>
  </conditionalFormatting>
  <conditionalFormatting sqref="C140">
    <cfRule type="cellIs" dxfId="1251" priority="1237" stopIfTrue="1" operator="equal">
      <formula>"Towel"</formula>
    </cfRule>
    <cfRule type="cellIs" dxfId="1250" priority="1238" stopIfTrue="1" operator="equal">
      <formula>"Napkin Hs"</formula>
    </cfRule>
  </conditionalFormatting>
  <conditionalFormatting sqref="B140:C140">
    <cfRule type="cellIs" dxfId="1249" priority="1235" stopIfTrue="1" operator="equal">
      <formula>"Towel"</formula>
    </cfRule>
    <cfRule type="cellIs" dxfId="1248" priority="1236" stopIfTrue="1" operator="equal">
      <formula>"Napkin Hs"</formula>
    </cfRule>
  </conditionalFormatting>
  <conditionalFormatting sqref="C140">
    <cfRule type="cellIs" dxfId="1247" priority="1231" stopIfTrue="1" operator="equal">
      <formula>"Towel"</formula>
    </cfRule>
    <cfRule type="cellIs" dxfId="1246" priority="1232" stopIfTrue="1" operator="equal">
      <formula>"Napkin Hs"</formula>
    </cfRule>
  </conditionalFormatting>
  <conditionalFormatting sqref="C140">
    <cfRule type="cellIs" dxfId="1245" priority="1233" stopIfTrue="1" operator="equal">
      <formula>"Towel"</formula>
    </cfRule>
    <cfRule type="cellIs" dxfId="1244" priority="1234" stopIfTrue="1" operator="equal">
      <formula>"Napkin Hs"</formula>
    </cfRule>
  </conditionalFormatting>
  <conditionalFormatting sqref="B140:C140">
    <cfRule type="cellIs" dxfId="1243" priority="1230" stopIfTrue="1" operator="equal">
      <formula>"Napkin Hs"</formula>
    </cfRule>
  </conditionalFormatting>
  <conditionalFormatting sqref="B140:C140">
    <cfRule type="cellIs" dxfId="1242" priority="1229" stopIfTrue="1" operator="equal">
      <formula>"Towel"</formula>
    </cfRule>
  </conditionalFormatting>
  <conditionalFormatting sqref="C140">
    <cfRule type="cellIs" dxfId="1241" priority="1228" stopIfTrue="1" operator="equal">
      <formula>"Napkin Hs"</formula>
    </cfRule>
  </conditionalFormatting>
  <conditionalFormatting sqref="C140">
    <cfRule type="cellIs" dxfId="1240" priority="1227" stopIfTrue="1" operator="equal">
      <formula>"Towel"</formula>
    </cfRule>
  </conditionalFormatting>
  <conditionalFormatting sqref="C140">
    <cfRule type="cellIs" dxfId="1239" priority="1225" stopIfTrue="1" operator="equal">
      <formula>"Towel"</formula>
    </cfRule>
    <cfRule type="cellIs" dxfId="1238" priority="1226" stopIfTrue="1" operator="equal">
      <formula>"Napkin Hs"</formula>
    </cfRule>
  </conditionalFormatting>
  <conditionalFormatting sqref="B140:C140">
    <cfRule type="cellIs" dxfId="1237" priority="1223" stopIfTrue="1" operator="equal">
      <formula>"Towel"</formula>
    </cfRule>
    <cfRule type="cellIs" dxfId="1236" priority="1224" stopIfTrue="1" operator="equal">
      <formula>"Napkin Hs"</formula>
    </cfRule>
  </conditionalFormatting>
  <conditionalFormatting sqref="C140">
    <cfRule type="cellIs" dxfId="1235" priority="1221" stopIfTrue="1" operator="equal">
      <formula>"Towel"</formula>
    </cfRule>
    <cfRule type="cellIs" dxfId="1234" priority="1222" stopIfTrue="1" operator="equal">
      <formula>"Napkin Hs"</formula>
    </cfRule>
  </conditionalFormatting>
  <conditionalFormatting sqref="C140">
    <cfRule type="cellIs" dxfId="1233" priority="1219" stopIfTrue="1" operator="equal">
      <formula>"Towel"</formula>
    </cfRule>
    <cfRule type="cellIs" dxfId="1232" priority="1220" stopIfTrue="1" operator="equal">
      <formula>"Napkin Hs"</formula>
    </cfRule>
  </conditionalFormatting>
  <conditionalFormatting sqref="B140:C140">
    <cfRule type="cellIs" dxfId="1231" priority="1217" stopIfTrue="1" operator="equal">
      <formula>"Towel"</formula>
    </cfRule>
    <cfRule type="cellIs" dxfId="1230" priority="1218" stopIfTrue="1" operator="equal">
      <formula>"Napkin Hs"</formula>
    </cfRule>
  </conditionalFormatting>
  <conditionalFormatting sqref="C140">
    <cfRule type="cellIs" dxfId="1229" priority="1215" stopIfTrue="1" operator="equal">
      <formula>"Towel"</formula>
    </cfRule>
    <cfRule type="cellIs" dxfId="1228" priority="1216" stopIfTrue="1" operator="equal">
      <formula>"Napkin Hs"</formula>
    </cfRule>
  </conditionalFormatting>
  <conditionalFormatting sqref="C140">
    <cfRule type="cellIs" dxfId="1227" priority="1213" stopIfTrue="1" operator="equal">
      <formula>"Towel"</formula>
    </cfRule>
    <cfRule type="cellIs" dxfId="1226" priority="1214" stopIfTrue="1" operator="equal">
      <formula>"Napkin Hs"</formula>
    </cfRule>
  </conditionalFormatting>
  <conditionalFormatting sqref="B140:C140">
    <cfRule type="cellIs" dxfId="1225" priority="1211" stopIfTrue="1" operator="equal">
      <formula>"Towel"</formula>
    </cfRule>
    <cfRule type="cellIs" dxfId="1224" priority="1212" stopIfTrue="1" operator="equal">
      <formula>"Napkin Hs"</formula>
    </cfRule>
  </conditionalFormatting>
  <conditionalFormatting sqref="C140">
    <cfRule type="cellIs" dxfId="1223" priority="1209" stopIfTrue="1" operator="equal">
      <formula>"Towel"</formula>
    </cfRule>
    <cfRule type="cellIs" dxfId="1222" priority="1210" stopIfTrue="1" operator="equal">
      <formula>"Napkin Hs"</formula>
    </cfRule>
  </conditionalFormatting>
  <conditionalFormatting sqref="C140">
    <cfRule type="cellIs" dxfId="1221" priority="1207" stopIfTrue="1" operator="equal">
      <formula>"Towel"</formula>
    </cfRule>
    <cfRule type="cellIs" dxfId="1220" priority="1208" stopIfTrue="1" operator="equal">
      <formula>"Napkin Hs"</formula>
    </cfRule>
  </conditionalFormatting>
  <conditionalFormatting sqref="B140:C140">
    <cfRule type="cellIs" dxfId="1219" priority="1205" stopIfTrue="1" operator="equal">
      <formula>"Towel"</formula>
    </cfRule>
    <cfRule type="cellIs" dxfId="1218" priority="1206" stopIfTrue="1" operator="equal">
      <formula>"Napkin Hs"</formula>
    </cfRule>
  </conditionalFormatting>
  <conditionalFormatting sqref="C140">
    <cfRule type="cellIs" dxfId="1217" priority="1203" stopIfTrue="1" operator="equal">
      <formula>"Towel"</formula>
    </cfRule>
    <cfRule type="cellIs" dxfId="1216" priority="1204" stopIfTrue="1" operator="equal">
      <formula>"Napkin Hs"</formula>
    </cfRule>
  </conditionalFormatting>
  <conditionalFormatting sqref="C140">
    <cfRule type="cellIs" dxfId="1215" priority="1201" stopIfTrue="1" operator="equal">
      <formula>"Towel"</formula>
    </cfRule>
    <cfRule type="cellIs" dxfId="1214" priority="1202" stopIfTrue="1" operator="equal">
      <formula>"Napkin Hs"</formula>
    </cfRule>
  </conditionalFormatting>
  <conditionalFormatting sqref="B140:C140">
    <cfRule type="cellIs" dxfId="1213" priority="1199" stopIfTrue="1" operator="equal">
      <formula>"Towel"</formula>
    </cfRule>
    <cfRule type="cellIs" dxfId="1212" priority="1200" stopIfTrue="1" operator="equal">
      <formula>"Napkin Hs"</formula>
    </cfRule>
  </conditionalFormatting>
  <conditionalFormatting sqref="C140">
    <cfRule type="cellIs" dxfId="1211" priority="1197" stopIfTrue="1" operator="equal">
      <formula>"Towel"</formula>
    </cfRule>
    <cfRule type="cellIs" dxfId="1210" priority="1198" stopIfTrue="1" operator="equal">
      <formula>"Napkin Hs"</formula>
    </cfRule>
  </conditionalFormatting>
  <conditionalFormatting sqref="C140">
    <cfRule type="cellIs" dxfId="1209" priority="1195" stopIfTrue="1" operator="equal">
      <formula>"Towel"</formula>
    </cfRule>
    <cfRule type="cellIs" dxfId="1208" priority="1196" stopIfTrue="1" operator="equal">
      <formula>"Napkin Hs"</formula>
    </cfRule>
  </conditionalFormatting>
  <conditionalFormatting sqref="B140:C140">
    <cfRule type="cellIs" dxfId="1207" priority="1194" stopIfTrue="1" operator="equal">
      <formula>"Napkin Hs"</formula>
    </cfRule>
  </conditionalFormatting>
  <conditionalFormatting sqref="B140:C140">
    <cfRule type="cellIs" dxfId="1206" priority="1193" stopIfTrue="1" operator="equal">
      <formula>"Towel"</formula>
    </cfRule>
  </conditionalFormatting>
  <conditionalFormatting sqref="C140">
    <cfRule type="cellIs" dxfId="1205" priority="1192" stopIfTrue="1" operator="equal">
      <formula>"Napkin Hs"</formula>
    </cfRule>
  </conditionalFormatting>
  <conditionalFormatting sqref="C140">
    <cfRule type="cellIs" dxfId="1204" priority="1189" stopIfTrue="1" operator="equal">
      <formula>"Towel"</formula>
    </cfRule>
    <cfRule type="cellIs" dxfId="1203" priority="1190" stopIfTrue="1" operator="equal">
      <formula>"Napkin Hs"</formula>
    </cfRule>
  </conditionalFormatting>
  <conditionalFormatting sqref="C140">
    <cfRule type="cellIs" dxfId="1202" priority="1191" stopIfTrue="1" operator="equal">
      <formula>"Towel"</formula>
    </cfRule>
  </conditionalFormatting>
  <conditionalFormatting sqref="B140:C140">
    <cfRule type="cellIs" dxfId="1201" priority="1188" stopIfTrue="1" operator="equal">
      <formula>"Napkin Hs"</formula>
    </cfRule>
  </conditionalFormatting>
  <conditionalFormatting sqref="B140:C140">
    <cfRule type="cellIs" dxfId="1200" priority="1187" stopIfTrue="1" operator="equal">
      <formula>"Towel"</formula>
    </cfRule>
  </conditionalFormatting>
  <conditionalFormatting sqref="C140">
    <cfRule type="cellIs" dxfId="1199" priority="1186" stopIfTrue="1" operator="equal">
      <formula>"Napkin Hs"</formula>
    </cfRule>
  </conditionalFormatting>
  <conditionalFormatting sqref="C140">
    <cfRule type="cellIs" dxfId="1198" priority="1185" stopIfTrue="1" operator="equal">
      <formula>"Towel"</formula>
    </cfRule>
  </conditionalFormatting>
  <conditionalFormatting sqref="C140">
    <cfRule type="cellIs" dxfId="1197" priority="1183" stopIfTrue="1" operator="equal">
      <formula>"Towel"</formula>
    </cfRule>
    <cfRule type="cellIs" dxfId="1196" priority="1184" stopIfTrue="1" operator="equal">
      <formula>"Napkin Hs"</formula>
    </cfRule>
  </conditionalFormatting>
  <conditionalFormatting sqref="C140">
    <cfRule type="cellIs" dxfId="1195" priority="1177" stopIfTrue="1" operator="equal">
      <formula>"Towel"</formula>
    </cfRule>
    <cfRule type="cellIs" dxfId="1194" priority="1178" stopIfTrue="1" operator="equal">
      <formula>"Napkin Hs"</formula>
    </cfRule>
  </conditionalFormatting>
  <conditionalFormatting sqref="B140:C140">
    <cfRule type="cellIs" dxfId="1193" priority="1176" stopIfTrue="1" operator="equal">
      <formula>"Napkin Hs"</formula>
    </cfRule>
  </conditionalFormatting>
  <conditionalFormatting sqref="B140:C140">
    <cfRule type="cellIs" dxfId="1192" priority="1175" stopIfTrue="1" operator="equal">
      <formula>"Towel"</formula>
    </cfRule>
  </conditionalFormatting>
  <conditionalFormatting sqref="C140">
    <cfRule type="cellIs" dxfId="1191" priority="1174" stopIfTrue="1" operator="equal">
      <formula>"Napkin Hs"</formula>
    </cfRule>
  </conditionalFormatting>
  <conditionalFormatting sqref="C140">
    <cfRule type="cellIs" dxfId="1190" priority="1173" stopIfTrue="1" operator="equal">
      <formula>"Towel"</formula>
    </cfRule>
  </conditionalFormatting>
  <conditionalFormatting sqref="C140">
    <cfRule type="cellIs" dxfId="1189" priority="1171" stopIfTrue="1" operator="equal">
      <formula>"Towel"</formula>
    </cfRule>
    <cfRule type="cellIs" dxfId="1188" priority="1172" stopIfTrue="1" operator="equal">
      <formula>"Napkin Hs"</formula>
    </cfRule>
  </conditionalFormatting>
  <conditionalFormatting sqref="C140">
    <cfRule type="cellIs" dxfId="1187" priority="1165" stopIfTrue="1" operator="equal">
      <formula>"Towel"</formula>
    </cfRule>
    <cfRule type="cellIs" dxfId="1186" priority="1166" stopIfTrue="1" operator="equal">
      <formula>"Napkin Hs"</formula>
    </cfRule>
  </conditionalFormatting>
  <conditionalFormatting sqref="C140">
    <cfRule type="cellIs" dxfId="1185" priority="1159" stopIfTrue="1" operator="equal">
      <formula>"Towel"</formula>
    </cfRule>
    <cfRule type="cellIs" dxfId="1184" priority="1160" stopIfTrue="1" operator="equal">
      <formula>"Napkin Hs"</formula>
    </cfRule>
  </conditionalFormatting>
  <conditionalFormatting sqref="C140">
    <cfRule type="cellIs" dxfId="1183" priority="1153" stopIfTrue="1" operator="equal">
      <formula>"Towel"</formula>
    </cfRule>
    <cfRule type="cellIs" dxfId="1182" priority="1154" stopIfTrue="1" operator="equal">
      <formula>"Napkin Hs"</formula>
    </cfRule>
  </conditionalFormatting>
  <conditionalFormatting sqref="C140">
    <cfRule type="cellIs" dxfId="1181" priority="1147" stopIfTrue="1" operator="equal">
      <formula>"Towel"</formula>
    </cfRule>
    <cfRule type="cellIs" dxfId="1180" priority="1148" stopIfTrue="1" operator="equal">
      <formula>"Napkin Hs"</formula>
    </cfRule>
  </conditionalFormatting>
  <conditionalFormatting sqref="C140">
    <cfRule type="cellIs" dxfId="1179" priority="1141" stopIfTrue="1" operator="equal">
      <formula>"Towel"</formula>
    </cfRule>
    <cfRule type="cellIs" dxfId="1178" priority="1142" stopIfTrue="1" operator="equal">
      <formula>"Napkin Hs"</formula>
    </cfRule>
  </conditionalFormatting>
  <conditionalFormatting sqref="B140:C140">
    <cfRule type="cellIs" dxfId="1177" priority="1140" stopIfTrue="1" operator="equal">
      <formula>"Napkin Hs"</formula>
    </cfRule>
  </conditionalFormatting>
  <conditionalFormatting sqref="B140:C140">
    <cfRule type="cellIs" dxfId="1176" priority="1139" stopIfTrue="1" operator="equal">
      <formula>"Towel"</formula>
    </cfRule>
  </conditionalFormatting>
  <conditionalFormatting sqref="C140">
    <cfRule type="cellIs" dxfId="1175" priority="1138" stopIfTrue="1" operator="equal">
      <formula>"Napkin Hs"</formula>
    </cfRule>
  </conditionalFormatting>
  <conditionalFormatting sqref="C140">
    <cfRule type="cellIs" dxfId="1174" priority="1135" stopIfTrue="1" operator="equal">
      <formula>"Towel"</formula>
    </cfRule>
    <cfRule type="cellIs" dxfId="1173" priority="1136" stopIfTrue="1" operator="equal">
      <formula>"Napkin Hs"</formula>
    </cfRule>
  </conditionalFormatting>
  <conditionalFormatting sqref="C140">
    <cfRule type="cellIs" dxfId="1172" priority="1137" stopIfTrue="1" operator="equal">
      <formula>"Towel"</formula>
    </cfRule>
  </conditionalFormatting>
  <conditionalFormatting sqref="B140:C140">
    <cfRule type="cellIs" dxfId="1171" priority="1134" stopIfTrue="1" operator="equal">
      <formula>"Napkin Hs"</formula>
    </cfRule>
  </conditionalFormatting>
  <conditionalFormatting sqref="B140:C140">
    <cfRule type="cellIs" dxfId="1170" priority="1133" stopIfTrue="1" operator="equal">
      <formula>"Towel"</formula>
    </cfRule>
  </conditionalFormatting>
  <conditionalFormatting sqref="C140">
    <cfRule type="cellIs" dxfId="1169" priority="1132" stopIfTrue="1" operator="equal">
      <formula>"Napkin Hs"</formula>
    </cfRule>
  </conditionalFormatting>
  <conditionalFormatting sqref="C140">
    <cfRule type="cellIs" dxfId="1168" priority="1129" stopIfTrue="1" operator="equal">
      <formula>"Towel"</formula>
    </cfRule>
    <cfRule type="cellIs" dxfId="1167" priority="1130" stopIfTrue="1" operator="equal">
      <formula>"Napkin Hs"</formula>
    </cfRule>
  </conditionalFormatting>
  <conditionalFormatting sqref="C140">
    <cfRule type="cellIs" dxfId="1166" priority="1131" stopIfTrue="1" operator="equal">
      <formula>"Towel"</formula>
    </cfRule>
  </conditionalFormatting>
  <conditionalFormatting sqref="B140:C140">
    <cfRule type="cellIs" dxfId="1165" priority="1181" stopIfTrue="1" operator="equal">
      <formula>"Towel"</formula>
    </cfRule>
    <cfRule type="cellIs" dxfId="1164" priority="1182" stopIfTrue="1" operator="equal">
      <formula>"Napkin Hs"</formula>
    </cfRule>
  </conditionalFormatting>
  <conditionalFormatting sqref="C140">
    <cfRule type="cellIs" dxfId="1163" priority="1179" stopIfTrue="1" operator="equal">
      <formula>"Towel"</formula>
    </cfRule>
    <cfRule type="cellIs" dxfId="1162" priority="1180" stopIfTrue="1" operator="equal">
      <formula>"Napkin Hs"</formula>
    </cfRule>
  </conditionalFormatting>
  <conditionalFormatting sqref="B140:C140">
    <cfRule type="cellIs" dxfId="1161" priority="1169" stopIfTrue="1" operator="equal">
      <formula>"Towel"</formula>
    </cfRule>
    <cfRule type="cellIs" dxfId="1160" priority="1170" stopIfTrue="1" operator="equal">
      <formula>"Napkin Hs"</formula>
    </cfRule>
  </conditionalFormatting>
  <conditionalFormatting sqref="C140">
    <cfRule type="cellIs" dxfId="1159" priority="1167" stopIfTrue="1" operator="equal">
      <formula>"Towel"</formula>
    </cfRule>
    <cfRule type="cellIs" dxfId="1158" priority="1168" stopIfTrue="1" operator="equal">
      <formula>"Napkin Hs"</formula>
    </cfRule>
  </conditionalFormatting>
  <conditionalFormatting sqref="B140:C140">
    <cfRule type="cellIs" dxfId="1157" priority="1163" stopIfTrue="1" operator="equal">
      <formula>"Towel"</formula>
    </cfRule>
    <cfRule type="cellIs" dxfId="1156" priority="1164" stopIfTrue="1" operator="equal">
      <formula>"Napkin Hs"</formula>
    </cfRule>
  </conditionalFormatting>
  <conditionalFormatting sqref="C140">
    <cfRule type="cellIs" dxfId="1155" priority="1161" stopIfTrue="1" operator="equal">
      <formula>"Towel"</formula>
    </cfRule>
    <cfRule type="cellIs" dxfId="1154" priority="1162" stopIfTrue="1" operator="equal">
      <formula>"Napkin Hs"</formula>
    </cfRule>
  </conditionalFormatting>
  <conditionalFormatting sqref="B140:C140">
    <cfRule type="cellIs" dxfId="1153" priority="1157" stopIfTrue="1" operator="equal">
      <formula>"Towel"</formula>
    </cfRule>
    <cfRule type="cellIs" dxfId="1152" priority="1158" stopIfTrue="1" operator="equal">
      <formula>"Napkin Hs"</formula>
    </cfRule>
  </conditionalFormatting>
  <conditionalFormatting sqref="C140">
    <cfRule type="cellIs" dxfId="1151" priority="1155" stopIfTrue="1" operator="equal">
      <formula>"Towel"</formula>
    </cfRule>
    <cfRule type="cellIs" dxfId="1150" priority="1156" stopIfTrue="1" operator="equal">
      <formula>"Napkin Hs"</formula>
    </cfRule>
  </conditionalFormatting>
  <conditionalFormatting sqref="B140:C140">
    <cfRule type="cellIs" dxfId="1149" priority="1151" stopIfTrue="1" operator="equal">
      <formula>"Towel"</formula>
    </cfRule>
    <cfRule type="cellIs" dxfId="1148" priority="1152" stopIfTrue="1" operator="equal">
      <formula>"Napkin Hs"</formula>
    </cfRule>
  </conditionalFormatting>
  <conditionalFormatting sqref="C140">
    <cfRule type="cellIs" dxfId="1147" priority="1149" stopIfTrue="1" operator="equal">
      <formula>"Towel"</formula>
    </cfRule>
    <cfRule type="cellIs" dxfId="1146" priority="1150" stopIfTrue="1" operator="equal">
      <formula>"Napkin Hs"</formula>
    </cfRule>
  </conditionalFormatting>
  <conditionalFormatting sqref="B140:C140">
    <cfRule type="cellIs" dxfId="1145" priority="1145" stopIfTrue="1" operator="equal">
      <formula>"Towel"</formula>
    </cfRule>
    <cfRule type="cellIs" dxfId="1144" priority="1146" stopIfTrue="1" operator="equal">
      <formula>"Napkin Hs"</formula>
    </cfRule>
  </conditionalFormatting>
  <conditionalFormatting sqref="C140">
    <cfRule type="cellIs" dxfId="1143" priority="1143" stopIfTrue="1" operator="equal">
      <formula>"Towel"</formula>
    </cfRule>
    <cfRule type="cellIs" dxfId="1142" priority="1144" stopIfTrue="1" operator="equal">
      <formula>"Napkin Hs"</formula>
    </cfRule>
  </conditionalFormatting>
  <conditionalFormatting sqref="B140:C140">
    <cfRule type="cellIs" dxfId="1141" priority="1128" stopIfTrue="1" operator="equal">
      <formula>"Napkin Hs"</formula>
    </cfRule>
  </conditionalFormatting>
  <conditionalFormatting sqref="B140:C140">
    <cfRule type="cellIs" dxfId="1140" priority="1127" stopIfTrue="1" operator="equal">
      <formula>"Towel"</formula>
    </cfRule>
  </conditionalFormatting>
  <conditionalFormatting sqref="C140">
    <cfRule type="cellIs" dxfId="1139" priority="1126" stopIfTrue="1" operator="equal">
      <formula>"Napkin Hs"</formula>
    </cfRule>
  </conditionalFormatting>
  <conditionalFormatting sqref="C140">
    <cfRule type="cellIs" dxfId="1138" priority="1123" stopIfTrue="1" operator="equal">
      <formula>"Towel"</formula>
    </cfRule>
    <cfRule type="cellIs" dxfId="1137" priority="1124" stopIfTrue="1" operator="equal">
      <formula>"Napkin Hs"</formula>
    </cfRule>
  </conditionalFormatting>
  <conditionalFormatting sqref="C140">
    <cfRule type="cellIs" dxfId="1136" priority="1125" stopIfTrue="1" operator="equal">
      <formula>"Towel"</formula>
    </cfRule>
  </conditionalFormatting>
  <conditionalFormatting sqref="C144">
    <cfRule type="cellIs" dxfId="1135" priority="1119" stopIfTrue="1" operator="equal">
      <formula>"Towel"</formula>
    </cfRule>
    <cfRule type="cellIs" dxfId="1134" priority="1120" stopIfTrue="1" operator="equal">
      <formula>"Napkin Hs"</formula>
    </cfRule>
  </conditionalFormatting>
  <conditionalFormatting sqref="C144">
    <cfRule type="cellIs" dxfId="1133" priority="1117" stopIfTrue="1" operator="equal">
      <formula>"Towel"</formula>
    </cfRule>
    <cfRule type="cellIs" dxfId="1132" priority="1118" stopIfTrue="1" operator="equal">
      <formula>"Napkin Hs"</formula>
    </cfRule>
  </conditionalFormatting>
  <conditionalFormatting sqref="B144:C144">
    <cfRule type="cellIs" dxfId="1131" priority="1068" stopIfTrue="1" operator="equal">
      <formula>"Napkin Hs"</formula>
    </cfRule>
  </conditionalFormatting>
  <conditionalFormatting sqref="B144:C144">
    <cfRule type="cellIs" dxfId="1130" priority="1067" stopIfTrue="1" operator="equal">
      <formula>"Towel"</formula>
    </cfRule>
  </conditionalFormatting>
  <conditionalFormatting sqref="B144:C144">
    <cfRule type="cellIs" dxfId="1129" priority="1121" stopIfTrue="1" operator="equal">
      <formula>"Towel"</formula>
    </cfRule>
    <cfRule type="cellIs" dxfId="1128" priority="1122" stopIfTrue="1" operator="equal">
      <formula>"Napkin Hs"</formula>
    </cfRule>
  </conditionalFormatting>
  <conditionalFormatting sqref="C144">
    <cfRule type="cellIs" dxfId="1127" priority="1066" stopIfTrue="1" operator="equal">
      <formula>"Napkin Hs"</formula>
    </cfRule>
  </conditionalFormatting>
  <conditionalFormatting sqref="C144">
    <cfRule type="cellIs" dxfId="1126" priority="1065" stopIfTrue="1" operator="equal">
      <formula>"Towel"</formula>
    </cfRule>
  </conditionalFormatting>
  <conditionalFormatting sqref="C144">
    <cfRule type="cellIs" dxfId="1125" priority="1063" stopIfTrue="1" operator="equal">
      <formula>"Towel"</formula>
    </cfRule>
    <cfRule type="cellIs" dxfId="1124" priority="1064" stopIfTrue="1" operator="equal">
      <formula>"Napkin Hs"</formula>
    </cfRule>
  </conditionalFormatting>
  <conditionalFormatting sqref="B144:C144">
    <cfRule type="cellIs" dxfId="1123" priority="1116" stopIfTrue="1" operator="equal">
      <formula>"Napkin Hs"</formula>
    </cfRule>
  </conditionalFormatting>
  <conditionalFormatting sqref="B144:C144">
    <cfRule type="cellIs" dxfId="1122" priority="1115" stopIfTrue="1" operator="equal">
      <formula>"Towel"</formula>
    </cfRule>
  </conditionalFormatting>
  <conditionalFormatting sqref="C144">
    <cfRule type="cellIs" dxfId="1121" priority="1114" stopIfTrue="1" operator="equal">
      <formula>"Napkin Hs"</formula>
    </cfRule>
  </conditionalFormatting>
  <conditionalFormatting sqref="C144">
    <cfRule type="cellIs" dxfId="1120" priority="1113" stopIfTrue="1" operator="equal">
      <formula>"Towel"</formula>
    </cfRule>
  </conditionalFormatting>
  <conditionalFormatting sqref="C144">
    <cfRule type="cellIs" dxfId="1119" priority="1111" stopIfTrue="1" operator="equal">
      <formula>"Towel"</formula>
    </cfRule>
    <cfRule type="cellIs" dxfId="1118" priority="1112" stopIfTrue="1" operator="equal">
      <formula>"Napkin Hs"</formula>
    </cfRule>
  </conditionalFormatting>
  <conditionalFormatting sqref="B144:C144">
    <cfRule type="cellIs" dxfId="1117" priority="1109" stopIfTrue="1" operator="equal">
      <formula>"Towel"</formula>
    </cfRule>
    <cfRule type="cellIs" dxfId="1116" priority="1110" stopIfTrue="1" operator="equal">
      <formula>"Napkin Hs"</formula>
    </cfRule>
  </conditionalFormatting>
  <conditionalFormatting sqref="C144">
    <cfRule type="cellIs" dxfId="1115" priority="1105" stopIfTrue="1" operator="equal">
      <formula>"Towel"</formula>
    </cfRule>
    <cfRule type="cellIs" dxfId="1114" priority="1106" stopIfTrue="1" operator="equal">
      <formula>"Napkin Hs"</formula>
    </cfRule>
  </conditionalFormatting>
  <conditionalFormatting sqref="C144">
    <cfRule type="cellIs" dxfId="1113" priority="1107" stopIfTrue="1" operator="equal">
      <formula>"Towel"</formula>
    </cfRule>
    <cfRule type="cellIs" dxfId="1112" priority="1108" stopIfTrue="1" operator="equal">
      <formula>"Napkin Hs"</formula>
    </cfRule>
  </conditionalFormatting>
  <conditionalFormatting sqref="B144:C144">
    <cfRule type="cellIs" dxfId="1111" priority="1104" stopIfTrue="1" operator="equal">
      <formula>"Napkin Hs"</formula>
    </cfRule>
  </conditionalFormatting>
  <conditionalFormatting sqref="B144:C144">
    <cfRule type="cellIs" dxfId="1110" priority="1103" stopIfTrue="1" operator="equal">
      <formula>"Towel"</formula>
    </cfRule>
  </conditionalFormatting>
  <conditionalFormatting sqref="C144">
    <cfRule type="cellIs" dxfId="1109" priority="1102" stopIfTrue="1" operator="equal">
      <formula>"Napkin Hs"</formula>
    </cfRule>
  </conditionalFormatting>
  <conditionalFormatting sqref="C144">
    <cfRule type="cellIs" dxfId="1108" priority="1101" stopIfTrue="1" operator="equal">
      <formula>"Towel"</formula>
    </cfRule>
  </conditionalFormatting>
  <conditionalFormatting sqref="C144">
    <cfRule type="cellIs" dxfId="1107" priority="1099" stopIfTrue="1" operator="equal">
      <formula>"Towel"</formula>
    </cfRule>
    <cfRule type="cellIs" dxfId="1106" priority="1100" stopIfTrue="1" operator="equal">
      <formula>"Napkin Hs"</formula>
    </cfRule>
  </conditionalFormatting>
  <conditionalFormatting sqref="B144:C144">
    <cfRule type="cellIs" dxfId="1105" priority="1097" stopIfTrue="1" operator="equal">
      <formula>"Towel"</formula>
    </cfRule>
    <cfRule type="cellIs" dxfId="1104" priority="1098" stopIfTrue="1" operator="equal">
      <formula>"Napkin Hs"</formula>
    </cfRule>
  </conditionalFormatting>
  <conditionalFormatting sqref="C144">
    <cfRule type="cellIs" dxfId="1103" priority="1095" stopIfTrue="1" operator="equal">
      <formula>"Towel"</formula>
    </cfRule>
    <cfRule type="cellIs" dxfId="1102" priority="1096" stopIfTrue="1" operator="equal">
      <formula>"Napkin Hs"</formula>
    </cfRule>
  </conditionalFormatting>
  <conditionalFormatting sqref="C144">
    <cfRule type="cellIs" dxfId="1101" priority="1093" stopIfTrue="1" operator="equal">
      <formula>"Towel"</formula>
    </cfRule>
    <cfRule type="cellIs" dxfId="1100" priority="1094" stopIfTrue="1" operator="equal">
      <formula>"Napkin Hs"</formula>
    </cfRule>
  </conditionalFormatting>
  <conditionalFormatting sqref="B144:C144">
    <cfRule type="cellIs" dxfId="1099" priority="1091" stopIfTrue="1" operator="equal">
      <formula>"Towel"</formula>
    </cfRule>
    <cfRule type="cellIs" dxfId="1098" priority="1092" stopIfTrue="1" operator="equal">
      <formula>"Napkin Hs"</formula>
    </cfRule>
  </conditionalFormatting>
  <conditionalFormatting sqref="C144">
    <cfRule type="cellIs" dxfId="1097" priority="1089" stopIfTrue="1" operator="equal">
      <formula>"Towel"</formula>
    </cfRule>
    <cfRule type="cellIs" dxfId="1096" priority="1090" stopIfTrue="1" operator="equal">
      <formula>"Napkin Hs"</formula>
    </cfRule>
  </conditionalFormatting>
  <conditionalFormatting sqref="C144">
    <cfRule type="cellIs" dxfId="1095" priority="1087" stopIfTrue="1" operator="equal">
      <formula>"Towel"</formula>
    </cfRule>
    <cfRule type="cellIs" dxfId="1094" priority="1088" stopIfTrue="1" operator="equal">
      <formula>"Napkin Hs"</formula>
    </cfRule>
  </conditionalFormatting>
  <conditionalFormatting sqref="B144:C144">
    <cfRule type="cellIs" dxfId="1093" priority="1085" stopIfTrue="1" operator="equal">
      <formula>"Towel"</formula>
    </cfRule>
    <cfRule type="cellIs" dxfId="1092" priority="1086" stopIfTrue="1" operator="equal">
      <formula>"Napkin Hs"</formula>
    </cfRule>
  </conditionalFormatting>
  <conditionalFormatting sqref="C144">
    <cfRule type="cellIs" dxfId="1091" priority="1083" stopIfTrue="1" operator="equal">
      <formula>"Towel"</formula>
    </cfRule>
    <cfRule type="cellIs" dxfId="1090" priority="1084" stopIfTrue="1" operator="equal">
      <formula>"Napkin Hs"</formula>
    </cfRule>
  </conditionalFormatting>
  <conditionalFormatting sqref="C144">
    <cfRule type="cellIs" dxfId="1089" priority="1081" stopIfTrue="1" operator="equal">
      <formula>"Towel"</formula>
    </cfRule>
    <cfRule type="cellIs" dxfId="1088" priority="1082" stopIfTrue="1" operator="equal">
      <formula>"Napkin Hs"</formula>
    </cfRule>
  </conditionalFormatting>
  <conditionalFormatting sqref="B144:C144">
    <cfRule type="cellIs" dxfId="1087" priority="1079" stopIfTrue="1" operator="equal">
      <formula>"Towel"</formula>
    </cfRule>
    <cfRule type="cellIs" dxfId="1086" priority="1080" stopIfTrue="1" operator="equal">
      <formula>"Napkin Hs"</formula>
    </cfRule>
  </conditionalFormatting>
  <conditionalFormatting sqref="C144">
    <cfRule type="cellIs" dxfId="1085" priority="1077" stopIfTrue="1" operator="equal">
      <formula>"Towel"</formula>
    </cfRule>
    <cfRule type="cellIs" dxfId="1084" priority="1078" stopIfTrue="1" operator="equal">
      <formula>"Napkin Hs"</formula>
    </cfRule>
  </conditionalFormatting>
  <conditionalFormatting sqref="C144">
    <cfRule type="cellIs" dxfId="1083" priority="1075" stopIfTrue="1" operator="equal">
      <formula>"Towel"</formula>
    </cfRule>
    <cfRule type="cellIs" dxfId="1082" priority="1076" stopIfTrue="1" operator="equal">
      <formula>"Napkin Hs"</formula>
    </cfRule>
  </conditionalFormatting>
  <conditionalFormatting sqref="B144:C144">
    <cfRule type="cellIs" dxfId="1081" priority="1073" stopIfTrue="1" operator="equal">
      <formula>"Towel"</formula>
    </cfRule>
    <cfRule type="cellIs" dxfId="1080" priority="1074" stopIfTrue="1" operator="equal">
      <formula>"Napkin Hs"</formula>
    </cfRule>
  </conditionalFormatting>
  <conditionalFormatting sqref="C144">
    <cfRule type="cellIs" dxfId="1079" priority="1071" stopIfTrue="1" operator="equal">
      <formula>"Towel"</formula>
    </cfRule>
    <cfRule type="cellIs" dxfId="1078" priority="1072" stopIfTrue="1" operator="equal">
      <formula>"Napkin Hs"</formula>
    </cfRule>
  </conditionalFormatting>
  <conditionalFormatting sqref="C144">
    <cfRule type="cellIs" dxfId="1077" priority="1069" stopIfTrue="1" operator="equal">
      <formula>"Towel"</formula>
    </cfRule>
    <cfRule type="cellIs" dxfId="1076" priority="1070" stopIfTrue="1" operator="equal">
      <formula>"Napkin Hs"</formula>
    </cfRule>
  </conditionalFormatting>
  <conditionalFormatting sqref="B144:C144">
    <cfRule type="cellIs" dxfId="1075" priority="1059" stopIfTrue="1" operator="equal">
      <formula>"Towel"</formula>
    </cfRule>
    <cfRule type="cellIs" dxfId="1074" priority="1060" stopIfTrue="1" operator="equal">
      <formula>"Napkin Hs"</formula>
    </cfRule>
  </conditionalFormatting>
  <conditionalFormatting sqref="C144">
    <cfRule type="cellIs" dxfId="1073" priority="1061" stopIfTrue="1" operator="equal">
      <formula>"Towel"</formula>
    </cfRule>
    <cfRule type="cellIs" dxfId="1072" priority="1062" stopIfTrue="1" operator="equal">
      <formula>"Napkin Hs"</formula>
    </cfRule>
  </conditionalFormatting>
  <conditionalFormatting sqref="C144">
    <cfRule type="cellIs" dxfId="1071" priority="1057" stopIfTrue="1" operator="equal">
      <formula>"Towel"</formula>
    </cfRule>
    <cfRule type="cellIs" dxfId="1070" priority="1058" stopIfTrue="1" operator="equal">
      <formula>"Napkin Hs"</formula>
    </cfRule>
  </conditionalFormatting>
  <conditionalFormatting sqref="B144:C144">
    <cfRule type="cellIs" dxfId="1069" priority="1056" stopIfTrue="1" operator="equal">
      <formula>"Napkin Hs"</formula>
    </cfRule>
  </conditionalFormatting>
  <conditionalFormatting sqref="B144:C144">
    <cfRule type="cellIs" dxfId="1068" priority="1055" stopIfTrue="1" operator="equal">
      <formula>"Towel"</formula>
    </cfRule>
  </conditionalFormatting>
  <conditionalFormatting sqref="C144">
    <cfRule type="cellIs" dxfId="1067" priority="1054" stopIfTrue="1" operator="equal">
      <formula>"Napkin Hs"</formula>
    </cfRule>
  </conditionalFormatting>
  <conditionalFormatting sqref="C144">
    <cfRule type="cellIs" dxfId="1066" priority="1053" stopIfTrue="1" operator="equal">
      <formula>"Towel"</formula>
    </cfRule>
  </conditionalFormatting>
  <conditionalFormatting sqref="C144">
    <cfRule type="cellIs" dxfId="1065" priority="1051" stopIfTrue="1" operator="equal">
      <formula>"Towel"</formula>
    </cfRule>
    <cfRule type="cellIs" dxfId="1064" priority="1052" stopIfTrue="1" operator="equal">
      <formula>"Napkin Hs"</formula>
    </cfRule>
  </conditionalFormatting>
  <conditionalFormatting sqref="B144:C144">
    <cfRule type="cellIs" dxfId="1063" priority="1049" stopIfTrue="1" operator="equal">
      <formula>"Towel"</formula>
    </cfRule>
    <cfRule type="cellIs" dxfId="1062" priority="1050" stopIfTrue="1" operator="equal">
      <formula>"Napkin Hs"</formula>
    </cfRule>
  </conditionalFormatting>
  <conditionalFormatting sqref="C144">
    <cfRule type="cellIs" dxfId="1061" priority="1045" stopIfTrue="1" operator="equal">
      <formula>"Towel"</formula>
    </cfRule>
    <cfRule type="cellIs" dxfId="1060" priority="1046" stopIfTrue="1" operator="equal">
      <formula>"Napkin Hs"</formula>
    </cfRule>
  </conditionalFormatting>
  <conditionalFormatting sqref="C144">
    <cfRule type="cellIs" dxfId="1059" priority="1047" stopIfTrue="1" operator="equal">
      <formula>"Towel"</formula>
    </cfRule>
    <cfRule type="cellIs" dxfId="1058" priority="1048" stopIfTrue="1" operator="equal">
      <formula>"Napkin Hs"</formula>
    </cfRule>
  </conditionalFormatting>
  <conditionalFormatting sqref="B144:C144">
    <cfRule type="cellIs" dxfId="1057" priority="1044" stopIfTrue="1" operator="equal">
      <formula>"Napkin Hs"</formula>
    </cfRule>
  </conditionalFormatting>
  <conditionalFormatting sqref="B144:C144">
    <cfRule type="cellIs" dxfId="1056" priority="1043" stopIfTrue="1" operator="equal">
      <formula>"Towel"</formula>
    </cfRule>
  </conditionalFormatting>
  <conditionalFormatting sqref="C144">
    <cfRule type="cellIs" dxfId="1055" priority="1042" stopIfTrue="1" operator="equal">
      <formula>"Napkin Hs"</formula>
    </cfRule>
  </conditionalFormatting>
  <conditionalFormatting sqref="C144">
    <cfRule type="cellIs" dxfId="1054" priority="1041" stopIfTrue="1" operator="equal">
      <formula>"Towel"</formula>
    </cfRule>
  </conditionalFormatting>
  <conditionalFormatting sqref="C144">
    <cfRule type="cellIs" dxfId="1053" priority="1039" stopIfTrue="1" operator="equal">
      <formula>"Towel"</formula>
    </cfRule>
    <cfRule type="cellIs" dxfId="1052" priority="1040" stopIfTrue="1" operator="equal">
      <formula>"Napkin Hs"</formula>
    </cfRule>
  </conditionalFormatting>
  <conditionalFormatting sqref="B144:C144">
    <cfRule type="cellIs" dxfId="1051" priority="1037" stopIfTrue="1" operator="equal">
      <formula>"Towel"</formula>
    </cfRule>
    <cfRule type="cellIs" dxfId="1050" priority="1038" stopIfTrue="1" operator="equal">
      <formula>"Napkin Hs"</formula>
    </cfRule>
  </conditionalFormatting>
  <conditionalFormatting sqref="C144">
    <cfRule type="cellIs" dxfId="1049" priority="1035" stopIfTrue="1" operator="equal">
      <formula>"Towel"</formula>
    </cfRule>
    <cfRule type="cellIs" dxfId="1048" priority="1036" stopIfTrue="1" operator="equal">
      <formula>"Napkin Hs"</formula>
    </cfRule>
  </conditionalFormatting>
  <conditionalFormatting sqref="C144">
    <cfRule type="cellIs" dxfId="1047" priority="1033" stopIfTrue="1" operator="equal">
      <formula>"Towel"</formula>
    </cfRule>
    <cfRule type="cellIs" dxfId="1046" priority="1034" stopIfTrue="1" operator="equal">
      <formula>"Napkin Hs"</formula>
    </cfRule>
  </conditionalFormatting>
  <conditionalFormatting sqref="B144:C144">
    <cfRule type="cellIs" dxfId="1045" priority="1031" stopIfTrue="1" operator="equal">
      <formula>"Towel"</formula>
    </cfRule>
    <cfRule type="cellIs" dxfId="1044" priority="1032" stopIfTrue="1" operator="equal">
      <formula>"Napkin Hs"</formula>
    </cfRule>
  </conditionalFormatting>
  <conditionalFormatting sqref="C144">
    <cfRule type="cellIs" dxfId="1043" priority="1029" stopIfTrue="1" operator="equal">
      <formula>"Towel"</formula>
    </cfRule>
    <cfRule type="cellIs" dxfId="1042" priority="1030" stopIfTrue="1" operator="equal">
      <formula>"Napkin Hs"</formula>
    </cfRule>
  </conditionalFormatting>
  <conditionalFormatting sqref="C144">
    <cfRule type="cellIs" dxfId="1041" priority="1027" stopIfTrue="1" operator="equal">
      <formula>"Towel"</formula>
    </cfRule>
    <cfRule type="cellIs" dxfId="1040" priority="1028" stopIfTrue="1" operator="equal">
      <formula>"Napkin Hs"</formula>
    </cfRule>
  </conditionalFormatting>
  <conditionalFormatting sqref="B144:C144">
    <cfRule type="cellIs" dxfId="1039" priority="1025" stopIfTrue="1" operator="equal">
      <formula>"Towel"</formula>
    </cfRule>
    <cfRule type="cellIs" dxfId="1038" priority="1026" stopIfTrue="1" operator="equal">
      <formula>"Napkin Hs"</formula>
    </cfRule>
  </conditionalFormatting>
  <conditionalFormatting sqref="C144">
    <cfRule type="cellIs" dxfId="1037" priority="1023" stopIfTrue="1" operator="equal">
      <formula>"Towel"</formula>
    </cfRule>
    <cfRule type="cellIs" dxfId="1036" priority="1024" stopIfTrue="1" operator="equal">
      <formula>"Napkin Hs"</formula>
    </cfRule>
  </conditionalFormatting>
  <conditionalFormatting sqref="C144">
    <cfRule type="cellIs" dxfId="1035" priority="1021" stopIfTrue="1" operator="equal">
      <formula>"Towel"</formula>
    </cfRule>
    <cfRule type="cellIs" dxfId="1034" priority="1022" stopIfTrue="1" operator="equal">
      <formula>"Napkin Hs"</formula>
    </cfRule>
  </conditionalFormatting>
  <conditionalFormatting sqref="B144:C144">
    <cfRule type="cellIs" dxfId="1033" priority="1019" stopIfTrue="1" operator="equal">
      <formula>"Towel"</formula>
    </cfRule>
    <cfRule type="cellIs" dxfId="1032" priority="1020" stopIfTrue="1" operator="equal">
      <formula>"Napkin Hs"</formula>
    </cfRule>
  </conditionalFormatting>
  <conditionalFormatting sqref="C144">
    <cfRule type="cellIs" dxfId="1031" priority="1017" stopIfTrue="1" operator="equal">
      <formula>"Towel"</formula>
    </cfRule>
    <cfRule type="cellIs" dxfId="1030" priority="1018" stopIfTrue="1" operator="equal">
      <formula>"Napkin Hs"</formula>
    </cfRule>
  </conditionalFormatting>
  <conditionalFormatting sqref="C144">
    <cfRule type="cellIs" dxfId="1029" priority="1015" stopIfTrue="1" operator="equal">
      <formula>"Towel"</formula>
    </cfRule>
    <cfRule type="cellIs" dxfId="1028" priority="1016" stopIfTrue="1" operator="equal">
      <formula>"Napkin Hs"</formula>
    </cfRule>
  </conditionalFormatting>
  <conditionalFormatting sqref="B144:C144">
    <cfRule type="cellIs" dxfId="1027" priority="1013" stopIfTrue="1" operator="equal">
      <formula>"Towel"</formula>
    </cfRule>
    <cfRule type="cellIs" dxfId="1026" priority="1014" stopIfTrue="1" operator="equal">
      <formula>"Napkin Hs"</formula>
    </cfRule>
  </conditionalFormatting>
  <conditionalFormatting sqref="C144">
    <cfRule type="cellIs" dxfId="1025" priority="1011" stopIfTrue="1" operator="equal">
      <formula>"Towel"</formula>
    </cfRule>
    <cfRule type="cellIs" dxfId="1024" priority="1012" stopIfTrue="1" operator="equal">
      <formula>"Napkin Hs"</formula>
    </cfRule>
  </conditionalFormatting>
  <conditionalFormatting sqref="C144">
    <cfRule type="cellIs" dxfId="1023" priority="1009" stopIfTrue="1" operator="equal">
      <formula>"Towel"</formula>
    </cfRule>
    <cfRule type="cellIs" dxfId="1022" priority="1010" stopIfTrue="1" operator="equal">
      <formula>"Napkin Hs"</formula>
    </cfRule>
  </conditionalFormatting>
  <conditionalFormatting sqref="B144:C144">
    <cfRule type="cellIs" dxfId="1021" priority="1008" stopIfTrue="1" operator="equal">
      <formula>"Napkin Hs"</formula>
    </cfRule>
  </conditionalFormatting>
  <conditionalFormatting sqref="B144:C144">
    <cfRule type="cellIs" dxfId="1020" priority="1007" stopIfTrue="1" operator="equal">
      <formula>"Towel"</formula>
    </cfRule>
  </conditionalFormatting>
  <conditionalFormatting sqref="C144">
    <cfRule type="cellIs" dxfId="1019" priority="1006" stopIfTrue="1" operator="equal">
      <formula>"Napkin Hs"</formula>
    </cfRule>
  </conditionalFormatting>
  <conditionalFormatting sqref="C144">
    <cfRule type="cellIs" dxfId="1018" priority="1003" stopIfTrue="1" operator="equal">
      <formula>"Towel"</formula>
    </cfRule>
    <cfRule type="cellIs" dxfId="1017" priority="1004" stopIfTrue="1" operator="equal">
      <formula>"Napkin Hs"</formula>
    </cfRule>
  </conditionalFormatting>
  <conditionalFormatting sqref="C144">
    <cfRule type="cellIs" dxfId="1016" priority="1005" stopIfTrue="1" operator="equal">
      <formula>"Towel"</formula>
    </cfRule>
  </conditionalFormatting>
  <conditionalFormatting sqref="B144:C144">
    <cfRule type="cellIs" dxfId="1015" priority="1002" stopIfTrue="1" operator="equal">
      <formula>"Napkin Hs"</formula>
    </cfRule>
  </conditionalFormatting>
  <conditionalFormatting sqref="B144:C144">
    <cfRule type="cellIs" dxfId="1014" priority="1001" stopIfTrue="1" operator="equal">
      <formula>"Towel"</formula>
    </cfRule>
  </conditionalFormatting>
  <conditionalFormatting sqref="C144">
    <cfRule type="cellIs" dxfId="1013" priority="1000" stopIfTrue="1" operator="equal">
      <formula>"Napkin Hs"</formula>
    </cfRule>
  </conditionalFormatting>
  <conditionalFormatting sqref="C144">
    <cfRule type="cellIs" dxfId="1012" priority="999" stopIfTrue="1" operator="equal">
      <formula>"Towel"</formula>
    </cfRule>
  </conditionalFormatting>
  <conditionalFormatting sqref="C144">
    <cfRule type="cellIs" dxfId="1011" priority="997" stopIfTrue="1" operator="equal">
      <formula>"Towel"</formula>
    </cfRule>
    <cfRule type="cellIs" dxfId="1010" priority="998" stopIfTrue="1" operator="equal">
      <formula>"Napkin Hs"</formula>
    </cfRule>
  </conditionalFormatting>
  <conditionalFormatting sqref="C144">
    <cfRule type="cellIs" dxfId="1009" priority="991" stopIfTrue="1" operator="equal">
      <formula>"Towel"</formula>
    </cfRule>
    <cfRule type="cellIs" dxfId="1008" priority="992" stopIfTrue="1" operator="equal">
      <formula>"Napkin Hs"</formula>
    </cfRule>
  </conditionalFormatting>
  <conditionalFormatting sqref="B144:C144">
    <cfRule type="cellIs" dxfId="1007" priority="990" stopIfTrue="1" operator="equal">
      <formula>"Napkin Hs"</formula>
    </cfRule>
  </conditionalFormatting>
  <conditionalFormatting sqref="B144:C144">
    <cfRule type="cellIs" dxfId="1006" priority="989" stopIfTrue="1" operator="equal">
      <formula>"Towel"</formula>
    </cfRule>
  </conditionalFormatting>
  <conditionalFormatting sqref="C144">
    <cfRule type="cellIs" dxfId="1005" priority="988" stopIfTrue="1" operator="equal">
      <formula>"Napkin Hs"</formula>
    </cfRule>
  </conditionalFormatting>
  <conditionalFormatting sqref="C144">
    <cfRule type="cellIs" dxfId="1004" priority="987" stopIfTrue="1" operator="equal">
      <formula>"Towel"</formula>
    </cfRule>
  </conditionalFormatting>
  <conditionalFormatting sqref="C144">
    <cfRule type="cellIs" dxfId="1003" priority="985" stopIfTrue="1" operator="equal">
      <formula>"Towel"</formula>
    </cfRule>
    <cfRule type="cellIs" dxfId="1002" priority="986" stopIfTrue="1" operator="equal">
      <formula>"Napkin Hs"</formula>
    </cfRule>
  </conditionalFormatting>
  <conditionalFormatting sqref="C144">
    <cfRule type="cellIs" dxfId="1001" priority="979" stopIfTrue="1" operator="equal">
      <formula>"Towel"</formula>
    </cfRule>
    <cfRule type="cellIs" dxfId="1000" priority="980" stopIfTrue="1" operator="equal">
      <formula>"Napkin Hs"</formula>
    </cfRule>
  </conditionalFormatting>
  <conditionalFormatting sqref="C144">
    <cfRule type="cellIs" dxfId="999" priority="973" stopIfTrue="1" operator="equal">
      <formula>"Towel"</formula>
    </cfRule>
    <cfRule type="cellIs" dxfId="998" priority="974" stopIfTrue="1" operator="equal">
      <formula>"Napkin Hs"</formula>
    </cfRule>
  </conditionalFormatting>
  <conditionalFormatting sqref="C144">
    <cfRule type="cellIs" dxfId="997" priority="967" stopIfTrue="1" operator="equal">
      <formula>"Towel"</formula>
    </cfRule>
    <cfRule type="cellIs" dxfId="996" priority="968" stopIfTrue="1" operator="equal">
      <formula>"Napkin Hs"</formula>
    </cfRule>
  </conditionalFormatting>
  <conditionalFormatting sqref="C144">
    <cfRule type="cellIs" dxfId="995" priority="961" stopIfTrue="1" operator="equal">
      <formula>"Towel"</formula>
    </cfRule>
    <cfRule type="cellIs" dxfId="994" priority="962" stopIfTrue="1" operator="equal">
      <formula>"Napkin Hs"</formula>
    </cfRule>
  </conditionalFormatting>
  <conditionalFormatting sqref="C144">
    <cfRule type="cellIs" dxfId="993" priority="955" stopIfTrue="1" operator="equal">
      <formula>"Towel"</formula>
    </cfRule>
    <cfRule type="cellIs" dxfId="992" priority="956" stopIfTrue="1" operator="equal">
      <formula>"Napkin Hs"</formula>
    </cfRule>
  </conditionalFormatting>
  <conditionalFormatting sqref="B144:C144">
    <cfRule type="cellIs" dxfId="991" priority="954" stopIfTrue="1" operator="equal">
      <formula>"Napkin Hs"</formula>
    </cfRule>
  </conditionalFormatting>
  <conditionalFormatting sqref="B144:C144">
    <cfRule type="cellIs" dxfId="990" priority="953" stopIfTrue="1" operator="equal">
      <formula>"Towel"</formula>
    </cfRule>
  </conditionalFormatting>
  <conditionalFormatting sqref="C144">
    <cfRule type="cellIs" dxfId="989" priority="952" stopIfTrue="1" operator="equal">
      <formula>"Napkin Hs"</formula>
    </cfRule>
  </conditionalFormatting>
  <conditionalFormatting sqref="C144">
    <cfRule type="cellIs" dxfId="988" priority="949" stopIfTrue="1" operator="equal">
      <formula>"Towel"</formula>
    </cfRule>
    <cfRule type="cellIs" dxfId="987" priority="950" stopIfTrue="1" operator="equal">
      <formula>"Napkin Hs"</formula>
    </cfRule>
  </conditionalFormatting>
  <conditionalFormatting sqref="C144">
    <cfRule type="cellIs" dxfId="986" priority="951" stopIfTrue="1" operator="equal">
      <formula>"Towel"</formula>
    </cfRule>
  </conditionalFormatting>
  <conditionalFormatting sqref="B144:C144">
    <cfRule type="cellIs" dxfId="985" priority="948" stopIfTrue="1" operator="equal">
      <formula>"Napkin Hs"</formula>
    </cfRule>
  </conditionalFormatting>
  <conditionalFormatting sqref="B144:C144">
    <cfRule type="cellIs" dxfId="984" priority="947" stopIfTrue="1" operator="equal">
      <formula>"Towel"</formula>
    </cfRule>
  </conditionalFormatting>
  <conditionalFormatting sqref="C144">
    <cfRule type="cellIs" dxfId="983" priority="946" stopIfTrue="1" operator="equal">
      <formula>"Napkin Hs"</formula>
    </cfRule>
  </conditionalFormatting>
  <conditionalFormatting sqref="C144">
    <cfRule type="cellIs" dxfId="982" priority="943" stopIfTrue="1" operator="equal">
      <formula>"Towel"</formula>
    </cfRule>
    <cfRule type="cellIs" dxfId="981" priority="944" stopIfTrue="1" operator="equal">
      <formula>"Napkin Hs"</formula>
    </cfRule>
  </conditionalFormatting>
  <conditionalFormatting sqref="C144">
    <cfRule type="cellIs" dxfId="980" priority="945" stopIfTrue="1" operator="equal">
      <formula>"Towel"</formula>
    </cfRule>
  </conditionalFormatting>
  <conditionalFormatting sqref="B144:C144">
    <cfRule type="cellIs" dxfId="979" priority="995" stopIfTrue="1" operator="equal">
      <formula>"Towel"</formula>
    </cfRule>
    <cfRule type="cellIs" dxfId="978" priority="996" stopIfTrue="1" operator="equal">
      <formula>"Napkin Hs"</formula>
    </cfRule>
  </conditionalFormatting>
  <conditionalFormatting sqref="C144">
    <cfRule type="cellIs" dxfId="977" priority="993" stopIfTrue="1" operator="equal">
      <formula>"Towel"</formula>
    </cfRule>
    <cfRule type="cellIs" dxfId="976" priority="994" stopIfTrue="1" operator="equal">
      <formula>"Napkin Hs"</formula>
    </cfRule>
  </conditionalFormatting>
  <conditionalFormatting sqref="B144:C144">
    <cfRule type="cellIs" dxfId="975" priority="983" stopIfTrue="1" operator="equal">
      <formula>"Towel"</formula>
    </cfRule>
    <cfRule type="cellIs" dxfId="974" priority="984" stopIfTrue="1" operator="equal">
      <formula>"Napkin Hs"</formula>
    </cfRule>
  </conditionalFormatting>
  <conditionalFormatting sqref="C144">
    <cfRule type="cellIs" dxfId="973" priority="981" stopIfTrue="1" operator="equal">
      <formula>"Towel"</formula>
    </cfRule>
    <cfRule type="cellIs" dxfId="972" priority="982" stopIfTrue="1" operator="equal">
      <formula>"Napkin Hs"</formula>
    </cfRule>
  </conditionalFormatting>
  <conditionalFormatting sqref="B144:C144">
    <cfRule type="cellIs" dxfId="971" priority="977" stopIfTrue="1" operator="equal">
      <formula>"Towel"</formula>
    </cfRule>
    <cfRule type="cellIs" dxfId="970" priority="978" stopIfTrue="1" operator="equal">
      <formula>"Napkin Hs"</formula>
    </cfRule>
  </conditionalFormatting>
  <conditionalFormatting sqref="C144">
    <cfRule type="cellIs" dxfId="969" priority="975" stopIfTrue="1" operator="equal">
      <formula>"Towel"</formula>
    </cfRule>
    <cfRule type="cellIs" dxfId="968" priority="976" stopIfTrue="1" operator="equal">
      <formula>"Napkin Hs"</formula>
    </cfRule>
  </conditionalFormatting>
  <conditionalFormatting sqref="B144:C144">
    <cfRule type="cellIs" dxfId="967" priority="971" stopIfTrue="1" operator="equal">
      <formula>"Towel"</formula>
    </cfRule>
    <cfRule type="cellIs" dxfId="966" priority="972" stopIfTrue="1" operator="equal">
      <formula>"Napkin Hs"</formula>
    </cfRule>
  </conditionalFormatting>
  <conditionalFormatting sqref="C144">
    <cfRule type="cellIs" dxfId="965" priority="969" stopIfTrue="1" operator="equal">
      <formula>"Towel"</formula>
    </cfRule>
    <cfRule type="cellIs" dxfId="964" priority="970" stopIfTrue="1" operator="equal">
      <formula>"Napkin Hs"</formula>
    </cfRule>
  </conditionalFormatting>
  <conditionalFormatting sqref="B144:C144">
    <cfRule type="cellIs" dxfId="963" priority="965" stopIfTrue="1" operator="equal">
      <formula>"Towel"</formula>
    </cfRule>
    <cfRule type="cellIs" dxfId="962" priority="966" stopIfTrue="1" operator="equal">
      <formula>"Napkin Hs"</formula>
    </cfRule>
  </conditionalFormatting>
  <conditionalFormatting sqref="C144">
    <cfRule type="cellIs" dxfId="961" priority="963" stopIfTrue="1" operator="equal">
      <formula>"Towel"</formula>
    </cfRule>
    <cfRule type="cellIs" dxfId="960" priority="964" stopIfTrue="1" operator="equal">
      <formula>"Napkin Hs"</formula>
    </cfRule>
  </conditionalFormatting>
  <conditionalFormatting sqref="B144:C144">
    <cfRule type="cellIs" dxfId="959" priority="959" stopIfTrue="1" operator="equal">
      <formula>"Towel"</formula>
    </cfRule>
    <cfRule type="cellIs" dxfId="958" priority="960" stopIfTrue="1" operator="equal">
      <formula>"Napkin Hs"</formula>
    </cfRule>
  </conditionalFormatting>
  <conditionalFormatting sqref="C144">
    <cfRule type="cellIs" dxfId="957" priority="957" stopIfTrue="1" operator="equal">
      <formula>"Towel"</formula>
    </cfRule>
    <cfRule type="cellIs" dxfId="956" priority="958" stopIfTrue="1" operator="equal">
      <formula>"Napkin Hs"</formula>
    </cfRule>
  </conditionalFormatting>
  <conditionalFormatting sqref="B144:C144">
    <cfRule type="cellIs" dxfId="955" priority="942" stopIfTrue="1" operator="equal">
      <formula>"Napkin Hs"</formula>
    </cfRule>
  </conditionalFormatting>
  <conditionalFormatting sqref="B144:C144">
    <cfRule type="cellIs" dxfId="954" priority="941" stopIfTrue="1" operator="equal">
      <formula>"Towel"</formula>
    </cfRule>
  </conditionalFormatting>
  <conditionalFormatting sqref="C144">
    <cfRule type="cellIs" dxfId="953" priority="940" stopIfTrue="1" operator="equal">
      <formula>"Napkin Hs"</formula>
    </cfRule>
  </conditionalFormatting>
  <conditionalFormatting sqref="C144">
    <cfRule type="cellIs" dxfId="952" priority="937" stopIfTrue="1" operator="equal">
      <formula>"Towel"</formula>
    </cfRule>
    <cfRule type="cellIs" dxfId="951" priority="938" stopIfTrue="1" operator="equal">
      <formula>"Napkin Hs"</formula>
    </cfRule>
  </conditionalFormatting>
  <conditionalFormatting sqref="C144">
    <cfRule type="cellIs" dxfId="950" priority="939" stopIfTrue="1" operator="equal">
      <formula>"Towel"</formula>
    </cfRule>
  </conditionalFormatting>
  <conditionalFormatting sqref="C145">
    <cfRule type="cellIs" dxfId="949" priority="933" stopIfTrue="1" operator="equal">
      <formula>"Towel"</formula>
    </cfRule>
    <cfRule type="cellIs" dxfId="948" priority="934" stopIfTrue="1" operator="equal">
      <formula>"Napkin Hs"</formula>
    </cfRule>
  </conditionalFormatting>
  <conditionalFormatting sqref="C145">
    <cfRule type="cellIs" dxfId="947" priority="931" stopIfTrue="1" operator="equal">
      <formula>"Towel"</formula>
    </cfRule>
    <cfRule type="cellIs" dxfId="946" priority="932" stopIfTrue="1" operator="equal">
      <formula>"Napkin Hs"</formula>
    </cfRule>
  </conditionalFormatting>
  <conditionalFormatting sqref="B145:C145">
    <cfRule type="cellIs" dxfId="945" priority="882" stopIfTrue="1" operator="equal">
      <formula>"Napkin Hs"</formula>
    </cfRule>
  </conditionalFormatting>
  <conditionalFormatting sqref="B145:C145">
    <cfRule type="cellIs" dxfId="944" priority="881" stopIfTrue="1" operator="equal">
      <formula>"Towel"</formula>
    </cfRule>
  </conditionalFormatting>
  <conditionalFormatting sqref="B145:C145">
    <cfRule type="cellIs" dxfId="943" priority="935" stopIfTrue="1" operator="equal">
      <formula>"Towel"</formula>
    </cfRule>
    <cfRule type="cellIs" dxfId="942" priority="936" stopIfTrue="1" operator="equal">
      <formula>"Napkin Hs"</formula>
    </cfRule>
  </conditionalFormatting>
  <conditionalFormatting sqref="C145">
    <cfRule type="cellIs" dxfId="941" priority="880" stopIfTrue="1" operator="equal">
      <formula>"Napkin Hs"</formula>
    </cfRule>
  </conditionalFormatting>
  <conditionalFormatting sqref="C145">
    <cfRule type="cellIs" dxfId="940" priority="879" stopIfTrue="1" operator="equal">
      <formula>"Towel"</formula>
    </cfRule>
  </conditionalFormatting>
  <conditionalFormatting sqref="C145">
    <cfRule type="cellIs" dxfId="939" priority="877" stopIfTrue="1" operator="equal">
      <formula>"Towel"</formula>
    </cfRule>
    <cfRule type="cellIs" dxfId="938" priority="878" stopIfTrue="1" operator="equal">
      <formula>"Napkin Hs"</formula>
    </cfRule>
  </conditionalFormatting>
  <conditionalFormatting sqref="B145:C145">
    <cfRule type="cellIs" dxfId="937" priority="930" stopIfTrue="1" operator="equal">
      <formula>"Napkin Hs"</formula>
    </cfRule>
  </conditionalFormatting>
  <conditionalFormatting sqref="B145:C145">
    <cfRule type="cellIs" dxfId="936" priority="929" stopIfTrue="1" operator="equal">
      <formula>"Towel"</formula>
    </cfRule>
  </conditionalFormatting>
  <conditionalFormatting sqref="C145">
    <cfRule type="cellIs" dxfId="935" priority="928" stopIfTrue="1" operator="equal">
      <formula>"Napkin Hs"</formula>
    </cfRule>
  </conditionalFormatting>
  <conditionalFormatting sqref="C145">
    <cfRule type="cellIs" dxfId="934" priority="927" stopIfTrue="1" operator="equal">
      <formula>"Towel"</formula>
    </cfRule>
  </conditionalFormatting>
  <conditionalFormatting sqref="C145">
    <cfRule type="cellIs" dxfId="933" priority="925" stopIfTrue="1" operator="equal">
      <formula>"Towel"</formula>
    </cfRule>
    <cfRule type="cellIs" dxfId="932" priority="926" stopIfTrue="1" operator="equal">
      <formula>"Napkin Hs"</formula>
    </cfRule>
  </conditionalFormatting>
  <conditionalFormatting sqref="B145:C145">
    <cfRule type="cellIs" dxfId="931" priority="923" stopIfTrue="1" operator="equal">
      <formula>"Towel"</formula>
    </cfRule>
    <cfRule type="cellIs" dxfId="930" priority="924" stopIfTrue="1" operator="equal">
      <formula>"Napkin Hs"</formula>
    </cfRule>
  </conditionalFormatting>
  <conditionalFormatting sqref="C145">
    <cfRule type="cellIs" dxfId="929" priority="919" stopIfTrue="1" operator="equal">
      <formula>"Towel"</formula>
    </cfRule>
    <cfRule type="cellIs" dxfId="928" priority="920" stopIfTrue="1" operator="equal">
      <formula>"Napkin Hs"</formula>
    </cfRule>
  </conditionalFormatting>
  <conditionalFormatting sqref="C145">
    <cfRule type="cellIs" dxfId="927" priority="921" stopIfTrue="1" operator="equal">
      <formula>"Towel"</formula>
    </cfRule>
    <cfRule type="cellIs" dxfId="926" priority="922" stopIfTrue="1" operator="equal">
      <formula>"Napkin Hs"</formula>
    </cfRule>
  </conditionalFormatting>
  <conditionalFormatting sqref="B145:C145">
    <cfRule type="cellIs" dxfId="925" priority="918" stopIfTrue="1" operator="equal">
      <formula>"Napkin Hs"</formula>
    </cfRule>
  </conditionalFormatting>
  <conditionalFormatting sqref="B145:C145">
    <cfRule type="cellIs" dxfId="924" priority="917" stopIfTrue="1" operator="equal">
      <formula>"Towel"</formula>
    </cfRule>
  </conditionalFormatting>
  <conditionalFormatting sqref="C145">
    <cfRule type="cellIs" dxfId="923" priority="916" stopIfTrue="1" operator="equal">
      <formula>"Napkin Hs"</formula>
    </cfRule>
  </conditionalFormatting>
  <conditionalFormatting sqref="C145">
    <cfRule type="cellIs" dxfId="922" priority="915" stopIfTrue="1" operator="equal">
      <formula>"Towel"</formula>
    </cfRule>
  </conditionalFormatting>
  <conditionalFormatting sqref="C145">
    <cfRule type="cellIs" dxfId="921" priority="913" stopIfTrue="1" operator="equal">
      <formula>"Towel"</formula>
    </cfRule>
    <cfRule type="cellIs" dxfId="920" priority="914" stopIfTrue="1" operator="equal">
      <formula>"Napkin Hs"</formula>
    </cfRule>
  </conditionalFormatting>
  <conditionalFormatting sqref="B145:C145">
    <cfRule type="cellIs" dxfId="919" priority="911" stopIfTrue="1" operator="equal">
      <formula>"Towel"</formula>
    </cfRule>
    <cfRule type="cellIs" dxfId="918" priority="912" stopIfTrue="1" operator="equal">
      <formula>"Napkin Hs"</formula>
    </cfRule>
  </conditionalFormatting>
  <conditionalFormatting sqref="C145">
    <cfRule type="cellIs" dxfId="917" priority="909" stopIfTrue="1" operator="equal">
      <formula>"Towel"</formula>
    </cfRule>
    <cfRule type="cellIs" dxfId="916" priority="910" stopIfTrue="1" operator="equal">
      <formula>"Napkin Hs"</formula>
    </cfRule>
  </conditionalFormatting>
  <conditionalFormatting sqref="C145">
    <cfRule type="cellIs" dxfId="915" priority="907" stopIfTrue="1" operator="equal">
      <formula>"Towel"</formula>
    </cfRule>
    <cfRule type="cellIs" dxfId="914" priority="908" stopIfTrue="1" operator="equal">
      <formula>"Napkin Hs"</formula>
    </cfRule>
  </conditionalFormatting>
  <conditionalFormatting sqref="B145:C145">
    <cfRule type="cellIs" dxfId="913" priority="905" stopIfTrue="1" operator="equal">
      <formula>"Towel"</formula>
    </cfRule>
    <cfRule type="cellIs" dxfId="912" priority="906" stopIfTrue="1" operator="equal">
      <formula>"Napkin Hs"</formula>
    </cfRule>
  </conditionalFormatting>
  <conditionalFormatting sqref="C145">
    <cfRule type="cellIs" dxfId="911" priority="903" stopIfTrue="1" operator="equal">
      <formula>"Towel"</formula>
    </cfRule>
    <cfRule type="cellIs" dxfId="910" priority="904" stopIfTrue="1" operator="equal">
      <formula>"Napkin Hs"</formula>
    </cfRule>
  </conditionalFormatting>
  <conditionalFormatting sqref="C145">
    <cfRule type="cellIs" dxfId="909" priority="901" stopIfTrue="1" operator="equal">
      <formula>"Towel"</formula>
    </cfRule>
    <cfRule type="cellIs" dxfId="908" priority="902" stopIfTrue="1" operator="equal">
      <formula>"Napkin Hs"</formula>
    </cfRule>
  </conditionalFormatting>
  <conditionalFormatting sqref="B145:C145">
    <cfRule type="cellIs" dxfId="907" priority="899" stopIfTrue="1" operator="equal">
      <formula>"Towel"</formula>
    </cfRule>
    <cfRule type="cellIs" dxfId="906" priority="900" stopIfTrue="1" operator="equal">
      <formula>"Napkin Hs"</formula>
    </cfRule>
  </conditionalFormatting>
  <conditionalFormatting sqref="C145">
    <cfRule type="cellIs" dxfId="905" priority="897" stopIfTrue="1" operator="equal">
      <formula>"Towel"</formula>
    </cfRule>
    <cfRule type="cellIs" dxfId="904" priority="898" stopIfTrue="1" operator="equal">
      <formula>"Napkin Hs"</formula>
    </cfRule>
  </conditionalFormatting>
  <conditionalFormatting sqref="C145">
    <cfRule type="cellIs" dxfId="903" priority="895" stopIfTrue="1" operator="equal">
      <formula>"Towel"</formula>
    </cfRule>
    <cfRule type="cellIs" dxfId="902" priority="896" stopIfTrue="1" operator="equal">
      <formula>"Napkin Hs"</formula>
    </cfRule>
  </conditionalFormatting>
  <conditionalFormatting sqref="B145:C145">
    <cfRule type="cellIs" dxfId="901" priority="893" stopIfTrue="1" operator="equal">
      <formula>"Towel"</formula>
    </cfRule>
    <cfRule type="cellIs" dxfId="900" priority="894" stopIfTrue="1" operator="equal">
      <formula>"Napkin Hs"</formula>
    </cfRule>
  </conditionalFormatting>
  <conditionalFormatting sqref="C145">
    <cfRule type="cellIs" dxfId="899" priority="891" stopIfTrue="1" operator="equal">
      <formula>"Towel"</formula>
    </cfRule>
    <cfRule type="cellIs" dxfId="898" priority="892" stopIfTrue="1" operator="equal">
      <formula>"Napkin Hs"</formula>
    </cfRule>
  </conditionalFormatting>
  <conditionalFormatting sqref="C145">
    <cfRule type="cellIs" dxfId="897" priority="889" stopIfTrue="1" operator="equal">
      <formula>"Towel"</formula>
    </cfRule>
    <cfRule type="cellIs" dxfId="896" priority="890" stopIfTrue="1" operator="equal">
      <formula>"Napkin Hs"</formula>
    </cfRule>
  </conditionalFormatting>
  <conditionalFormatting sqref="B145:C145">
    <cfRule type="cellIs" dxfId="895" priority="887" stopIfTrue="1" operator="equal">
      <formula>"Towel"</formula>
    </cfRule>
    <cfRule type="cellIs" dxfId="894" priority="888" stopIfTrue="1" operator="equal">
      <formula>"Napkin Hs"</formula>
    </cfRule>
  </conditionalFormatting>
  <conditionalFormatting sqref="C145">
    <cfRule type="cellIs" dxfId="893" priority="885" stopIfTrue="1" operator="equal">
      <formula>"Towel"</formula>
    </cfRule>
    <cfRule type="cellIs" dxfId="892" priority="886" stopIfTrue="1" operator="equal">
      <formula>"Napkin Hs"</formula>
    </cfRule>
  </conditionalFormatting>
  <conditionalFormatting sqref="C145">
    <cfRule type="cellIs" dxfId="891" priority="883" stopIfTrue="1" operator="equal">
      <formula>"Towel"</formula>
    </cfRule>
    <cfRule type="cellIs" dxfId="890" priority="884" stopIfTrue="1" operator="equal">
      <formula>"Napkin Hs"</formula>
    </cfRule>
  </conditionalFormatting>
  <conditionalFormatting sqref="B145:C145">
    <cfRule type="cellIs" dxfId="889" priority="873" stopIfTrue="1" operator="equal">
      <formula>"Towel"</formula>
    </cfRule>
    <cfRule type="cellIs" dxfId="888" priority="874" stopIfTrue="1" operator="equal">
      <formula>"Napkin Hs"</formula>
    </cfRule>
  </conditionalFormatting>
  <conditionalFormatting sqref="C145">
    <cfRule type="cellIs" dxfId="887" priority="875" stopIfTrue="1" operator="equal">
      <formula>"Towel"</formula>
    </cfRule>
    <cfRule type="cellIs" dxfId="886" priority="876" stopIfTrue="1" operator="equal">
      <formula>"Napkin Hs"</formula>
    </cfRule>
  </conditionalFormatting>
  <conditionalFormatting sqref="C145">
    <cfRule type="cellIs" dxfId="885" priority="871" stopIfTrue="1" operator="equal">
      <formula>"Towel"</formula>
    </cfRule>
    <cfRule type="cellIs" dxfId="884" priority="872" stopIfTrue="1" operator="equal">
      <formula>"Napkin Hs"</formula>
    </cfRule>
  </conditionalFormatting>
  <conditionalFormatting sqref="B145:C145">
    <cfRule type="cellIs" dxfId="883" priority="870" stopIfTrue="1" operator="equal">
      <formula>"Napkin Hs"</formula>
    </cfRule>
  </conditionalFormatting>
  <conditionalFormatting sqref="B145:C145">
    <cfRule type="cellIs" dxfId="882" priority="869" stopIfTrue="1" operator="equal">
      <formula>"Towel"</formula>
    </cfRule>
  </conditionalFormatting>
  <conditionalFormatting sqref="C145">
    <cfRule type="cellIs" dxfId="881" priority="868" stopIfTrue="1" operator="equal">
      <formula>"Napkin Hs"</formula>
    </cfRule>
  </conditionalFormatting>
  <conditionalFormatting sqref="C145">
    <cfRule type="cellIs" dxfId="880" priority="867" stopIfTrue="1" operator="equal">
      <formula>"Towel"</formula>
    </cfRule>
  </conditionalFormatting>
  <conditionalFormatting sqref="C145">
    <cfRule type="cellIs" dxfId="879" priority="865" stopIfTrue="1" operator="equal">
      <formula>"Towel"</formula>
    </cfRule>
    <cfRule type="cellIs" dxfId="878" priority="866" stopIfTrue="1" operator="equal">
      <formula>"Napkin Hs"</formula>
    </cfRule>
  </conditionalFormatting>
  <conditionalFormatting sqref="B145:C145">
    <cfRule type="cellIs" dxfId="877" priority="863" stopIfTrue="1" operator="equal">
      <formula>"Towel"</formula>
    </cfRule>
    <cfRule type="cellIs" dxfId="876" priority="864" stopIfTrue="1" operator="equal">
      <formula>"Napkin Hs"</formula>
    </cfRule>
  </conditionalFormatting>
  <conditionalFormatting sqref="C145">
    <cfRule type="cellIs" dxfId="875" priority="859" stopIfTrue="1" operator="equal">
      <formula>"Towel"</formula>
    </cfRule>
    <cfRule type="cellIs" dxfId="874" priority="860" stopIfTrue="1" operator="equal">
      <formula>"Napkin Hs"</formula>
    </cfRule>
  </conditionalFormatting>
  <conditionalFormatting sqref="C145">
    <cfRule type="cellIs" dxfId="873" priority="861" stopIfTrue="1" operator="equal">
      <formula>"Towel"</formula>
    </cfRule>
    <cfRule type="cellIs" dxfId="872" priority="862" stopIfTrue="1" operator="equal">
      <formula>"Napkin Hs"</formula>
    </cfRule>
  </conditionalFormatting>
  <conditionalFormatting sqref="B145:C145">
    <cfRule type="cellIs" dxfId="871" priority="858" stopIfTrue="1" operator="equal">
      <formula>"Napkin Hs"</formula>
    </cfRule>
  </conditionalFormatting>
  <conditionalFormatting sqref="B145:C145">
    <cfRule type="cellIs" dxfId="870" priority="857" stopIfTrue="1" operator="equal">
      <formula>"Towel"</formula>
    </cfRule>
  </conditionalFormatting>
  <conditionalFormatting sqref="C145">
    <cfRule type="cellIs" dxfId="869" priority="856" stopIfTrue="1" operator="equal">
      <formula>"Napkin Hs"</formula>
    </cfRule>
  </conditionalFormatting>
  <conditionalFormatting sqref="C145">
    <cfRule type="cellIs" dxfId="868" priority="855" stopIfTrue="1" operator="equal">
      <formula>"Towel"</formula>
    </cfRule>
  </conditionalFormatting>
  <conditionalFormatting sqref="C145">
    <cfRule type="cellIs" dxfId="867" priority="853" stopIfTrue="1" operator="equal">
      <formula>"Towel"</formula>
    </cfRule>
    <cfRule type="cellIs" dxfId="866" priority="854" stopIfTrue="1" operator="equal">
      <formula>"Napkin Hs"</formula>
    </cfRule>
  </conditionalFormatting>
  <conditionalFormatting sqref="B145:C145">
    <cfRule type="cellIs" dxfId="865" priority="851" stopIfTrue="1" operator="equal">
      <formula>"Towel"</formula>
    </cfRule>
    <cfRule type="cellIs" dxfId="864" priority="852" stopIfTrue="1" operator="equal">
      <formula>"Napkin Hs"</formula>
    </cfRule>
  </conditionalFormatting>
  <conditionalFormatting sqref="C145">
    <cfRule type="cellIs" dxfId="863" priority="849" stopIfTrue="1" operator="equal">
      <formula>"Towel"</formula>
    </cfRule>
    <cfRule type="cellIs" dxfId="862" priority="850" stopIfTrue="1" operator="equal">
      <formula>"Napkin Hs"</formula>
    </cfRule>
  </conditionalFormatting>
  <conditionalFormatting sqref="C145">
    <cfRule type="cellIs" dxfId="861" priority="847" stopIfTrue="1" operator="equal">
      <formula>"Towel"</formula>
    </cfRule>
    <cfRule type="cellIs" dxfId="860" priority="848" stopIfTrue="1" operator="equal">
      <formula>"Napkin Hs"</formula>
    </cfRule>
  </conditionalFormatting>
  <conditionalFormatting sqref="B145:C145">
    <cfRule type="cellIs" dxfId="859" priority="845" stopIfTrue="1" operator="equal">
      <formula>"Towel"</formula>
    </cfRule>
    <cfRule type="cellIs" dxfId="858" priority="846" stopIfTrue="1" operator="equal">
      <formula>"Napkin Hs"</formula>
    </cfRule>
  </conditionalFormatting>
  <conditionalFormatting sqref="C145">
    <cfRule type="cellIs" dxfId="857" priority="843" stopIfTrue="1" operator="equal">
      <formula>"Towel"</formula>
    </cfRule>
    <cfRule type="cellIs" dxfId="856" priority="844" stopIfTrue="1" operator="equal">
      <formula>"Napkin Hs"</formula>
    </cfRule>
  </conditionalFormatting>
  <conditionalFormatting sqref="C145">
    <cfRule type="cellIs" dxfId="855" priority="841" stopIfTrue="1" operator="equal">
      <formula>"Towel"</formula>
    </cfRule>
    <cfRule type="cellIs" dxfId="854" priority="842" stopIfTrue="1" operator="equal">
      <formula>"Napkin Hs"</formula>
    </cfRule>
  </conditionalFormatting>
  <conditionalFormatting sqref="B145:C145">
    <cfRule type="cellIs" dxfId="853" priority="839" stopIfTrue="1" operator="equal">
      <formula>"Towel"</formula>
    </cfRule>
    <cfRule type="cellIs" dxfId="852" priority="840" stopIfTrue="1" operator="equal">
      <formula>"Napkin Hs"</formula>
    </cfRule>
  </conditionalFormatting>
  <conditionalFormatting sqref="C145">
    <cfRule type="cellIs" dxfId="851" priority="837" stopIfTrue="1" operator="equal">
      <formula>"Towel"</formula>
    </cfRule>
    <cfRule type="cellIs" dxfId="850" priority="838" stopIfTrue="1" operator="equal">
      <formula>"Napkin Hs"</formula>
    </cfRule>
  </conditionalFormatting>
  <conditionalFormatting sqref="C145">
    <cfRule type="cellIs" dxfId="849" priority="835" stopIfTrue="1" operator="equal">
      <formula>"Towel"</formula>
    </cfRule>
    <cfRule type="cellIs" dxfId="848" priority="836" stopIfTrue="1" operator="equal">
      <formula>"Napkin Hs"</formula>
    </cfRule>
  </conditionalFormatting>
  <conditionalFormatting sqref="B145:C145">
    <cfRule type="cellIs" dxfId="847" priority="833" stopIfTrue="1" operator="equal">
      <formula>"Towel"</formula>
    </cfRule>
    <cfRule type="cellIs" dxfId="846" priority="834" stopIfTrue="1" operator="equal">
      <formula>"Napkin Hs"</formula>
    </cfRule>
  </conditionalFormatting>
  <conditionalFormatting sqref="C145">
    <cfRule type="cellIs" dxfId="845" priority="831" stopIfTrue="1" operator="equal">
      <formula>"Towel"</formula>
    </cfRule>
    <cfRule type="cellIs" dxfId="844" priority="832" stopIfTrue="1" operator="equal">
      <formula>"Napkin Hs"</formula>
    </cfRule>
  </conditionalFormatting>
  <conditionalFormatting sqref="C145">
    <cfRule type="cellIs" dxfId="843" priority="829" stopIfTrue="1" operator="equal">
      <formula>"Towel"</formula>
    </cfRule>
    <cfRule type="cellIs" dxfId="842" priority="830" stopIfTrue="1" operator="equal">
      <formula>"Napkin Hs"</formula>
    </cfRule>
  </conditionalFormatting>
  <conditionalFormatting sqref="B145:C145">
    <cfRule type="cellIs" dxfId="841" priority="827" stopIfTrue="1" operator="equal">
      <formula>"Towel"</formula>
    </cfRule>
    <cfRule type="cellIs" dxfId="840" priority="828" stopIfTrue="1" operator="equal">
      <formula>"Napkin Hs"</formula>
    </cfRule>
  </conditionalFormatting>
  <conditionalFormatting sqref="C145">
    <cfRule type="cellIs" dxfId="839" priority="825" stopIfTrue="1" operator="equal">
      <formula>"Towel"</formula>
    </cfRule>
    <cfRule type="cellIs" dxfId="838" priority="826" stopIfTrue="1" operator="equal">
      <formula>"Napkin Hs"</formula>
    </cfRule>
  </conditionalFormatting>
  <conditionalFormatting sqref="C145">
    <cfRule type="cellIs" dxfId="837" priority="823" stopIfTrue="1" operator="equal">
      <formula>"Towel"</formula>
    </cfRule>
    <cfRule type="cellIs" dxfId="836" priority="824" stopIfTrue="1" operator="equal">
      <formula>"Napkin Hs"</formula>
    </cfRule>
  </conditionalFormatting>
  <conditionalFormatting sqref="B145:C145">
    <cfRule type="cellIs" dxfId="835" priority="822" stopIfTrue="1" operator="equal">
      <formula>"Napkin Hs"</formula>
    </cfRule>
  </conditionalFormatting>
  <conditionalFormatting sqref="B145:C145">
    <cfRule type="cellIs" dxfId="834" priority="821" stopIfTrue="1" operator="equal">
      <formula>"Towel"</formula>
    </cfRule>
  </conditionalFormatting>
  <conditionalFormatting sqref="C145">
    <cfRule type="cellIs" dxfId="833" priority="820" stopIfTrue="1" operator="equal">
      <formula>"Napkin Hs"</formula>
    </cfRule>
  </conditionalFormatting>
  <conditionalFormatting sqref="C145">
    <cfRule type="cellIs" dxfId="832" priority="817" stopIfTrue="1" operator="equal">
      <formula>"Towel"</formula>
    </cfRule>
    <cfRule type="cellIs" dxfId="831" priority="818" stopIfTrue="1" operator="equal">
      <formula>"Napkin Hs"</formula>
    </cfRule>
  </conditionalFormatting>
  <conditionalFormatting sqref="C145">
    <cfRule type="cellIs" dxfId="830" priority="819" stopIfTrue="1" operator="equal">
      <formula>"Towel"</formula>
    </cfRule>
  </conditionalFormatting>
  <conditionalFormatting sqref="B145:C145">
    <cfRule type="cellIs" dxfId="829" priority="816" stopIfTrue="1" operator="equal">
      <formula>"Napkin Hs"</formula>
    </cfRule>
  </conditionalFormatting>
  <conditionalFormatting sqref="B145:C145">
    <cfRule type="cellIs" dxfId="828" priority="815" stopIfTrue="1" operator="equal">
      <formula>"Towel"</formula>
    </cfRule>
  </conditionalFormatting>
  <conditionalFormatting sqref="C145">
    <cfRule type="cellIs" dxfId="827" priority="814" stopIfTrue="1" operator="equal">
      <formula>"Napkin Hs"</formula>
    </cfRule>
  </conditionalFormatting>
  <conditionalFormatting sqref="C145">
    <cfRule type="cellIs" dxfId="826" priority="813" stopIfTrue="1" operator="equal">
      <formula>"Towel"</formula>
    </cfRule>
  </conditionalFormatting>
  <conditionalFormatting sqref="C145">
    <cfRule type="cellIs" dxfId="825" priority="811" stopIfTrue="1" operator="equal">
      <formula>"Towel"</formula>
    </cfRule>
    <cfRule type="cellIs" dxfId="824" priority="812" stopIfTrue="1" operator="equal">
      <formula>"Napkin Hs"</formula>
    </cfRule>
  </conditionalFormatting>
  <conditionalFormatting sqref="C145">
    <cfRule type="cellIs" dxfId="823" priority="805" stopIfTrue="1" operator="equal">
      <formula>"Towel"</formula>
    </cfRule>
    <cfRule type="cellIs" dxfId="822" priority="806" stopIfTrue="1" operator="equal">
      <formula>"Napkin Hs"</formula>
    </cfRule>
  </conditionalFormatting>
  <conditionalFormatting sqref="B145:C145">
    <cfRule type="cellIs" dxfId="821" priority="804" stopIfTrue="1" operator="equal">
      <formula>"Napkin Hs"</formula>
    </cfRule>
  </conditionalFormatting>
  <conditionalFormatting sqref="B145:C145">
    <cfRule type="cellIs" dxfId="820" priority="803" stopIfTrue="1" operator="equal">
      <formula>"Towel"</formula>
    </cfRule>
  </conditionalFormatting>
  <conditionalFormatting sqref="C145">
    <cfRule type="cellIs" dxfId="819" priority="802" stopIfTrue="1" operator="equal">
      <formula>"Napkin Hs"</formula>
    </cfRule>
  </conditionalFormatting>
  <conditionalFormatting sqref="C145">
    <cfRule type="cellIs" dxfId="818" priority="801" stopIfTrue="1" operator="equal">
      <formula>"Towel"</formula>
    </cfRule>
  </conditionalFormatting>
  <conditionalFormatting sqref="C145">
    <cfRule type="cellIs" dxfId="817" priority="799" stopIfTrue="1" operator="equal">
      <formula>"Towel"</formula>
    </cfRule>
    <cfRule type="cellIs" dxfId="816" priority="800" stopIfTrue="1" operator="equal">
      <formula>"Napkin Hs"</formula>
    </cfRule>
  </conditionalFormatting>
  <conditionalFormatting sqref="C145">
    <cfRule type="cellIs" dxfId="815" priority="793" stopIfTrue="1" operator="equal">
      <formula>"Towel"</formula>
    </cfRule>
    <cfRule type="cellIs" dxfId="814" priority="794" stopIfTrue="1" operator="equal">
      <formula>"Napkin Hs"</formula>
    </cfRule>
  </conditionalFormatting>
  <conditionalFormatting sqref="C145">
    <cfRule type="cellIs" dxfId="813" priority="787" stopIfTrue="1" operator="equal">
      <formula>"Towel"</formula>
    </cfRule>
    <cfRule type="cellIs" dxfId="812" priority="788" stopIfTrue="1" operator="equal">
      <formula>"Napkin Hs"</formula>
    </cfRule>
  </conditionalFormatting>
  <conditionalFormatting sqref="C145">
    <cfRule type="cellIs" dxfId="811" priority="781" stopIfTrue="1" operator="equal">
      <formula>"Towel"</formula>
    </cfRule>
    <cfRule type="cellIs" dxfId="810" priority="782" stopIfTrue="1" operator="equal">
      <formula>"Napkin Hs"</formula>
    </cfRule>
  </conditionalFormatting>
  <conditionalFormatting sqref="C145">
    <cfRule type="cellIs" dxfId="809" priority="775" stopIfTrue="1" operator="equal">
      <formula>"Towel"</formula>
    </cfRule>
    <cfRule type="cellIs" dxfId="808" priority="776" stopIfTrue="1" operator="equal">
      <formula>"Napkin Hs"</formula>
    </cfRule>
  </conditionalFormatting>
  <conditionalFormatting sqref="C145">
    <cfRule type="cellIs" dxfId="807" priority="769" stopIfTrue="1" operator="equal">
      <formula>"Towel"</formula>
    </cfRule>
    <cfRule type="cellIs" dxfId="806" priority="770" stopIfTrue="1" operator="equal">
      <formula>"Napkin Hs"</formula>
    </cfRule>
  </conditionalFormatting>
  <conditionalFormatting sqref="B145:C145">
    <cfRule type="cellIs" dxfId="805" priority="768" stopIfTrue="1" operator="equal">
      <formula>"Napkin Hs"</formula>
    </cfRule>
  </conditionalFormatting>
  <conditionalFormatting sqref="B145:C145">
    <cfRule type="cellIs" dxfId="804" priority="767" stopIfTrue="1" operator="equal">
      <formula>"Towel"</formula>
    </cfRule>
  </conditionalFormatting>
  <conditionalFormatting sqref="C145">
    <cfRule type="cellIs" dxfId="803" priority="766" stopIfTrue="1" operator="equal">
      <formula>"Napkin Hs"</formula>
    </cfRule>
  </conditionalFormatting>
  <conditionalFormatting sqref="C145">
    <cfRule type="cellIs" dxfId="802" priority="763" stopIfTrue="1" operator="equal">
      <formula>"Towel"</formula>
    </cfRule>
    <cfRule type="cellIs" dxfId="801" priority="764" stopIfTrue="1" operator="equal">
      <formula>"Napkin Hs"</formula>
    </cfRule>
  </conditionalFormatting>
  <conditionalFormatting sqref="C145">
    <cfRule type="cellIs" dxfId="800" priority="765" stopIfTrue="1" operator="equal">
      <formula>"Towel"</formula>
    </cfRule>
  </conditionalFormatting>
  <conditionalFormatting sqref="B145:C145">
    <cfRule type="cellIs" dxfId="799" priority="762" stopIfTrue="1" operator="equal">
      <formula>"Napkin Hs"</formula>
    </cfRule>
  </conditionalFormatting>
  <conditionalFormatting sqref="B145:C145">
    <cfRule type="cellIs" dxfId="798" priority="761" stopIfTrue="1" operator="equal">
      <formula>"Towel"</formula>
    </cfRule>
  </conditionalFormatting>
  <conditionalFormatting sqref="C145">
    <cfRule type="cellIs" dxfId="797" priority="760" stopIfTrue="1" operator="equal">
      <formula>"Napkin Hs"</formula>
    </cfRule>
  </conditionalFormatting>
  <conditionalFormatting sqref="C145">
    <cfRule type="cellIs" dxfId="796" priority="757" stopIfTrue="1" operator="equal">
      <formula>"Towel"</formula>
    </cfRule>
    <cfRule type="cellIs" dxfId="795" priority="758" stopIfTrue="1" operator="equal">
      <formula>"Napkin Hs"</formula>
    </cfRule>
  </conditionalFormatting>
  <conditionalFormatting sqref="C145">
    <cfRule type="cellIs" dxfId="794" priority="759" stopIfTrue="1" operator="equal">
      <formula>"Towel"</formula>
    </cfRule>
  </conditionalFormatting>
  <conditionalFormatting sqref="B145:C145">
    <cfRule type="cellIs" dxfId="793" priority="809" stopIfTrue="1" operator="equal">
      <formula>"Towel"</formula>
    </cfRule>
    <cfRule type="cellIs" dxfId="792" priority="810" stopIfTrue="1" operator="equal">
      <formula>"Napkin Hs"</formula>
    </cfRule>
  </conditionalFormatting>
  <conditionalFormatting sqref="C145">
    <cfRule type="cellIs" dxfId="791" priority="807" stopIfTrue="1" operator="equal">
      <formula>"Towel"</formula>
    </cfRule>
    <cfRule type="cellIs" dxfId="790" priority="808" stopIfTrue="1" operator="equal">
      <formula>"Napkin Hs"</formula>
    </cfRule>
  </conditionalFormatting>
  <conditionalFormatting sqref="B145:C145">
    <cfRule type="cellIs" dxfId="789" priority="797" stopIfTrue="1" operator="equal">
      <formula>"Towel"</formula>
    </cfRule>
    <cfRule type="cellIs" dxfId="788" priority="798" stopIfTrue="1" operator="equal">
      <formula>"Napkin Hs"</formula>
    </cfRule>
  </conditionalFormatting>
  <conditionalFormatting sqref="C145">
    <cfRule type="cellIs" dxfId="787" priority="795" stopIfTrue="1" operator="equal">
      <formula>"Towel"</formula>
    </cfRule>
    <cfRule type="cellIs" dxfId="786" priority="796" stopIfTrue="1" operator="equal">
      <formula>"Napkin Hs"</formula>
    </cfRule>
  </conditionalFormatting>
  <conditionalFormatting sqref="B145:C145">
    <cfRule type="cellIs" dxfId="785" priority="791" stopIfTrue="1" operator="equal">
      <formula>"Towel"</formula>
    </cfRule>
    <cfRule type="cellIs" dxfId="784" priority="792" stopIfTrue="1" operator="equal">
      <formula>"Napkin Hs"</formula>
    </cfRule>
  </conditionalFormatting>
  <conditionalFormatting sqref="C145">
    <cfRule type="cellIs" dxfId="783" priority="789" stopIfTrue="1" operator="equal">
      <formula>"Towel"</formula>
    </cfRule>
    <cfRule type="cellIs" dxfId="782" priority="790" stopIfTrue="1" operator="equal">
      <formula>"Napkin Hs"</formula>
    </cfRule>
  </conditionalFormatting>
  <conditionalFormatting sqref="B145:C145">
    <cfRule type="cellIs" dxfId="781" priority="785" stopIfTrue="1" operator="equal">
      <formula>"Towel"</formula>
    </cfRule>
    <cfRule type="cellIs" dxfId="780" priority="786" stopIfTrue="1" operator="equal">
      <formula>"Napkin Hs"</formula>
    </cfRule>
  </conditionalFormatting>
  <conditionalFormatting sqref="C145">
    <cfRule type="cellIs" dxfId="779" priority="783" stopIfTrue="1" operator="equal">
      <formula>"Towel"</formula>
    </cfRule>
    <cfRule type="cellIs" dxfId="778" priority="784" stopIfTrue="1" operator="equal">
      <formula>"Napkin Hs"</formula>
    </cfRule>
  </conditionalFormatting>
  <conditionalFormatting sqref="B145:C145">
    <cfRule type="cellIs" dxfId="777" priority="779" stopIfTrue="1" operator="equal">
      <formula>"Towel"</formula>
    </cfRule>
    <cfRule type="cellIs" dxfId="776" priority="780" stopIfTrue="1" operator="equal">
      <formula>"Napkin Hs"</formula>
    </cfRule>
  </conditionalFormatting>
  <conditionalFormatting sqref="C145">
    <cfRule type="cellIs" dxfId="775" priority="777" stopIfTrue="1" operator="equal">
      <formula>"Towel"</formula>
    </cfRule>
    <cfRule type="cellIs" dxfId="774" priority="778" stopIfTrue="1" operator="equal">
      <formula>"Napkin Hs"</formula>
    </cfRule>
  </conditionalFormatting>
  <conditionalFormatting sqref="B145:C145">
    <cfRule type="cellIs" dxfId="773" priority="773" stopIfTrue="1" operator="equal">
      <formula>"Towel"</formula>
    </cfRule>
    <cfRule type="cellIs" dxfId="772" priority="774" stopIfTrue="1" operator="equal">
      <formula>"Napkin Hs"</formula>
    </cfRule>
  </conditionalFormatting>
  <conditionalFormatting sqref="C145">
    <cfRule type="cellIs" dxfId="771" priority="771" stopIfTrue="1" operator="equal">
      <formula>"Towel"</formula>
    </cfRule>
    <cfRule type="cellIs" dxfId="770" priority="772" stopIfTrue="1" operator="equal">
      <formula>"Napkin Hs"</formula>
    </cfRule>
  </conditionalFormatting>
  <conditionalFormatting sqref="B145:C145">
    <cfRule type="cellIs" dxfId="769" priority="756" stopIfTrue="1" operator="equal">
      <formula>"Napkin Hs"</formula>
    </cfRule>
  </conditionalFormatting>
  <conditionalFormatting sqref="B145:C145">
    <cfRule type="cellIs" dxfId="768" priority="755" stopIfTrue="1" operator="equal">
      <formula>"Towel"</formula>
    </cfRule>
  </conditionalFormatting>
  <conditionalFormatting sqref="C145">
    <cfRule type="cellIs" dxfId="767" priority="754" stopIfTrue="1" operator="equal">
      <formula>"Napkin Hs"</formula>
    </cfRule>
  </conditionalFormatting>
  <conditionalFormatting sqref="C145">
    <cfRule type="cellIs" dxfId="766" priority="751" stopIfTrue="1" operator="equal">
      <formula>"Towel"</formula>
    </cfRule>
    <cfRule type="cellIs" dxfId="765" priority="752" stopIfTrue="1" operator="equal">
      <formula>"Napkin Hs"</formula>
    </cfRule>
  </conditionalFormatting>
  <conditionalFormatting sqref="C145">
    <cfRule type="cellIs" dxfId="764" priority="753" stopIfTrue="1" operator="equal">
      <formula>"Towel"</formula>
    </cfRule>
  </conditionalFormatting>
  <conditionalFormatting sqref="C143">
    <cfRule type="cellIs" dxfId="763" priority="747" stopIfTrue="1" operator="equal">
      <formula>"Towel"</formula>
    </cfRule>
    <cfRule type="cellIs" dxfId="762" priority="748" stopIfTrue="1" operator="equal">
      <formula>"Napkin Hs"</formula>
    </cfRule>
  </conditionalFormatting>
  <conditionalFormatting sqref="C143">
    <cfRule type="cellIs" dxfId="761" priority="745" stopIfTrue="1" operator="equal">
      <formula>"Towel"</formula>
    </cfRule>
    <cfRule type="cellIs" dxfId="760" priority="746" stopIfTrue="1" operator="equal">
      <formula>"Napkin Hs"</formula>
    </cfRule>
  </conditionalFormatting>
  <conditionalFormatting sqref="B143:C143">
    <cfRule type="cellIs" dxfId="759" priority="696" stopIfTrue="1" operator="equal">
      <formula>"Napkin Hs"</formula>
    </cfRule>
  </conditionalFormatting>
  <conditionalFormatting sqref="B143:C143">
    <cfRule type="cellIs" dxfId="758" priority="695" stopIfTrue="1" operator="equal">
      <formula>"Towel"</formula>
    </cfRule>
  </conditionalFormatting>
  <conditionalFormatting sqref="B143:C143">
    <cfRule type="cellIs" dxfId="757" priority="749" stopIfTrue="1" operator="equal">
      <formula>"Towel"</formula>
    </cfRule>
    <cfRule type="cellIs" dxfId="756" priority="750" stopIfTrue="1" operator="equal">
      <formula>"Napkin Hs"</formula>
    </cfRule>
  </conditionalFormatting>
  <conditionalFormatting sqref="C143">
    <cfRule type="cellIs" dxfId="755" priority="694" stopIfTrue="1" operator="equal">
      <formula>"Napkin Hs"</formula>
    </cfRule>
  </conditionalFormatting>
  <conditionalFormatting sqref="C143">
    <cfRule type="cellIs" dxfId="754" priority="693" stopIfTrue="1" operator="equal">
      <formula>"Towel"</formula>
    </cfRule>
  </conditionalFormatting>
  <conditionalFormatting sqref="C143">
    <cfRule type="cellIs" dxfId="753" priority="691" stopIfTrue="1" operator="equal">
      <formula>"Towel"</formula>
    </cfRule>
    <cfRule type="cellIs" dxfId="752" priority="692" stopIfTrue="1" operator="equal">
      <formula>"Napkin Hs"</formula>
    </cfRule>
  </conditionalFormatting>
  <conditionalFormatting sqref="B143:C143">
    <cfRule type="cellIs" dxfId="751" priority="744" stopIfTrue="1" operator="equal">
      <formula>"Napkin Hs"</formula>
    </cfRule>
  </conditionalFormatting>
  <conditionalFormatting sqref="B143:C143">
    <cfRule type="cellIs" dxfId="750" priority="743" stopIfTrue="1" operator="equal">
      <formula>"Towel"</formula>
    </cfRule>
  </conditionalFormatting>
  <conditionalFormatting sqref="C143">
    <cfRule type="cellIs" dxfId="749" priority="742" stopIfTrue="1" operator="equal">
      <formula>"Napkin Hs"</formula>
    </cfRule>
  </conditionalFormatting>
  <conditionalFormatting sqref="C143">
    <cfRule type="cellIs" dxfId="748" priority="741" stopIfTrue="1" operator="equal">
      <formula>"Towel"</formula>
    </cfRule>
  </conditionalFormatting>
  <conditionalFormatting sqref="C143">
    <cfRule type="cellIs" dxfId="747" priority="739" stopIfTrue="1" operator="equal">
      <formula>"Towel"</formula>
    </cfRule>
    <cfRule type="cellIs" dxfId="746" priority="740" stopIfTrue="1" operator="equal">
      <formula>"Napkin Hs"</formula>
    </cfRule>
  </conditionalFormatting>
  <conditionalFormatting sqref="B143:C143">
    <cfRule type="cellIs" dxfId="745" priority="737" stopIfTrue="1" operator="equal">
      <formula>"Towel"</formula>
    </cfRule>
    <cfRule type="cellIs" dxfId="744" priority="738" stopIfTrue="1" operator="equal">
      <formula>"Napkin Hs"</formula>
    </cfRule>
  </conditionalFormatting>
  <conditionalFormatting sqref="C143">
    <cfRule type="cellIs" dxfId="743" priority="733" stopIfTrue="1" operator="equal">
      <formula>"Towel"</formula>
    </cfRule>
    <cfRule type="cellIs" dxfId="742" priority="734" stopIfTrue="1" operator="equal">
      <formula>"Napkin Hs"</formula>
    </cfRule>
  </conditionalFormatting>
  <conditionalFormatting sqref="C143">
    <cfRule type="cellIs" dxfId="741" priority="735" stopIfTrue="1" operator="equal">
      <formula>"Towel"</formula>
    </cfRule>
    <cfRule type="cellIs" dxfId="740" priority="736" stopIfTrue="1" operator="equal">
      <formula>"Napkin Hs"</formula>
    </cfRule>
  </conditionalFormatting>
  <conditionalFormatting sqref="B143:C143">
    <cfRule type="cellIs" dxfId="739" priority="732" stopIfTrue="1" operator="equal">
      <formula>"Napkin Hs"</formula>
    </cfRule>
  </conditionalFormatting>
  <conditionalFormatting sqref="B143:C143">
    <cfRule type="cellIs" dxfId="738" priority="731" stopIfTrue="1" operator="equal">
      <formula>"Towel"</formula>
    </cfRule>
  </conditionalFormatting>
  <conditionalFormatting sqref="C143">
    <cfRule type="cellIs" dxfId="737" priority="730" stopIfTrue="1" operator="equal">
      <formula>"Napkin Hs"</formula>
    </cfRule>
  </conditionalFormatting>
  <conditionalFormatting sqref="C143">
    <cfRule type="cellIs" dxfId="736" priority="729" stopIfTrue="1" operator="equal">
      <formula>"Towel"</formula>
    </cfRule>
  </conditionalFormatting>
  <conditionalFormatting sqref="C143">
    <cfRule type="cellIs" dxfId="735" priority="727" stopIfTrue="1" operator="equal">
      <formula>"Towel"</formula>
    </cfRule>
    <cfRule type="cellIs" dxfId="734" priority="728" stopIfTrue="1" operator="equal">
      <formula>"Napkin Hs"</formula>
    </cfRule>
  </conditionalFormatting>
  <conditionalFormatting sqref="B143:C143">
    <cfRule type="cellIs" dxfId="733" priority="725" stopIfTrue="1" operator="equal">
      <formula>"Towel"</formula>
    </cfRule>
    <cfRule type="cellIs" dxfId="732" priority="726" stopIfTrue="1" operator="equal">
      <formula>"Napkin Hs"</formula>
    </cfRule>
  </conditionalFormatting>
  <conditionalFormatting sqref="C143">
    <cfRule type="cellIs" dxfId="731" priority="723" stopIfTrue="1" operator="equal">
      <formula>"Towel"</formula>
    </cfRule>
    <cfRule type="cellIs" dxfId="730" priority="724" stopIfTrue="1" operator="equal">
      <formula>"Napkin Hs"</formula>
    </cfRule>
  </conditionalFormatting>
  <conditionalFormatting sqref="C143">
    <cfRule type="cellIs" dxfId="729" priority="721" stopIfTrue="1" operator="equal">
      <formula>"Towel"</formula>
    </cfRule>
    <cfRule type="cellIs" dxfId="728" priority="722" stopIfTrue="1" operator="equal">
      <formula>"Napkin Hs"</formula>
    </cfRule>
  </conditionalFormatting>
  <conditionalFormatting sqref="B143:C143">
    <cfRule type="cellIs" dxfId="727" priority="719" stopIfTrue="1" operator="equal">
      <formula>"Towel"</formula>
    </cfRule>
    <cfRule type="cellIs" dxfId="726" priority="720" stopIfTrue="1" operator="equal">
      <formula>"Napkin Hs"</formula>
    </cfRule>
  </conditionalFormatting>
  <conditionalFormatting sqref="C143">
    <cfRule type="cellIs" dxfId="725" priority="717" stopIfTrue="1" operator="equal">
      <formula>"Towel"</formula>
    </cfRule>
    <cfRule type="cellIs" dxfId="724" priority="718" stopIfTrue="1" operator="equal">
      <formula>"Napkin Hs"</formula>
    </cfRule>
  </conditionalFormatting>
  <conditionalFormatting sqref="C143">
    <cfRule type="cellIs" dxfId="723" priority="715" stopIfTrue="1" operator="equal">
      <formula>"Towel"</formula>
    </cfRule>
    <cfRule type="cellIs" dxfId="722" priority="716" stopIfTrue="1" operator="equal">
      <formula>"Napkin Hs"</formula>
    </cfRule>
  </conditionalFormatting>
  <conditionalFormatting sqref="B143:C143">
    <cfRule type="cellIs" dxfId="721" priority="713" stopIfTrue="1" operator="equal">
      <formula>"Towel"</formula>
    </cfRule>
    <cfRule type="cellIs" dxfId="720" priority="714" stopIfTrue="1" operator="equal">
      <formula>"Napkin Hs"</formula>
    </cfRule>
  </conditionalFormatting>
  <conditionalFormatting sqref="C143">
    <cfRule type="cellIs" dxfId="719" priority="711" stopIfTrue="1" operator="equal">
      <formula>"Towel"</formula>
    </cfRule>
    <cfRule type="cellIs" dxfId="718" priority="712" stopIfTrue="1" operator="equal">
      <formula>"Napkin Hs"</formula>
    </cfRule>
  </conditionalFormatting>
  <conditionalFormatting sqref="C143">
    <cfRule type="cellIs" dxfId="717" priority="709" stopIfTrue="1" operator="equal">
      <formula>"Towel"</formula>
    </cfRule>
    <cfRule type="cellIs" dxfId="716" priority="710" stopIfTrue="1" operator="equal">
      <formula>"Napkin Hs"</formula>
    </cfRule>
  </conditionalFormatting>
  <conditionalFormatting sqref="B143:C143">
    <cfRule type="cellIs" dxfId="715" priority="707" stopIfTrue="1" operator="equal">
      <formula>"Towel"</formula>
    </cfRule>
    <cfRule type="cellIs" dxfId="714" priority="708" stopIfTrue="1" operator="equal">
      <formula>"Napkin Hs"</formula>
    </cfRule>
  </conditionalFormatting>
  <conditionalFormatting sqref="C143">
    <cfRule type="cellIs" dxfId="713" priority="705" stopIfTrue="1" operator="equal">
      <formula>"Towel"</formula>
    </cfRule>
    <cfRule type="cellIs" dxfId="712" priority="706" stopIfTrue="1" operator="equal">
      <formula>"Napkin Hs"</formula>
    </cfRule>
  </conditionalFormatting>
  <conditionalFormatting sqref="C143">
    <cfRule type="cellIs" dxfId="711" priority="703" stopIfTrue="1" operator="equal">
      <formula>"Towel"</formula>
    </cfRule>
    <cfRule type="cellIs" dxfId="710" priority="704" stopIfTrue="1" operator="equal">
      <formula>"Napkin Hs"</formula>
    </cfRule>
  </conditionalFormatting>
  <conditionalFormatting sqref="B143:C143">
    <cfRule type="cellIs" dxfId="709" priority="701" stopIfTrue="1" operator="equal">
      <formula>"Towel"</formula>
    </cfRule>
    <cfRule type="cellIs" dxfId="708" priority="702" stopIfTrue="1" operator="equal">
      <formula>"Napkin Hs"</formula>
    </cfRule>
  </conditionalFormatting>
  <conditionalFormatting sqref="C143">
    <cfRule type="cellIs" dxfId="707" priority="699" stopIfTrue="1" operator="equal">
      <formula>"Towel"</formula>
    </cfRule>
    <cfRule type="cellIs" dxfId="706" priority="700" stopIfTrue="1" operator="equal">
      <formula>"Napkin Hs"</formula>
    </cfRule>
  </conditionalFormatting>
  <conditionalFormatting sqref="C143">
    <cfRule type="cellIs" dxfId="705" priority="697" stopIfTrue="1" operator="equal">
      <formula>"Towel"</formula>
    </cfRule>
    <cfRule type="cellIs" dxfId="704" priority="698" stopIfTrue="1" operator="equal">
      <formula>"Napkin Hs"</formula>
    </cfRule>
  </conditionalFormatting>
  <conditionalFormatting sqref="B143:C143">
    <cfRule type="cellIs" dxfId="703" priority="687" stopIfTrue="1" operator="equal">
      <formula>"Towel"</formula>
    </cfRule>
    <cfRule type="cellIs" dxfId="702" priority="688" stopIfTrue="1" operator="equal">
      <formula>"Napkin Hs"</formula>
    </cfRule>
  </conditionalFormatting>
  <conditionalFormatting sqref="C143">
    <cfRule type="cellIs" dxfId="701" priority="689" stopIfTrue="1" operator="equal">
      <formula>"Towel"</formula>
    </cfRule>
    <cfRule type="cellIs" dxfId="700" priority="690" stopIfTrue="1" operator="equal">
      <formula>"Napkin Hs"</formula>
    </cfRule>
  </conditionalFormatting>
  <conditionalFormatting sqref="C143">
    <cfRule type="cellIs" dxfId="699" priority="685" stopIfTrue="1" operator="equal">
      <formula>"Towel"</formula>
    </cfRule>
    <cfRule type="cellIs" dxfId="698" priority="686" stopIfTrue="1" operator="equal">
      <formula>"Napkin Hs"</formula>
    </cfRule>
  </conditionalFormatting>
  <conditionalFormatting sqref="B143:C143">
    <cfRule type="cellIs" dxfId="697" priority="684" stopIfTrue="1" operator="equal">
      <formula>"Napkin Hs"</formula>
    </cfRule>
  </conditionalFormatting>
  <conditionalFormatting sqref="B143:C143">
    <cfRule type="cellIs" dxfId="696" priority="683" stopIfTrue="1" operator="equal">
      <formula>"Towel"</formula>
    </cfRule>
  </conditionalFormatting>
  <conditionalFormatting sqref="C143">
    <cfRule type="cellIs" dxfId="695" priority="682" stopIfTrue="1" operator="equal">
      <formula>"Napkin Hs"</formula>
    </cfRule>
  </conditionalFormatting>
  <conditionalFormatting sqref="C143">
    <cfRule type="cellIs" dxfId="694" priority="681" stopIfTrue="1" operator="equal">
      <formula>"Towel"</formula>
    </cfRule>
  </conditionalFormatting>
  <conditionalFormatting sqref="C143">
    <cfRule type="cellIs" dxfId="693" priority="679" stopIfTrue="1" operator="equal">
      <formula>"Towel"</formula>
    </cfRule>
    <cfRule type="cellIs" dxfId="692" priority="680" stopIfTrue="1" operator="equal">
      <formula>"Napkin Hs"</formula>
    </cfRule>
  </conditionalFormatting>
  <conditionalFormatting sqref="B143:C143">
    <cfRule type="cellIs" dxfId="691" priority="677" stopIfTrue="1" operator="equal">
      <formula>"Towel"</formula>
    </cfRule>
    <cfRule type="cellIs" dxfId="690" priority="678" stopIfTrue="1" operator="equal">
      <formula>"Napkin Hs"</formula>
    </cfRule>
  </conditionalFormatting>
  <conditionalFormatting sqref="C143">
    <cfRule type="cellIs" dxfId="689" priority="673" stopIfTrue="1" operator="equal">
      <formula>"Towel"</formula>
    </cfRule>
    <cfRule type="cellIs" dxfId="688" priority="674" stopIfTrue="1" operator="equal">
      <formula>"Napkin Hs"</formula>
    </cfRule>
  </conditionalFormatting>
  <conditionalFormatting sqref="C143">
    <cfRule type="cellIs" dxfId="687" priority="675" stopIfTrue="1" operator="equal">
      <formula>"Towel"</formula>
    </cfRule>
    <cfRule type="cellIs" dxfId="686" priority="676" stopIfTrue="1" operator="equal">
      <formula>"Napkin Hs"</formula>
    </cfRule>
  </conditionalFormatting>
  <conditionalFormatting sqref="B143:C143">
    <cfRule type="cellIs" dxfId="685" priority="672" stopIfTrue="1" operator="equal">
      <formula>"Napkin Hs"</formula>
    </cfRule>
  </conditionalFormatting>
  <conditionalFormatting sqref="B143:C143">
    <cfRule type="cellIs" dxfId="684" priority="671" stopIfTrue="1" operator="equal">
      <formula>"Towel"</formula>
    </cfRule>
  </conditionalFormatting>
  <conditionalFormatting sqref="C143">
    <cfRule type="cellIs" dxfId="683" priority="670" stopIfTrue="1" operator="equal">
      <formula>"Napkin Hs"</formula>
    </cfRule>
  </conditionalFormatting>
  <conditionalFormatting sqref="C143">
    <cfRule type="cellIs" dxfId="682" priority="669" stopIfTrue="1" operator="equal">
      <formula>"Towel"</formula>
    </cfRule>
  </conditionalFormatting>
  <conditionalFormatting sqref="C143">
    <cfRule type="cellIs" dxfId="681" priority="667" stopIfTrue="1" operator="equal">
      <formula>"Towel"</formula>
    </cfRule>
    <cfRule type="cellIs" dxfId="680" priority="668" stopIfTrue="1" operator="equal">
      <formula>"Napkin Hs"</formula>
    </cfRule>
  </conditionalFormatting>
  <conditionalFormatting sqref="B143:C143">
    <cfRule type="cellIs" dxfId="679" priority="665" stopIfTrue="1" operator="equal">
      <formula>"Towel"</formula>
    </cfRule>
    <cfRule type="cellIs" dxfId="678" priority="666" stopIfTrue="1" operator="equal">
      <formula>"Napkin Hs"</formula>
    </cfRule>
  </conditionalFormatting>
  <conditionalFormatting sqref="C143">
    <cfRule type="cellIs" dxfId="677" priority="663" stopIfTrue="1" operator="equal">
      <formula>"Towel"</formula>
    </cfRule>
    <cfRule type="cellIs" dxfId="676" priority="664" stopIfTrue="1" operator="equal">
      <formula>"Napkin Hs"</formula>
    </cfRule>
  </conditionalFormatting>
  <conditionalFormatting sqref="C143">
    <cfRule type="cellIs" dxfId="675" priority="661" stopIfTrue="1" operator="equal">
      <formula>"Towel"</formula>
    </cfRule>
    <cfRule type="cellIs" dxfId="674" priority="662" stopIfTrue="1" operator="equal">
      <formula>"Napkin Hs"</formula>
    </cfRule>
  </conditionalFormatting>
  <conditionalFormatting sqref="B143:C143">
    <cfRule type="cellIs" dxfId="673" priority="659" stopIfTrue="1" operator="equal">
      <formula>"Towel"</formula>
    </cfRule>
    <cfRule type="cellIs" dxfId="672" priority="660" stopIfTrue="1" operator="equal">
      <formula>"Napkin Hs"</formula>
    </cfRule>
  </conditionalFormatting>
  <conditionalFormatting sqref="C143">
    <cfRule type="cellIs" dxfId="671" priority="657" stopIfTrue="1" operator="equal">
      <formula>"Towel"</formula>
    </cfRule>
    <cfRule type="cellIs" dxfId="670" priority="658" stopIfTrue="1" operator="equal">
      <formula>"Napkin Hs"</formula>
    </cfRule>
  </conditionalFormatting>
  <conditionalFormatting sqref="C143">
    <cfRule type="cellIs" dxfId="669" priority="655" stopIfTrue="1" operator="equal">
      <formula>"Towel"</formula>
    </cfRule>
    <cfRule type="cellIs" dxfId="668" priority="656" stopIfTrue="1" operator="equal">
      <formula>"Napkin Hs"</formula>
    </cfRule>
  </conditionalFormatting>
  <conditionalFormatting sqref="B143:C143">
    <cfRule type="cellIs" dxfId="667" priority="653" stopIfTrue="1" operator="equal">
      <formula>"Towel"</formula>
    </cfRule>
    <cfRule type="cellIs" dxfId="666" priority="654" stopIfTrue="1" operator="equal">
      <formula>"Napkin Hs"</formula>
    </cfRule>
  </conditionalFormatting>
  <conditionalFormatting sqref="C143">
    <cfRule type="cellIs" dxfId="665" priority="651" stopIfTrue="1" operator="equal">
      <formula>"Towel"</formula>
    </cfRule>
    <cfRule type="cellIs" dxfId="664" priority="652" stopIfTrue="1" operator="equal">
      <formula>"Napkin Hs"</formula>
    </cfRule>
  </conditionalFormatting>
  <conditionalFormatting sqref="C143">
    <cfRule type="cellIs" dxfId="663" priority="649" stopIfTrue="1" operator="equal">
      <formula>"Towel"</formula>
    </cfRule>
    <cfRule type="cellIs" dxfId="662" priority="650" stopIfTrue="1" operator="equal">
      <formula>"Napkin Hs"</formula>
    </cfRule>
  </conditionalFormatting>
  <conditionalFormatting sqref="B143:C143">
    <cfRule type="cellIs" dxfId="661" priority="647" stopIfTrue="1" operator="equal">
      <formula>"Towel"</formula>
    </cfRule>
    <cfRule type="cellIs" dxfId="660" priority="648" stopIfTrue="1" operator="equal">
      <formula>"Napkin Hs"</formula>
    </cfRule>
  </conditionalFormatting>
  <conditionalFormatting sqref="C143">
    <cfRule type="cellIs" dxfId="659" priority="645" stopIfTrue="1" operator="equal">
      <formula>"Towel"</formula>
    </cfRule>
    <cfRule type="cellIs" dxfId="658" priority="646" stopIfTrue="1" operator="equal">
      <formula>"Napkin Hs"</formula>
    </cfRule>
  </conditionalFormatting>
  <conditionalFormatting sqref="C143">
    <cfRule type="cellIs" dxfId="657" priority="643" stopIfTrue="1" operator="equal">
      <formula>"Towel"</formula>
    </cfRule>
    <cfRule type="cellIs" dxfId="656" priority="644" stopIfTrue="1" operator="equal">
      <formula>"Napkin Hs"</formula>
    </cfRule>
  </conditionalFormatting>
  <conditionalFormatting sqref="B143:C143">
    <cfRule type="cellIs" dxfId="655" priority="641" stopIfTrue="1" operator="equal">
      <formula>"Towel"</formula>
    </cfRule>
    <cfRule type="cellIs" dxfId="654" priority="642" stopIfTrue="1" operator="equal">
      <formula>"Napkin Hs"</formula>
    </cfRule>
  </conditionalFormatting>
  <conditionalFormatting sqref="C143">
    <cfRule type="cellIs" dxfId="653" priority="639" stopIfTrue="1" operator="equal">
      <formula>"Towel"</formula>
    </cfRule>
    <cfRule type="cellIs" dxfId="652" priority="640" stopIfTrue="1" operator="equal">
      <formula>"Napkin Hs"</formula>
    </cfRule>
  </conditionalFormatting>
  <conditionalFormatting sqref="C143">
    <cfRule type="cellIs" dxfId="651" priority="637" stopIfTrue="1" operator="equal">
      <formula>"Towel"</formula>
    </cfRule>
    <cfRule type="cellIs" dxfId="650" priority="638" stopIfTrue="1" operator="equal">
      <formula>"Napkin Hs"</formula>
    </cfRule>
  </conditionalFormatting>
  <conditionalFormatting sqref="B143:C143">
    <cfRule type="cellIs" dxfId="649" priority="636" stopIfTrue="1" operator="equal">
      <formula>"Napkin Hs"</formula>
    </cfRule>
  </conditionalFormatting>
  <conditionalFormatting sqref="B143:C143">
    <cfRule type="cellIs" dxfId="648" priority="635" stopIfTrue="1" operator="equal">
      <formula>"Towel"</formula>
    </cfRule>
  </conditionalFormatting>
  <conditionalFormatting sqref="C143">
    <cfRule type="cellIs" dxfId="647" priority="634" stopIfTrue="1" operator="equal">
      <formula>"Napkin Hs"</formula>
    </cfRule>
  </conditionalFormatting>
  <conditionalFormatting sqref="C143">
    <cfRule type="cellIs" dxfId="646" priority="631" stopIfTrue="1" operator="equal">
      <formula>"Towel"</formula>
    </cfRule>
    <cfRule type="cellIs" dxfId="645" priority="632" stopIfTrue="1" operator="equal">
      <formula>"Napkin Hs"</formula>
    </cfRule>
  </conditionalFormatting>
  <conditionalFormatting sqref="C143">
    <cfRule type="cellIs" dxfId="644" priority="633" stopIfTrue="1" operator="equal">
      <formula>"Towel"</formula>
    </cfRule>
  </conditionalFormatting>
  <conditionalFormatting sqref="B143:C143">
    <cfRule type="cellIs" dxfId="643" priority="630" stopIfTrue="1" operator="equal">
      <formula>"Napkin Hs"</formula>
    </cfRule>
  </conditionalFormatting>
  <conditionalFormatting sqref="B143:C143">
    <cfRule type="cellIs" dxfId="642" priority="629" stopIfTrue="1" operator="equal">
      <formula>"Towel"</formula>
    </cfRule>
  </conditionalFormatting>
  <conditionalFormatting sqref="C143">
    <cfRule type="cellIs" dxfId="641" priority="628" stopIfTrue="1" operator="equal">
      <formula>"Napkin Hs"</formula>
    </cfRule>
  </conditionalFormatting>
  <conditionalFormatting sqref="C143">
    <cfRule type="cellIs" dxfId="640" priority="627" stopIfTrue="1" operator="equal">
      <formula>"Towel"</formula>
    </cfRule>
  </conditionalFormatting>
  <conditionalFormatting sqref="C143">
    <cfRule type="cellIs" dxfId="639" priority="625" stopIfTrue="1" operator="equal">
      <formula>"Towel"</formula>
    </cfRule>
    <cfRule type="cellIs" dxfId="638" priority="626" stopIfTrue="1" operator="equal">
      <formula>"Napkin Hs"</formula>
    </cfRule>
  </conditionalFormatting>
  <conditionalFormatting sqref="C143">
    <cfRule type="cellIs" dxfId="637" priority="619" stopIfTrue="1" operator="equal">
      <formula>"Towel"</formula>
    </cfRule>
    <cfRule type="cellIs" dxfId="636" priority="620" stopIfTrue="1" operator="equal">
      <formula>"Napkin Hs"</formula>
    </cfRule>
  </conditionalFormatting>
  <conditionalFormatting sqref="B143:C143">
    <cfRule type="cellIs" dxfId="635" priority="618" stopIfTrue="1" operator="equal">
      <formula>"Napkin Hs"</formula>
    </cfRule>
  </conditionalFormatting>
  <conditionalFormatting sqref="B143:C143">
    <cfRule type="cellIs" dxfId="634" priority="617" stopIfTrue="1" operator="equal">
      <formula>"Towel"</formula>
    </cfRule>
  </conditionalFormatting>
  <conditionalFormatting sqref="C143">
    <cfRule type="cellIs" dxfId="633" priority="616" stopIfTrue="1" operator="equal">
      <formula>"Napkin Hs"</formula>
    </cfRule>
  </conditionalFormatting>
  <conditionalFormatting sqref="C143">
    <cfRule type="cellIs" dxfId="632" priority="615" stopIfTrue="1" operator="equal">
      <formula>"Towel"</formula>
    </cfRule>
  </conditionalFormatting>
  <conditionalFormatting sqref="C143">
    <cfRule type="cellIs" dxfId="631" priority="613" stopIfTrue="1" operator="equal">
      <formula>"Towel"</formula>
    </cfRule>
    <cfRule type="cellIs" dxfId="630" priority="614" stopIfTrue="1" operator="equal">
      <formula>"Napkin Hs"</formula>
    </cfRule>
  </conditionalFormatting>
  <conditionalFormatting sqref="C143">
    <cfRule type="cellIs" dxfId="629" priority="607" stopIfTrue="1" operator="equal">
      <formula>"Towel"</formula>
    </cfRule>
    <cfRule type="cellIs" dxfId="628" priority="608" stopIfTrue="1" operator="equal">
      <formula>"Napkin Hs"</formula>
    </cfRule>
  </conditionalFormatting>
  <conditionalFormatting sqref="C143">
    <cfRule type="cellIs" dxfId="627" priority="601" stopIfTrue="1" operator="equal">
      <formula>"Towel"</formula>
    </cfRule>
    <cfRule type="cellIs" dxfId="626" priority="602" stopIfTrue="1" operator="equal">
      <formula>"Napkin Hs"</formula>
    </cfRule>
  </conditionalFormatting>
  <conditionalFormatting sqref="C143">
    <cfRule type="cellIs" dxfId="625" priority="595" stopIfTrue="1" operator="equal">
      <formula>"Towel"</formula>
    </cfRule>
    <cfRule type="cellIs" dxfId="624" priority="596" stopIfTrue="1" operator="equal">
      <formula>"Napkin Hs"</formula>
    </cfRule>
  </conditionalFormatting>
  <conditionalFormatting sqref="C143">
    <cfRule type="cellIs" dxfId="623" priority="589" stopIfTrue="1" operator="equal">
      <formula>"Towel"</formula>
    </cfRule>
    <cfRule type="cellIs" dxfId="622" priority="590" stopIfTrue="1" operator="equal">
      <formula>"Napkin Hs"</formula>
    </cfRule>
  </conditionalFormatting>
  <conditionalFormatting sqref="C143">
    <cfRule type="cellIs" dxfId="621" priority="583" stopIfTrue="1" operator="equal">
      <formula>"Towel"</formula>
    </cfRule>
    <cfRule type="cellIs" dxfId="620" priority="584" stopIfTrue="1" operator="equal">
      <formula>"Napkin Hs"</formula>
    </cfRule>
  </conditionalFormatting>
  <conditionalFormatting sqref="B143:C143">
    <cfRule type="cellIs" dxfId="619" priority="582" stopIfTrue="1" operator="equal">
      <formula>"Napkin Hs"</formula>
    </cfRule>
  </conditionalFormatting>
  <conditionalFormatting sqref="B143:C143">
    <cfRule type="cellIs" dxfId="618" priority="581" stopIfTrue="1" operator="equal">
      <formula>"Towel"</formula>
    </cfRule>
  </conditionalFormatting>
  <conditionalFormatting sqref="C143">
    <cfRule type="cellIs" dxfId="617" priority="580" stopIfTrue="1" operator="equal">
      <formula>"Napkin Hs"</formula>
    </cfRule>
  </conditionalFormatting>
  <conditionalFormatting sqref="C143">
    <cfRule type="cellIs" dxfId="616" priority="577" stopIfTrue="1" operator="equal">
      <formula>"Towel"</formula>
    </cfRule>
    <cfRule type="cellIs" dxfId="615" priority="578" stopIfTrue="1" operator="equal">
      <formula>"Napkin Hs"</formula>
    </cfRule>
  </conditionalFormatting>
  <conditionalFormatting sqref="C143">
    <cfRule type="cellIs" dxfId="614" priority="579" stopIfTrue="1" operator="equal">
      <formula>"Towel"</formula>
    </cfRule>
  </conditionalFormatting>
  <conditionalFormatting sqref="B143:C143">
    <cfRule type="cellIs" dxfId="613" priority="576" stopIfTrue="1" operator="equal">
      <formula>"Napkin Hs"</formula>
    </cfRule>
  </conditionalFormatting>
  <conditionalFormatting sqref="B143:C143">
    <cfRule type="cellIs" dxfId="612" priority="575" stopIfTrue="1" operator="equal">
      <formula>"Towel"</formula>
    </cfRule>
  </conditionalFormatting>
  <conditionalFormatting sqref="C143">
    <cfRule type="cellIs" dxfId="611" priority="574" stopIfTrue="1" operator="equal">
      <formula>"Napkin Hs"</formula>
    </cfRule>
  </conditionalFormatting>
  <conditionalFormatting sqref="C143">
    <cfRule type="cellIs" dxfId="610" priority="571" stopIfTrue="1" operator="equal">
      <formula>"Towel"</formula>
    </cfRule>
    <cfRule type="cellIs" dxfId="609" priority="572" stopIfTrue="1" operator="equal">
      <formula>"Napkin Hs"</formula>
    </cfRule>
  </conditionalFormatting>
  <conditionalFormatting sqref="C143">
    <cfRule type="cellIs" dxfId="608" priority="573" stopIfTrue="1" operator="equal">
      <formula>"Towel"</formula>
    </cfRule>
  </conditionalFormatting>
  <conditionalFormatting sqref="B143:C143">
    <cfRule type="cellIs" dxfId="607" priority="623" stopIfTrue="1" operator="equal">
      <formula>"Towel"</formula>
    </cfRule>
    <cfRule type="cellIs" dxfId="606" priority="624" stopIfTrue="1" operator="equal">
      <formula>"Napkin Hs"</formula>
    </cfRule>
  </conditionalFormatting>
  <conditionalFormatting sqref="C143">
    <cfRule type="cellIs" dxfId="605" priority="621" stopIfTrue="1" operator="equal">
      <formula>"Towel"</formula>
    </cfRule>
    <cfRule type="cellIs" dxfId="604" priority="622" stopIfTrue="1" operator="equal">
      <formula>"Napkin Hs"</formula>
    </cfRule>
  </conditionalFormatting>
  <conditionalFormatting sqref="B143:C143">
    <cfRule type="cellIs" dxfId="603" priority="611" stopIfTrue="1" operator="equal">
      <formula>"Towel"</formula>
    </cfRule>
    <cfRule type="cellIs" dxfId="602" priority="612" stopIfTrue="1" operator="equal">
      <formula>"Napkin Hs"</formula>
    </cfRule>
  </conditionalFormatting>
  <conditionalFormatting sqref="C143">
    <cfRule type="cellIs" dxfId="601" priority="609" stopIfTrue="1" operator="equal">
      <formula>"Towel"</formula>
    </cfRule>
    <cfRule type="cellIs" dxfId="600" priority="610" stopIfTrue="1" operator="equal">
      <formula>"Napkin Hs"</formula>
    </cfRule>
  </conditionalFormatting>
  <conditionalFormatting sqref="B143:C143">
    <cfRule type="cellIs" dxfId="599" priority="605" stopIfTrue="1" operator="equal">
      <formula>"Towel"</formula>
    </cfRule>
    <cfRule type="cellIs" dxfId="598" priority="606" stopIfTrue="1" operator="equal">
      <formula>"Napkin Hs"</formula>
    </cfRule>
  </conditionalFormatting>
  <conditionalFormatting sqref="C143">
    <cfRule type="cellIs" dxfId="597" priority="603" stopIfTrue="1" operator="equal">
      <formula>"Towel"</formula>
    </cfRule>
    <cfRule type="cellIs" dxfId="596" priority="604" stopIfTrue="1" operator="equal">
      <formula>"Napkin Hs"</formula>
    </cfRule>
  </conditionalFormatting>
  <conditionalFormatting sqref="B143:C143">
    <cfRule type="cellIs" dxfId="595" priority="599" stopIfTrue="1" operator="equal">
      <formula>"Towel"</formula>
    </cfRule>
    <cfRule type="cellIs" dxfId="594" priority="600" stopIfTrue="1" operator="equal">
      <formula>"Napkin Hs"</formula>
    </cfRule>
  </conditionalFormatting>
  <conditionalFormatting sqref="C143">
    <cfRule type="cellIs" dxfId="593" priority="597" stopIfTrue="1" operator="equal">
      <formula>"Towel"</formula>
    </cfRule>
    <cfRule type="cellIs" dxfId="592" priority="598" stopIfTrue="1" operator="equal">
      <formula>"Napkin Hs"</formula>
    </cfRule>
  </conditionalFormatting>
  <conditionalFormatting sqref="B143:C143">
    <cfRule type="cellIs" dxfId="591" priority="593" stopIfTrue="1" operator="equal">
      <formula>"Towel"</formula>
    </cfRule>
    <cfRule type="cellIs" dxfId="590" priority="594" stopIfTrue="1" operator="equal">
      <formula>"Napkin Hs"</formula>
    </cfRule>
  </conditionalFormatting>
  <conditionalFormatting sqref="C143">
    <cfRule type="cellIs" dxfId="589" priority="591" stopIfTrue="1" operator="equal">
      <formula>"Towel"</formula>
    </cfRule>
    <cfRule type="cellIs" dxfId="588" priority="592" stopIfTrue="1" operator="equal">
      <formula>"Napkin Hs"</formula>
    </cfRule>
  </conditionalFormatting>
  <conditionalFormatting sqref="B143:C143">
    <cfRule type="cellIs" dxfId="587" priority="587" stopIfTrue="1" operator="equal">
      <formula>"Towel"</formula>
    </cfRule>
    <cfRule type="cellIs" dxfId="586" priority="588" stopIfTrue="1" operator="equal">
      <formula>"Napkin Hs"</formula>
    </cfRule>
  </conditionalFormatting>
  <conditionalFormatting sqref="C143">
    <cfRule type="cellIs" dxfId="585" priority="585" stopIfTrue="1" operator="equal">
      <formula>"Towel"</formula>
    </cfRule>
    <cfRule type="cellIs" dxfId="584" priority="586" stopIfTrue="1" operator="equal">
      <formula>"Napkin Hs"</formula>
    </cfRule>
  </conditionalFormatting>
  <conditionalFormatting sqref="B143:C143">
    <cfRule type="cellIs" dxfId="583" priority="570" stopIfTrue="1" operator="equal">
      <formula>"Napkin Hs"</formula>
    </cfRule>
  </conditionalFormatting>
  <conditionalFormatting sqref="B143:C143">
    <cfRule type="cellIs" dxfId="582" priority="569" stopIfTrue="1" operator="equal">
      <formula>"Towel"</formula>
    </cfRule>
  </conditionalFormatting>
  <conditionalFormatting sqref="C143">
    <cfRule type="cellIs" dxfId="581" priority="568" stopIfTrue="1" operator="equal">
      <formula>"Napkin Hs"</formula>
    </cfRule>
  </conditionalFormatting>
  <conditionalFormatting sqref="C143">
    <cfRule type="cellIs" dxfId="580" priority="565" stopIfTrue="1" operator="equal">
      <formula>"Towel"</formula>
    </cfRule>
    <cfRule type="cellIs" dxfId="579" priority="566" stopIfTrue="1" operator="equal">
      <formula>"Napkin Hs"</formula>
    </cfRule>
  </conditionalFormatting>
  <conditionalFormatting sqref="C143">
    <cfRule type="cellIs" dxfId="578" priority="567" stopIfTrue="1" operator="equal">
      <formula>"Towel"</formula>
    </cfRule>
  </conditionalFormatting>
  <conditionalFormatting sqref="B150:C151">
    <cfRule type="cellIs" dxfId="577" priority="564" stopIfTrue="1" operator="equal">
      <formula>"Napkin Hs"</formula>
    </cfRule>
  </conditionalFormatting>
  <conditionalFormatting sqref="B150:C151">
    <cfRule type="cellIs" dxfId="576" priority="563" stopIfTrue="1" operator="equal">
      <formula>"Towel"</formula>
    </cfRule>
  </conditionalFormatting>
  <conditionalFormatting sqref="C150:C151">
    <cfRule type="cellIs" dxfId="575" priority="562" stopIfTrue="1" operator="equal">
      <formula>"Napkin Hs"</formula>
    </cfRule>
  </conditionalFormatting>
  <conditionalFormatting sqref="C150:C151">
    <cfRule type="cellIs" dxfId="574" priority="561" stopIfTrue="1" operator="equal">
      <formula>"Towel"</formula>
    </cfRule>
  </conditionalFormatting>
  <conditionalFormatting sqref="C150:C151">
    <cfRule type="cellIs" dxfId="573" priority="559" stopIfTrue="1" operator="equal">
      <formula>"Towel"</formula>
    </cfRule>
    <cfRule type="cellIs" dxfId="572" priority="560" stopIfTrue="1" operator="equal">
      <formula>"Napkin Hs"</formula>
    </cfRule>
  </conditionalFormatting>
  <conditionalFormatting sqref="C149">
    <cfRule type="cellIs" dxfId="571" priority="555" stopIfTrue="1" operator="equal">
      <formula>"Towel"</formula>
    </cfRule>
    <cfRule type="cellIs" dxfId="570" priority="556" stopIfTrue="1" operator="equal">
      <formula>"Napkin Hs"</formula>
    </cfRule>
  </conditionalFormatting>
  <conditionalFormatting sqref="C149">
    <cfRule type="cellIs" dxfId="569" priority="553" stopIfTrue="1" operator="equal">
      <formula>"Towel"</formula>
    </cfRule>
    <cfRule type="cellIs" dxfId="568" priority="554" stopIfTrue="1" operator="equal">
      <formula>"Napkin Hs"</formula>
    </cfRule>
  </conditionalFormatting>
  <conditionalFormatting sqref="B149:C149">
    <cfRule type="cellIs" dxfId="567" priority="504" stopIfTrue="1" operator="equal">
      <formula>"Napkin Hs"</formula>
    </cfRule>
  </conditionalFormatting>
  <conditionalFormatting sqref="B149:C149">
    <cfRule type="cellIs" dxfId="566" priority="503" stopIfTrue="1" operator="equal">
      <formula>"Towel"</formula>
    </cfRule>
  </conditionalFormatting>
  <conditionalFormatting sqref="B149:C149">
    <cfRule type="cellIs" dxfId="565" priority="557" stopIfTrue="1" operator="equal">
      <formula>"Towel"</formula>
    </cfRule>
    <cfRule type="cellIs" dxfId="564" priority="558" stopIfTrue="1" operator="equal">
      <formula>"Napkin Hs"</formula>
    </cfRule>
  </conditionalFormatting>
  <conditionalFormatting sqref="C149">
    <cfRule type="cellIs" dxfId="563" priority="502" stopIfTrue="1" operator="equal">
      <formula>"Napkin Hs"</formula>
    </cfRule>
  </conditionalFormatting>
  <conditionalFormatting sqref="C149">
    <cfRule type="cellIs" dxfId="562" priority="501" stopIfTrue="1" operator="equal">
      <formula>"Towel"</formula>
    </cfRule>
  </conditionalFormatting>
  <conditionalFormatting sqref="C149">
    <cfRule type="cellIs" dxfId="561" priority="499" stopIfTrue="1" operator="equal">
      <formula>"Towel"</formula>
    </cfRule>
    <cfRule type="cellIs" dxfId="560" priority="500" stopIfTrue="1" operator="equal">
      <formula>"Napkin Hs"</formula>
    </cfRule>
  </conditionalFormatting>
  <conditionalFormatting sqref="B149:C149">
    <cfRule type="cellIs" dxfId="559" priority="552" stopIfTrue="1" operator="equal">
      <formula>"Napkin Hs"</formula>
    </cfRule>
  </conditionalFormatting>
  <conditionalFormatting sqref="B149:C149">
    <cfRule type="cellIs" dxfId="558" priority="551" stopIfTrue="1" operator="equal">
      <formula>"Towel"</formula>
    </cfRule>
  </conditionalFormatting>
  <conditionalFormatting sqref="C149">
    <cfRule type="cellIs" dxfId="557" priority="550" stopIfTrue="1" operator="equal">
      <formula>"Napkin Hs"</formula>
    </cfRule>
  </conditionalFormatting>
  <conditionalFormatting sqref="C149">
    <cfRule type="cellIs" dxfId="556" priority="549" stopIfTrue="1" operator="equal">
      <formula>"Towel"</formula>
    </cfRule>
  </conditionalFormatting>
  <conditionalFormatting sqref="C149">
    <cfRule type="cellIs" dxfId="555" priority="547" stopIfTrue="1" operator="equal">
      <formula>"Towel"</formula>
    </cfRule>
    <cfRule type="cellIs" dxfId="554" priority="548" stopIfTrue="1" operator="equal">
      <formula>"Napkin Hs"</formula>
    </cfRule>
  </conditionalFormatting>
  <conditionalFormatting sqref="B149:C149">
    <cfRule type="cellIs" dxfId="553" priority="545" stopIfTrue="1" operator="equal">
      <formula>"Towel"</formula>
    </cfRule>
    <cfRule type="cellIs" dxfId="552" priority="546" stopIfTrue="1" operator="equal">
      <formula>"Napkin Hs"</formula>
    </cfRule>
  </conditionalFormatting>
  <conditionalFormatting sqref="C149">
    <cfRule type="cellIs" dxfId="551" priority="541" stopIfTrue="1" operator="equal">
      <formula>"Towel"</formula>
    </cfRule>
    <cfRule type="cellIs" dxfId="550" priority="542" stopIfTrue="1" operator="equal">
      <formula>"Napkin Hs"</formula>
    </cfRule>
  </conditionalFormatting>
  <conditionalFormatting sqref="C149">
    <cfRule type="cellIs" dxfId="549" priority="543" stopIfTrue="1" operator="equal">
      <formula>"Towel"</formula>
    </cfRule>
    <cfRule type="cellIs" dxfId="548" priority="544" stopIfTrue="1" operator="equal">
      <formula>"Napkin Hs"</formula>
    </cfRule>
  </conditionalFormatting>
  <conditionalFormatting sqref="B149:C149">
    <cfRule type="cellIs" dxfId="547" priority="540" stopIfTrue="1" operator="equal">
      <formula>"Napkin Hs"</formula>
    </cfRule>
  </conditionalFormatting>
  <conditionalFormatting sqref="B149:C149">
    <cfRule type="cellIs" dxfId="546" priority="539" stopIfTrue="1" operator="equal">
      <formula>"Towel"</formula>
    </cfRule>
  </conditionalFormatting>
  <conditionalFormatting sqref="C149">
    <cfRule type="cellIs" dxfId="545" priority="538" stopIfTrue="1" operator="equal">
      <formula>"Napkin Hs"</formula>
    </cfRule>
  </conditionalFormatting>
  <conditionalFormatting sqref="C149">
    <cfRule type="cellIs" dxfId="544" priority="537" stopIfTrue="1" operator="equal">
      <formula>"Towel"</formula>
    </cfRule>
  </conditionalFormatting>
  <conditionalFormatting sqref="C149">
    <cfRule type="cellIs" dxfId="543" priority="535" stopIfTrue="1" operator="equal">
      <formula>"Towel"</formula>
    </cfRule>
    <cfRule type="cellIs" dxfId="542" priority="536" stopIfTrue="1" operator="equal">
      <formula>"Napkin Hs"</formula>
    </cfRule>
  </conditionalFormatting>
  <conditionalFormatting sqref="B149:C149">
    <cfRule type="cellIs" dxfId="541" priority="533" stopIfTrue="1" operator="equal">
      <formula>"Towel"</formula>
    </cfRule>
    <cfRule type="cellIs" dxfId="540" priority="534" stopIfTrue="1" operator="equal">
      <formula>"Napkin Hs"</formula>
    </cfRule>
  </conditionalFormatting>
  <conditionalFormatting sqref="C149">
    <cfRule type="cellIs" dxfId="539" priority="531" stopIfTrue="1" operator="equal">
      <formula>"Towel"</formula>
    </cfRule>
    <cfRule type="cellIs" dxfId="538" priority="532" stopIfTrue="1" operator="equal">
      <formula>"Napkin Hs"</formula>
    </cfRule>
  </conditionalFormatting>
  <conditionalFormatting sqref="C149">
    <cfRule type="cellIs" dxfId="537" priority="529" stopIfTrue="1" operator="equal">
      <formula>"Towel"</formula>
    </cfRule>
    <cfRule type="cellIs" dxfId="536" priority="530" stopIfTrue="1" operator="equal">
      <formula>"Napkin Hs"</formula>
    </cfRule>
  </conditionalFormatting>
  <conditionalFormatting sqref="B149:C149">
    <cfRule type="cellIs" dxfId="535" priority="527" stopIfTrue="1" operator="equal">
      <formula>"Towel"</formula>
    </cfRule>
    <cfRule type="cellIs" dxfId="534" priority="528" stopIfTrue="1" operator="equal">
      <formula>"Napkin Hs"</formula>
    </cfRule>
  </conditionalFormatting>
  <conditionalFormatting sqref="C149">
    <cfRule type="cellIs" dxfId="533" priority="525" stopIfTrue="1" operator="equal">
      <formula>"Towel"</formula>
    </cfRule>
    <cfRule type="cellIs" dxfId="532" priority="526" stopIfTrue="1" operator="equal">
      <formula>"Napkin Hs"</formula>
    </cfRule>
  </conditionalFormatting>
  <conditionalFormatting sqref="C149">
    <cfRule type="cellIs" dxfId="531" priority="523" stopIfTrue="1" operator="equal">
      <formula>"Towel"</formula>
    </cfRule>
    <cfRule type="cellIs" dxfId="530" priority="524" stopIfTrue="1" operator="equal">
      <formula>"Napkin Hs"</formula>
    </cfRule>
  </conditionalFormatting>
  <conditionalFormatting sqref="B149:C149">
    <cfRule type="cellIs" dxfId="529" priority="521" stopIfTrue="1" operator="equal">
      <formula>"Towel"</formula>
    </cfRule>
    <cfRule type="cellIs" dxfId="528" priority="522" stopIfTrue="1" operator="equal">
      <formula>"Napkin Hs"</formula>
    </cfRule>
  </conditionalFormatting>
  <conditionalFormatting sqref="C149">
    <cfRule type="cellIs" dxfId="527" priority="519" stopIfTrue="1" operator="equal">
      <formula>"Towel"</formula>
    </cfRule>
    <cfRule type="cellIs" dxfId="526" priority="520" stopIfTrue="1" operator="equal">
      <formula>"Napkin Hs"</formula>
    </cfRule>
  </conditionalFormatting>
  <conditionalFormatting sqref="C149">
    <cfRule type="cellIs" dxfId="525" priority="517" stopIfTrue="1" operator="equal">
      <formula>"Towel"</formula>
    </cfRule>
    <cfRule type="cellIs" dxfId="524" priority="518" stopIfTrue="1" operator="equal">
      <formula>"Napkin Hs"</formula>
    </cfRule>
  </conditionalFormatting>
  <conditionalFormatting sqref="B149:C149">
    <cfRule type="cellIs" dxfId="523" priority="515" stopIfTrue="1" operator="equal">
      <formula>"Towel"</formula>
    </cfRule>
    <cfRule type="cellIs" dxfId="522" priority="516" stopIfTrue="1" operator="equal">
      <formula>"Napkin Hs"</formula>
    </cfRule>
  </conditionalFormatting>
  <conditionalFormatting sqref="C149">
    <cfRule type="cellIs" dxfId="521" priority="513" stopIfTrue="1" operator="equal">
      <formula>"Towel"</formula>
    </cfRule>
    <cfRule type="cellIs" dxfId="520" priority="514" stopIfTrue="1" operator="equal">
      <formula>"Napkin Hs"</formula>
    </cfRule>
  </conditionalFormatting>
  <conditionalFormatting sqref="C149">
    <cfRule type="cellIs" dxfId="519" priority="511" stopIfTrue="1" operator="equal">
      <formula>"Towel"</formula>
    </cfRule>
    <cfRule type="cellIs" dxfId="518" priority="512" stopIfTrue="1" operator="equal">
      <formula>"Napkin Hs"</formula>
    </cfRule>
  </conditionalFormatting>
  <conditionalFormatting sqref="B149:C149">
    <cfRule type="cellIs" dxfId="517" priority="509" stopIfTrue="1" operator="equal">
      <formula>"Towel"</formula>
    </cfRule>
    <cfRule type="cellIs" dxfId="516" priority="510" stopIfTrue="1" operator="equal">
      <formula>"Napkin Hs"</formula>
    </cfRule>
  </conditionalFormatting>
  <conditionalFormatting sqref="C149">
    <cfRule type="cellIs" dxfId="515" priority="507" stopIfTrue="1" operator="equal">
      <formula>"Towel"</formula>
    </cfRule>
    <cfRule type="cellIs" dxfId="514" priority="508" stopIfTrue="1" operator="equal">
      <formula>"Napkin Hs"</formula>
    </cfRule>
  </conditionalFormatting>
  <conditionalFormatting sqref="C149">
    <cfRule type="cellIs" dxfId="513" priority="505" stopIfTrue="1" operator="equal">
      <formula>"Towel"</formula>
    </cfRule>
    <cfRule type="cellIs" dxfId="512" priority="506" stopIfTrue="1" operator="equal">
      <formula>"Napkin Hs"</formula>
    </cfRule>
  </conditionalFormatting>
  <conditionalFormatting sqref="B149:C149">
    <cfRule type="cellIs" dxfId="511" priority="495" stopIfTrue="1" operator="equal">
      <formula>"Towel"</formula>
    </cfRule>
    <cfRule type="cellIs" dxfId="510" priority="496" stopIfTrue="1" operator="equal">
      <formula>"Napkin Hs"</formula>
    </cfRule>
  </conditionalFormatting>
  <conditionalFormatting sqref="C149">
    <cfRule type="cellIs" dxfId="509" priority="497" stopIfTrue="1" operator="equal">
      <formula>"Towel"</formula>
    </cfRule>
    <cfRule type="cellIs" dxfId="508" priority="498" stopIfTrue="1" operator="equal">
      <formula>"Napkin Hs"</formula>
    </cfRule>
  </conditionalFormatting>
  <conditionalFormatting sqref="C149">
    <cfRule type="cellIs" dxfId="507" priority="493" stopIfTrue="1" operator="equal">
      <formula>"Towel"</formula>
    </cfRule>
    <cfRule type="cellIs" dxfId="506" priority="494" stopIfTrue="1" operator="equal">
      <formula>"Napkin Hs"</formula>
    </cfRule>
  </conditionalFormatting>
  <conditionalFormatting sqref="B149:C149">
    <cfRule type="cellIs" dxfId="505" priority="492" stopIfTrue="1" operator="equal">
      <formula>"Napkin Hs"</formula>
    </cfRule>
  </conditionalFormatting>
  <conditionalFormatting sqref="B149:C149">
    <cfRule type="cellIs" dxfId="504" priority="491" stopIfTrue="1" operator="equal">
      <formula>"Towel"</formula>
    </cfRule>
  </conditionalFormatting>
  <conditionalFormatting sqref="C149">
    <cfRule type="cellIs" dxfId="503" priority="490" stopIfTrue="1" operator="equal">
      <formula>"Napkin Hs"</formula>
    </cfRule>
  </conditionalFormatting>
  <conditionalFormatting sqref="C149">
    <cfRule type="cellIs" dxfId="502" priority="489" stopIfTrue="1" operator="equal">
      <formula>"Towel"</formula>
    </cfRule>
  </conditionalFormatting>
  <conditionalFormatting sqref="C149">
    <cfRule type="cellIs" dxfId="501" priority="487" stopIfTrue="1" operator="equal">
      <formula>"Towel"</formula>
    </cfRule>
    <cfRule type="cellIs" dxfId="500" priority="488" stopIfTrue="1" operator="equal">
      <formula>"Napkin Hs"</formula>
    </cfRule>
  </conditionalFormatting>
  <conditionalFormatting sqref="B149:C149">
    <cfRule type="cellIs" dxfId="499" priority="485" stopIfTrue="1" operator="equal">
      <formula>"Towel"</formula>
    </cfRule>
    <cfRule type="cellIs" dxfId="498" priority="486" stopIfTrue="1" operator="equal">
      <formula>"Napkin Hs"</formula>
    </cfRule>
  </conditionalFormatting>
  <conditionalFormatting sqref="C149">
    <cfRule type="cellIs" dxfId="497" priority="481" stopIfTrue="1" operator="equal">
      <formula>"Towel"</formula>
    </cfRule>
    <cfRule type="cellIs" dxfId="496" priority="482" stopIfTrue="1" operator="equal">
      <formula>"Napkin Hs"</formula>
    </cfRule>
  </conditionalFormatting>
  <conditionalFormatting sqref="C149">
    <cfRule type="cellIs" dxfId="495" priority="483" stopIfTrue="1" operator="equal">
      <formula>"Towel"</formula>
    </cfRule>
    <cfRule type="cellIs" dxfId="494" priority="484" stopIfTrue="1" operator="equal">
      <formula>"Napkin Hs"</formula>
    </cfRule>
  </conditionalFormatting>
  <conditionalFormatting sqref="B149:C149">
    <cfRule type="cellIs" dxfId="493" priority="480" stopIfTrue="1" operator="equal">
      <formula>"Napkin Hs"</formula>
    </cfRule>
  </conditionalFormatting>
  <conditionalFormatting sqref="B149:C149">
    <cfRule type="cellIs" dxfId="492" priority="479" stopIfTrue="1" operator="equal">
      <formula>"Towel"</formula>
    </cfRule>
  </conditionalFormatting>
  <conditionalFormatting sqref="C149">
    <cfRule type="cellIs" dxfId="491" priority="478" stopIfTrue="1" operator="equal">
      <formula>"Napkin Hs"</formula>
    </cfRule>
  </conditionalFormatting>
  <conditionalFormatting sqref="C149">
    <cfRule type="cellIs" dxfId="490" priority="477" stopIfTrue="1" operator="equal">
      <formula>"Towel"</formula>
    </cfRule>
  </conditionalFormatting>
  <conditionalFormatting sqref="C149">
    <cfRule type="cellIs" dxfId="489" priority="475" stopIfTrue="1" operator="equal">
      <formula>"Towel"</formula>
    </cfRule>
    <cfRule type="cellIs" dxfId="488" priority="476" stopIfTrue="1" operator="equal">
      <formula>"Napkin Hs"</formula>
    </cfRule>
  </conditionalFormatting>
  <conditionalFormatting sqref="B149:C149">
    <cfRule type="cellIs" dxfId="487" priority="473" stopIfTrue="1" operator="equal">
      <formula>"Towel"</formula>
    </cfRule>
    <cfRule type="cellIs" dxfId="486" priority="474" stopIfTrue="1" operator="equal">
      <formula>"Napkin Hs"</formula>
    </cfRule>
  </conditionalFormatting>
  <conditionalFormatting sqref="C149">
    <cfRule type="cellIs" dxfId="485" priority="471" stopIfTrue="1" operator="equal">
      <formula>"Towel"</formula>
    </cfRule>
    <cfRule type="cellIs" dxfId="484" priority="472" stopIfTrue="1" operator="equal">
      <formula>"Napkin Hs"</formula>
    </cfRule>
  </conditionalFormatting>
  <conditionalFormatting sqref="C149">
    <cfRule type="cellIs" dxfId="483" priority="469" stopIfTrue="1" operator="equal">
      <formula>"Towel"</formula>
    </cfRule>
    <cfRule type="cellIs" dxfId="482" priority="470" stopIfTrue="1" operator="equal">
      <formula>"Napkin Hs"</formula>
    </cfRule>
  </conditionalFormatting>
  <conditionalFormatting sqref="B149:C149">
    <cfRule type="cellIs" dxfId="481" priority="467" stopIfTrue="1" operator="equal">
      <formula>"Towel"</formula>
    </cfRule>
    <cfRule type="cellIs" dxfId="480" priority="468" stopIfTrue="1" operator="equal">
      <formula>"Napkin Hs"</formula>
    </cfRule>
  </conditionalFormatting>
  <conditionalFormatting sqref="C149">
    <cfRule type="cellIs" dxfId="479" priority="465" stopIfTrue="1" operator="equal">
      <formula>"Towel"</formula>
    </cfRule>
    <cfRule type="cellIs" dxfId="478" priority="466" stopIfTrue="1" operator="equal">
      <formula>"Napkin Hs"</formula>
    </cfRule>
  </conditionalFormatting>
  <conditionalFormatting sqref="C149">
    <cfRule type="cellIs" dxfId="477" priority="463" stopIfTrue="1" operator="equal">
      <formula>"Towel"</formula>
    </cfRule>
    <cfRule type="cellIs" dxfId="476" priority="464" stopIfTrue="1" operator="equal">
      <formula>"Napkin Hs"</formula>
    </cfRule>
  </conditionalFormatting>
  <conditionalFormatting sqref="B149:C149">
    <cfRule type="cellIs" dxfId="475" priority="461" stopIfTrue="1" operator="equal">
      <formula>"Towel"</formula>
    </cfRule>
    <cfRule type="cellIs" dxfId="474" priority="462" stopIfTrue="1" operator="equal">
      <formula>"Napkin Hs"</formula>
    </cfRule>
  </conditionalFormatting>
  <conditionalFormatting sqref="C149">
    <cfRule type="cellIs" dxfId="473" priority="459" stopIfTrue="1" operator="equal">
      <formula>"Towel"</formula>
    </cfRule>
    <cfRule type="cellIs" dxfId="472" priority="460" stopIfTrue="1" operator="equal">
      <formula>"Napkin Hs"</formula>
    </cfRule>
  </conditionalFormatting>
  <conditionalFormatting sqref="C149">
    <cfRule type="cellIs" dxfId="471" priority="457" stopIfTrue="1" operator="equal">
      <formula>"Towel"</formula>
    </cfRule>
    <cfRule type="cellIs" dxfId="470" priority="458" stopIfTrue="1" operator="equal">
      <formula>"Napkin Hs"</formula>
    </cfRule>
  </conditionalFormatting>
  <conditionalFormatting sqref="B149:C149">
    <cfRule type="cellIs" dxfId="469" priority="455" stopIfTrue="1" operator="equal">
      <formula>"Towel"</formula>
    </cfRule>
    <cfRule type="cellIs" dxfId="468" priority="456" stopIfTrue="1" operator="equal">
      <formula>"Napkin Hs"</formula>
    </cfRule>
  </conditionalFormatting>
  <conditionalFormatting sqref="C149">
    <cfRule type="cellIs" dxfId="467" priority="453" stopIfTrue="1" operator="equal">
      <formula>"Towel"</formula>
    </cfRule>
    <cfRule type="cellIs" dxfId="466" priority="454" stopIfTrue="1" operator="equal">
      <formula>"Napkin Hs"</formula>
    </cfRule>
  </conditionalFormatting>
  <conditionalFormatting sqref="C149">
    <cfRule type="cellIs" dxfId="465" priority="451" stopIfTrue="1" operator="equal">
      <formula>"Towel"</formula>
    </cfRule>
    <cfRule type="cellIs" dxfId="464" priority="452" stopIfTrue="1" operator="equal">
      <formula>"Napkin Hs"</formula>
    </cfRule>
  </conditionalFormatting>
  <conditionalFormatting sqref="B149:C149">
    <cfRule type="cellIs" dxfId="463" priority="449" stopIfTrue="1" operator="equal">
      <formula>"Towel"</formula>
    </cfRule>
    <cfRule type="cellIs" dxfId="462" priority="450" stopIfTrue="1" operator="equal">
      <formula>"Napkin Hs"</formula>
    </cfRule>
  </conditionalFormatting>
  <conditionalFormatting sqref="C149">
    <cfRule type="cellIs" dxfId="461" priority="447" stopIfTrue="1" operator="equal">
      <formula>"Towel"</formula>
    </cfRule>
    <cfRule type="cellIs" dxfId="460" priority="448" stopIfTrue="1" operator="equal">
      <formula>"Napkin Hs"</formula>
    </cfRule>
  </conditionalFormatting>
  <conditionalFormatting sqref="C149">
    <cfRule type="cellIs" dxfId="459" priority="445" stopIfTrue="1" operator="equal">
      <formula>"Towel"</formula>
    </cfRule>
    <cfRule type="cellIs" dxfId="458" priority="446" stopIfTrue="1" operator="equal">
      <formula>"Napkin Hs"</formula>
    </cfRule>
  </conditionalFormatting>
  <conditionalFormatting sqref="B149:C149">
    <cfRule type="cellIs" dxfId="457" priority="444" stopIfTrue="1" operator="equal">
      <formula>"Napkin Hs"</formula>
    </cfRule>
  </conditionalFormatting>
  <conditionalFormatting sqref="B149:C149">
    <cfRule type="cellIs" dxfId="456" priority="443" stopIfTrue="1" operator="equal">
      <formula>"Towel"</formula>
    </cfRule>
  </conditionalFormatting>
  <conditionalFormatting sqref="C149">
    <cfRule type="cellIs" dxfId="455" priority="442" stopIfTrue="1" operator="equal">
      <formula>"Napkin Hs"</formula>
    </cfRule>
  </conditionalFormatting>
  <conditionalFormatting sqref="C149">
    <cfRule type="cellIs" dxfId="454" priority="439" stopIfTrue="1" operator="equal">
      <formula>"Towel"</formula>
    </cfRule>
    <cfRule type="cellIs" dxfId="453" priority="440" stopIfTrue="1" operator="equal">
      <formula>"Napkin Hs"</formula>
    </cfRule>
  </conditionalFormatting>
  <conditionalFormatting sqref="C149">
    <cfRule type="cellIs" dxfId="452" priority="441" stopIfTrue="1" operator="equal">
      <formula>"Towel"</formula>
    </cfRule>
  </conditionalFormatting>
  <conditionalFormatting sqref="B149:C149">
    <cfRule type="cellIs" dxfId="451" priority="438" stopIfTrue="1" operator="equal">
      <formula>"Napkin Hs"</formula>
    </cfRule>
  </conditionalFormatting>
  <conditionalFormatting sqref="B149:C149">
    <cfRule type="cellIs" dxfId="450" priority="437" stopIfTrue="1" operator="equal">
      <formula>"Towel"</formula>
    </cfRule>
  </conditionalFormatting>
  <conditionalFormatting sqref="C149">
    <cfRule type="cellIs" dxfId="449" priority="436" stopIfTrue="1" operator="equal">
      <formula>"Napkin Hs"</formula>
    </cfRule>
  </conditionalFormatting>
  <conditionalFormatting sqref="C149">
    <cfRule type="cellIs" dxfId="448" priority="435" stopIfTrue="1" operator="equal">
      <formula>"Towel"</formula>
    </cfRule>
  </conditionalFormatting>
  <conditionalFormatting sqref="C149">
    <cfRule type="cellIs" dxfId="447" priority="433" stopIfTrue="1" operator="equal">
      <formula>"Towel"</formula>
    </cfRule>
    <cfRule type="cellIs" dxfId="446" priority="434" stopIfTrue="1" operator="equal">
      <formula>"Napkin Hs"</formula>
    </cfRule>
  </conditionalFormatting>
  <conditionalFormatting sqref="C149">
    <cfRule type="cellIs" dxfId="445" priority="427" stopIfTrue="1" operator="equal">
      <formula>"Towel"</formula>
    </cfRule>
    <cfRule type="cellIs" dxfId="444" priority="428" stopIfTrue="1" operator="equal">
      <formula>"Napkin Hs"</formula>
    </cfRule>
  </conditionalFormatting>
  <conditionalFormatting sqref="B149:C149">
    <cfRule type="cellIs" dxfId="443" priority="426" stopIfTrue="1" operator="equal">
      <formula>"Napkin Hs"</formula>
    </cfRule>
  </conditionalFormatting>
  <conditionalFormatting sqref="B149:C149">
    <cfRule type="cellIs" dxfId="442" priority="425" stopIfTrue="1" operator="equal">
      <formula>"Towel"</formula>
    </cfRule>
  </conditionalFormatting>
  <conditionalFormatting sqref="C149">
    <cfRule type="cellIs" dxfId="441" priority="424" stopIfTrue="1" operator="equal">
      <formula>"Napkin Hs"</formula>
    </cfRule>
  </conditionalFormatting>
  <conditionalFormatting sqref="C149">
    <cfRule type="cellIs" dxfId="440" priority="423" stopIfTrue="1" operator="equal">
      <formula>"Towel"</formula>
    </cfRule>
  </conditionalFormatting>
  <conditionalFormatting sqref="C149">
    <cfRule type="cellIs" dxfId="439" priority="421" stopIfTrue="1" operator="equal">
      <formula>"Towel"</formula>
    </cfRule>
    <cfRule type="cellIs" dxfId="438" priority="422" stopIfTrue="1" operator="equal">
      <formula>"Napkin Hs"</formula>
    </cfRule>
  </conditionalFormatting>
  <conditionalFormatting sqref="C149">
    <cfRule type="cellIs" dxfId="437" priority="415" stopIfTrue="1" operator="equal">
      <formula>"Towel"</formula>
    </cfRule>
    <cfRule type="cellIs" dxfId="436" priority="416" stopIfTrue="1" operator="equal">
      <formula>"Napkin Hs"</formula>
    </cfRule>
  </conditionalFormatting>
  <conditionalFormatting sqref="C149">
    <cfRule type="cellIs" dxfId="435" priority="409" stopIfTrue="1" operator="equal">
      <formula>"Towel"</formula>
    </cfRule>
    <cfRule type="cellIs" dxfId="434" priority="410" stopIfTrue="1" operator="equal">
      <formula>"Napkin Hs"</formula>
    </cfRule>
  </conditionalFormatting>
  <conditionalFormatting sqref="C149">
    <cfRule type="cellIs" dxfId="433" priority="403" stopIfTrue="1" operator="equal">
      <formula>"Towel"</formula>
    </cfRule>
    <cfRule type="cellIs" dxfId="432" priority="404" stopIfTrue="1" operator="equal">
      <formula>"Napkin Hs"</formula>
    </cfRule>
  </conditionalFormatting>
  <conditionalFormatting sqref="C149">
    <cfRule type="cellIs" dxfId="431" priority="397" stopIfTrue="1" operator="equal">
      <formula>"Towel"</formula>
    </cfRule>
    <cfRule type="cellIs" dxfId="430" priority="398" stopIfTrue="1" operator="equal">
      <formula>"Napkin Hs"</formula>
    </cfRule>
  </conditionalFormatting>
  <conditionalFormatting sqref="C149">
    <cfRule type="cellIs" dxfId="429" priority="391" stopIfTrue="1" operator="equal">
      <formula>"Towel"</formula>
    </cfRule>
    <cfRule type="cellIs" dxfId="428" priority="392" stopIfTrue="1" operator="equal">
      <formula>"Napkin Hs"</formula>
    </cfRule>
  </conditionalFormatting>
  <conditionalFormatting sqref="B149:C149">
    <cfRule type="cellIs" dxfId="427" priority="390" stopIfTrue="1" operator="equal">
      <formula>"Napkin Hs"</formula>
    </cfRule>
  </conditionalFormatting>
  <conditionalFormatting sqref="B149:C149">
    <cfRule type="cellIs" dxfId="426" priority="389" stopIfTrue="1" operator="equal">
      <formula>"Towel"</formula>
    </cfRule>
  </conditionalFormatting>
  <conditionalFormatting sqref="C149">
    <cfRule type="cellIs" dxfId="425" priority="388" stopIfTrue="1" operator="equal">
      <formula>"Napkin Hs"</formula>
    </cfRule>
  </conditionalFormatting>
  <conditionalFormatting sqref="C149">
    <cfRule type="cellIs" dxfId="424" priority="385" stopIfTrue="1" operator="equal">
      <formula>"Towel"</formula>
    </cfRule>
    <cfRule type="cellIs" dxfId="423" priority="386" stopIfTrue="1" operator="equal">
      <formula>"Napkin Hs"</formula>
    </cfRule>
  </conditionalFormatting>
  <conditionalFormatting sqref="C149">
    <cfRule type="cellIs" dxfId="422" priority="387" stopIfTrue="1" operator="equal">
      <formula>"Towel"</formula>
    </cfRule>
  </conditionalFormatting>
  <conditionalFormatting sqref="B149:C149">
    <cfRule type="cellIs" dxfId="421" priority="384" stopIfTrue="1" operator="equal">
      <formula>"Napkin Hs"</formula>
    </cfRule>
  </conditionalFormatting>
  <conditionalFormatting sqref="B149:C149">
    <cfRule type="cellIs" dxfId="420" priority="383" stopIfTrue="1" operator="equal">
      <formula>"Towel"</formula>
    </cfRule>
  </conditionalFormatting>
  <conditionalFormatting sqref="C149">
    <cfRule type="cellIs" dxfId="419" priority="382" stopIfTrue="1" operator="equal">
      <formula>"Napkin Hs"</formula>
    </cfRule>
  </conditionalFormatting>
  <conditionalFormatting sqref="C149">
    <cfRule type="cellIs" dxfId="418" priority="379" stopIfTrue="1" operator="equal">
      <formula>"Towel"</formula>
    </cfRule>
    <cfRule type="cellIs" dxfId="417" priority="380" stopIfTrue="1" operator="equal">
      <formula>"Napkin Hs"</formula>
    </cfRule>
  </conditionalFormatting>
  <conditionalFormatting sqref="C149">
    <cfRule type="cellIs" dxfId="416" priority="381" stopIfTrue="1" operator="equal">
      <formula>"Towel"</formula>
    </cfRule>
  </conditionalFormatting>
  <conditionalFormatting sqref="B149:C149">
    <cfRule type="cellIs" dxfId="415" priority="431" stopIfTrue="1" operator="equal">
      <formula>"Towel"</formula>
    </cfRule>
    <cfRule type="cellIs" dxfId="414" priority="432" stopIfTrue="1" operator="equal">
      <formula>"Napkin Hs"</formula>
    </cfRule>
  </conditionalFormatting>
  <conditionalFormatting sqref="C149">
    <cfRule type="cellIs" dxfId="413" priority="429" stopIfTrue="1" operator="equal">
      <formula>"Towel"</formula>
    </cfRule>
    <cfRule type="cellIs" dxfId="412" priority="430" stopIfTrue="1" operator="equal">
      <formula>"Napkin Hs"</formula>
    </cfRule>
  </conditionalFormatting>
  <conditionalFormatting sqref="B149:C149">
    <cfRule type="cellIs" dxfId="411" priority="419" stopIfTrue="1" operator="equal">
      <formula>"Towel"</formula>
    </cfRule>
    <cfRule type="cellIs" dxfId="410" priority="420" stopIfTrue="1" operator="equal">
      <formula>"Napkin Hs"</formula>
    </cfRule>
  </conditionalFormatting>
  <conditionalFormatting sqref="C149">
    <cfRule type="cellIs" dxfId="409" priority="417" stopIfTrue="1" operator="equal">
      <formula>"Towel"</formula>
    </cfRule>
    <cfRule type="cellIs" dxfId="408" priority="418" stopIfTrue="1" operator="equal">
      <formula>"Napkin Hs"</formula>
    </cfRule>
  </conditionalFormatting>
  <conditionalFormatting sqref="B149:C149">
    <cfRule type="cellIs" dxfId="407" priority="413" stopIfTrue="1" operator="equal">
      <formula>"Towel"</formula>
    </cfRule>
    <cfRule type="cellIs" dxfId="406" priority="414" stopIfTrue="1" operator="equal">
      <formula>"Napkin Hs"</formula>
    </cfRule>
  </conditionalFormatting>
  <conditionalFormatting sqref="C149">
    <cfRule type="cellIs" dxfId="405" priority="411" stopIfTrue="1" operator="equal">
      <formula>"Towel"</formula>
    </cfRule>
    <cfRule type="cellIs" dxfId="404" priority="412" stopIfTrue="1" operator="equal">
      <formula>"Napkin Hs"</formula>
    </cfRule>
  </conditionalFormatting>
  <conditionalFormatting sqref="B149:C149">
    <cfRule type="cellIs" dxfId="403" priority="407" stopIfTrue="1" operator="equal">
      <formula>"Towel"</formula>
    </cfRule>
    <cfRule type="cellIs" dxfId="402" priority="408" stopIfTrue="1" operator="equal">
      <formula>"Napkin Hs"</formula>
    </cfRule>
  </conditionalFormatting>
  <conditionalFormatting sqref="C149">
    <cfRule type="cellIs" dxfId="401" priority="405" stopIfTrue="1" operator="equal">
      <formula>"Towel"</formula>
    </cfRule>
    <cfRule type="cellIs" dxfId="400" priority="406" stopIfTrue="1" operator="equal">
      <formula>"Napkin Hs"</formula>
    </cfRule>
  </conditionalFormatting>
  <conditionalFormatting sqref="B149:C149">
    <cfRule type="cellIs" dxfId="399" priority="401" stopIfTrue="1" operator="equal">
      <formula>"Towel"</formula>
    </cfRule>
    <cfRule type="cellIs" dxfId="398" priority="402" stopIfTrue="1" operator="equal">
      <formula>"Napkin Hs"</formula>
    </cfRule>
  </conditionalFormatting>
  <conditionalFormatting sqref="C149">
    <cfRule type="cellIs" dxfId="397" priority="399" stopIfTrue="1" operator="equal">
      <formula>"Towel"</formula>
    </cfRule>
    <cfRule type="cellIs" dxfId="396" priority="400" stopIfTrue="1" operator="equal">
      <formula>"Napkin Hs"</formula>
    </cfRule>
  </conditionalFormatting>
  <conditionalFormatting sqref="B149:C149">
    <cfRule type="cellIs" dxfId="395" priority="395" stopIfTrue="1" operator="equal">
      <formula>"Towel"</formula>
    </cfRule>
    <cfRule type="cellIs" dxfId="394" priority="396" stopIfTrue="1" operator="equal">
      <formula>"Napkin Hs"</formula>
    </cfRule>
  </conditionalFormatting>
  <conditionalFormatting sqref="C149">
    <cfRule type="cellIs" dxfId="393" priority="393" stopIfTrue="1" operator="equal">
      <formula>"Towel"</formula>
    </cfRule>
    <cfRule type="cellIs" dxfId="392" priority="394" stopIfTrue="1" operator="equal">
      <formula>"Napkin Hs"</formula>
    </cfRule>
  </conditionalFormatting>
  <conditionalFormatting sqref="B149:C149">
    <cfRule type="cellIs" dxfId="391" priority="378" stopIfTrue="1" operator="equal">
      <formula>"Napkin Hs"</formula>
    </cfRule>
  </conditionalFormatting>
  <conditionalFormatting sqref="B149:C149">
    <cfRule type="cellIs" dxfId="390" priority="377" stopIfTrue="1" operator="equal">
      <formula>"Towel"</formula>
    </cfRule>
  </conditionalFormatting>
  <conditionalFormatting sqref="C149">
    <cfRule type="cellIs" dxfId="389" priority="376" stopIfTrue="1" operator="equal">
      <formula>"Napkin Hs"</formula>
    </cfRule>
  </conditionalFormatting>
  <conditionalFormatting sqref="C149">
    <cfRule type="cellIs" dxfId="388" priority="373" stopIfTrue="1" operator="equal">
      <formula>"Towel"</formula>
    </cfRule>
    <cfRule type="cellIs" dxfId="387" priority="374" stopIfTrue="1" operator="equal">
      <formula>"Napkin Hs"</formula>
    </cfRule>
  </conditionalFormatting>
  <conditionalFormatting sqref="C149">
    <cfRule type="cellIs" dxfId="386" priority="375" stopIfTrue="1" operator="equal">
      <formula>"Towel"</formula>
    </cfRule>
  </conditionalFormatting>
  <conditionalFormatting sqref="C147">
    <cfRule type="cellIs" dxfId="385" priority="369" stopIfTrue="1" operator="equal">
      <formula>"Towel"</formula>
    </cfRule>
    <cfRule type="cellIs" dxfId="384" priority="370" stopIfTrue="1" operator="equal">
      <formula>"Napkin Hs"</formula>
    </cfRule>
  </conditionalFormatting>
  <conditionalFormatting sqref="C147">
    <cfRule type="cellIs" dxfId="383" priority="367" stopIfTrue="1" operator="equal">
      <formula>"Towel"</formula>
    </cfRule>
    <cfRule type="cellIs" dxfId="382" priority="368" stopIfTrue="1" operator="equal">
      <formula>"Napkin Hs"</formula>
    </cfRule>
  </conditionalFormatting>
  <conditionalFormatting sqref="B147:C147">
    <cfRule type="cellIs" dxfId="381" priority="318" stopIfTrue="1" operator="equal">
      <formula>"Napkin Hs"</formula>
    </cfRule>
  </conditionalFormatting>
  <conditionalFormatting sqref="B147:C147">
    <cfRule type="cellIs" dxfId="380" priority="317" stopIfTrue="1" operator="equal">
      <formula>"Towel"</formula>
    </cfRule>
  </conditionalFormatting>
  <conditionalFormatting sqref="B147:C147">
    <cfRule type="cellIs" dxfId="379" priority="371" stopIfTrue="1" operator="equal">
      <formula>"Towel"</formula>
    </cfRule>
    <cfRule type="cellIs" dxfId="378" priority="372" stopIfTrue="1" operator="equal">
      <formula>"Napkin Hs"</formula>
    </cfRule>
  </conditionalFormatting>
  <conditionalFormatting sqref="C147">
    <cfRule type="cellIs" dxfId="377" priority="316" stopIfTrue="1" operator="equal">
      <formula>"Napkin Hs"</formula>
    </cfRule>
  </conditionalFormatting>
  <conditionalFormatting sqref="C147">
    <cfRule type="cellIs" dxfId="376" priority="315" stopIfTrue="1" operator="equal">
      <formula>"Towel"</formula>
    </cfRule>
  </conditionalFormatting>
  <conditionalFormatting sqref="C147">
    <cfRule type="cellIs" dxfId="375" priority="313" stopIfTrue="1" operator="equal">
      <formula>"Towel"</formula>
    </cfRule>
    <cfRule type="cellIs" dxfId="374" priority="314" stopIfTrue="1" operator="equal">
      <formula>"Napkin Hs"</formula>
    </cfRule>
  </conditionalFormatting>
  <conditionalFormatting sqref="B147:C147">
    <cfRule type="cellIs" dxfId="373" priority="366" stopIfTrue="1" operator="equal">
      <formula>"Napkin Hs"</formula>
    </cfRule>
  </conditionalFormatting>
  <conditionalFormatting sqref="B147:C147">
    <cfRule type="cellIs" dxfId="372" priority="365" stopIfTrue="1" operator="equal">
      <formula>"Towel"</formula>
    </cfRule>
  </conditionalFormatting>
  <conditionalFormatting sqref="C147">
    <cfRule type="cellIs" dxfId="371" priority="364" stopIfTrue="1" operator="equal">
      <formula>"Napkin Hs"</formula>
    </cfRule>
  </conditionalFormatting>
  <conditionalFormatting sqref="C147">
    <cfRule type="cellIs" dxfId="370" priority="363" stopIfTrue="1" operator="equal">
      <formula>"Towel"</formula>
    </cfRule>
  </conditionalFormatting>
  <conditionalFormatting sqref="C147">
    <cfRule type="cellIs" dxfId="369" priority="361" stopIfTrue="1" operator="equal">
      <formula>"Towel"</formula>
    </cfRule>
    <cfRule type="cellIs" dxfId="368" priority="362" stopIfTrue="1" operator="equal">
      <formula>"Napkin Hs"</formula>
    </cfRule>
  </conditionalFormatting>
  <conditionalFormatting sqref="B147:C147">
    <cfRule type="cellIs" dxfId="367" priority="359" stopIfTrue="1" operator="equal">
      <formula>"Towel"</formula>
    </cfRule>
    <cfRule type="cellIs" dxfId="366" priority="360" stopIfTrue="1" operator="equal">
      <formula>"Napkin Hs"</formula>
    </cfRule>
  </conditionalFormatting>
  <conditionalFormatting sqref="C147">
    <cfRule type="cellIs" dxfId="365" priority="355" stopIfTrue="1" operator="equal">
      <formula>"Towel"</formula>
    </cfRule>
    <cfRule type="cellIs" dxfId="364" priority="356" stopIfTrue="1" operator="equal">
      <formula>"Napkin Hs"</formula>
    </cfRule>
  </conditionalFormatting>
  <conditionalFormatting sqref="C147">
    <cfRule type="cellIs" dxfId="363" priority="357" stopIfTrue="1" operator="equal">
      <formula>"Towel"</formula>
    </cfRule>
    <cfRule type="cellIs" dxfId="362" priority="358" stopIfTrue="1" operator="equal">
      <formula>"Napkin Hs"</formula>
    </cfRule>
  </conditionalFormatting>
  <conditionalFormatting sqref="B147:C147">
    <cfRule type="cellIs" dxfId="361" priority="354" stopIfTrue="1" operator="equal">
      <formula>"Napkin Hs"</formula>
    </cfRule>
  </conditionalFormatting>
  <conditionalFormatting sqref="B147:C147">
    <cfRule type="cellIs" dxfId="360" priority="353" stopIfTrue="1" operator="equal">
      <formula>"Towel"</formula>
    </cfRule>
  </conditionalFormatting>
  <conditionalFormatting sqref="C147">
    <cfRule type="cellIs" dxfId="359" priority="352" stopIfTrue="1" operator="equal">
      <formula>"Napkin Hs"</formula>
    </cfRule>
  </conditionalFormatting>
  <conditionalFormatting sqref="C147">
    <cfRule type="cellIs" dxfId="358" priority="351" stopIfTrue="1" operator="equal">
      <formula>"Towel"</formula>
    </cfRule>
  </conditionalFormatting>
  <conditionalFormatting sqref="C147">
    <cfRule type="cellIs" dxfId="357" priority="349" stopIfTrue="1" operator="equal">
      <formula>"Towel"</formula>
    </cfRule>
    <cfRule type="cellIs" dxfId="356" priority="350" stopIfTrue="1" operator="equal">
      <formula>"Napkin Hs"</formula>
    </cfRule>
  </conditionalFormatting>
  <conditionalFormatting sqref="B147:C147">
    <cfRule type="cellIs" dxfId="355" priority="347" stopIfTrue="1" operator="equal">
      <formula>"Towel"</formula>
    </cfRule>
    <cfRule type="cellIs" dxfId="354" priority="348" stopIfTrue="1" operator="equal">
      <formula>"Napkin Hs"</formula>
    </cfRule>
  </conditionalFormatting>
  <conditionalFormatting sqref="C147">
    <cfRule type="cellIs" dxfId="353" priority="345" stopIfTrue="1" operator="equal">
      <formula>"Towel"</formula>
    </cfRule>
    <cfRule type="cellIs" dxfId="352" priority="346" stopIfTrue="1" operator="equal">
      <formula>"Napkin Hs"</formula>
    </cfRule>
  </conditionalFormatting>
  <conditionalFormatting sqref="C147">
    <cfRule type="cellIs" dxfId="351" priority="343" stopIfTrue="1" operator="equal">
      <formula>"Towel"</formula>
    </cfRule>
    <cfRule type="cellIs" dxfId="350" priority="344" stopIfTrue="1" operator="equal">
      <formula>"Napkin Hs"</formula>
    </cfRule>
  </conditionalFormatting>
  <conditionalFormatting sqref="B147:C147">
    <cfRule type="cellIs" dxfId="349" priority="341" stopIfTrue="1" operator="equal">
      <formula>"Towel"</formula>
    </cfRule>
    <cfRule type="cellIs" dxfId="348" priority="342" stopIfTrue="1" operator="equal">
      <formula>"Napkin Hs"</formula>
    </cfRule>
  </conditionalFormatting>
  <conditionalFormatting sqref="C147">
    <cfRule type="cellIs" dxfId="347" priority="339" stopIfTrue="1" operator="equal">
      <formula>"Towel"</formula>
    </cfRule>
    <cfRule type="cellIs" dxfId="346" priority="340" stopIfTrue="1" operator="equal">
      <formula>"Napkin Hs"</formula>
    </cfRule>
  </conditionalFormatting>
  <conditionalFormatting sqref="C147">
    <cfRule type="cellIs" dxfId="345" priority="337" stopIfTrue="1" operator="equal">
      <formula>"Towel"</formula>
    </cfRule>
    <cfRule type="cellIs" dxfId="344" priority="338" stopIfTrue="1" operator="equal">
      <formula>"Napkin Hs"</formula>
    </cfRule>
  </conditionalFormatting>
  <conditionalFormatting sqref="B147:C147">
    <cfRule type="cellIs" dxfId="343" priority="335" stopIfTrue="1" operator="equal">
      <formula>"Towel"</formula>
    </cfRule>
    <cfRule type="cellIs" dxfId="342" priority="336" stopIfTrue="1" operator="equal">
      <formula>"Napkin Hs"</formula>
    </cfRule>
  </conditionalFormatting>
  <conditionalFormatting sqref="C147">
    <cfRule type="cellIs" dxfId="341" priority="333" stopIfTrue="1" operator="equal">
      <formula>"Towel"</formula>
    </cfRule>
    <cfRule type="cellIs" dxfId="340" priority="334" stopIfTrue="1" operator="equal">
      <formula>"Napkin Hs"</formula>
    </cfRule>
  </conditionalFormatting>
  <conditionalFormatting sqref="C147">
    <cfRule type="cellIs" dxfId="339" priority="331" stopIfTrue="1" operator="equal">
      <formula>"Towel"</formula>
    </cfRule>
    <cfRule type="cellIs" dxfId="338" priority="332" stopIfTrue="1" operator="equal">
      <formula>"Napkin Hs"</formula>
    </cfRule>
  </conditionalFormatting>
  <conditionalFormatting sqref="B147:C147">
    <cfRule type="cellIs" dxfId="337" priority="329" stopIfTrue="1" operator="equal">
      <formula>"Towel"</formula>
    </cfRule>
    <cfRule type="cellIs" dxfId="336" priority="330" stopIfTrue="1" operator="equal">
      <formula>"Napkin Hs"</formula>
    </cfRule>
  </conditionalFormatting>
  <conditionalFormatting sqref="C147">
    <cfRule type="cellIs" dxfId="335" priority="327" stopIfTrue="1" operator="equal">
      <formula>"Towel"</formula>
    </cfRule>
    <cfRule type="cellIs" dxfId="334" priority="328" stopIfTrue="1" operator="equal">
      <formula>"Napkin Hs"</formula>
    </cfRule>
  </conditionalFormatting>
  <conditionalFormatting sqref="C147">
    <cfRule type="cellIs" dxfId="333" priority="325" stopIfTrue="1" operator="equal">
      <formula>"Towel"</formula>
    </cfRule>
    <cfRule type="cellIs" dxfId="332" priority="326" stopIfTrue="1" operator="equal">
      <formula>"Napkin Hs"</formula>
    </cfRule>
  </conditionalFormatting>
  <conditionalFormatting sqref="B147:C147">
    <cfRule type="cellIs" dxfId="331" priority="323" stopIfTrue="1" operator="equal">
      <formula>"Towel"</formula>
    </cfRule>
    <cfRule type="cellIs" dxfId="330" priority="324" stopIfTrue="1" operator="equal">
      <formula>"Napkin Hs"</formula>
    </cfRule>
  </conditionalFormatting>
  <conditionalFormatting sqref="C147">
    <cfRule type="cellIs" dxfId="329" priority="321" stopIfTrue="1" operator="equal">
      <formula>"Towel"</formula>
    </cfRule>
    <cfRule type="cellIs" dxfId="328" priority="322" stopIfTrue="1" operator="equal">
      <formula>"Napkin Hs"</formula>
    </cfRule>
  </conditionalFormatting>
  <conditionalFormatting sqref="C147">
    <cfRule type="cellIs" dxfId="327" priority="319" stopIfTrue="1" operator="equal">
      <formula>"Towel"</formula>
    </cfRule>
    <cfRule type="cellIs" dxfId="326" priority="320" stopIfTrue="1" operator="equal">
      <formula>"Napkin Hs"</formula>
    </cfRule>
  </conditionalFormatting>
  <conditionalFormatting sqref="B147:C147">
    <cfRule type="cellIs" dxfId="325" priority="309" stopIfTrue="1" operator="equal">
      <formula>"Towel"</formula>
    </cfRule>
    <cfRule type="cellIs" dxfId="324" priority="310" stopIfTrue="1" operator="equal">
      <formula>"Napkin Hs"</formula>
    </cfRule>
  </conditionalFormatting>
  <conditionalFormatting sqref="C147">
    <cfRule type="cellIs" dxfId="323" priority="311" stopIfTrue="1" operator="equal">
      <formula>"Towel"</formula>
    </cfRule>
    <cfRule type="cellIs" dxfId="322" priority="312" stopIfTrue="1" operator="equal">
      <formula>"Napkin Hs"</formula>
    </cfRule>
  </conditionalFormatting>
  <conditionalFormatting sqref="C147">
    <cfRule type="cellIs" dxfId="321" priority="307" stopIfTrue="1" operator="equal">
      <formula>"Towel"</formula>
    </cfRule>
    <cfRule type="cellIs" dxfId="320" priority="308" stopIfTrue="1" operator="equal">
      <formula>"Napkin Hs"</formula>
    </cfRule>
  </conditionalFormatting>
  <conditionalFormatting sqref="B147:C147">
    <cfRule type="cellIs" dxfId="319" priority="306" stopIfTrue="1" operator="equal">
      <formula>"Napkin Hs"</formula>
    </cfRule>
  </conditionalFormatting>
  <conditionalFormatting sqref="B147:C147">
    <cfRule type="cellIs" dxfId="318" priority="305" stopIfTrue="1" operator="equal">
      <formula>"Towel"</formula>
    </cfRule>
  </conditionalFormatting>
  <conditionalFormatting sqref="C147">
    <cfRule type="cellIs" dxfId="317" priority="304" stopIfTrue="1" operator="equal">
      <formula>"Napkin Hs"</formula>
    </cfRule>
  </conditionalFormatting>
  <conditionalFormatting sqref="C147">
    <cfRule type="cellIs" dxfId="316" priority="303" stopIfTrue="1" operator="equal">
      <formula>"Towel"</formula>
    </cfRule>
  </conditionalFormatting>
  <conditionalFormatting sqref="C147">
    <cfRule type="cellIs" dxfId="315" priority="301" stopIfTrue="1" operator="equal">
      <formula>"Towel"</formula>
    </cfRule>
    <cfRule type="cellIs" dxfId="314" priority="302" stopIfTrue="1" operator="equal">
      <formula>"Napkin Hs"</formula>
    </cfRule>
  </conditionalFormatting>
  <conditionalFormatting sqref="B147:C147">
    <cfRule type="cellIs" dxfId="313" priority="299" stopIfTrue="1" operator="equal">
      <formula>"Towel"</formula>
    </cfRule>
    <cfRule type="cellIs" dxfId="312" priority="300" stopIfTrue="1" operator="equal">
      <formula>"Napkin Hs"</formula>
    </cfRule>
  </conditionalFormatting>
  <conditionalFormatting sqref="C147">
    <cfRule type="cellIs" dxfId="311" priority="295" stopIfTrue="1" operator="equal">
      <formula>"Towel"</formula>
    </cfRule>
    <cfRule type="cellIs" dxfId="310" priority="296" stopIfTrue="1" operator="equal">
      <formula>"Napkin Hs"</formula>
    </cfRule>
  </conditionalFormatting>
  <conditionalFormatting sqref="C147">
    <cfRule type="cellIs" dxfId="309" priority="297" stopIfTrue="1" operator="equal">
      <formula>"Towel"</formula>
    </cfRule>
    <cfRule type="cellIs" dxfId="308" priority="298" stopIfTrue="1" operator="equal">
      <formula>"Napkin Hs"</formula>
    </cfRule>
  </conditionalFormatting>
  <conditionalFormatting sqref="B147:C147">
    <cfRule type="cellIs" dxfId="307" priority="294" stopIfTrue="1" operator="equal">
      <formula>"Napkin Hs"</formula>
    </cfRule>
  </conditionalFormatting>
  <conditionalFormatting sqref="B147:C147">
    <cfRule type="cellIs" dxfId="306" priority="293" stopIfTrue="1" operator="equal">
      <formula>"Towel"</formula>
    </cfRule>
  </conditionalFormatting>
  <conditionalFormatting sqref="C147">
    <cfRule type="cellIs" dxfId="305" priority="292" stopIfTrue="1" operator="equal">
      <formula>"Napkin Hs"</formula>
    </cfRule>
  </conditionalFormatting>
  <conditionalFormatting sqref="C147">
    <cfRule type="cellIs" dxfId="304" priority="291" stopIfTrue="1" operator="equal">
      <formula>"Towel"</formula>
    </cfRule>
  </conditionalFormatting>
  <conditionalFormatting sqref="C147">
    <cfRule type="cellIs" dxfId="303" priority="289" stopIfTrue="1" operator="equal">
      <formula>"Towel"</formula>
    </cfRule>
    <cfRule type="cellIs" dxfId="302" priority="290" stopIfTrue="1" operator="equal">
      <formula>"Napkin Hs"</formula>
    </cfRule>
  </conditionalFormatting>
  <conditionalFormatting sqref="B147:C147">
    <cfRule type="cellIs" dxfId="301" priority="287" stopIfTrue="1" operator="equal">
      <formula>"Towel"</formula>
    </cfRule>
    <cfRule type="cellIs" dxfId="300" priority="288" stopIfTrue="1" operator="equal">
      <formula>"Napkin Hs"</formula>
    </cfRule>
  </conditionalFormatting>
  <conditionalFormatting sqref="C147">
    <cfRule type="cellIs" dxfId="299" priority="285" stopIfTrue="1" operator="equal">
      <formula>"Towel"</formula>
    </cfRule>
    <cfRule type="cellIs" dxfId="298" priority="286" stopIfTrue="1" operator="equal">
      <formula>"Napkin Hs"</formula>
    </cfRule>
  </conditionalFormatting>
  <conditionalFormatting sqref="C147">
    <cfRule type="cellIs" dxfId="297" priority="283" stopIfTrue="1" operator="equal">
      <formula>"Towel"</formula>
    </cfRule>
    <cfRule type="cellIs" dxfId="296" priority="284" stopIfTrue="1" operator="equal">
      <formula>"Napkin Hs"</formula>
    </cfRule>
  </conditionalFormatting>
  <conditionalFormatting sqref="B147:C147">
    <cfRule type="cellIs" dxfId="295" priority="281" stopIfTrue="1" operator="equal">
      <formula>"Towel"</formula>
    </cfRule>
    <cfRule type="cellIs" dxfId="294" priority="282" stopIfTrue="1" operator="equal">
      <formula>"Napkin Hs"</formula>
    </cfRule>
  </conditionalFormatting>
  <conditionalFormatting sqref="C147">
    <cfRule type="cellIs" dxfId="293" priority="279" stopIfTrue="1" operator="equal">
      <formula>"Towel"</formula>
    </cfRule>
    <cfRule type="cellIs" dxfId="292" priority="280" stopIfTrue="1" operator="equal">
      <formula>"Napkin Hs"</formula>
    </cfRule>
  </conditionalFormatting>
  <conditionalFormatting sqref="C147">
    <cfRule type="cellIs" dxfId="291" priority="277" stopIfTrue="1" operator="equal">
      <formula>"Towel"</formula>
    </cfRule>
    <cfRule type="cellIs" dxfId="290" priority="278" stopIfTrue="1" operator="equal">
      <formula>"Napkin Hs"</formula>
    </cfRule>
  </conditionalFormatting>
  <conditionalFormatting sqref="B147:C147">
    <cfRule type="cellIs" dxfId="289" priority="275" stopIfTrue="1" operator="equal">
      <formula>"Towel"</formula>
    </cfRule>
    <cfRule type="cellIs" dxfId="288" priority="276" stopIfTrue="1" operator="equal">
      <formula>"Napkin Hs"</formula>
    </cfRule>
  </conditionalFormatting>
  <conditionalFormatting sqref="C147">
    <cfRule type="cellIs" dxfId="287" priority="273" stopIfTrue="1" operator="equal">
      <formula>"Towel"</formula>
    </cfRule>
    <cfRule type="cellIs" dxfId="286" priority="274" stopIfTrue="1" operator="equal">
      <formula>"Napkin Hs"</formula>
    </cfRule>
  </conditionalFormatting>
  <conditionalFormatting sqref="C147">
    <cfRule type="cellIs" dxfId="285" priority="271" stopIfTrue="1" operator="equal">
      <formula>"Towel"</formula>
    </cfRule>
    <cfRule type="cellIs" dxfId="284" priority="272" stopIfTrue="1" operator="equal">
      <formula>"Napkin Hs"</formula>
    </cfRule>
  </conditionalFormatting>
  <conditionalFormatting sqref="B147:C147">
    <cfRule type="cellIs" dxfId="283" priority="269" stopIfTrue="1" operator="equal">
      <formula>"Towel"</formula>
    </cfRule>
    <cfRule type="cellIs" dxfId="282" priority="270" stopIfTrue="1" operator="equal">
      <formula>"Napkin Hs"</formula>
    </cfRule>
  </conditionalFormatting>
  <conditionalFormatting sqref="C147">
    <cfRule type="cellIs" dxfId="281" priority="267" stopIfTrue="1" operator="equal">
      <formula>"Towel"</formula>
    </cfRule>
    <cfRule type="cellIs" dxfId="280" priority="268" stopIfTrue="1" operator="equal">
      <formula>"Napkin Hs"</formula>
    </cfRule>
  </conditionalFormatting>
  <conditionalFormatting sqref="C147">
    <cfRule type="cellIs" dxfId="279" priority="265" stopIfTrue="1" operator="equal">
      <formula>"Towel"</formula>
    </cfRule>
    <cfRule type="cellIs" dxfId="278" priority="266" stopIfTrue="1" operator="equal">
      <formula>"Napkin Hs"</formula>
    </cfRule>
  </conditionalFormatting>
  <conditionalFormatting sqref="B147:C147">
    <cfRule type="cellIs" dxfId="277" priority="263" stopIfTrue="1" operator="equal">
      <formula>"Towel"</formula>
    </cfRule>
    <cfRule type="cellIs" dxfId="276" priority="264" stopIfTrue="1" operator="equal">
      <formula>"Napkin Hs"</formula>
    </cfRule>
  </conditionalFormatting>
  <conditionalFormatting sqref="C147">
    <cfRule type="cellIs" dxfId="275" priority="261" stopIfTrue="1" operator="equal">
      <formula>"Towel"</formula>
    </cfRule>
    <cfRule type="cellIs" dxfId="274" priority="262" stopIfTrue="1" operator="equal">
      <formula>"Napkin Hs"</formula>
    </cfRule>
  </conditionalFormatting>
  <conditionalFormatting sqref="C147">
    <cfRule type="cellIs" dxfId="273" priority="259" stopIfTrue="1" operator="equal">
      <formula>"Towel"</formula>
    </cfRule>
    <cfRule type="cellIs" dxfId="272" priority="260" stopIfTrue="1" operator="equal">
      <formula>"Napkin Hs"</formula>
    </cfRule>
  </conditionalFormatting>
  <conditionalFormatting sqref="B147:C147">
    <cfRule type="cellIs" dxfId="271" priority="258" stopIfTrue="1" operator="equal">
      <formula>"Napkin Hs"</formula>
    </cfRule>
  </conditionalFormatting>
  <conditionalFormatting sqref="B147:C147">
    <cfRule type="cellIs" dxfId="270" priority="257" stopIfTrue="1" operator="equal">
      <formula>"Towel"</formula>
    </cfRule>
  </conditionalFormatting>
  <conditionalFormatting sqref="C147">
    <cfRule type="cellIs" dxfId="269" priority="256" stopIfTrue="1" operator="equal">
      <formula>"Napkin Hs"</formula>
    </cfRule>
  </conditionalFormatting>
  <conditionalFormatting sqref="C147">
    <cfRule type="cellIs" dxfId="268" priority="253" stopIfTrue="1" operator="equal">
      <formula>"Towel"</formula>
    </cfRule>
    <cfRule type="cellIs" dxfId="267" priority="254" stopIfTrue="1" operator="equal">
      <formula>"Napkin Hs"</formula>
    </cfRule>
  </conditionalFormatting>
  <conditionalFormatting sqref="C147">
    <cfRule type="cellIs" dxfId="266" priority="255" stopIfTrue="1" operator="equal">
      <formula>"Towel"</formula>
    </cfRule>
  </conditionalFormatting>
  <conditionalFormatting sqref="B147:C147">
    <cfRule type="cellIs" dxfId="265" priority="252" stopIfTrue="1" operator="equal">
      <formula>"Napkin Hs"</formula>
    </cfRule>
  </conditionalFormatting>
  <conditionalFormatting sqref="B147:C147">
    <cfRule type="cellIs" dxfId="264" priority="251" stopIfTrue="1" operator="equal">
      <formula>"Towel"</formula>
    </cfRule>
  </conditionalFormatting>
  <conditionalFormatting sqref="C147">
    <cfRule type="cellIs" dxfId="263" priority="250" stopIfTrue="1" operator="equal">
      <formula>"Napkin Hs"</formula>
    </cfRule>
  </conditionalFormatting>
  <conditionalFormatting sqref="C147">
    <cfRule type="cellIs" dxfId="262" priority="249" stopIfTrue="1" operator="equal">
      <formula>"Towel"</formula>
    </cfRule>
  </conditionalFormatting>
  <conditionalFormatting sqref="C147">
    <cfRule type="cellIs" dxfId="261" priority="247" stopIfTrue="1" operator="equal">
      <formula>"Towel"</formula>
    </cfRule>
    <cfRule type="cellIs" dxfId="260" priority="248" stopIfTrue="1" operator="equal">
      <formula>"Napkin Hs"</formula>
    </cfRule>
  </conditionalFormatting>
  <conditionalFormatting sqref="C147">
    <cfRule type="cellIs" dxfId="259" priority="241" stopIfTrue="1" operator="equal">
      <formula>"Towel"</formula>
    </cfRule>
    <cfRule type="cellIs" dxfId="258" priority="242" stopIfTrue="1" operator="equal">
      <formula>"Napkin Hs"</formula>
    </cfRule>
  </conditionalFormatting>
  <conditionalFormatting sqref="B147:C147">
    <cfRule type="cellIs" dxfId="257" priority="240" stopIfTrue="1" operator="equal">
      <formula>"Napkin Hs"</formula>
    </cfRule>
  </conditionalFormatting>
  <conditionalFormatting sqref="B147:C147">
    <cfRule type="cellIs" dxfId="256" priority="239" stopIfTrue="1" operator="equal">
      <formula>"Towel"</formula>
    </cfRule>
  </conditionalFormatting>
  <conditionalFormatting sqref="C147">
    <cfRule type="cellIs" dxfId="255" priority="238" stopIfTrue="1" operator="equal">
      <formula>"Napkin Hs"</formula>
    </cfRule>
  </conditionalFormatting>
  <conditionalFormatting sqref="C147">
    <cfRule type="cellIs" dxfId="254" priority="237" stopIfTrue="1" operator="equal">
      <formula>"Towel"</formula>
    </cfRule>
  </conditionalFormatting>
  <conditionalFormatting sqref="C147">
    <cfRule type="cellIs" dxfId="253" priority="235" stopIfTrue="1" operator="equal">
      <formula>"Towel"</formula>
    </cfRule>
    <cfRule type="cellIs" dxfId="252" priority="236" stopIfTrue="1" operator="equal">
      <formula>"Napkin Hs"</formula>
    </cfRule>
  </conditionalFormatting>
  <conditionalFormatting sqref="C147">
    <cfRule type="cellIs" dxfId="251" priority="229" stopIfTrue="1" operator="equal">
      <formula>"Towel"</formula>
    </cfRule>
    <cfRule type="cellIs" dxfId="250" priority="230" stopIfTrue="1" operator="equal">
      <formula>"Napkin Hs"</formula>
    </cfRule>
  </conditionalFormatting>
  <conditionalFormatting sqref="C147">
    <cfRule type="cellIs" dxfId="249" priority="223" stopIfTrue="1" operator="equal">
      <formula>"Towel"</formula>
    </cfRule>
    <cfRule type="cellIs" dxfId="248" priority="224" stopIfTrue="1" operator="equal">
      <formula>"Napkin Hs"</formula>
    </cfRule>
  </conditionalFormatting>
  <conditionalFormatting sqref="C147">
    <cfRule type="cellIs" dxfId="247" priority="217" stopIfTrue="1" operator="equal">
      <formula>"Towel"</formula>
    </cfRule>
    <cfRule type="cellIs" dxfId="246" priority="218" stopIfTrue="1" operator="equal">
      <formula>"Napkin Hs"</formula>
    </cfRule>
  </conditionalFormatting>
  <conditionalFormatting sqref="C147">
    <cfRule type="cellIs" dxfId="245" priority="211" stopIfTrue="1" operator="equal">
      <formula>"Towel"</formula>
    </cfRule>
    <cfRule type="cellIs" dxfId="244" priority="212" stopIfTrue="1" operator="equal">
      <formula>"Napkin Hs"</formula>
    </cfRule>
  </conditionalFormatting>
  <conditionalFormatting sqref="C147">
    <cfRule type="cellIs" dxfId="243" priority="205" stopIfTrue="1" operator="equal">
      <formula>"Towel"</formula>
    </cfRule>
    <cfRule type="cellIs" dxfId="242" priority="206" stopIfTrue="1" operator="equal">
      <formula>"Napkin Hs"</formula>
    </cfRule>
  </conditionalFormatting>
  <conditionalFormatting sqref="B147:C147">
    <cfRule type="cellIs" dxfId="241" priority="204" stopIfTrue="1" operator="equal">
      <formula>"Napkin Hs"</formula>
    </cfRule>
  </conditionalFormatting>
  <conditionalFormatting sqref="B147:C147">
    <cfRule type="cellIs" dxfId="240" priority="203" stopIfTrue="1" operator="equal">
      <formula>"Towel"</formula>
    </cfRule>
  </conditionalFormatting>
  <conditionalFormatting sqref="C147">
    <cfRule type="cellIs" dxfId="239" priority="202" stopIfTrue="1" operator="equal">
      <formula>"Napkin Hs"</formula>
    </cfRule>
  </conditionalFormatting>
  <conditionalFormatting sqref="C147">
    <cfRule type="cellIs" dxfId="238" priority="199" stopIfTrue="1" operator="equal">
      <formula>"Towel"</formula>
    </cfRule>
    <cfRule type="cellIs" dxfId="237" priority="200" stopIfTrue="1" operator="equal">
      <formula>"Napkin Hs"</formula>
    </cfRule>
  </conditionalFormatting>
  <conditionalFormatting sqref="C147">
    <cfRule type="cellIs" dxfId="236" priority="201" stopIfTrue="1" operator="equal">
      <formula>"Towel"</formula>
    </cfRule>
  </conditionalFormatting>
  <conditionalFormatting sqref="B147:C147">
    <cfRule type="cellIs" dxfId="235" priority="198" stopIfTrue="1" operator="equal">
      <formula>"Napkin Hs"</formula>
    </cfRule>
  </conditionalFormatting>
  <conditionalFormatting sqref="B147:C147">
    <cfRule type="cellIs" dxfId="234" priority="197" stopIfTrue="1" operator="equal">
      <formula>"Towel"</formula>
    </cfRule>
  </conditionalFormatting>
  <conditionalFormatting sqref="C147">
    <cfRule type="cellIs" dxfId="233" priority="196" stopIfTrue="1" operator="equal">
      <formula>"Napkin Hs"</formula>
    </cfRule>
  </conditionalFormatting>
  <conditionalFormatting sqref="C147">
    <cfRule type="cellIs" dxfId="232" priority="193" stopIfTrue="1" operator="equal">
      <formula>"Towel"</formula>
    </cfRule>
    <cfRule type="cellIs" dxfId="231" priority="194" stopIfTrue="1" operator="equal">
      <formula>"Napkin Hs"</formula>
    </cfRule>
  </conditionalFormatting>
  <conditionalFormatting sqref="C147">
    <cfRule type="cellIs" dxfId="230" priority="195" stopIfTrue="1" operator="equal">
      <formula>"Towel"</formula>
    </cfRule>
  </conditionalFormatting>
  <conditionalFormatting sqref="B147:C147">
    <cfRule type="cellIs" dxfId="229" priority="245" stopIfTrue="1" operator="equal">
      <formula>"Towel"</formula>
    </cfRule>
    <cfRule type="cellIs" dxfId="228" priority="246" stopIfTrue="1" operator="equal">
      <formula>"Napkin Hs"</formula>
    </cfRule>
  </conditionalFormatting>
  <conditionalFormatting sqref="C147">
    <cfRule type="cellIs" dxfId="227" priority="243" stopIfTrue="1" operator="equal">
      <formula>"Towel"</formula>
    </cfRule>
    <cfRule type="cellIs" dxfId="226" priority="244" stopIfTrue="1" operator="equal">
      <formula>"Napkin Hs"</formula>
    </cfRule>
  </conditionalFormatting>
  <conditionalFormatting sqref="B147:C147">
    <cfRule type="cellIs" dxfId="225" priority="233" stopIfTrue="1" operator="equal">
      <formula>"Towel"</formula>
    </cfRule>
    <cfRule type="cellIs" dxfId="224" priority="234" stopIfTrue="1" operator="equal">
      <formula>"Napkin Hs"</formula>
    </cfRule>
  </conditionalFormatting>
  <conditionalFormatting sqref="C147">
    <cfRule type="cellIs" dxfId="223" priority="231" stopIfTrue="1" operator="equal">
      <formula>"Towel"</formula>
    </cfRule>
    <cfRule type="cellIs" dxfId="222" priority="232" stopIfTrue="1" operator="equal">
      <formula>"Napkin Hs"</formula>
    </cfRule>
  </conditionalFormatting>
  <conditionalFormatting sqref="B147:C147">
    <cfRule type="cellIs" dxfId="221" priority="227" stopIfTrue="1" operator="equal">
      <formula>"Towel"</formula>
    </cfRule>
    <cfRule type="cellIs" dxfId="220" priority="228" stopIfTrue="1" operator="equal">
      <formula>"Napkin Hs"</formula>
    </cfRule>
  </conditionalFormatting>
  <conditionalFormatting sqref="C147">
    <cfRule type="cellIs" dxfId="219" priority="225" stopIfTrue="1" operator="equal">
      <formula>"Towel"</formula>
    </cfRule>
    <cfRule type="cellIs" dxfId="218" priority="226" stopIfTrue="1" operator="equal">
      <formula>"Napkin Hs"</formula>
    </cfRule>
  </conditionalFormatting>
  <conditionalFormatting sqref="B147:C147">
    <cfRule type="cellIs" dxfId="217" priority="221" stopIfTrue="1" operator="equal">
      <formula>"Towel"</formula>
    </cfRule>
    <cfRule type="cellIs" dxfId="216" priority="222" stopIfTrue="1" operator="equal">
      <formula>"Napkin Hs"</formula>
    </cfRule>
  </conditionalFormatting>
  <conditionalFormatting sqref="C147">
    <cfRule type="cellIs" dxfId="215" priority="219" stopIfTrue="1" operator="equal">
      <formula>"Towel"</formula>
    </cfRule>
    <cfRule type="cellIs" dxfId="214" priority="220" stopIfTrue="1" operator="equal">
      <formula>"Napkin Hs"</formula>
    </cfRule>
  </conditionalFormatting>
  <conditionalFormatting sqref="B147:C147">
    <cfRule type="cellIs" dxfId="213" priority="215" stopIfTrue="1" operator="equal">
      <formula>"Towel"</formula>
    </cfRule>
    <cfRule type="cellIs" dxfId="212" priority="216" stopIfTrue="1" operator="equal">
      <formula>"Napkin Hs"</formula>
    </cfRule>
  </conditionalFormatting>
  <conditionalFormatting sqref="C147">
    <cfRule type="cellIs" dxfId="211" priority="213" stopIfTrue="1" operator="equal">
      <formula>"Towel"</formula>
    </cfRule>
    <cfRule type="cellIs" dxfId="210" priority="214" stopIfTrue="1" operator="equal">
      <formula>"Napkin Hs"</formula>
    </cfRule>
  </conditionalFormatting>
  <conditionalFormatting sqref="B147:C147">
    <cfRule type="cellIs" dxfId="209" priority="209" stopIfTrue="1" operator="equal">
      <formula>"Towel"</formula>
    </cfRule>
    <cfRule type="cellIs" dxfId="208" priority="210" stopIfTrue="1" operator="equal">
      <formula>"Napkin Hs"</formula>
    </cfRule>
  </conditionalFormatting>
  <conditionalFormatting sqref="C147">
    <cfRule type="cellIs" dxfId="207" priority="207" stopIfTrue="1" operator="equal">
      <formula>"Towel"</formula>
    </cfRule>
    <cfRule type="cellIs" dxfId="206" priority="208" stopIfTrue="1" operator="equal">
      <formula>"Napkin Hs"</formula>
    </cfRule>
  </conditionalFormatting>
  <conditionalFormatting sqref="B147:C147">
    <cfRule type="cellIs" dxfId="205" priority="192" stopIfTrue="1" operator="equal">
      <formula>"Napkin Hs"</formula>
    </cfRule>
  </conditionalFormatting>
  <conditionalFormatting sqref="B147:C147">
    <cfRule type="cellIs" dxfId="204" priority="191" stopIfTrue="1" operator="equal">
      <formula>"Towel"</formula>
    </cfRule>
  </conditionalFormatting>
  <conditionalFormatting sqref="C147">
    <cfRule type="cellIs" dxfId="203" priority="190" stopIfTrue="1" operator="equal">
      <formula>"Napkin Hs"</formula>
    </cfRule>
  </conditionalFormatting>
  <conditionalFormatting sqref="C147">
    <cfRule type="cellIs" dxfId="202" priority="187" stopIfTrue="1" operator="equal">
      <formula>"Towel"</formula>
    </cfRule>
    <cfRule type="cellIs" dxfId="201" priority="188" stopIfTrue="1" operator="equal">
      <formula>"Napkin Hs"</formula>
    </cfRule>
  </conditionalFormatting>
  <conditionalFormatting sqref="C147">
    <cfRule type="cellIs" dxfId="200" priority="189" stopIfTrue="1" operator="equal">
      <formula>"Towel"</formula>
    </cfRule>
  </conditionalFormatting>
  <conditionalFormatting sqref="C148">
    <cfRule type="cellIs" dxfId="199" priority="183" stopIfTrue="1" operator="equal">
      <formula>"Towel"</formula>
    </cfRule>
    <cfRule type="cellIs" dxfId="198" priority="184" stopIfTrue="1" operator="equal">
      <formula>"Napkin Hs"</formula>
    </cfRule>
  </conditionalFormatting>
  <conditionalFormatting sqref="C148">
    <cfRule type="cellIs" dxfId="197" priority="181" stopIfTrue="1" operator="equal">
      <formula>"Towel"</formula>
    </cfRule>
    <cfRule type="cellIs" dxfId="196" priority="182" stopIfTrue="1" operator="equal">
      <formula>"Napkin Hs"</formula>
    </cfRule>
  </conditionalFormatting>
  <conditionalFormatting sqref="B148:C148">
    <cfRule type="cellIs" dxfId="195" priority="132" stopIfTrue="1" operator="equal">
      <formula>"Napkin Hs"</formula>
    </cfRule>
  </conditionalFormatting>
  <conditionalFormatting sqref="B148:C148">
    <cfRule type="cellIs" dxfId="194" priority="131" stopIfTrue="1" operator="equal">
      <formula>"Towel"</formula>
    </cfRule>
  </conditionalFormatting>
  <conditionalFormatting sqref="B148:C148">
    <cfRule type="cellIs" dxfId="193" priority="185" stopIfTrue="1" operator="equal">
      <formula>"Towel"</formula>
    </cfRule>
    <cfRule type="cellIs" dxfId="192" priority="186" stopIfTrue="1" operator="equal">
      <formula>"Napkin Hs"</formula>
    </cfRule>
  </conditionalFormatting>
  <conditionalFormatting sqref="C148">
    <cfRule type="cellIs" dxfId="191" priority="130" stopIfTrue="1" operator="equal">
      <formula>"Napkin Hs"</formula>
    </cfRule>
  </conditionalFormatting>
  <conditionalFormatting sqref="C148">
    <cfRule type="cellIs" dxfId="190" priority="129" stopIfTrue="1" operator="equal">
      <formula>"Towel"</formula>
    </cfRule>
  </conditionalFormatting>
  <conditionalFormatting sqref="C148">
    <cfRule type="cellIs" dxfId="189" priority="127" stopIfTrue="1" operator="equal">
      <formula>"Towel"</formula>
    </cfRule>
    <cfRule type="cellIs" dxfId="188" priority="128" stopIfTrue="1" operator="equal">
      <formula>"Napkin Hs"</formula>
    </cfRule>
  </conditionalFormatting>
  <conditionalFormatting sqref="B148:C148">
    <cfRule type="cellIs" dxfId="187" priority="180" stopIfTrue="1" operator="equal">
      <formula>"Napkin Hs"</formula>
    </cfRule>
  </conditionalFormatting>
  <conditionalFormatting sqref="B148:C148">
    <cfRule type="cellIs" dxfId="186" priority="179" stopIfTrue="1" operator="equal">
      <formula>"Towel"</formula>
    </cfRule>
  </conditionalFormatting>
  <conditionalFormatting sqref="C148">
    <cfRule type="cellIs" dxfId="185" priority="178" stopIfTrue="1" operator="equal">
      <formula>"Napkin Hs"</formula>
    </cfRule>
  </conditionalFormatting>
  <conditionalFormatting sqref="C148">
    <cfRule type="cellIs" dxfId="184" priority="177" stopIfTrue="1" operator="equal">
      <formula>"Towel"</formula>
    </cfRule>
  </conditionalFormatting>
  <conditionalFormatting sqref="C148">
    <cfRule type="cellIs" dxfId="183" priority="175" stopIfTrue="1" operator="equal">
      <formula>"Towel"</formula>
    </cfRule>
    <cfRule type="cellIs" dxfId="182" priority="176" stopIfTrue="1" operator="equal">
      <formula>"Napkin Hs"</formula>
    </cfRule>
  </conditionalFormatting>
  <conditionalFormatting sqref="B148:C148">
    <cfRule type="cellIs" dxfId="181" priority="173" stopIfTrue="1" operator="equal">
      <formula>"Towel"</formula>
    </cfRule>
    <cfRule type="cellIs" dxfId="180" priority="174" stopIfTrue="1" operator="equal">
      <formula>"Napkin Hs"</formula>
    </cfRule>
  </conditionalFormatting>
  <conditionalFormatting sqref="C148">
    <cfRule type="cellIs" dxfId="179" priority="169" stopIfTrue="1" operator="equal">
      <formula>"Towel"</formula>
    </cfRule>
    <cfRule type="cellIs" dxfId="178" priority="170" stopIfTrue="1" operator="equal">
      <formula>"Napkin Hs"</formula>
    </cfRule>
  </conditionalFormatting>
  <conditionalFormatting sqref="C148">
    <cfRule type="cellIs" dxfId="177" priority="171" stopIfTrue="1" operator="equal">
      <formula>"Towel"</formula>
    </cfRule>
    <cfRule type="cellIs" dxfId="176" priority="172" stopIfTrue="1" operator="equal">
      <formula>"Napkin Hs"</formula>
    </cfRule>
  </conditionalFormatting>
  <conditionalFormatting sqref="B148:C148">
    <cfRule type="cellIs" dxfId="175" priority="168" stopIfTrue="1" operator="equal">
      <formula>"Napkin Hs"</formula>
    </cfRule>
  </conditionalFormatting>
  <conditionalFormatting sqref="B148:C148">
    <cfRule type="cellIs" dxfId="174" priority="167" stopIfTrue="1" operator="equal">
      <formula>"Towel"</formula>
    </cfRule>
  </conditionalFormatting>
  <conditionalFormatting sqref="C148">
    <cfRule type="cellIs" dxfId="173" priority="166" stopIfTrue="1" operator="equal">
      <formula>"Napkin Hs"</formula>
    </cfRule>
  </conditionalFormatting>
  <conditionalFormatting sqref="C148">
    <cfRule type="cellIs" dxfId="172" priority="165" stopIfTrue="1" operator="equal">
      <formula>"Towel"</formula>
    </cfRule>
  </conditionalFormatting>
  <conditionalFormatting sqref="C148">
    <cfRule type="cellIs" dxfId="171" priority="163" stopIfTrue="1" operator="equal">
      <formula>"Towel"</formula>
    </cfRule>
    <cfRule type="cellIs" dxfId="170" priority="164" stopIfTrue="1" operator="equal">
      <formula>"Napkin Hs"</formula>
    </cfRule>
  </conditionalFormatting>
  <conditionalFormatting sqref="B148:C148">
    <cfRule type="cellIs" dxfId="169" priority="161" stopIfTrue="1" operator="equal">
      <formula>"Towel"</formula>
    </cfRule>
    <cfRule type="cellIs" dxfId="168" priority="162" stopIfTrue="1" operator="equal">
      <formula>"Napkin Hs"</formula>
    </cfRule>
  </conditionalFormatting>
  <conditionalFormatting sqref="C148">
    <cfRule type="cellIs" dxfId="167" priority="159" stopIfTrue="1" operator="equal">
      <formula>"Towel"</formula>
    </cfRule>
    <cfRule type="cellIs" dxfId="166" priority="160" stopIfTrue="1" operator="equal">
      <formula>"Napkin Hs"</formula>
    </cfRule>
  </conditionalFormatting>
  <conditionalFormatting sqref="C148">
    <cfRule type="cellIs" dxfId="165" priority="157" stopIfTrue="1" operator="equal">
      <formula>"Towel"</formula>
    </cfRule>
    <cfRule type="cellIs" dxfId="164" priority="158" stopIfTrue="1" operator="equal">
      <formula>"Napkin Hs"</formula>
    </cfRule>
  </conditionalFormatting>
  <conditionalFormatting sqref="B148:C148">
    <cfRule type="cellIs" dxfId="163" priority="155" stopIfTrue="1" operator="equal">
      <formula>"Towel"</formula>
    </cfRule>
    <cfRule type="cellIs" dxfId="162" priority="156" stopIfTrue="1" operator="equal">
      <formula>"Napkin Hs"</formula>
    </cfRule>
  </conditionalFormatting>
  <conditionalFormatting sqref="C148">
    <cfRule type="cellIs" dxfId="161" priority="153" stopIfTrue="1" operator="equal">
      <formula>"Towel"</formula>
    </cfRule>
    <cfRule type="cellIs" dxfId="160" priority="154" stopIfTrue="1" operator="equal">
      <formula>"Napkin Hs"</formula>
    </cfRule>
  </conditionalFormatting>
  <conditionalFormatting sqref="C148">
    <cfRule type="cellIs" dxfId="159" priority="151" stopIfTrue="1" operator="equal">
      <formula>"Towel"</formula>
    </cfRule>
    <cfRule type="cellIs" dxfId="158" priority="152" stopIfTrue="1" operator="equal">
      <formula>"Napkin Hs"</formula>
    </cfRule>
  </conditionalFormatting>
  <conditionalFormatting sqref="B148:C148">
    <cfRule type="cellIs" dxfId="157" priority="149" stopIfTrue="1" operator="equal">
      <formula>"Towel"</formula>
    </cfRule>
    <cfRule type="cellIs" dxfId="156" priority="150" stopIfTrue="1" operator="equal">
      <formula>"Napkin Hs"</formula>
    </cfRule>
  </conditionalFormatting>
  <conditionalFormatting sqref="C148">
    <cfRule type="cellIs" dxfId="155" priority="147" stopIfTrue="1" operator="equal">
      <formula>"Towel"</formula>
    </cfRule>
    <cfRule type="cellIs" dxfId="154" priority="148" stopIfTrue="1" operator="equal">
      <formula>"Napkin Hs"</formula>
    </cfRule>
  </conditionalFormatting>
  <conditionalFormatting sqref="C148">
    <cfRule type="cellIs" dxfId="153" priority="145" stopIfTrue="1" operator="equal">
      <formula>"Towel"</formula>
    </cfRule>
    <cfRule type="cellIs" dxfId="152" priority="146" stopIfTrue="1" operator="equal">
      <formula>"Napkin Hs"</formula>
    </cfRule>
  </conditionalFormatting>
  <conditionalFormatting sqref="B148:C148">
    <cfRule type="cellIs" dxfId="151" priority="143" stopIfTrue="1" operator="equal">
      <formula>"Towel"</formula>
    </cfRule>
    <cfRule type="cellIs" dxfId="150" priority="144" stopIfTrue="1" operator="equal">
      <formula>"Napkin Hs"</formula>
    </cfRule>
  </conditionalFormatting>
  <conditionalFormatting sqref="C148">
    <cfRule type="cellIs" dxfId="149" priority="141" stopIfTrue="1" operator="equal">
      <formula>"Towel"</formula>
    </cfRule>
    <cfRule type="cellIs" dxfId="148" priority="142" stopIfTrue="1" operator="equal">
      <formula>"Napkin Hs"</formula>
    </cfRule>
  </conditionalFormatting>
  <conditionalFormatting sqref="C148">
    <cfRule type="cellIs" dxfId="147" priority="139" stopIfTrue="1" operator="equal">
      <formula>"Towel"</formula>
    </cfRule>
    <cfRule type="cellIs" dxfId="146" priority="140" stopIfTrue="1" operator="equal">
      <formula>"Napkin Hs"</formula>
    </cfRule>
  </conditionalFormatting>
  <conditionalFormatting sqref="B148:C148">
    <cfRule type="cellIs" dxfId="145" priority="137" stopIfTrue="1" operator="equal">
      <formula>"Towel"</formula>
    </cfRule>
    <cfRule type="cellIs" dxfId="144" priority="138" stopIfTrue="1" operator="equal">
      <formula>"Napkin Hs"</formula>
    </cfRule>
  </conditionalFormatting>
  <conditionalFormatting sqref="C148">
    <cfRule type="cellIs" dxfId="143" priority="135" stopIfTrue="1" operator="equal">
      <formula>"Towel"</formula>
    </cfRule>
    <cfRule type="cellIs" dxfId="142" priority="136" stopIfTrue="1" operator="equal">
      <formula>"Napkin Hs"</formula>
    </cfRule>
  </conditionalFormatting>
  <conditionalFormatting sqref="C148">
    <cfRule type="cellIs" dxfId="141" priority="133" stopIfTrue="1" operator="equal">
      <formula>"Towel"</formula>
    </cfRule>
    <cfRule type="cellIs" dxfId="140" priority="134" stopIfTrue="1" operator="equal">
      <formula>"Napkin Hs"</formula>
    </cfRule>
  </conditionalFormatting>
  <conditionalFormatting sqref="B148:C148">
    <cfRule type="cellIs" dxfId="139" priority="123" stopIfTrue="1" operator="equal">
      <formula>"Towel"</formula>
    </cfRule>
    <cfRule type="cellIs" dxfId="138" priority="124" stopIfTrue="1" operator="equal">
      <formula>"Napkin Hs"</formula>
    </cfRule>
  </conditionalFormatting>
  <conditionalFormatting sqref="C148">
    <cfRule type="cellIs" dxfId="137" priority="125" stopIfTrue="1" operator="equal">
      <formula>"Towel"</formula>
    </cfRule>
    <cfRule type="cellIs" dxfId="136" priority="126" stopIfTrue="1" operator="equal">
      <formula>"Napkin Hs"</formula>
    </cfRule>
  </conditionalFormatting>
  <conditionalFormatting sqref="C148">
    <cfRule type="cellIs" dxfId="135" priority="121" stopIfTrue="1" operator="equal">
      <formula>"Towel"</formula>
    </cfRule>
    <cfRule type="cellIs" dxfId="134" priority="122" stopIfTrue="1" operator="equal">
      <formula>"Napkin Hs"</formula>
    </cfRule>
  </conditionalFormatting>
  <conditionalFormatting sqref="B148:C148">
    <cfRule type="cellIs" dxfId="133" priority="120" stopIfTrue="1" operator="equal">
      <formula>"Napkin Hs"</formula>
    </cfRule>
  </conditionalFormatting>
  <conditionalFormatting sqref="B148:C148">
    <cfRule type="cellIs" dxfId="132" priority="119" stopIfTrue="1" operator="equal">
      <formula>"Towel"</formula>
    </cfRule>
  </conditionalFormatting>
  <conditionalFormatting sqref="C148">
    <cfRule type="cellIs" dxfId="131" priority="118" stopIfTrue="1" operator="equal">
      <formula>"Napkin Hs"</formula>
    </cfRule>
  </conditionalFormatting>
  <conditionalFormatting sqref="C148">
    <cfRule type="cellIs" dxfId="130" priority="117" stopIfTrue="1" operator="equal">
      <formula>"Towel"</formula>
    </cfRule>
  </conditionalFormatting>
  <conditionalFormatting sqref="C148">
    <cfRule type="cellIs" dxfId="129" priority="115" stopIfTrue="1" operator="equal">
      <formula>"Towel"</formula>
    </cfRule>
    <cfRule type="cellIs" dxfId="128" priority="116" stopIfTrue="1" operator="equal">
      <formula>"Napkin Hs"</formula>
    </cfRule>
  </conditionalFormatting>
  <conditionalFormatting sqref="B148:C148">
    <cfRule type="cellIs" dxfId="127" priority="113" stopIfTrue="1" operator="equal">
      <formula>"Towel"</formula>
    </cfRule>
    <cfRule type="cellIs" dxfId="126" priority="114" stopIfTrue="1" operator="equal">
      <formula>"Napkin Hs"</formula>
    </cfRule>
  </conditionalFormatting>
  <conditionalFormatting sqref="C148">
    <cfRule type="cellIs" dxfId="125" priority="109" stopIfTrue="1" operator="equal">
      <formula>"Towel"</formula>
    </cfRule>
    <cfRule type="cellIs" dxfId="124" priority="110" stopIfTrue="1" operator="equal">
      <formula>"Napkin Hs"</formula>
    </cfRule>
  </conditionalFormatting>
  <conditionalFormatting sqref="C148">
    <cfRule type="cellIs" dxfId="123" priority="111" stopIfTrue="1" operator="equal">
      <formula>"Towel"</formula>
    </cfRule>
    <cfRule type="cellIs" dxfId="122" priority="112" stopIfTrue="1" operator="equal">
      <formula>"Napkin Hs"</formula>
    </cfRule>
  </conditionalFormatting>
  <conditionalFormatting sqref="B148:C148">
    <cfRule type="cellIs" dxfId="121" priority="108" stopIfTrue="1" operator="equal">
      <formula>"Napkin Hs"</formula>
    </cfRule>
  </conditionalFormatting>
  <conditionalFormatting sqref="B148:C148">
    <cfRule type="cellIs" dxfId="120" priority="107" stopIfTrue="1" operator="equal">
      <formula>"Towel"</formula>
    </cfRule>
  </conditionalFormatting>
  <conditionalFormatting sqref="C148">
    <cfRule type="cellIs" dxfId="119" priority="106" stopIfTrue="1" operator="equal">
      <formula>"Napkin Hs"</formula>
    </cfRule>
  </conditionalFormatting>
  <conditionalFormatting sqref="C148">
    <cfRule type="cellIs" dxfId="118" priority="105" stopIfTrue="1" operator="equal">
      <formula>"Towel"</formula>
    </cfRule>
  </conditionalFormatting>
  <conditionalFormatting sqref="C148">
    <cfRule type="cellIs" dxfId="117" priority="103" stopIfTrue="1" operator="equal">
      <formula>"Towel"</formula>
    </cfRule>
    <cfRule type="cellIs" dxfId="116" priority="104" stopIfTrue="1" operator="equal">
      <formula>"Napkin Hs"</formula>
    </cfRule>
  </conditionalFormatting>
  <conditionalFormatting sqref="B148:C148">
    <cfRule type="cellIs" dxfId="115" priority="101" stopIfTrue="1" operator="equal">
      <formula>"Towel"</formula>
    </cfRule>
    <cfRule type="cellIs" dxfId="114" priority="102" stopIfTrue="1" operator="equal">
      <formula>"Napkin Hs"</formula>
    </cfRule>
  </conditionalFormatting>
  <conditionalFormatting sqref="C148">
    <cfRule type="cellIs" dxfId="113" priority="99" stopIfTrue="1" operator="equal">
      <formula>"Towel"</formula>
    </cfRule>
    <cfRule type="cellIs" dxfId="112" priority="100" stopIfTrue="1" operator="equal">
      <formula>"Napkin Hs"</formula>
    </cfRule>
  </conditionalFormatting>
  <conditionalFormatting sqref="C148">
    <cfRule type="cellIs" dxfId="111" priority="97" stopIfTrue="1" operator="equal">
      <formula>"Towel"</formula>
    </cfRule>
    <cfRule type="cellIs" dxfId="110" priority="98" stopIfTrue="1" operator="equal">
      <formula>"Napkin Hs"</formula>
    </cfRule>
  </conditionalFormatting>
  <conditionalFormatting sqref="B148:C148">
    <cfRule type="cellIs" dxfId="109" priority="95" stopIfTrue="1" operator="equal">
      <formula>"Towel"</formula>
    </cfRule>
    <cfRule type="cellIs" dxfId="108" priority="96" stopIfTrue="1" operator="equal">
      <formula>"Napkin Hs"</formula>
    </cfRule>
  </conditionalFormatting>
  <conditionalFormatting sqref="C148">
    <cfRule type="cellIs" dxfId="107" priority="93" stopIfTrue="1" operator="equal">
      <formula>"Towel"</formula>
    </cfRule>
    <cfRule type="cellIs" dxfId="106" priority="94" stopIfTrue="1" operator="equal">
      <formula>"Napkin Hs"</formula>
    </cfRule>
  </conditionalFormatting>
  <conditionalFormatting sqref="C148">
    <cfRule type="cellIs" dxfId="105" priority="91" stopIfTrue="1" operator="equal">
      <formula>"Towel"</formula>
    </cfRule>
    <cfRule type="cellIs" dxfId="104" priority="92" stopIfTrue="1" operator="equal">
      <formula>"Napkin Hs"</formula>
    </cfRule>
  </conditionalFormatting>
  <conditionalFormatting sqref="B148:C148">
    <cfRule type="cellIs" dxfId="103" priority="89" stopIfTrue="1" operator="equal">
      <formula>"Towel"</formula>
    </cfRule>
    <cfRule type="cellIs" dxfId="102" priority="90" stopIfTrue="1" operator="equal">
      <formula>"Napkin Hs"</formula>
    </cfRule>
  </conditionalFormatting>
  <conditionalFormatting sqref="C148">
    <cfRule type="cellIs" dxfId="101" priority="87" stopIfTrue="1" operator="equal">
      <formula>"Towel"</formula>
    </cfRule>
    <cfRule type="cellIs" dxfId="100" priority="88" stopIfTrue="1" operator="equal">
      <formula>"Napkin Hs"</formula>
    </cfRule>
  </conditionalFormatting>
  <conditionalFormatting sqref="C148">
    <cfRule type="cellIs" dxfId="99" priority="85" stopIfTrue="1" operator="equal">
      <formula>"Towel"</formula>
    </cfRule>
    <cfRule type="cellIs" dxfId="98" priority="86" stopIfTrue="1" operator="equal">
      <formula>"Napkin Hs"</formula>
    </cfRule>
  </conditionalFormatting>
  <conditionalFormatting sqref="B148:C148">
    <cfRule type="cellIs" dxfId="97" priority="83" stopIfTrue="1" operator="equal">
      <formula>"Towel"</formula>
    </cfRule>
    <cfRule type="cellIs" dxfId="96" priority="84" stopIfTrue="1" operator="equal">
      <formula>"Napkin Hs"</formula>
    </cfRule>
  </conditionalFormatting>
  <conditionalFormatting sqref="C148">
    <cfRule type="cellIs" dxfId="95" priority="81" stopIfTrue="1" operator="equal">
      <formula>"Towel"</formula>
    </cfRule>
    <cfRule type="cellIs" dxfId="94" priority="82" stopIfTrue="1" operator="equal">
      <formula>"Napkin Hs"</formula>
    </cfRule>
  </conditionalFormatting>
  <conditionalFormatting sqref="C148">
    <cfRule type="cellIs" dxfId="93" priority="79" stopIfTrue="1" operator="equal">
      <formula>"Towel"</formula>
    </cfRule>
    <cfRule type="cellIs" dxfId="92" priority="80" stopIfTrue="1" operator="equal">
      <formula>"Napkin Hs"</formula>
    </cfRule>
  </conditionalFormatting>
  <conditionalFormatting sqref="B148:C148">
    <cfRule type="cellIs" dxfId="91" priority="77" stopIfTrue="1" operator="equal">
      <formula>"Towel"</formula>
    </cfRule>
    <cfRule type="cellIs" dxfId="90" priority="78" stopIfTrue="1" operator="equal">
      <formula>"Napkin Hs"</formula>
    </cfRule>
  </conditionalFormatting>
  <conditionalFormatting sqref="C148">
    <cfRule type="cellIs" dxfId="89" priority="75" stopIfTrue="1" operator="equal">
      <formula>"Towel"</formula>
    </cfRule>
    <cfRule type="cellIs" dxfId="88" priority="76" stopIfTrue="1" operator="equal">
      <formula>"Napkin Hs"</formula>
    </cfRule>
  </conditionalFormatting>
  <conditionalFormatting sqref="C148">
    <cfRule type="cellIs" dxfId="87" priority="73" stopIfTrue="1" operator="equal">
      <formula>"Towel"</formula>
    </cfRule>
    <cfRule type="cellIs" dxfId="86" priority="74" stopIfTrue="1" operator="equal">
      <formula>"Napkin Hs"</formula>
    </cfRule>
  </conditionalFormatting>
  <conditionalFormatting sqref="B148:C148">
    <cfRule type="cellIs" dxfId="85" priority="72" stopIfTrue="1" operator="equal">
      <formula>"Napkin Hs"</formula>
    </cfRule>
  </conditionalFormatting>
  <conditionalFormatting sqref="B148:C148">
    <cfRule type="cellIs" dxfId="84" priority="71" stopIfTrue="1" operator="equal">
      <formula>"Towel"</formula>
    </cfRule>
  </conditionalFormatting>
  <conditionalFormatting sqref="C148">
    <cfRule type="cellIs" dxfId="83" priority="70" stopIfTrue="1" operator="equal">
      <formula>"Napkin Hs"</formula>
    </cfRule>
  </conditionalFormatting>
  <conditionalFormatting sqref="C148">
    <cfRule type="cellIs" dxfId="82" priority="67" stopIfTrue="1" operator="equal">
      <formula>"Towel"</formula>
    </cfRule>
    <cfRule type="cellIs" dxfId="81" priority="68" stopIfTrue="1" operator="equal">
      <formula>"Napkin Hs"</formula>
    </cfRule>
  </conditionalFormatting>
  <conditionalFormatting sqref="C148">
    <cfRule type="cellIs" dxfId="80" priority="69" stopIfTrue="1" operator="equal">
      <formula>"Towel"</formula>
    </cfRule>
  </conditionalFormatting>
  <conditionalFormatting sqref="B148:C148">
    <cfRule type="cellIs" dxfId="79" priority="66" stopIfTrue="1" operator="equal">
      <formula>"Napkin Hs"</formula>
    </cfRule>
  </conditionalFormatting>
  <conditionalFormatting sqref="B148:C148">
    <cfRule type="cellIs" dxfId="78" priority="65" stopIfTrue="1" operator="equal">
      <formula>"Towel"</formula>
    </cfRule>
  </conditionalFormatting>
  <conditionalFormatting sqref="C148">
    <cfRule type="cellIs" dxfId="77" priority="64" stopIfTrue="1" operator="equal">
      <formula>"Napkin Hs"</formula>
    </cfRule>
  </conditionalFormatting>
  <conditionalFormatting sqref="C148">
    <cfRule type="cellIs" dxfId="76" priority="63" stopIfTrue="1" operator="equal">
      <formula>"Towel"</formula>
    </cfRule>
  </conditionalFormatting>
  <conditionalFormatting sqref="C148">
    <cfRule type="cellIs" dxfId="75" priority="61" stopIfTrue="1" operator="equal">
      <formula>"Towel"</formula>
    </cfRule>
    <cfRule type="cellIs" dxfId="74" priority="62" stopIfTrue="1" operator="equal">
      <formula>"Napkin Hs"</formula>
    </cfRule>
  </conditionalFormatting>
  <conditionalFormatting sqref="C148">
    <cfRule type="cellIs" dxfId="73" priority="55" stopIfTrue="1" operator="equal">
      <formula>"Towel"</formula>
    </cfRule>
    <cfRule type="cellIs" dxfId="72" priority="56" stopIfTrue="1" operator="equal">
      <formula>"Napkin Hs"</formula>
    </cfRule>
  </conditionalFormatting>
  <conditionalFormatting sqref="B148:C148">
    <cfRule type="cellIs" dxfId="71" priority="54" stopIfTrue="1" operator="equal">
      <formula>"Napkin Hs"</formula>
    </cfRule>
  </conditionalFormatting>
  <conditionalFormatting sqref="B148:C148">
    <cfRule type="cellIs" dxfId="70" priority="53" stopIfTrue="1" operator="equal">
      <formula>"Towel"</formula>
    </cfRule>
  </conditionalFormatting>
  <conditionalFormatting sqref="C148">
    <cfRule type="cellIs" dxfId="69" priority="52" stopIfTrue="1" operator="equal">
      <formula>"Napkin Hs"</formula>
    </cfRule>
  </conditionalFormatting>
  <conditionalFormatting sqref="C148">
    <cfRule type="cellIs" dxfId="68" priority="51" stopIfTrue="1" operator="equal">
      <formula>"Towel"</formula>
    </cfRule>
  </conditionalFormatting>
  <conditionalFormatting sqref="C148">
    <cfRule type="cellIs" dxfId="67" priority="49" stopIfTrue="1" operator="equal">
      <formula>"Towel"</formula>
    </cfRule>
    <cfRule type="cellIs" dxfId="66" priority="50" stopIfTrue="1" operator="equal">
      <formula>"Napkin Hs"</formula>
    </cfRule>
  </conditionalFormatting>
  <conditionalFormatting sqref="C148">
    <cfRule type="cellIs" dxfId="65" priority="43" stopIfTrue="1" operator="equal">
      <formula>"Towel"</formula>
    </cfRule>
    <cfRule type="cellIs" dxfId="64" priority="44" stopIfTrue="1" operator="equal">
      <formula>"Napkin Hs"</formula>
    </cfRule>
  </conditionalFormatting>
  <conditionalFormatting sqref="C148">
    <cfRule type="cellIs" dxfId="63" priority="37" stopIfTrue="1" operator="equal">
      <formula>"Towel"</formula>
    </cfRule>
    <cfRule type="cellIs" dxfId="62" priority="38" stopIfTrue="1" operator="equal">
      <formula>"Napkin Hs"</formula>
    </cfRule>
  </conditionalFormatting>
  <conditionalFormatting sqref="C148">
    <cfRule type="cellIs" dxfId="61" priority="31" stopIfTrue="1" operator="equal">
      <formula>"Towel"</formula>
    </cfRule>
    <cfRule type="cellIs" dxfId="60" priority="32" stopIfTrue="1" operator="equal">
      <formula>"Napkin Hs"</formula>
    </cfRule>
  </conditionalFormatting>
  <conditionalFormatting sqref="C148">
    <cfRule type="cellIs" dxfId="59" priority="25" stopIfTrue="1" operator="equal">
      <formula>"Towel"</formula>
    </cfRule>
    <cfRule type="cellIs" dxfId="58" priority="26" stopIfTrue="1" operator="equal">
      <formula>"Napkin Hs"</formula>
    </cfRule>
  </conditionalFormatting>
  <conditionalFormatting sqref="C148">
    <cfRule type="cellIs" dxfId="57" priority="19" stopIfTrue="1" operator="equal">
      <formula>"Towel"</formula>
    </cfRule>
    <cfRule type="cellIs" dxfId="56" priority="20" stopIfTrue="1" operator="equal">
      <formula>"Napkin Hs"</formula>
    </cfRule>
  </conditionalFormatting>
  <conditionalFormatting sqref="B148:C148">
    <cfRule type="cellIs" dxfId="55" priority="18" stopIfTrue="1" operator="equal">
      <formula>"Napkin Hs"</formula>
    </cfRule>
  </conditionalFormatting>
  <conditionalFormatting sqref="B148:C148">
    <cfRule type="cellIs" dxfId="54" priority="17" stopIfTrue="1" operator="equal">
      <formula>"Towel"</formula>
    </cfRule>
  </conditionalFormatting>
  <conditionalFormatting sqref="C148">
    <cfRule type="cellIs" dxfId="53" priority="16" stopIfTrue="1" operator="equal">
      <formula>"Napkin Hs"</formula>
    </cfRule>
  </conditionalFormatting>
  <conditionalFormatting sqref="C148">
    <cfRule type="cellIs" dxfId="52" priority="13" stopIfTrue="1" operator="equal">
      <formula>"Towel"</formula>
    </cfRule>
    <cfRule type="cellIs" dxfId="51" priority="14" stopIfTrue="1" operator="equal">
      <formula>"Napkin Hs"</formula>
    </cfRule>
  </conditionalFormatting>
  <conditionalFormatting sqref="C148">
    <cfRule type="cellIs" dxfId="50" priority="15" stopIfTrue="1" operator="equal">
      <formula>"Towel"</formula>
    </cfRule>
  </conditionalFormatting>
  <conditionalFormatting sqref="B148:C148">
    <cfRule type="cellIs" dxfId="49" priority="12" stopIfTrue="1" operator="equal">
      <formula>"Napkin Hs"</formula>
    </cfRule>
  </conditionalFormatting>
  <conditionalFormatting sqref="B148:C148">
    <cfRule type="cellIs" dxfId="48" priority="11" stopIfTrue="1" operator="equal">
      <formula>"Towel"</formula>
    </cfRule>
  </conditionalFormatting>
  <conditionalFormatting sqref="C148">
    <cfRule type="cellIs" dxfId="47" priority="10" stopIfTrue="1" operator="equal">
      <formula>"Napkin Hs"</formula>
    </cfRule>
  </conditionalFormatting>
  <conditionalFormatting sqref="C148">
    <cfRule type="cellIs" dxfId="46" priority="7" stopIfTrue="1" operator="equal">
      <formula>"Towel"</formula>
    </cfRule>
    <cfRule type="cellIs" dxfId="45" priority="8" stopIfTrue="1" operator="equal">
      <formula>"Napkin Hs"</formula>
    </cfRule>
  </conditionalFormatting>
  <conditionalFormatting sqref="C148">
    <cfRule type="cellIs" dxfId="44" priority="9" stopIfTrue="1" operator="equal">
      <formula>"Towel"</formula>
    </cfRule>
  </conditionalFormatting>
  <conditionalFormatting sqref="B148:C148">
    <cfRule type="cellIs" dxfId="43" priority="59" stopIfTrue="1" operator="equal">
      <formula>"Towel"</formula>
    </cfRule>
    <cfRule type="cellIs" dxfId="42" priority="60" stopIfTrue="1" operator="equal">
      <formula>"Napkin Hs"</formula>
    </cfRule>
  </conditionalFormatting>
  <conditionalFormatting sqref="C148">
    <cfRule type="cellIs" dxfId="41" priority="57" stopIfTrue="1" operator="equal">
      <formula>"Towel"</formula>
    </cfRule>
    <cfRule type="cellIs" dxfId="40" priority="58" stopIfTrue="1" operator="equal">
      <formula>"Napkin Hs"</formula>
    </cfRule>
  </conditionalFormatting>
  <conditionalFormatting sqref="B148:C148">
    <cfRule type="cellIs" dxfId="39" priority="47" stopIfTrue="1" operator="equal">
      <formula>"Towel"</formula>
    </cfRule>
    <cfRule type="cellIs" dxfId="38" priority="48" stopIfTrue="1" operator="equal">
      <formula>"Napkin Hs"</formula>
    </cfRule>
  </conditionalFormatting>
  <conditionalFormatting sqref="C148">
    <cfRule type="cellIs" dxfId="37" priority="45" stopIfTrue="1" operator="equal">
      <formula>"Towel"</formula>
    </cfRule>
    <cfRule type="cellIs" dxfId="36" priority="46" stopIfTrue="1" operator="equal">
      <formula>"Napkin Hs"</formula>
    </cfRule>
  </conditionalFormatting>
  <conditionalFormatting sqref="B148:C148">
    <cfRule type="cellIs" dxfId="35" priority="41" stopIfTrue="1" operator="equal">
      <formula>"Towel"</formula>
    </cfRule>
    <cfRule type="cellIs" dxfId="34" priority="42" stopIfTrue="1" operator="equal">
      <formula>"Napkin Hs"</formula>
    </cfRule>
  </conditionalFormatting>
  <conditionalFormatting sqref="C148">
    <cfRule type="cellIs" dxfId="33" priority="39" stopIfTrue="1" operator="equal">
      <formula>"Towel"</formula>
    </cfRule>
    <cfRule type="cellIs" dxfId="32" priority="40" stopIfTrue="1" operator="equal">
      <formula>"Napkin Hs"</formula>
    </cfRule>
  </conditionalFormatting>
  <conditionalFormatting sqref="B148:C148">
    <cfRule type="cellIs" dxfId="31" priority="35" stopIfTrue="1" operator="equal">
      <formula>"Towel"</formula>
    </cfRule>
    <cfRule type="cellIs" dxfId="30" priority="36" stopIfTrue="1" operator="equal">
      <formula>"Napkin Hs"</formula>
    </cfRule>
  </conditionalFormatting>
  <conditionalFormatting sqref="C148">
    <cfRule type="cellIs" dxfId="29" priority="33" stopIfTrue="1" operator="equal">
      <formula>"Towel"</formula>
    </cfRule>
    <cfRule type="cellIs" dxfId="28" priority="34" stopIfTrue="1" operator="equal">
      <formula>"Napkin Hs"</formula>
    </cfRule>
  </conditionalFormatting>
  <conditionalFormatting sqref="B148:C148">
    <cfRule type="cellIs" dxfId="27" priority="29" stopIfTrue="1" operator="equal">
      <formula>"Towel"</formula>
    </cfRule>
    <cfRule type="cellIs" dxfId="26" priority="30" stopIfTrue="1" operator="equal">
      <formula>"Napkin Hs"</formula>
    </cfRule>
  </conditionalFormatting>
  <conditionalFormatting sqref="C148">
    <cfRule type="cellIs" dxfId="25" priority="27" stopIfTrue="1" operator="equal">
      <formula>"Towel"</formula>
    </cfRule>
    <cfRule type="cellIs" dxfId="24" priority="28" stopIfTrue="1" operator="equal">
      <formula>"Napkin Hs"</formula>
    </cfRule>
  </conditionalFormatting>
  <conditionalFormatting sqref="B148:C148">
    <cfRule type="cellIs" dxfId="23" priority="23" stopIfTrue="1" operator="equal">
      <formula>"Towel"</formula>
    </cfRule>
    <cfRule type="cellIs" dxfId="22" priority="24" stopIfTrue="1" operator="equal">
      <formula>"Napkin Hs"</formula>
    </cfRule>
  </conditionalFormatting>
  <conditionalFormatting sqref="C148">
    <cfRule type="cellIs" dxfId="21" priority="21" stopIfTrue="1" operator="equal">
      <formula>"Towel"</formula>
    </cfRule>
    <cfRule type="cellIs" dxfId="20" priority="22" stopIfTrue="1" operator="equal">
      <formula>"Napkin Hs"</formula>
    </cfRule>
  </conditionalFormatting>
  <conditionalFormatting sqref="B148:C148">
    <cfRule type="cellIs" dxfId="19" priority="6" stopIfTrue="1" operator="equal">
      <formula>"Napkin Hs"</formula>
    </cfRule>
  </conditionalFormatting>
  <conditionalFormatting sqref="B148:C148">
    <cfRule type="cellIs" dxfId="18" priority="5" stopIfTrue="1" operator="equal">
      <formula>"Towel"</formula>
    </cfRule>
  </conditionalFormatting>
  <conditionalFormatting sqref="C148">
    <cfRule type="cellIs" dxfId="17" priority="4" stopIfTrue="1" operator="equal">
      <formula>"Napkin Hs"</formula>
    </cfRule>
  </conditionalFormatting>
  <conditionalFormatting sqref="C148">
    <cfRule type="cellIs" dxfId="16" priority="1" stopIfTrue="1" operator="equal">
      <formula>"Towel"</formula>
    </cfRule>
    <cfRule type="cellIs" dxfId="15" priority="2" stopIfTrue="1" operator="equal">
      <formula>"Napkin Hs"</formula>
    </cfRule>
  </conditionalFormatting>
  <conditionalFormatting sqref="C148">
    <cfRule type="cellIs" dxfId="14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M45"/>
  <sheetViews>
    <sheetView zoomScale="85" workbookViewId="0">
      <pane xSplit="5" ySplit="9" topLeftCell="F31" activePane="bottomRight" state="frozen"/>
      <selection pane="topRight"/>
      <selection pane="bottomLeft"/>
      <selection pane="bottomRight" activeCell="BD40" sqref="BD40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1.570312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hidden="1" customWidth="1"/>
    <col min="28" max="28" width="8.7109375" hidden="1" customWidth="1"/>
    <col min="29" max="29" width="12.140625" hidden="1" customWidth="1"/>
    <col min="30" max="30" width="9.28515625" hidden="1" customWidth="1"/>
    <col min="31" max="31" width="13.140625" bestFit="1" customWidth="1"/>
    <col min="32" max="32" width="8.28515625" bestFit="1" customWidth="1"/>
    <col min="33" max="33" width="14.42578125" bestFit="1" customWidth="1"/>
    <col min="34" max="34" width="8" bestFit="1" customWidth="1"/>
    <col min="35" max="35" width="11.5703125" hidden="1" customWidth="1"/>
    <col min="36" max="36" width="7.7109375" hidden="1" customWidth="1"/>
    <col min="37" max="37" width="11.5703125" hidden="1" customWidth="1"/>
    <col min="38" max="38" width="7.7109375" hidden="1" customWidth="1"/>
    <col min="39" max="39" width="12.85546875" hidden="1" customWidth="1"/>
    <col min="40" max="40" width="7.7109375" hidden="1" customWidth="1"/>
    <col min="41" max="41" width="12.42578125" hidden="1" customWidth="1"/>
    <col min="42" max="42" width="7.7109375" hidden="1" customWidth="1"/>
    <col min="43" max="43" width="17.7109375" hidden="1" customWidth="1"/>
    <col min="44" max="44" width="12.28515625" hidden="1" customWidth="1"/>
    <col min="45" max="45" width="14.42578125" hidden="1" customWidth="1"/>
    <col min="46" max="46" width="9.42578125" hidden="1" customWidth="1"/>
    <col min="47" max="47" width="17.7109375" hidden="1" customWidth="1"/>
    <col min="48" max="48" width="9.28515625" hidden="1" customWidth="1"/>
    <col min="49" max="49" width="14.42578125" hidden="1" customWidth="1"/>
    <col min="50" max="50" width="8.140625" hidden="1" customWidth="1"/>
    <col min="51" max="51" width="11.42578125" hidden="1" customWidth="1"/>
    <col min="52" max="52" width="8.5703125" hidden="1" customWidth="1"/>
    <col min="53" max="53" width="11.42578125" hidden="1" customWidth="1"/>
    <col min="54" max="54" width="8" hidden="1" customWidth="1"/>
    <col min="55" max="55" width="13.7109375" customWidth="1"/>
    <col min="56" max="56" width="8.140625" customWidth="1"/>
    <col min="57" max="57" width="13.140625" bestFit="1" customWidth="1"/>
    <col min="58" max="58" width="8.140625" customWidth="1"/>
    <col min="59" max="59" width="12.140625" hidden="1" customWidth="1"/>
    <col min="60" max="60" width="7.7109375" hidden="1" customWidth="1"/>
    <col min="61" max="61" width="12.140625" hidden="1" customWidth="1"/>
    <col min="62" max="62" width="7.7109375" hidden="1" customWidth="1"/>
    <col min="63" max="63" width="13.28515625" hidden="1" customWidth="1"/>
    <col min="64" max="64" width="8.85546875" hidden="1" customWidth="1"/>
    <col min="65" max="65" width="15.28515625" hidden="1" customWidth="1"/>
    <col min="66" max="66" width="7.7109375" hidden="1" customWidth="1"/>
    <col min="67" max="67" width="10.28515625" hidden="1" customWidth="1"/>
    <col min="68" max="68" width="8.140625" hidden="1" customWidth="1"/>
    <col min="69" max="69" width="11.42578125" hidden="1" customWidth="1"/>
    <col min="70" max="70" width="7.7109375" hidden="1" customWidth="1"/>
    <col min="71" max="71" width="11.5703125" bestFit="1" customWidth="1"/>
    <col min="72" max="72" width="9.28515625" customWidth="1"/>
    <col min="73" max="73" width="14.42578125" customWidth="1"/>
    <col min="74" max="74" width="10" customWidth="1"/>
    <col min="75" max="75" width="10.5703125" bestFit="1" customWidth="1"/>
    <col min="76" max="76" width="8.7109375" customWidth="1"/>
    <col min="77" max="77" width="10.5703125" bestFit="1" customWidth="1"/>
    <col min="78" max="78" width="8.42578125" customWidth="1"/>
    <col min="79" max="79" width="13.140625" bestFit="1" customWidth="1"/>
    <col min="80" max="80" width="14.42578125" bestFit="1" customWidth="1"/>
    <col min="81" max="81" width="8.85546875" bestFit="1" customWidth="1"/>
    <col min="82" max="82" width="10.28515625" bestFit="1" customWidth="1"/>
    <col min="83" max="83" width="13.28515625" bestFit="1" customWidth="1"/>
    <col min="84" max="84" width="10.42578125" bestFit="1" customWidth="1"/>
    <col min="86" max="86" width="15.42578125" bestFit="1" customWidth="1"/>
    <col min="87" max="87" width="10.42578125" bestFit="1" customWidth="1"/>
    <col min="90" max="90" width="10.42578125" bestFit="1" customWidth="1"/>
  </cols>
  <sheetData>
    <row r="1" spans="1:82" ht="15.75">
      <c r="A1" s="159"/>
      <c r="AP1" s="4"/>
      <c r="AU1" s="264"/>
    </row>
    <row r="2" spans="1:82" ht="15.75">
      <c r="A2" s="159"/>
      <c r="AU2" s="264"/>
      <c r="AY2" s="20"/>
    </row>
    <row r="3" spans="1:82" ht="15">
      <c r="A3" s="161"/>
      <c r="AU3" s="264"/>
    </row>
    <row r="4" spans="1:82" ht="15.75">
      <c r="A4" s="162" t="s">
        <v>323</v>
      </c>
      <c r="G4" s="13"/>
      <c r="AQ4" s="13"/>
      <c r="AU4" s="264"/>
      <c r="BL4" s="20"/>
    </row>
    <row r="5" spans="1:82" ht="15.75">
      <c r="A5" s="162"/>
      <c r="G5" s="13"/>
      <c r="AQ5" s="13"/>
      <c r="AU5" s="13"/>
    </row>
    <row r="6" spans="1:82" ht="18">
      <c r="A6" s="265"/>
      <c r="AQ6" s="13"/>
      <c r="AU6" s="13"/>
      <c r="BT6" s="13"/>
      <c r="BU6" s="13"/>
      <c r="BV6" s="13"/>
      <c r="CB6" s="13"/>
    </row>
    <row r="7" spans="1:82" ht="16.5" thickBot="1">
      <c r="A7" s="266"/>
      <c r="B7" s="266"/>
      <c r="C7" s="266"/>
      <c r="D7" s="266"/>
      <c r="E7" s="266"/>
      <c r="F7" s="266"/>
      <c r="G7" s="460">
        <v>230.59</v>
      </c>
      <c r="K7" s="465">
        <v>248.91800000000001</v>
      </c>
      <c r="O7" s="266">
        <v>214.10599999999999</v>
      </c>
      <c r="P7" s="266"/>
      <c r="Q7" s="266"/>
      <c r="R7" s="266"/>
      <c r="S7">
        <v>250</v>
      </c>
      <c r="W7">
        <v>250.69399999999999</v>
      </c>
      <c r="AA7">
        <v>222.79599999999999</v>
      </c>
      <c r="AE7" s="266"/>
      <c r="AF7" s="266"/>
      <c r="AG7" s="267"/>
      <c r="AH7" s="267"/>
      <c r="AI7" s="266">
        <v>251.43899999999999</v>
      </c>
      <c r="AJ7" s="266"/>
      <c r="AK7" s="266"/>
      <c r="AL7" s="266"/>
      <c r="AQ7" s="466">
        <v>250</v>
      </c>
      <c r="AR7" s="266"/>
      <c r="AS7" s="266"/>
      <c r="AT7" s="266"/>
      <c r="AU7" s="461">
        <v>243.255</v>
      </c>
      <c r="AV7" s="266"/>
      <c r="AW7" s="266"/>
      <c r="AX7" s="266"/>
      <c r="AY7" s="266">
        <v>250</v>
      </c>
      <c r="AZ7" s="266"/>
      <c r="BA7" s="266"/>
      <c r="BB7" s="266"/>
      <c r="BC7" s="266"/>
      <c r="BD7" s="266"/>
      <c r="BE7" s="266"/>
      <c r="BF7" s="266"/>
      <c r="BG7" s="266">
        <v>250</v>
      </c>
      <c r="BH7" s="266"/>
      <c r="BI7" s="266"/>
      <c r="BJ7" s="266"/>
      <c r="BK7" s="266">
        <v>245.55600000000001</v>
      </c>
      <c r="BL7" s="266"/>
      <c r="BM7" s="266"/>
      <c r="BN7" s="266"/>
      <c r="BO7" s="266"/>
      <c r="BP7" s="266"/>
      <c r="BQ7" s="266"/>
      <c r="BR7" s="266"/>
      <c r="BS7" s="267"/>
      <c r="BT7" s="267"/>
      <c r="BU7" s="266"/>
      <c r="BV7" s="266"/>
      <c r="BW7" s="266"/>
      <c r="BX7" s="266"/>
      <c r="BY7" s="266"/>
      <c r="BZ7" s="266"/>
      <c r="CA7" s="266"/>
      <c r="CB7" s="266"/>
      <c r="CC7" s="266"/>
      <c r="CD7" s="266"/>
    </row>
    <row r="8" spans="1:82" ht="38.25" customHeight="1" thickTop="1">
      <c r="A8" s="958" t="s">
        <v>29</v>
      </c>
      <c r="B8" s="958" t="s">
        <v>4</v>
      </c>
      <c r="C8" s="958" t="s">
        <v>5</v>
      </c>
      <c r="D8" s="960" t="s">
        <v>40</v>
      </c>
      <c r="E8" s="962" t="s">
        <v>38</v>
      </c>
      <c r="F8" s="963"/>
      <c r="G8" s="955" t="s">
        <v>210</v>
      </c>
      <c r="H8" s="956"/>
      <c r="I8" s="956"/>
      <c r="J8" s="957"/>
      <c r="K8" s="955" t="s">
        <v>41</v>
      </c>
      <c r="L8" s="956"/>
      <c r="M8" s="956"/>
      <c r="N8" s="957"/>
      <c r="O8" s="955" t="s">
        <v>409</v>
      </c>
      <c r="P8" s="956"/>
      <c r="Q8" s="956"/>
      <c r="R8" s="957"/>
      <c r="S8" s="955" t="s">
        <v>332</v>
      </c>
      <c r="T8" s="956"/>
      <c r="U8" s="956"/>
      <c r="V8" s="957"/>
      <c r="W8" s="955" t="s">
        <v>414</v>
      </c>
      <c r="X8" s="956"/>
      <c r="Y8" s="956"/>
      <c r="Z8" s="957"/>
      <c r="AA8" s="955" t="s">
        <v>420</v>
      </c>
      <c r="AB8" s="956"/>
      <c r="AC8" s="956"/>
      <c r="AD8" s="957"/>
      <c r="AE8" s="955" t="s">
        <v>42</v>
      </c>
      <c r="AF8" s="956"/>
      <c r="AG8" s="956"/>
      <c r="AH8" s="956"/>
      <c r="AI8" s="955" t="s">
        <v>333</v>
      </c>
      <c r="AJ8" s="956"/>
      <c r="AK8" s="956"/>
      <c r="AL8" s="956"/>
      <c r="AM8" s="964" t="s">
        <v>43</v>
      </c>
      <c r="AN8" s="965"/>
      <c r="AO8" s="965"/>
      <c r="AP8" s="966"/>
      <c r="AQ8" s="956" t="s">
        <v>312</v>
      </c>
      <c r="AR8" s="956"/>
      <c r="AS8" s="956"/>
      <c r="AT8" s="957"/>
      <c r="AU8" s="955" t="s">
        <v>211</v>
      </c>
      <c r="AV8" s="956"/>
      <c r="AW8" s="956"/>
      <c r="AX8" s="957"/>
      <c r="AY8" s="955" t="s">
        <v>233</v>
      </c>
      <c r="AZ8" s="956"/>
      <c r="BA8" s="956"/>
      <c r="BB8" s="957"/>
      <c r="BC8" s="955" t="s">
        <v>89</v>
      </c>
      <c r="BD8" s="956"/>
      <c r="BE8" s="956"/>
      <c r="BF8" s="957"/>
      <c r="BG8" s="955" t="s">
        <v>736</v>
      </c>
      <c r="BH8" s="956"/>
      <c r="BI8" s="956"/>
      <c r="BJ8" s="957"/>
      <c r="BK8" s="955" t="s">
        <v>407</v>
      </c>
      <c r="BL8" s="956"/>
      <c r="BM8" s="956"/>
      <c r="BN8" s="957"/>
      <c r="BO8" s="955" t="s">
        <v>145</v>
      </c>
      <c r="BP8" s="956"/>
      <c r="BQ8" s="956"/>
      <c r="BR8" s="957"/>
      <c r="BS8" s="955" t="s">
        <v>90</v>
      </c>
      <c r="BT8" s="956"/>
      <c r="BU8" s="956"/>
      <c r="BV8" s="956"/>
      <c r="BW8" s="955" t="s">
        <v>683</v>
      </c>
      <c r="BX8" s="956"/>
      <c r="BY8" s="956"/>
      <c r="BZ8" s="957"/>
      <c r="CA8" s="955" t="s">
        <v>44</v>
      </c>
      <c r="CB8" s="957"/>
      <c r="CC8" s="955" t="s">
        <v>45</v>
      </c>
      <c r="CD8" s="957"/>
    </row>
    <row r="9" spans="1:82">
      <c r="A9" s="959"/>
      <c r="B9" s="959"/>
      <c r="C9" s="959"/>
      <c r="D9" s="961"/>
      <c r="E9" s="2" t="s">
        <v>36</v>
      </c>
      <c r="F9" s="486" t="s">
        <v>37</v>
      </c>
      <c r="G9" s="9" t="s">
        <v>36</v>
      </c>
      <c r="H9" s="9" t="s">
        <v>10</v>
      </c>
      <c r="I9" s="485" t="s">
        <v>37</v>
      </c>
      <c r="J9" s="485" t="s">
        <v>10</v>
      </c>
      <c r="K9" s="9" t="s">
        <v>36</v>
      </c>
      <c r="L9" s="9" t="s">
        <v>10</v>
      </c>
      <c r="M9" s="485" t="s">
        <v>37</v>
      </c>
      <c r="N9" s="485" t="s">
        <v>10</v>
      </c>
      <c r="O9" s="580" t="s">
        <v>36</v>
      </c>
      <c r="P9" s="580" t="s">
        <v>10</v>
      </c>
      <c r="Q9" s="580" t="s">
        <v>37</v>
      </c>
      <c r="R9" s="580" t="s">
        <v>10</v>
      </c>
      <c r="S9" s="9" t="s">
        <v>36</v>
      </c>
      <c r="T9" s="9" t="s">
        <v>10</v>
      </c>
      <c r="U9" s="485" t="s">
        <v>37</v>
      </c>
      <c r="V9" s="485" t="s">
        <v>10</v>
      </c>
      <c r="W9" s="9" t="s">
        <v>36</v>
      </c>
      <c r="X9" s="9" t="s">
        <v>10</v>
      </c>
      <c r="Y9" s="485" t="s">
        <v>37</v>
      </c>
      <c r="Z9" s="485" t="s">
        <v>10</v>
      </c>
      <c r="AA9" s="9" t="s">
        <v>36</v>
      </c>
      <c r="AB9" s="9" t="s">
        <v>10</v>
      </c>
      <c r="AC9" s="485" t="s">
        <v>37</v>
      </c>
      <c r="AD9" s="485" t="s">
        <v>10</v>
      </c>
      <c r="AE9" s="485" t="s">
        <v>36</v>
      </c>
      <c r="AF9" s="485" t="s">
        <v>10</v>
      </c>
      <c r="AG9" s="485" t="s">
        <v>37</v>
      </c>
      <c r="AH9" s="485" t="s">
        <v>10</v>
      </c>
      <c r="AI9" s="485" t="s">
        <v>36</v>
      </c>
      <c r="AJ9" s="485" t="s">
        <v>10</v>
      </c>
      <c r="AK9" s="485" t="s">
        <v>37</v>
      </c>
      <c r="AL9" s="485" t="s">
        <v>10</v>
      </c>
      <c r="AM9" s="485" t="s">
        <v>36</v>
      </c>
      <c r="AN9" s="485" t="s">
        <v>10</v>
      </c>
      <c r="AO9" s="485" t="s">
        <v>37</v>
      </c>
      <c r="AP9" s="485" t="s">
        <v>10</v>
      </c>
      <c r="AQ9" s="485" t="s">
        <v>36</v>
      </c>
      <c r="AR9" s="485" t="s">
        <v>10</v>
      </c>
      <c r="AS9" s="485" t="s">
        <v>37</v>
      </c>
      <c r="AT9" s="485" t="s">
        <v>10</v>
      </c>
      <c r="AU9" s="485" t="s">
        <v>36</v>
      </c>
      <c r="AV9" s="485" t="s">
        <v>10</v>
      </c>
      <c r="AW9" s="485" t="s">
        <v>37</v>
      </c>
      <c r="AX9" s="485" t="s">
        <v>10</v>
      </c>
      <c r="AY9" s="485" t="s">
        <v>36</v>
      </c>
      <c r="AZ9" s="485" t="s">
        <v>10</v>
      </c>
      <c r="BA9" s="485" t="s">
        <v>37</v>
      </c>
      <c r="BB9" s="485" t="s">
        <v>10</v>
      </c>
      <c r="BC9" s="485" t="s">
        <v>36</v>
      </c>
      <c r="BD9" s="485" t="s">
        <v>10</v>
      </c>
      <c r="BE9" s="485" t="s">
        <v>37</v>
      </c>
      <c r="BF9" s="485" t="s">
        <v>10</v>
      </c>
      <c r="BG9" s="485" t="s">
        <v>36</v>
      </c>
      <c r="BH9" s="485" t="s">
        <v>10</v>
      </c>
      <c r="BI9" s="485" t="s">
        <v>37</v>
      </c>
      <c r="BJ9" s="485" t="s">
        <v>10</v>
      </c>
      <c r="BK9" s="485" t="s">
        <v>36</v>
      </c>
      <c r="BL9" s="485" t="s">
        <v>10</v>
      </c>
      <c r="BM9" s="485" t="s">
        <v>37</v>
      </c>
      <c r="BN9" s="485" t="s">
        <v>10</v>
      </c>
      <c r="BO9" s="485" t="s">
        <v>36</v>
      </c>
      <c r="BP9" s="485" t="s">
        <v>10</v>
      </c>
      <c r="BQ9" s="485" t="s">
        <v>37</v>
      </c>
      <c r="BR9" s="485" t="s">
        <v>10</v>
      </c>
      <c r="BS9" s="485" t="s">
        <v>36</v>
      </c>
      <c r="BT9" s="485" t="s">
        <v>10</v>
      </c>
      <c r="BU9" s="485" t="s">
        <v>37</v>
      </c>
      <c r="BV9" s="485" t="s">
        <v>10</v>
      </c>
      <c r="BW9" s="485" t="s">
        <v>36</v>
      </c>
      <c r="BX9" s="485" t="s">
        <v>10</v>
      </c>
      <c r="BY9" s="485" t="s">
        <v>37</v>
      </c>
      <c r="BZ9" s="485" t="s">
        <v>10</v>
      </c>
      <c r="CA9" s="485" t="s">
        <v>36</v>
      </c>
      <c r="CB9" s="485" t="s">
        <v>37</v>
      </c>
      <c r="CC9" s="485" t="s">
        <v>36</v>
      </c>
      <c r="CD9" s="485" t="s">
        <v>37</v>
      </c>
    </row>
    <row r="10" spans="1:82">
      <c r="A10" s="16">
        <f>+Chem!A9</f>
        <v>45839</v>
      </c>
      <c r="B10" s="6" t="str">
        <f>+Chem!B9</f>
        <v>MG</v>
      </c>
      <c r="C10" s="16" t="str">
        <f>+Chem!C9</f>
        <v>14</v>
      </c>
      <c r="D10" s="8">
        <f>+Chem!D9</f>
        <v>68.905000000000001</v>
      </c>
      <c r="E10" s="7">
        <f>+Chem!E9</f>
        <v>68.671999999999997</v>
      </c>
      <c r="F10" s="7">
        <f>+E10</f>
        <v>68.671999999999997</v>
      </c>
      <c r="G10" s="107">
        <f>124*G7</f>
        <v>28593.16</v>
      </c>
      <c r="H10" s="10">
        <f t="shared" ref="H10:H40" si="0">G10/CA10*100</f>
        <v>42.161830334300618</v>
      </c>
      <c r="I10" s="8">
        <f>G10</f>
        <v>28593.16</v>
      </c>
      <c r="J10" s="10">
        <f t="shared" ref="J10:J40" si="1">I10/CB10*100</f>
        <v>42.161830334300618</v>
      </c>
      <c r="K10" s="107"/>
      <c r="L10" s="10">
        <f t="shared" ref="L10:L40" si="2">+K10/CA10*100</f>
        <v>0</v>
      </c>
      <c r="M10" s="10">
        <f>+K10</f>
        <v>0</v>
      </c>
      <c r="N10" s="10">
        <f t="shared" ref="N10:N40" si="3">+M10/CB10*100</f>
        <v>0</v>
      </c>
      <c r="O10" s="107"/>
      <c r="P10" s="10">
        <f t="shared" ref="P10:P40" si="4">+O10/CA10*100</f>
        <v>0</v>
      </c>
      <c r="Q10" s="10">
        <f>+O10</f>
        <v>0</v>
      </c>
      <c r="R10" s="10">
        <f t="shared" ref="R10:R40" si="5">+Q10/CB10*100</f>
        <v>0</v>
      </c>
      <c r="S10" s="107">
        <v>0</v>
      </c>
      <c r="T10" s="10">
        <f t="shared" ref="T10:T40" si="6">+S10/CA10*100</f>
        <v>0</v>
      </c>
      <c r="U10" s="10">
        <f>+S10</f>
        <v>0</v>
      </c>
      <c r="V10" s="10">
        <f t="shared" ref="V10:V40" si="7">+U10/CB10*100</f>
        <v>0</v>
      </c>
      <c r="W10" s="107"/>
      <c r="X10" s="10">
        <f t="shared" ref="X10:X40" si="8">+W10/CA10*100</f>
        <v>0</v>
      </c>
      <c r="Y10" s="10">
        <f>+W10</f>
        <v>0</v>
      </c>
      <c r="Z10" s="10">
        <f t="shared" ref="Z10:Z40" si="9">+Y10/CB10*100</f>
        <v>0</v>
      </c>
      <c r="AA10" s="107">
        <v>0</v>
      </c>
      <c r="AB10" s="10">
        <f t="shared" ref="AB10:AB40" si="10">AA10/CA10*100</f>
        <v>0</v>
      </c>
      <c r="AC10" s="10">
        <f>AA10</f>
        <v>0</v>
      </c>
      <c r="AD10" s="10">
        <f t="shared" ref="AD10:AD40" si="11">AC10/CB10*100</f>
        <v>0</v>
      </c>
      <c r="AE10" s="10">
        <f>G10+AA10+K10+W10+S10+O10</f>
        <v>28593.16</v>
      </c>
      <c r="AF10" s="10">
        <f t="shared" ref="AF10:AF40" si="12">AE10/CA10*100</f>
        <v>42.161830334300618</v>
      </c>
      <c r="AG10" s="10">
        <f>AE10</f>
        <v>28593.16</v>
      </c>
      <c r="AH10" s="10">
        <f t="shared" ref="AH10:AH40" si="13">AG10/CB10*100</f>
        <v>42.161830334300618</v>
      </c>
      <c r="AI10" s="108">
        <f>156*AI7</f>
        <v>39224.483999999997</v>
      </c>
      <c r="AJ10" s="10">
        <f t="shared" ref="AJ10:AJ40" si="14">AI10/CA10*100</f>
        <v>57.838169665699382</v>
      </c>
      <c r="AK10" s="10">
        <f>AI10</f>
        <v>39224.483999999997</v>
      </c>
      <c r="AL10" s="10">
        <f t="shared" ref="AL10:AL40" si="15">AK10/CB10*100</f>
        <v>57.838169665699382</v>
      </c>
      <c r="AM10" s="107"/>
      <c r="AN10" s="10">
        <f t="shared" ref="AN10:AN40" si="16">AM10/CA10*100</f>
        <v>0</v>
      </c>
      <c r="AO10" s="10">
        <f>AM10</f>
        <v>0</v>
      </c>
      <c r="AP10" s="10">
        <f t="shared" ref="AP10:AP40" si="17">AO10/CB10*100</f>
        <v>0</v>
      </c>
      <c r="AQ10" s="107"/>
      <c r="AR10" s="10">
        <f t="shared" ref="AR10:AR40" si="18">AQ10/CA10*100</f>
        <v>0</v>
      </c>
      <c r="AS10" s="10">
        <f>AQ10</f>
        <v>0</v>
      </c>
      <c r="AT10" s="10">
        <f t="shared" ref="AT10:AT40" si="19">AS10/CB10*100</f>
        <v>0</v>
      </c>
      <c r="AU10" s="107"/>
      <c r="AV10" s="10">
        <f t="shared" ref="AV10:AV40" si="20">AU10/CA10*100</f>
        <v>0</v>
      </c>
      <c r="AW10" s="10">
        <f>AU10</f>
        <v>0</v>
      </c>
      <c r="AX10" s="10">
        <f t="shared" ref="AX10:AX40" si="21">AW10/CB10*100</f>
        <v>0</v>
      </c>
      <c r="AY10" s="107">
        <v>0</v>
      </c>
      <c r="AZ10" s="10">
        <f t="shared" ref="AZ10:AZ40" si="22">AY10/CA10*100</f>
        <v>0</v>
      </c>
      <c r="BA10" s="10">
        <f>AY10</f>
        <v>0</v>
      </c>
      <c r="BB10" s="10">
        <f t="shared" ref="BB10:BB40" si="23">BA10/CB10</f>
        <v>0</v>
      </c>
      <c r="BC10" s="10">
        <f>AI10+AM10+AQ10+AU10+AY10</f>
        <v>39224.483999999997</v>
      </c>
      <c r="BD10" s="10">
        <f t="shared" ref="BD10:BD39" si="24">BC10/CA10*100</f>
        <v>57.838169665699382</v>
      </c>
      <c r="BE10" s="10">
        <f>BC10</f>
        <v>39224.483999999997</v>
      </c>
      <c r="BF10" s="10">
        <f t="shared" ref="BF10:BF39" si="25">BE10/CB10*100</f>
        <v>57.838169665699382</v>
      </c>
      <c r="BG10" s="107">
        <v>0</v>
      </c>
      <c r="BH10" s="10">
        <f t="shared" ref="BH10:BH39" si="26">+BG10/CA10*100</f>
        <v>0</v>
      </c>
      <c r="BI10" s="10">
        <f>+BG10</f>
        <v>0</v>
      </c>
      <c r="BJ10" s="10">
        <f t="shared" ref="BJ10:BJ39" si="27">+BI10/CB10*100</f>
        <v>0</v>
      </c>
      <c r="BK10" s="107"/>
      <c r="BL10" s="10">
        <f t="shared" ref="BL10:BL39" si="28">BK10/CA10*100</f>
        <v>0</v>
      </c>
      <c r="BM10" s="10">
        <f>BK10</f>
        <v>0</v>
      </c>
      <c r="BN10" s="10">
        <f t="shared" ref="BN10:BN39" si="29">BM10/CB10*100</f>
        <v>0</v>
      </c>
      <c r="BO10" s="107"/>
      <c r="BP10" s="15">
        <f t="shared" ref="BP10:BP39" si="30">BO10/CA10*100</f>
        <v>0</v>
      </c>
      <c r="BQ10" s="10">
        <f>BO10</f>
        <v>0</v>
      </c>
      <c r="BR10" s="10">
        <f t="shared" ref="BR10:BR39" si="31">BQ10/CB10*100</f>
        <v>0</v>
      </c>
      <c r="BS10" s="10">
        <f>BG10+BK10+BO10</f>
        <v>0</v>
      </c>
      <c r="BT10" s="10">
        <f t="shared" ref="BT10:BT39" si="32">BS10/CA10*100</f>
        <v>0</v>
      </c>
      <c r="BU10" s="10">
        <f>BS10</f>
        <v>0</v>
      </c>
      <c r="BV10" s="10">
        <f t="shared" ref="BV10:BV39" si="33">BU10/CB10*100</f>
        <v>0</v>
      </c>
      <c r="BW10" s="107">
        <v>0</v>
      </c>
      <c r="BX10" s="10">
        <f t="shared" ref="BX10:BX39" si="34">BW10/CA10*100</f>
        <v>0</v>
      </c>
      <c r="BY10" s="10">
        <f>BW10</f>
        <v>0</v>
      </c>
      <c r="BZ10" s="10">
        <f t="shared" ref="BZ10:BZ39" si="35">BY10/CB10*100</f>
        <v>0</v>
      </c>
      <c r="CA10" s="10">
        <f t="shared" ref="CA10:CA40" si="36">AE10+BC10+BS10+BW10</f>
        <v>67817.644</v>
      </c>
      <c r="CB10" s="10">
        <f>CA10</f>
        <v>67817.644</v>
      </c>
      <c r="CC10" s="10">
        <f t="shared" ref="CC10:CC40" si="37">CA10/1000/E10</f>
        <v>0.9875588886300094</v>
      </c>
      <c r="CD10" s="10">
        <f t="shared" ref="CD10:CD40" si="38">(CB10/1000)/F10</f>
        <v>0.9875588886300094</v>
      </c>
    </row>
    <row r="11" spans="1:82">
      <c r="A11" s="16">
        <f>+Chem!A10</f>
        <v>45840</v>
      </c>
      <c r="B11" s="6" t="str">
        <f>+Chem!B10</f>
        <v>MG</v>
      </c>
      <c r="C11" s="16" t="str">
        <f>+Chem!C10</f>
        <v>14</v>
      </c>
      <c r="D11" s="8">
        <f>+Chem!D10</f>
        <v>68.865999999999985</v>
      </c>
      <c r="E11" s="7">
        <f>+Chem!E10</f>
        <v>69.626999999999995</v>
      </c>
      <c r="F11" s="7">
        <f t="shared" ref="F11:F39" si="39">+E11+F10</f>
        <v>138.29899999999998</v>
      </c>
      <c r="G11" s="107">
        <f>84*G7</f>
        <v>19369.560000000001</v>
      </c>
      <c r="H11" s="10">
        <f t="shared" si="0"/>
        <v>26.379756621945997</v>
      </c>
      <c r="I11" s="8">
        <f t="shared" ref="I11:I39" si="40">G11+I10</f>
        <v>47962.720000000001</v>
      </c>
      <c r="J11" s="10">
        <f t="shared" si="1"/>
        <v>33.957472532610566</v>
      </c>
      <c r="K11" s="107"/>
      <c r="L11" s="10">
        <f t="shared" si="2"/>
        <v>0</v>
      </c>
      <c r="M11" s="10">
        <f t="shared" ref="M11:M39" si="41">+K11+M10</f>
        <v>0</v>
      </c>
      <c r="N11" s="10">
        <f t="shared" si="3"/>
        <v>0</v>
      </c>
      <c r="O11" s="107"/>
      <c r="P11" s="10">
        <f t="shared" si="4"/>
        <v>0</v>
      </c>
      <c r="Q11" s="10">
        <f t="shared" ref="Q11:Q39" si="42">+O11+Q10</f>
        <v>0</v>
      </c>
      <c r="R11" s="10">
        <f t="shared" si="5"/>
        <v>0</v>
      </c>
      <c r="S11" s="107">
        <v>0</v>
      </c>
      <c r="T11" s="10">
        <f t="shared" si="6"/>
        <v>0</v>
      </c>
      <c r="U11" s="10">
        <f t="shared" ref="U11:U39" si="43">+S11+U10</f>
        <v>0</v>
      </c>
      <c r="V11" s="10">
        <f t="shared" si="7"/>
        <v>0</v>
      </c>
      <c r="W11" s="107"/>
      <c r="X11" s="10">
        <f t="shared" si="8"/>
        <v>0</v>
      </c>
      <c r="Y11" s="10">
        <f t="shared" ref="Y11:Y39" si="44">+W11+Y10</f>
        <v>0</v>
      </c>
      <c r="Z11" s="10">
        <f t="shared" si="9"/>
        <v>0</v>
      </c>
      <c r="AA11" s="107">
        <f>44*AA7</f>
        <v>9803.0239999999994</v>
      </c>
      <c r="AB11" s="10">
        <f t="shared" si="10"/>
        <v>13.350916968640252</v>
      </c>
      <c r="AC11" s="10">
        <f t="shared" ref="AC11:AC39" si="45">AA11+AC10</f>
        <v>9803.0239999999994</v>
      </c>
      <c r="AD11" s="10">
        <f t="shared" si="11"/>
        <v>6.9405137618659269</v>
      </c>
      <c r="AE11" s="10">
        <f t="shared" ref="AE11:AE40" si="46">G11+AA11+K11+W11+S11+O11</f>
        <v>29172.584000000003</v>
      </c>
      <c r="AF11" s="10">
        <f t="shared" si="12"/>
        <v>39.73067359058625</v>
      </c>
      <c r="AG11" s="10">
        <f t="shared" ref="AG11:AG39" si="47">AE11+AG10</f>
        <v>57765.744000000006</v>
      </c>
      <c r="AH11" s="10">
        <f t="shared" si="13"/>
        <v>40.897986294476496</v>
      </c>
      <c r="AI11" s="108">
        <f>176*AI7</f>
        <v>44253.263999999996</v>
      </c>
      <c r="AJ11" s="10">
        <f t="shared" si="14"/>
        <v>60.26932640941375</v>
      </c>
      <c r="AK11" s="10">
        <f t="shared" ref="AK11:AK39" si="48">AI11+AK10</f>
        <v>83477.747999999992</v>
      </c>
      <c r="AL11" s="10">
        <f t="shared" si="15"/>
        <v>59.102013705523504</v>
      </c>
      <c r="AM11" s="107"/>
      <c r="AN11" s="10">
        <f t="shared" si="16"/>
        <v>0</v>
      </c>
      <c r="AO11" s="10">
        <f t="shared" ref="AO11:AO39" si="49">AM11+AO10</f>
        <v>0</v>
      </c>
      <c r="AP11" s="10">
        <f t="shared" si="17"/>
        <v>0</v>
      </c>
      <c r="AQ11" s="107"/>
      <c r="AR11" s="10">
        <f t="shared" si="18"/>
        <v>0</v>
      </c>
      <c r="AS11" s="10">
        <f t="shared" ref="AS11:AS39" si="50">AQ11+AS10</f>
        <v>0</v>
      </c>
      <c r="AT11" s="10">
        <f t="shared" si="19"/>
        <v>0</v>
      </c>
      <c r="AU11" s="107"/>
      <c r="AV11" s="10">
        <f t="shared" si="20"/>
        <v>0</v>
      </c>
      <c r="AW11" s="10">
        <f t="shared" ref="AW11:AW39" si="51">AU11+AW10</f>
        <v>0</v>
      </c>
      <c r="AX11" s="10">
        <f t="shared" si="21"/>
        <v>0</v>
      </c>
      <c r="AY11" s="107">
        <v>0</v>
      </c>
      <c r="AZ11" s="10">
        <f t="shared" si="22"/>
        <v>0</v>
      </c>
      <c r="BA11" s="10">
        <f t="shared" ref="BA11:BA39" si="52">AY11+BA10</f>
        <v>0</v>
      </c>
      <c r="BB11" s="10">
        <f t="shared" si="23"/>
        <v>0</v>
      </c>
      <c r="BC11" s="10">
        <f t="shared" ref="BC11:BC40" si="53">AI11+AM11+AQ11+AU11+AY11</f>
        <v>44253.263999999996</v>
      </c>
      <c r="BD11" s="10">
        <f t="shared" si="24"/>
        <v>60.26932640941375</v>
      </c>
      <c r="BE11" s="10">
        <f t="shared" ref="BE11:BE39" si="54">BC11+BE10</f>
        <v>83477.747999999992</v>
      </c>
      <c r="BF11" s="10">
        <f t="shared" si="25"/>
        <v>59.102013705523504</v>
      </c>
      <c r="BG11" s="107">
        <v>0</v>
      </c>
      <c r="BH11" s="10">
        <f t="shared" si="26"/>
        <v>0</v>
      </c>
      <c r="BI11" s="10">
        <f t="shared" ref="BI11:BI39" si="55">+BG11+BI10</f>
        <v>0</v>
      </c>
      <c r="BJ11" s="10">
        <f t="shared" si="27"/>
        <v>0</v>
      </c>
      <c r="BK11" s="107"/>
      <c r="BL11" s="10">
        <f t="shared" si="28"/>
        <v>0</v>
      </c>
      <c r="BM11" s="10">
        <f t="shared" ref="BM11:BM39" si="56">BK11+BM10</f>
        <v>0</v>
      </c>
      <c r="BN11" s="10">
        <f t="shared" si="29"/>
        <v>0</v>
      </c>
      <c r="BO11" s="107"/>
      <c r="BP11" s="15">
        <f t="shared" si="30"/>
        <v>0</v>
      </c>
      <c r="BQ11" s="10">
        <f t="shared" ref="BQ11:BQ39" si="57">BO11+BQ10</f>
        <v>0</v>
      </c>
      <c r="BR11" s="10">
        <f t="shared" si="31"/>
        <v>0</v>
      </c>
      <c r="BS11" s="10">
        <f t="shared" ref="BS11:BS39" si="58">BG11+BK11+BO11</f>
        <v>0</v>
      </c>
      <c r="BT11" s="10">
        <f t="shared" si="32"/>
        <v>0</v>
      </c>
      <c r="BU11" s="10">
        <f t="shared" ref="BU11:BU39" si="59">BS11+BU10</f>
        <v>0</v>
      </c>
      <c r="BV11" s="10">
        <f t="shared" si="33"/>
        <v>0</v>
      </c>
      <c r="BW11" s="107">
        <v>0</v>
      </c>
      <c r="BX11" s="10">
        <f t="shared" si="34"/>
        <v>0</v>
      </c>
      <c r="BY11" s="10">
        <f t="shared" ref="BY11:BY39" si="60">BW11+BY10</f>
        <v>0</v>
      </c>
      <c r="BZ11" s="10">
        <f t="shared" si="35"/>
        <v>0</v>
      </c>
      <c r="CA11" s="10">
        <f t="shared" si="36"/>
        <v>73425.847999999998</v>
      </c>
      <c r="CB11" s="10">
        <f t="shared" ref="CB11:CB39" si="61">CA11+CB10</f>
        <v>141243.492</v>
      </c>
      <c r="CC11" s="10">
        <f t="shared" si="37"/>
        <v>1.0545599839142863</v>
      </c>
      <c r="CD11" s="10">
        <f t="shared" si="38"/>
        <v>1.021290768552195</v>
      </c>
    </row>
    <row r="12" spans="1:82">
      <c r="A12" s="16">
        <f>+Chem!A11</f>
        <v>45841</v>
      </c>
      <c r="B12" s="6" t="str">
        <f>+Chem!B11</f>
        <v>MG</v>
      </c>
      <c r="C12" s="16" t="str">
        <f>+Chem!C11</f>
        <v>14/17</v>
      </c>
      <c r="D12" s="8">
        <f>+Chem!D11</f>
        <v>77.805000000000007</v>
      </c>
      <c r="E12" s="7">
        <f>+Chem!E11</f>
        <v>74.578999999999994</v>
      </c>
      <c r="F12" s="7">
        <f t="shared" si="39"/>
        <v>212.87799999999999</v>
      </c>
      <c r="G12" s="107">
        <f>120*G7</f>
        <v>27670.799999999999</v>
      </c>
      <c r="H12" s="10">
        <f t="shared" si="0"/>
        <v>35.494223857278094</v>
      </c>
      <c r="I12" s="8">
        <f t="shared" si="40"/>
        <v>75633.52</v>
      </c>
      <c r="J12" s="10">
        <f t="shared" si="1"/>
        <v>34.504013766437957</v>
      </c>
      <c r="K12" s="107"/>
      <c r="L12" s="10">
        <f t="shared" si="2"/>
        <v>0</v>
      </c>
      <c r="M12" s="10">
        <f t="shared" si="41"/>
        <v>0</v>
      </c>
      <c r="N12" s="10">
        <f t="shared" si="3"/>
        <v>0</v>
      </c>
      <c r="O12" s="107"/>
      <c r="P12" s="10">
        <f t="shared" si="4"/>
        <v>0</v>
      </c>
      <c r="Q12" s="10">
        <f t="shared" si="42"/>
        <v>0</v>
      </c>
      <c r="R12" s="10">
        <f t="shared" si="5"/>
        <v>0</v>
      </c>
      <c r="S12" s="107">
        <v>0</v>
      </c>
      <c r="T12" s="10">
        <f t="shared" si="6"/>
        <v>0</v>
      </c>
      <c r="U12" s="10">
        <f t="shared" si="43"/>
        <v>0</v>
      </c>
      <c r="V12" s="10">
        <f t="shared" si="7"/>
        <v>0</v>
      </c>
      <c r="W12" s="107"/>
      <c r="X12" s="10">
        <f t="shared" si="8"/>
        <v>0</v>
      </c>
      <c r="Y12" s="10">
        <f t="shared" si="44"/>
        <v>0</v>
      </c>
      <c r="Z12" s="10">
        <f t="shared" si="9"/>
        <v>0</v>
      </c>
      <c r="AA12" s="107"/>
      <c r="AB12" s="10">
        <f t="shared" si="10"/>
        <v>0</v>
      </c>
      <c r="AC12" s="10">
        <f t="shared" si="45"/>
        <v>9803.0239999999994</v>
      </c>
      <c r="AD12" s="10">
        <f t="shared" si="11"/>
        <v>4.472139800563582</v>
      </c>
      <c r="AE12" s="10">
        <f t="shared" si="46"/>
        <v>27670.799999999999</v>
      </c>
      <c r="AF12" s="10">
        <f t="shared" si="12"/>
        <v>35.494223857278094</v>
      </c>
      <c r="AG12" s="10">
        <f t="shared" si="47"/>
        <v>85436.544000000009</v>
      </c>
      <c r="AH12" s="10">
        <f t="shared" si="13"/>
        <v>38.976153567001539</v>
      </c>
      <c r="AI12" s="108">
        <f>200*AI7</f>
        <v>50287.799999999996</v>
      </c>
      <c r="AJ12" s="10">
        <f t="shared" si="14"/>
        <v>64.505776142721899</v>
      </c>
      <c r="AK12" s="10">
        <f t="shared" si="48"/>
        <v>133765.54799999998</v>
      </c>
      <c r="AL12" s="10">
        <f t="shared" si="15"/>
        <v>61.023846432998454</v>
      </c>
      <c r="AM12" s="107"/>
      <c r="AN12" s="10">
        <f t="shared" si="16"/>
        <v>0</v>
      </c>
      <c r="AO12" s="10">
        <f t="shared" si="49"/>
        <v>0</v>
      </c>
      <c r="AP12" s="10">
        <f t="shared" si="17"/>
        <v>0</v>
      </c>
      <c r="AQ12" s="107"/>
      <c r="AR12" s="10">
        <f t="shared" si="18"/>
        <v>0</v>
      </c>
      <c r="AS12" s="10">
        <f t="shared" si="50"/>
        <v>0</v>
      </c>
      <c r="AT12" s="10">
        <f t="shared" si="19"/>
        <v>0</v>
      </c>
      <c r="AU12" s="107"/>
      <c r="AV12" s="10">
        <f t="shared" si="20"/>
        <v>0</v>
      </c>
      <c r="AW12" s="10">
        <f t="shared" si="51"/>
        <v>0</v>
      </c>
      <c r="AX12" s="10">
        <f t="shared" si="21"/>
        <v>0</v>
      </c>
      <c r="AY12" s="107">
        <v>0</v>
      </c>
      <c r="AZ12" s="10">
        <f t="shared" si="22"/>
        <v>0</v>
      </c>
      <c r="BA12" s="10">
        <f t="shared" si="52"/>
        <v>0</v>
      </c>
      <c r="BB12" s="10">
        <f t="shared" si="23"/>
        <v>0</v>
      </c>
      <c r="BC12" s="10">
        <f t="shared" si="53"/>
        <v>50287.799999999996</v>
      </c>
      <c r="BD12" s="10">
        <f t="shared" si="24"/>
        <v>64.505776142721899</v>
      </c>
      <c r="BE12" s="10">
        <f t="shared" si="54"/>
        <v>133765.54799999998</v>
      </c>
      <c r="BF12" s="10">
        <f t="shared" si="25"/>
        <v>61.023846432998454</v>
      </c>
      <c r="BG12" s="107">
        <v>0</v>
      </c>
      <c r="BH12" s="10">
        <f t="shared" si="26"/>
        <v>0</v>
      </c>
      <c r="BI12" s="10">
        <f t="shared" si="55"/>
        <v>0</v>
      </c>
      <c r="BJ12" s="10">
        <f t="shared" si="27"/>
        <v>0</v>
      </c>
      <c r="BK12" s="107"/>
      <c r="BL12" s="10">
        <f t="shared" si="28"/>
        <v>0</v>
      </c>
      <c r="BM12" s="10">
        <f t="shared" si="56"/>
        <v>0</v>
      </c>
      <c r="BN12" s="10">
        <f t="shared" si="29"/>
        <v>0</v>
      </c>
      <c r="BO12" s="107"/>
      <c r="BP12" s="15">
        <f t="shared" si="30"/>
        <v>0</v>
      </c>
      <c r="BQ12" s="10">
        <f t="shared" si="57"/>
        <v>0</v>
      </c>
      <c r="BR12" s="10">
        <f t="shared" si="31"/>
        <v>0</v>
      </c>
      <c r="BS12" s="10">
        <f t="shared" si="58"/>
        <v>0</v>
      </c>
      <c r="BT12" s="10">
        <f t="shared" si="32"/>
        <v>0</v>
      </c>
      <c r="BU12" s="10">
        <f t="shared" si="59"/>
        <v>0</v>
      </c>
      <c r="BV12" s="10">
        <f t="shared" si="33"/>
        <v>0</v>
      </c>
      <c r="BW12" s="107">
        <v>0</v>
      </c>
      <c r="BX12" s="10">
        <f t="shared" si="34"/>
        <v>0</v>
      </c>
      <c r="BY12" s="10">
        <f t="shared" si="60"/>
        <v>0</v>
      </c>
      <c r="BZ12" s="10">
        <f t="shared" si="35"/>
        <v>0</v>
      </c>
      <c r="CA12" s="10">
        <f t="shared" si="36"/>
        <v>77958.599999999991</v>
      </c>
      <c r="CB12" s="10">
        <f t="shared" si="61"/>
        <v>219202.092</v>
      </c>
      <c r="CC12" s="10">
        <f t="shared" si="37"/>
        <v>1.0453157054935034</v>
      </c>
      <c r="CD12" s="10">
        <f t="shared" si="38"/>
        <v>1.029707588383957</v>
      </c>
    </row>
    <row r="13" spans="1:82">
      <c r="A13" s="16">
        <f>+Chem!A12</f>
        <v>45842</v>
      </c>
      <c r="B13" s="6" t="str">
        <f>+Chem!B12</f>
        <v>MG</v>
      </c>
      <c r="C13" s="16" t="str">
        <f>+Chem!C12</f>
        <v>17</v>
      </c>
      <c r="D13" s="8">
        <f>+Chem!D12</f>
        <v>79.141999999999996</v>
      </c>
      <c r="E13" s="7">
        <f>+Chem!E12</f>
        <v>78.611000000000004</v>
      </c>
      <c r="F13" s="7">
        <f t="shared" si="39"/>
        <v>291.48899999999998</v>
      </c>
      <c r="G13" s="107">
        <f>116*G7</f>
        <v>26748.44</v>
      </c>
      <c r="H13" s="10">
        <f t="shared" si="0"/>
        <v>32.998621847837157</v>
      </c>
      <c r="I13" s="8">
        <f t="shared" si="40"/>
        <v>102381.96</v>
      </c>
      <c r="J13" s="10">
        <f t="shared" si="1"/>
        <v>34.097614612784206</v>
      </c>
      <c r="K13" s="107"/>
      <c r="L13" s="10">
        <f t="shared" si="2"/>
        <v>0</v>
      </c>
      <c r="M13" s="10">
        <f t="shared" si="41"/>
        <v>0</v>
      </c>
      <c r="N13" s="10">
        <f t="shared" si="3"/>
        <v>0</v>
      </c>
      <c r="O13" s="107"/>
      <c r="P13" s="10">
        <f t="shared" si="4"/>
        <v>0</v>
      </c>
      <c r="Q13" s="10">
        <f t="shared" si="42"/>
        <v>0</v>
      </c>
      <c r="R13" s="10">
        <f t="shared" si="5"/>
        <v>0</v>
      </c>
      <c r="S13" s="107">
        <v>0</v>
      </c>
      <c r="T13" s="10">
        <f t="shared" si="6"/>
        <v>0</v>
      </c>
      <c r="U13" s="10">
        <f t="shared" si="43"/>
        <v>0</v>
      </c>
      <c r="V13" s="10">
        <f t="shared" si="7"/>
        <v>0</v>
      </c>
      <c r="W13" s="107"/>
      <c r="X13" s="10">
        <f t="shared" si="8"/>
        <v>0</v>
      </c>
      <c r="Y13" s="10">
        <f t="shared" si="44"/>
        <v>0</v>
      </c>
      <c r="Z13" s="10">
        <f t="shared" si="9"/>
        <v>0</v>
      </c>
      <c r="AA13" s="107"/>
      <c r="AB13" s="10">
        <f t="shared" si="10"/>
        <v>0</v>
      </c>
      <c r="AC13" s="10">
        <f t="shared" si="45"/>
        <v>9803.0239999999994</v>
      </c>
      <c r="AD13" s="10">
        <f t="shared" si="11"/>
        <v>3.2648303899620035</v>
      </c>
      <c r="AE13" s="10">
        <f t="shared" si="46"/>
        <v>26748.44</v>
      </c>
      <c r="AF13" s="10">
        <f t="shared" si="12"/>
        <v>32.998621847837157</v>
      </c>
      <c r="AG13" s="10">
        <f t="shared" si="47"/>
        <v>112184.98400000001</v>
      </c>
      <c r="AH13" s="10">
        <f t="shared" si="13"/>
        <v>37.362445002746206</v>
      </c>
      <c r="AI13" s="108">
        <f>216*AI7</f>
        <v>54310.824000000001</v>
      </c>
      <c r="AJ13" s="10">
        <f t="shared" si="14"/>
        <v>67.001378152162843</v>
      </c>
      <c r="AK13" s="10">
        <f t="shared" si="48"/>
        <v>188076.37199999997</v>
      </c>
      <c r="AL13" s="10">
        <f t="shared" si="15"/>
        <v>62.637554997253773</v>
      </c>
      <c r="AM13" s="107"/>
      <c r="AN13" s="10">
        <f t="shared" si="16"/>
        <v>0</v>
      </c>
      <c r="AO13" s="10">
        <f t="shared" si="49"/>
        <v>0</v>
      </c>
      <c r="AP13" s="10">
        <f t="shared" si="17"/>
        <v>0</v>
      </c>
      <c r="AQ13" s="107"/>
      <c r="AR13" s="10">
        <f t="shared" si="18"/>
        <v>0</v>
      </c>
      <c r="AS13" s="10">
        <f t="shared" si="50"/>
        <v>0</v>
      </c>
      <c r="AT13" s="10">
        <f t="shared" si="19"/>
        <v>0</v>
      </c>
      <c r="AU13" s="107"/>
      <c r="AV13" s="10">
        <f t="shared" si="20"/>
        <v>0</v>
      </c>
      <c r="AW13" s="10">
        <f t="shared" si="51"/>
        <v>0</v>
      </c>
      <c r="AX13" s="10">
        <f t="shared" si="21"/>
        <v>0</v>
      </c>
      <c r="AY13" s="107">
        <v>0</v>
      </c>
      <c r="AZ13" s="10">
        <f t="shared" si="22"/>
        <v>0</v>
      </c>
      <c r="BA13" s="10">
        <f t="shared" si="52"/>
        <v>0</v>
      </c>
      <c r="BB13" s="10">
        <f t="shared" si="23"/>
        <v>0</v>
      </c>
      <c r="BC13" s="10">
        <f t="shared" si="53"/>
        <v>54310.824000000001</v>
      </c>
      <c r="BD13" s="10">
        <f t="shared" si="24"/>
        <v>67.001378152162843</v>
      </c>
      <c r="BE13" s="10">
        <f t="shared" si="54"/>
        <v>188076.37199999997</v>
      </c>
      <c r="BF13" s="10">
        <f t="shared" si="25"/>
        <v>62.637554997253773</v>
      </c>
      <c r="BG13" s="107">
        <v>0</v>
      </c>
      <c r="BH13" s="10">
        <f t="shared" si="26"/>
        <v>0</v>
      </c>
      <c r="BI13" s="10">
        <f t="shared" si="55"/>
        <v>0</v>
      </c>
      <c r="BJ13" s="10">
        <f t="shared" si="27"/>
        <v>0</v>
      </c>
      <c r="BK13" s="107"/>
      <c r="BL13" s="10">
        <f t="shared" si="28"/>
        <v>0</v>
      </c>
      <c r="BM13" s="10">
        <f t="shared" si="56"/>
        <v>0</v>
      </c>
      <c r="BN13" s="10">
        <f t="shared" si="29"/>
        <v>0</v>
      </c>
      <c r="BO13" s="107"/>
      <c r="BP13" s="15">
        <f t="shared" si="30"/>
        <v>0</v>
      </c>
      <c r="BQ13" s="10">
        <f t="shared" si="57"/>
        <v>0</v>
      </c>
      <c r="BR13" s="10">
        <f t="shared" si="31"/>
        <v>0</v>
      </c>
      <c r="BS13" s="10">
        <f t="shared" si="58"/>
        <v>0</v>
      </c>
      <c r="BT13" s="10">
        <f t="shared" si="32"/>
        <v>0</v>
      </c>
      <c r="BU13" s="10">
        <f t="shared" si="59"/>
        <v>0</v>
      </c>
      <c r="BV13" s="10">
        <f t="shared" si="33"/>
        <v>0</v>
      </c>
      <c r="BW13" s="107">
        <v>0</v>
      </c>
      <c r="BX13" s="10">
        <f t="shared" si="34"/>
        <v>0</v>
      </c>
      <c r="BY13" s="10">
        <f t="shared" si="60"/>
        <v>0</v>
      </c>
      <c r="BZ13" s="10">
        <f t="shared" si="35"/>
        <v>0</v>
      </c>
      <c r="CA13" s="10">
        <f t="shared" si="36"/>
        <v>81059.263999999996</v>
      </c>
      <c r="CB13" s="10">
        <f t="shared" si="61"/>
        <v>300261.35600000003</v>
      </c>
      <c r="CC13" s="10">
        <f t="shared" si="37"/>
        <v>1.0311440383661319</v>
      </c>
      <c r="CD13" s="10">
        <f t="shared" si="38"/>
        <v>1.0300949812857434</v>
      </c>
    </row>
    <row r="14" spans="1:82">
      <c r="A14" s="16">
        <f>+Chem!A13</f>
        <v>45843</v>
      </c>
      <c r="B14" s="6" t="str">
        <f>+Chem!B13</f>
        <v>MG</v>
      </c>
      <c r="C14" s="16" t="str">
        <f>+Chem!C13</f>
        <v>16</v>
      </c>
      <c r="D14" s="8">
        <f>+Chem!D13</f>
        <v>74.533000000000001</v>
      </c>
      <c r="E14" s="7">
        <f>+Chem!E13</f>
        <v>74.552000000000007</v>
      </c>
      <c r="F14" s="7">
        <f t="shared" si="39"/>
        <v>366.041</v>
      </c>
      <c r="G14" s="108">
        <f>116*G7</f>
        <v>26748.44</v>
      </c>
      <c r="H14" s="99">
        <f t="shared" si="0"/>
        <v>33.413201580123129</v>
      </c>
      <c r="I14" s="8">
        <f t="shared" si="40"/>
        <v>129130.40000000001</v>
      </c>
      <c r="J14" s="99">
        <f t="shared" si="1"/>
        <v>33.953550655858663</v>
      </c>
      <c r="K14" s="108"/>
      <c r="L14" s="99">
        <f t="shared" si="2"/>
        <v>0</v>
      </c>
      <c r="M14" s="99">
        <f t="shared" si="41"/>
        <v>0</v>
      </c>
      <c r="N14" s="99">
        <f t="shared" si="3"/>
        <v>0</v>
      </c>
      <c r="O14" s="107"/>
      <c r="P14" s="99">
        <f t="shared" si="4"/>
        <v>0</v>
      </c>
      <c r="Q14" s="99">
        <f t="shared" si="42"/>
        <v>0</v>
      </c>
      <c r="R14" s="99">
        <f t="shared" si="5"/>
        <v>0</v>
      </c>
      <c r="S14" s="107">
        <v>0</v>
      </c>
      <c r="T14" s="99">
        <f t="shared" si="6"/>
        <v>0</v>
      </c>
      <c r="U14" s="99">
        <f t="shared" si="43"/>
        <v>0</v>
      </c>
      <c r="V14" s="99">
        <f t="shared" si="7"/>
        <v>0</v>
      </c>
      <c r="W14" s="107"/>
      <c r="X14" s="99">
        <f t="shared" si="8"/>
        <v>0</v>
      </c>
      <c r="Y14" s="99">
        <f t="shared" si="44"/>
        <v>0</v>
      </c>
      <c r="Z14" s="99">
        <f t="shared" si="9"/>
        <v>0</v>
      </c>
      <c r="AA14" s="108"/>
      <c r="AB14" s="99">
        <f t="shared" si="10"/>
        <v>0</v>
      </c>
      <c r="AC14" s="99">
        <f t="shared" si="45"/>
        <v>9803.0239999999994</v>
      </c>
      <c r="AD14" s="99">
        <f t="shared" si="11"/>
        <v>2.5776073795527479</v>
      </c>
      <c r="AE14" s="10">
        <f t="shared" si="46"/>
        <v>26748.44</v>
      </c>
      <c r="AF14" s="99">
        <f t="shared" si="12"/>
        <v>33.413201580123129</v>
      </c>
      <c r="AG14" s="99">
        <f t="shared" si="47"/>
        <v>138933.424</v>
      </c>
      <c r="AH14" s="99">
        <f t="shared" si="13"/>
        <v>36.531158035411408</v>
      </c>
      <c r="AI14" s="108">
        <f>212*AI7</f>
        <v>53305.067999999999</v>
      </c>
      <c r="AJ14" s="99">
        <f t="shared" si="14"/>
        <v>66.586798419876857</v>
      </c>
      <c r="AK14" s="99">
        <f t="shared" si="48"/>
        <v>241381.43999999997</v>
      </c>
      <c r="AL14" s="99">
        <f t="shared" si="15"/>
        <v>63.468841964588563</v>
      </c>
      <c r="AM14" s="108"/>
      <c r="AN14" s="99">
        <f t="shared" si="16"/>
        <v>0</v>
      </c>
      <c r="AO14" s="99">
        <f t="shared" si="49"/>
        <v>0</v>
      </c>
      <c r="AP14" s="99">
        <f t="shared" si="17"/>
        <v>0</v>
      </c>
      <c r="AQ14" s="108"/>
      <c r="AR14" s="99">
        <f t="shared" si="18"/>
        <v>0</v>
      </c>
      <c r="AS14" s="99">
        <f t="shared" si="50"/>
        <v>0</v>
      </c>
      <c r="AT14" s="99">
        <f t="shared" si="19"/>
        <v>0</v>
      </c>
      <c r="AU14" s="108"/>
      <c r="AV14" s="99">
        <f t="shared" si="20"/>
        <v>0</v>
      </c>
      <c r="AW14" s="99">
        <f t="shared" si="51"/>
        <v>0</v>
      </c>
      <c r="AX14" s="99">
        <f t="shared" si="21"/>
        <v>0</v>
      </c>
      <c r="AY14" s="107">
        <v>0</v>
      </c>
      <c r="AZ14" s="99">
        <f t="shared" si="22"/>
        <v>0</v>
      </c>
      <c r="BA14" s="99">
        <f t="shared" si="52"/>
        <v>0</v>
      </c>
      <c r="BB14" s="99">
        <f t="shared" si="23"/>
        <v>0</v>
      </c>
      <c r="BC14" s="10">
        <f t="shared" si="53"/>
        <v>53305.067999999999</v>
      </c>
      <c r="BD14" s="99">
        <f t="shared" si="24"/>
        <v>66.586798419876857</v>
      </c>
      <c r="BE14" s="99">
        <f t="shared" si="54"/>
        <v>241381.43999999997</v>
      </c>
      <c r="BF14" s="99">
        <f t="shared" si="25"/>
        <v>63.468841964588563</v>
      </c>
      <c r="BG14" s="107">
        <v>0</v>
      </c>
      <c r="BH14" s="99">
        <f t="shared" si="26"/>
        <v>0</v>
      </c>
      <c r="BI14" s="99">
        <f t="shared" si="55"/>
        <v>0</v>
      </c>
      <c r="BJ14" s="99">
        <f t="shared" si="27"/>
        <v>0</v>
      </c>
      <c r="BK14" s="108"/>
      <c r="BL14" s="99">
        <f t="shared" si="28"/>
        <v>0</v>
      </c>
      <c r="BM14" s="99">
        <f t="shared" si="56"/>
        <v>0</v>
      </c>
      <c r="BN14" s="99">
        <f t="shared" si="29"/>
        <v>0</v>
      </c>
      <c r="BO14" s="108"/>
      <c r="BP14" s="100">
        <f t="shared" si="30"/>
        <v>0</v>
      </c>
      <c r="BQ14" s="99">
        <f t="shared" si="57"/>
        <v>0</v>
      </c>
      <c r="BR14" s="99">
        <f t="shared" si="31"/>
        <v>0</v>
      </c>
      <c r="BS14" s="99">
        <f t="shared" si="58"/>
        <v>0</v>
      </c>
      <c r="BT14" s="99">
        <f t="shared" si="32"/>
        <v>0</v>
      </c>
      <c r="BU14" s="99">
        <f t="shared" si="59"/>
        <v>0</v>
      </c>
      <c r="BV14" s="99">
        <f t="shared" si="33"/>
        <v>0</v>
      </c>
      <c r="BW14" s="108">
        <v>0</v>
      </c>
      <c r="BX14" s="99">
        <f t="shared" si="34"/>
        <v>0</v>
      </c>
      <c r="BY14" s="99">
        <f t="shared" si="60"/>
        <v>0</v>
      </c>
      <c r="BZ14" s="99">
        <f t="shared" si="35"/>
        <v>0</v>
      </c>
      <c r="CA14" s="99">
        <f t="shared" si="36"/>
        <v>80053.508000000002</v>
      </c>
      <c r="CB14" s="99">
        <f t="shared" si="61"/>
        <v>380314.86400000006</v>
      </c>
      <c r="CC14" s="99">
        <f t="shared" si="37"/>
        <v>1.0737942375791394</v>
      </c>
      <c r="CD14" s="99">
        <f t="shared" si="38"/>
        <v>1.0389952600938148</v>
      </c>
    </row>
    <row r="15" spans="1:82">
      <c r="A15" s="16">
        <f>+Chem!A14</f>
        <v>45844</v>
      </c>
      <c r="B15" s="6" t="str">
        <f>+Chem!B14</f>
        <v>MG</v>
      </c>
      <c r="C15" s="16" t="str">
        <f>+Chem!C14</f>
        <v>16</v>
      </c>
      <c r="D15" s="8">
        <f>+Chem!D14</f>
        <v>68.905000000000001</v>
      </c>
      <c r="E15" s="7">
        <f>+Chem!E14</f>
        <v>70.131</v>
      </c>
      <c r="F15" s="7">
        <f t="shared" si="39"/>
        <v>436.17200000000003</v>
      </c>
      <c r="G15" s="108">
        <f>104*G7</f>
        <v>23981.360000000001</v>
      </c>
      <c r="H15" s="99">
        <f t="shared" si="0"/>
        <v>32.733068204147322</v>
      </c>
      <c r="I15" s="8">
        <f t="shared" si="40"/>
        <v>153111.76</v>
      </c>
      <c r="J15" s="99">
        <f t="shared" si="1"/>
        <v>33.756414449732851</v>
      </c>
      <c r="K15" s="108"/>
      <c r="L15" s="99">
        <f t="shared" si="2"/>
        <v>0</v>
      </c>
      <c r="M15" s="99">
        <f t="shared" si="41"/>
        <v>0</v>
      </c>
      <c r="N15" s="99">
        <f t="shared" si="3"/>
        <v>0</v>
      </c>
      <c r="O15" s="107"/>
      <c r="P15" s="99">
        <f t="shared" si="4"/>
        <v>0</v>
      </c>
      <c r="Q15" s="99">
        <f t="shared" si="42"/>
        <v>0</v>
      </c>
      <c r="R15" s="99">
        <f t="shared" si="5"/>
        <v>0</v>
      </c>
      <c r="S15" s="107">
        <v>0</v>
      </c>
      <c r="T15" s="99">
        <f t="shared" si="6"/>
        <v>0</v>
      </c>
      <c r="U15" s="99">
        <f t="shared" si="43"/>
        <v>0</v>
      </c>
      <c r="V15" s="99">
        <f t="shared" si="7"/>
        <v>0</v>
      </c>
      <c r="W15" s="107"/>
      <c r="X15" s="99">
        <f t="shared" si="8"/>
        <v>0</v>
      </c>
      <c r="Y15" s="99">
        <f t="shared" si="44"/>
        <v>0</v>
      </c>
      <c r="Z15" s="99">
        <f t="shared" si="9"/>
        <v>0</v>
      </c>
      <c r="AA15" s="108"/>
      <c r="AB15" s="99">
        <f t="shared" si="10"/>
        <v>0</v>
      </c>
      <c r="AC15" s="99">
        <f t="shared" si="45"/>
        <v>9803.0239999999994</v>
      </c>
      <c r="AD15" s="99">
        <f t="shared" si="11"/>
        <v>2.1612640401016741</v>
      </c>
      <c r="AE15" s="10">
        <f t="shared" si="46"/>
        <v>23981.360000000001</v>
      </c>
      <c r="AF15" s="99">
        <f t="shared" si="12"/>
        <v>32.733068204147322</v>
      </c>
      <c r="AG15" s="99">
        <f t="shared" si="47"/>
        <v>162914.78399999999</v>
      </c>
      <c r="AH15" s="99">
        <f t="shared" si="13"/>
        <v>35.917678489834522</v>
      </c>
      <c r="AI15" s="108">
        <f>196*AI7</f>
        <v>49282.044000000002</v>
      </c>
      <c r="AJ15" s="99">
        <f t="shared" si="14"/>
        <v>67.26693179585267</v>
      </c>
      <c r="AK15" s="99">
        <f t="shared" si="48"/>
        <v>290663.484</v>
      </c>
      <c r="AL15" s="99">
        <f t="shared" si="15"/>
        <v>64.082321510165457</v>
      </c>
      <c r="AM15" s="108"/>
      <c r="AN15" s="99">
        <f t="shared" si="16"/>
        <v>0</v>
      </c>
      <c r="AO15" s="99">
        <f t="shared" si="49"/>
        <v>0</v>
      </c>
      <c r="AP15" s="99">
        <f t="shared" si="17"/>
        <v>0</v>
      </c>
      <c r="AQ15" s="108"/>
      <c r="AR15" s="99">
        <f t="shared" si="18"/>
        <v>0</v>
      </c>
      <c r="AS15" s="99">
        <f t="shared" si="50"/>
        <v>0</v>
      </c>
      <c r="AT15" s="99">
        <f t="shared" si="19"/>
        <v>0</v>
      </c>
      <c r="AU15" s="108"/>
      <c r="AV15" s="99">
        <f t="shared" si="20"/>
        <v>0</v>
      </c>
      <c r="AW15" s="99">
        <f t="shared" si="51"/>
        <v>0</v>
      </c>
      <c r="AX15" s="99">
        <f t="shared" si="21"/>
        <v>0</v>
      </c>
      <c r="AY15" s="107">
        <v>0</v>
      </c>
      <c r="AZ15" s="99">
        <f t="shared" si="22"/>
        <v>0</v>
      </c>
      <c r="BA15" s="99">
        <f t="shared" si="52"/>
        <v>0</v>
      </c>
      <c r="BB15" s="99">
        <f t="shared" si="23"/>
        <v>0</v>
      </c>
      <c r="BC15" s="10">
        <f t="shared" si="53"/>
        <v>49282.044000000002</v>
      </c>
      <c r="BD15" s="99">
        <f t="shared" si="24"/>
        <v>67.26693179585267</v>
      </c>
      <c r="BE15" s="99">
        <f t="shared" si="54"/>
        <v>290663.484</v>
      </c>
      <c r="BF15" s="99">
        <f t="shared" si="25"/>
        <v>64.082321510165457</v>
      </c>
      <c r="BG15" s="107">
        <v>0</v>
      </c>
      <c r="BH15" s="99">
        <f t="shared" si="26"/>
        <v>0</v>
      </c>
      <c r="BI15" s="99">
        <f t="shared" si="55"/>
        <v>0</v>
      </c>
      <c r="BJ15" s="99">
        <f t="shared" si="27"/>
        <v>0</v>
      </c>
      <c r="BK15" s="108"/>
      <c r="BL15" s="99">
        <f t="shared" si="28"/>
        <v>0</v>
      </c>
      <c r="BM15" s="99">
        <f t="shared" si="56"/>
        <v>0</v>
      </c>
      <c r="BN15" s="99">
        <f t="shared" si="29"/>
        <v>0</v>
      </c>
      <c r="BO15" s="108"/>
      <c r="BP15" s="100">
        <f t="shared" si="30"/>
        <v>0</v>
      </c>
      <c r="BQ15" s="99">
        <f t="shared" si="57"/>
        <v>0</v>
      </c>
      <c r="BR15" s="99">
        <f t="shared" si="31"/>
        <v>0</v>
      </c>
      <c r="BS15" s="99">
        <f t="shared" si="58"/>
        <v>0</v>
      </c>
      <c r="BT15" s="99">
        <f t="shared" si="32"/>
        <v>0</v>
      </c>
      <c r="BU15" s="99">
        <f t="shared" si="59"/>
        <v>0</v>
      </c>
      <c r="BV15" s="99">
        <f t="shared" si="33"/>
        <v>0</v>
      </c>
      <c r="BW15" s="108">
        <v>0</v>
      </c>
      <c r="BX15" s="99">
        <f t="shared" si="34"/>
        <v>0</v>
      </c>
      <c r="BY15" s="99">
        <f t="shared" si="60"/>
        <v>0</v>
      </c>
      <c r="BZ15" s="99">
        <f t="shared" si="35"/>
        <v>0</v>
      </c>
      <c r="CA15" s="99">
        <f t="shared" si="36"/>
        <v>73263.40400000001</v>
      </c>
      <c r="CB15" s="99">
        <f t="shared" si="61"/>
        <v>453578.26800000004</v>
      </c>
      <c r="CC15" s="99">
        <f t="shared" si="37"/>
        <v>1.0446650411373004</v>
      </c>
      <c r="CD15" s="99">
        <f t="shared" si="38"/>
        <v>1.0399068899424997</v>
      </c>
    </row>
    <row r="16" spans="1:82">
      <c r="A16" s="16">
        <f>+Chem!A15</f>
        <v>45845</v>
      </c>
      <c r="B16" s="6" t="str">
        <f>+Chem!B15</f>
        <v>MG</v>
      </c>
      <c r="C16" s="16" t="str">
        <f>+Chem!C15</f>
        <v>16/22/24/20</v>
      </c>
      <c r="D16" s="8">
        <f>+Chem!D15</f>
        <v>55.073</v>
      </c>
      <c r="E16" s="7">
        <f>+Chem!E15</f>
        <v>60.798000000000002</v>
      </c>
      <c r="F16" s="7">
        <f t="shared" si="39"/>
        <v>496.97</v>
      </c>
      <c r="G16" s="108">
        <f>80*G7</f>
        <v>18447.2</v>
      </c>
      <c r="H16" s="99">
        <f t="shared" si="0"/>
        <v>31.438317690751333</v>
      </c>
      <c r="I16" s="8">
        <f t="shared" si="40"/>
        <v>171558.96000000002</v>
      </c>
      <c r="J16" s="99">
        <f t="shared" si="1"/>
        <v>33.490883033752354</v>
      </c>
      <c r="K16" s="108"/>
      <c r="L16" s="99">
        <f t="shared" si="2"/>
        <v>0</v>
      </c>
      <c r="M16" s="99">
        <f t="shared" si="41"/>
        <v>0</v>
      </c>
      <c r="N16" s="99">
        <f t="shared" si="3"/>
        <v>0</v>
      </c>
      <c r="O16" s="107"/>
      <c r="P16" s="99">
        <f t="shared" si="4"/>
        <v>0</v>
      </c>
      <c r="Q16" s="99">
        <f t="shared" si="42"/>
        <v>0</v>
      </c>
      <c r="R16" s="99">
        <f t="shared" si="5"/>
        <v>0</v>
      </c>
      <c r="S16" s="107">
        <v>0</v>
      </c>
      <c r="T16" s="99">
        <f t="shared" si="6"/>
        <v>0</v>
      </c>
      <c r="U16" s="99">
        <f t="shared" si="43"/>
        <v>0</v>
      </c>
      <c r="V16" s="99">
        <f t="shared" si="7"/>
        <v>0</v>
      </c>
      <c r="W16" s="107"/>
      <c r="X16" s="99">
        <f t="shared" si="8"/>
        <v>0</v>
      </c>
      <c r="Y16" s="99">
        <f t="shared" si="44"/>
        <v>0</v>
      </c>
      <c r="Z16" s="99">
        <f t="shared" si="9"/>
        <v>0</v>
      </c>
      <c r="AA16" s="108"/>
      <c r="AB16" s="99">
        <f t="shared" si="10"/>
        <v>0</v>
      </c>
      <c r="AC16" s="99">
        <f t="shared" si="45"/>
        <v>9803.0239999999994</v>
      </c>
      <c r="AD16" s="99">
        <f t="shared" si="11"/>
        <v>1.9136973677216691</v>
      </c>
      <c r="AE16" s="10">
        <f t="shared" si="46"/>
        <v>18447.2</v>
      </c>
      <c r="AF16" s="99">
        <f t="shared" si="12"/>
        <v>31.438317690751333</v>
      </c>
      <c r="AG16" s="99">
        <f t="shared" si="47"/>
        <v>181361.984</v>
      </c>
      <c r="AH16" s="99">
        <f t="shared" si="13"/>
        <v>35.404580401474014</v>
      </c>
      <c r="AI16" s="108">
        <f>160*AI7</f>
        <v>40230.239999999998</v>
      </c>
      <c r="AJ16" s="99">
        <f t="shared" si="14"/>
        <v>68.561682309248667</v>
      </c>
      <c r="AK16" s="99">
        <f t="shared" si="48"/>
        <v>330893.72399999999</v>
      </c>
      <c r="AL16" s="99">
        <f t="shared" si="15"/>
        <v>64.595419598525979</v>
      </c>
      <c r="AM16" s="108"/>
      <c r="AN16" s="99">
        <f t="shared" si="16"/>
        <v>0</v>
      </c>
      <c r="AO16" s="99">
        <f t="shared" si="49"/>
        <v>0</v>
      </c>
      <c r="AP16" s="99">
        <f t="shared" si="17"/>
        <v>0</v>
      </c>
      <c r="AQ16" s="108"/>
      <c r="AR16" s="99">
        <f t="shared" si="18"/>
        <v>0</v>
      </c>
      <c r="AS16" s="99">
        <f t="shared" si="50"/>
        <v>0</v>
      </c>
      <c r="AT16" s="99">
        <f t="shared" si="19"/>
        <v>0</v>
      </c>
      <c r="AU16" s="108"/>
      <c r="AV16" s="99">
        <f t="shared" si="20"/>
        <v>0</v>
      </c>
      <c r="AW16" s="99">
        <f t="shared" si="51"/>
        <v>0</v>
      </c>
      <c r="AX16" s="99">
        <f t="shared" si="21"/>
        <v>0</v>
      </c>
      <c r="AY16" s="107">
        <v>0</v>
      </c>
      <c r="AZ16" s="99">
        <f t="shared" si="22"/>
        <v>0</v>
      </c>
      <c r="BA16" s="99">
        <f t="shared" si="52"/>
        <v>0</v>
      </c>
      <c r="BB16" s="99">
        <f t="shared" si="23"/>
        <v>0</v>
      </c>
      <c r="BC16" s="10">
        <f t="shared" si="53"/>
        <v>40230.239999999998</v>
      </c>
      <c r="BD16" s="99">
        <f t="shared" si="24"/>
        <v>68.561682309248667</v>
      </c>
      <c r="BE16" s="99">
        <f t="shared" si="54"/>
        <v>330893.72399999999</v>
      </c>
      <c r="BF16" s="99">
        <f t="shared" si="25"/>
        <v>64.595419598525979</v>
      </c>
      <c r="BG16" s="107">
        <v>0</v>
      </c>
      <c r="BH16" s="99">
        <f t="shared" si="26"/>
        <v>0</v>
      </c>
      <c r="BI16" s="99">
        <f t="shared" si="55"/>
        <v>0</v>
      </c>
      <c r="BJ16" s="99">
        <f t="shared" si="27"/>
        <v>0</v>
      </c>
      <c r="BK16" s="108"/>
      <c r="BL16" s="99">
        <f t="shared" si="28"/>
        <v>0</v>
      </c>
      <c r="BM16" s="99">
        <f t="shared" si="56"/>
        <v>0</v>
      </c>
      <c r="BN16" s="99">
        <f t="shared" si="29"/>
        <v>0</v>
      </c>
      <c r="BO16" s="108"/>
      <c r="BP16" s="100">
        <f t="shared" si="30"/>
        <v>0</v>
      </c>
      <c r="BQ16" s="99">
        <f t="shared" si="57"/>
        <v>0</v>
      </c>
      <c r="BR16" s="99">
        <f t="shared" si="31"/>
        <v>0</v>
      </c>
      <c r="BS16" s="99">
        <f t="shared" si="58"/>
        <v>0</v>
      </c>
      <c r="BT16" s="99">
        <f t="shared" si="32"/>
        <v>0</v>
      </c>
      <c r="BU16" s="99">
        <f t="shared" si="59"/>
        <v>0</v>
      </c>
      <c r="BV16" s="99">
        <f t="shared" si="33"/>
        <v>0</v>
      </c>
      <c r="BW16" s="108">
        <v>0</v>
      </c>
      <c r="BX16" s="99">
        <f t="shared" si="34"/>
        <v>0</v>
      </c>
      <c r="BY16" s="99">
        <f t="shared" si="60"/>
        <v>0</v>
      </c>
      <c r="BZ16" s="99">
        <f t="shared" si="35"/>
        <v>0</v>
      </c>
      <c r="CA16" s="99">
        <f t="shared" si="36"/>
        <v>58677.440000000002</v>
      </c>
      <c r="CB16" s="99">
        <f t="shared" si="61"/>
        <v>512255.70800000004</v>
      </c>
      <c r="CC16" s="99">
        <f t="shared" si="37"/>
        <v>0.96512122109279919</v>
      </c>
      <c r="CD16" s="99">
        <f t="shared" si="38"/>
        <v>1.0307578083184095</v>
      </c>
    </row>
    <row r="17" spans="1:91">
      <c r="A17" s="16">
        <f>+Chem!A16</f>
        <v>45846</v>
      </c>
      <c r="B17" s="6" t="str">
        <f>+Chem!B16</f>
        <v>MG</v>
      </c>
      <c r="C17" s="16" t="str">
        <f>+Chem!C16</f>
        <v>16</v>
      </c>
      <c r="D17" s="8">
        <f>+Chem!D16</f>
        <v>40.311999999999998</v>
      </c>
      <c r="E17" s="7">
        <f>+Chem!E16</f>
        <v>12.112</v>
      </c>
      <c r="F17" s="7">
        <f t="shared" si="39"/>
        <v>509.08200000000005</v>
      </c>
      <c r="G17" s="108">
        <f>64*G7</f>
        <v>14757.76</v>
      </c>
      <c r="H17" s="99">
        <f t="shared" si="0"/>
        <v>35.210315267954428</v>
      </c>
      <c r="I17" s="8">
        <f t="shared" si="40"/>
        <v>186316.72000000003</v>
      </c>
      <c r="J17" s="99">
        <f t="shared" si="1"/>
        <v>33.620927974158356</v>
      </c>
      <c r="K17" s="108"/>
      <c r="L17" s="99">
        <f t="shared" si="2"/>
        <v>0</v>
      </c>
      <c r="M17" s="99">
        <f t="shared" si="41"/>
        <v>0</v>
      </c>
      <c r="N17" s="99">
        <f t="shared" si="3"/>
        <v>0</v>
      </c>
      <c r="O17" s="107"/>
      <c r="P17" s="99">
        <f t="shared" si="4"/>
        <v>0</v>
      </c>
      <c r="Q17" s="99">
        <f t="shared" si="42"/>
        <v>0</v>
      </c>
      <c r="R17" s="99">
        <f t="shared" si="5"/>
        <v>0</v>
      </c>
      <c r="S17" s="107">
        <v>0</v>
      </c>
      <c r="T17" s="99">
        <f t="shared" si="6"/>
        <v>0</v>
      </c>
      <c r="U17" s="99">
        <f t="shared" si="43"/>
        <v>0</v>
      </c>
      <c r="V17" s="99">
        <f t="shared" si="7"/>
        <v>0</v>
      </c>
      <c r="W17" s="107"/>
      <c r="X17" s="99">
        <f t="shared" si="8"/>
        <v>0</v>
      </c>
      <c r="Y17" s="99">
        <f t="shared" si="44"/>
        <v>0</v>
      </c>
      <c r="Z17" s="99">
        <f t="shared" si="9"/>
        <v>0</v>
      </c>
      <c r="AA17" s="108"/>
      <c r="AB17" s="99">
        <f t="shared" si="10"/>
        <v>0</v>
      </c>
      <c r="AC17" s="99">
        <f t="shared" si="45"/>
        <v>9803.0239999999994</v>
      </c>
      <c r="AD17" s="99">
        <f t="shared" si="11"/>
        <v>1.7689596716437777</v>
      </c>
      <c r="AE17" s="10">
        <f t="shared" si="46"/>
        <v>14757.76</v>
      </c>
      <c r="AF17" s="99">
        <f t="shared" si="12"/>
        <v>35.210315267954428</v>
      </c>
      <c r="AG17" s="99">
        <f t="shared" si="47"/>
        <v>196119.74400000001</v>
      </c>
      <c r="AH17" s="99">
        <f t="shared" si="13"/>
        <v>35.389887645802126</v>
      </c>
      <c r="AI17" s="108">
        <f>108*AI7</f>
        <v>27155.412</v>
      </c>
      <c r="AJ17" s="99">
        <f t="shared" si="14"/>
        <v>64.789684732045572</v>
      </c>
      <c r="AK17" s="99">
        <f t="shared" si="48"/>
        <v>358049.136</v>
      </c>
      <c r="AL17" s="99">
        <f t="shared" si="15"/>
        <v>64.610112354197881</v>
      </c>
      <c r="AM17" s="108"/>
      <c r="AN17" s="99">
        <f t="shared" si="16"/>
        <v>0</v>
      </c>
      <c r="AO17" s="99">
        <f t="shared" si="49"/>
        <v>0</v>
      </c>
      <c r="AP17" s="99">
        <f t="shared" si="17"/>
        <v>0</v>
      </c>
      <c r="AQ17" s="108"/>
      <c r="AR17" s="99">
        <f t="shared" si="18"/>
        <v>0</v>
      </c>
      <c r="AS17" s="99">
        <f t="shared" si="50"/>
        <v>0</v>
      </c>
      <c r="AT17" s="99">
        <f t="shared" si="19"/>
        <v>0</v>
      </c>
      <c r="AU17" s="108"/>
      <c r="AV17" s="99">
        <f t="shared" si="20"/>
        <v>0</v>
      </c>
      <c r="AW17" s="99">
        <f t="shared" si="51"/>
        <v>0</v>
      </c>
      <c r="AX17" s="99">
        <f t="shared" si="21"/>
        <v>0</v>
      </c>
      <c r="AY17" s="107">
        <v>0</v>
      </c>
      <c r="AZ17" s="99">
        <f t="shared" si="22"/>
        <v>0</v>
      </c>
      <c r="BA17" s="99">
        <f t="shared" si="52"/>
        <v>0</v>
      </c>
      <c r="BB17" s="99">
        <f t="shared" si="23"/>
        <v>0</v>
      </c>
      <c r="BC17" s="10">
        <f t="shared" si="53"/>
        <v>27155.412</v>
      </c>
      <c r="BD17" s="99">
        <f t="shared" si="24"/>
        <v>64.789684732045572</v>
      </c>
      <c r="BE17" s="99">
        <f t="shared" si="54"/>
        <v>358049.136</v>
      </c>
      <c r="BF17" s="99">
        <f t="shared" si="25"/>
        <v>64.610112354197881</v>
      </c>
      <c r="BG17" s="107">
        <v>0</v>
      </c>
      <c r="BH17" s="99">
        <f t="shared" si="26"/>
        <v>0</v>
      </c>
      <c r="BI17" s="99">
        <f t="shared" si="55"/>
        <v>0</v>
      </c>
      <c r="BJ17" s="99">
        <f t="shared" si="27"/>
        <v>0</v>
      </c>
      <c r="BK17" s="108"/>
      <c r="BL17" s="99">
        <f t="shared" si="28"/>
        <v>0</v>
      </c>
      <c r="BM17" s="99">
        <f t="shared" si="56"/>
        <v>0</v>
      </c>
      <c r="BN17" s="99">
        <f t="shared" si="29"/>
        <v>0</v>
      </c>
      <c r="BO17" s="108"/>
      <c r="BP17" s="100">
        <f t="shared" si="30"/>
        <v>0</v>
      </c>
      <c r="BQ17" s="99">
        <f t="shared" si="57"/>
        <v>0</v>
      </c>
      <c r="BR17" s="99">
        <f t="shared" si="31"/>
        <v>0</v>
      </c>
      <c r="BS17" s="99">
        <f t="shared" si="58"/>
        <v>0</v>
      </c>
      <c r="BT17" s="99">
        <f t="shared" si="32"/>
        <v>0</v>
      </c>
      <c r="BU17" s="99">
        <f t="shared" si="59"/>
        <v>0</v>
      </c>
      <c r="BV17" s="99">
        <f t="shared" si="33"/>
        <v>0</v>
      </c>
      <c r="BW17" s="108">
        <v>0</v>
      </c>
      <c r="BX17" s="99">
        <f t="shared" si="34"/>
        <v>0</v>
      </c>
      <c r="BY17" s="99">
        <f t="shared" si="60"/>
        <v>0</v>
      </c>
      <c r="BZ17" s="99">
        <f t="shared" si="35"/>
        <v>0</v>
      </c>
      <c r="CA17" s="99">
        <f t="shared" si="36"/>
        <v>41913.171999999999</v>
      </c>
      <c r="CB17" s="99">
        <f t="shared" si="61"/>
        <v>554168.88</v>
      </c>
      <c r="CC17" s="99">
        <f t="shared" si="37"/>
        <v>3.4604666446499337</v>
      </c>
      <c r="CD17" s="99">
        <f t="shared" si="38"/>
        <v>1.0885650641743374</v>
      </c>
    </row>
    <row r="18" spans="1:91">
      <c r="A18" s="16">
        <f>+Chem!A17</f>
        <v>45847</v>
      </c>
      <c r="B18" s="6" t="str">
        <f>+Chem!B17</f>
        <v>MG</v>
      </c>
      <c r="C18" s="16" t="str">
        <f>+Chem!C17</f>
        <v>16</v>
      </c>
      <c r="D18" s="8">
        <f>+Chem!D17</f>
        <v>65.516999999999996</v>
      </c>
      <c r="E18" s="7">
        <f>+Chem!E17</f>
        <v>65.429000000000002</v>
      </c>
      <c r="F18" s="7">
        <f t="shared" si="39"/>
        <v>574.51100000000008</v>
      </c>
      <c r="G18" s="107">
        <f>104*G7</f>
        <v>23981.360000000001</v>
      </c>
      <c r="H18" s="10">
        <f t="shared" si="0"/>
        <v>36.771438572272082</v>
      </c>
      <c r="I18" s="8">
        <f t="shared" si="40"/>
        <v>210298.08000000002</v>
      </c>
      <c r="J18" s="10">
        <f t="shared" si="1"/>
        <v>33.95265631960217</v>
      </c>
      <c r="K18" s="107"/>
      <c r="L18" s="10">
        <f t="shared" si="2"/>
        <v>0</v>
      </c>
      <c r="M18" s="10">
        <f t="shared" si="41"/>
        <v>0</v>
      </c>
      <c r="N18" s="10">
        <f t="shared" si="3"/>
        <v>0</v>
      </c>
      <c r="O18" s="107"/>
      <c r="P18" s="10">
        <f t="shared" si="4"/>
        <v>0</v>
      </c>
      <c r="Q18" s="10">
        <f t="shared" si="42"/>
        <v>0</v>
      </c>
      <c r="R18" s="10">
        <f t="shared" si="5"/>
        <v>0</v>
      </c>
      <c r="S18" s="107">
        <v>0</v>
      </c>
      <c r="T18" s="10">
        <f t="shared" si="6"/>
        <v>0</v>
      </c>
      <c r="U18" s="10">
        <f t="shared" si="43"/>
        <v>0</v>
      </c>
      <c r="V18" s="10">
        <f t="shared" si="7"/>
        <v>0</v>
      </c>
      <c r="W18" s="107"/>
      <c r="X18" s="10">
        <f t="shared" si="8"/>
        <v>0</v>
      </c>
      <c r="Y18" s="10">
        <f t="shared" si="44"/>
        <v>0</v>
      </c>
      <c r="Z18" s="10">
        <f t="shared" si="9"/>
        <v>0</v>
      </c>
      <c r="AA18" s="107"/>
      <c r="AB18" s="10">
        <f t="shared" si="10"/>
        <v>0</v>
      </c>
      <c r="AC18" s="10">
        <f t="shared" si="45"/>
        <v>9803.0239999999994</v>
      </c>
      <c r="AD18" s="10">
        <f t="shared" si="11"/>
        <v>1.5826996840142893</v>
      </c>
      <c r="AE18" s="10">
        <f t="shared" si="46"/>
        <v>23981.360000000001</v>
      </c>
      <c r="AF18" s="10">
        <f t="shared" si="12"/>
        <v>36.771438572272082</v>
      </c>
      <c r="AG18" s="10">
        <f t="shared" si="47"/>
        <v>220101.10399999999</v>
      </c>
      <c r="AH18" s="10">
        <f t="shared" si="13"/>
        <v>35.53535600361645</v>
      </c>
      <c r="AI18" s="107">
        <f>164*AI7</f>
        <v>41235.995999999999</v>
      </c>
      <c r="AJ18" s="10">
        <f t="shared" si="14"/>
        <v>63.228561427727911</v>
      </c>
      <c r="AK18" s="10">
        <f t="shared" si="48"/>
        <v>399285.13199999998</v>
      </c>
      <c r="AL18" s="10">
        <f t="shared" si="15"/>
        <v>64.464643996383543</v>
      </c>
      <c r="AM18" s="107"/>
      <c r="AN18" s="10">
        <f t="shared" si="16"/>
        <v>0</v>
      </c>
      <c r="AO18" s="10">
        <f t="shared" si="49"/>
        <v>0</v>
      </c>
      <c r="AP18" s="10">
        <f t="shared" si="17"/>
        <v>0</v>
      </c>
      <c r="AQ18" s="107"/>
      <c r="AR18" s="10">
        <f t="shared" si="18"/>
        <v>0</v>
      </c>
      <c r="AS18" s="10">
        <f t="shared" si="50"/>
        <v>0</v>
      </c>
      <c r="AT18" s="10">
        <f t="shared" si="19"/>
        <v>0</v>
      </c>
      <c r="AU18" s="107"/>
      <c r="AV18" s="10">
        <f t="shared" si="20"/>
        <v>0</v>
      </c>
      <c r="AW18" s="10">
        <f t="shared" si="51"/>
        <v>0</v>
      </c>
      <c r="AX18" s="10">
        <f t="shared" si="21"/>
        <v>0</v>
      </c>
      <c r="AY18" s="107">
        <v>0</v>
      </c>
      <c r="AZ18" s="10">
        <f t="shared" si="22"/>
        <v>0</v>
      </c>
      <c r="BA18" s="10">
        <f t="shared" si="52"/>
        <v>0</v>
      </c>
      <c r="BB18" s="10">
        <f t="shared" si="23"/>
        <v>0</v>
      </c>
      <c r="BC18" s="10">
        <f t="shared" si="53"/>
        <v>41235.995999999999</v>
      </c>
      <c r="BD18" s="10">
        <f t="shared" si="24"/>
        <v>63.228561427727911</v>
      </c>
      <c r="BE18" s="10">
        <f t="shared" si="54"/>
        <v>399285.13199999998</v>
      </c>
      <c r="BF18" s="10">
        <f t="shared" si="25"/>
        <v>64.464643996383543</v>
      </c>
      <c r="BG18" s="107">
        <v>0</v>
      </c>
      <c r="BH18" s="10">
        <f t="shared" si="26"/>
        <v>0</v>
      </c>
      <c r="BI18" s="10">
        <f t="shared" si="55"/>
        <v>0</v>
      </c>
      <c r="BJ18" s="10">
        <f t="shared" si="27"/>
        <v>0</v>
      </c>
      <c r="BK18" s="107"/>
      <c r="BL18" s="10">
        <f t="shared" si="28"/>
        <v>0</v>
      </c>
      <c r="BM18" s="10">
        <f t="shared" si="56"/>
        <v>0</v>
      </c>
      <c r="BN18" s="10">
        <f t="shared" si="29"/>
        <v>0</v>
      </c>
      <c r="BO18" s="107"/>
      <c r="BP18" s="15">
        <f t="shared" si="30"/>
        <v>0</v>
      </c>
      <c r="BQ18" s="10">
        <f t="shared" si="57"/>
        <v>0</v>
      </c>
      <c r="BR18" s="10">
        <f t="shared" si="31"/>
        <v>0</v>
      </c>
      <c r="BS18" s="10">
        <f t="shared" si="58"/>
        <v>0</v>
      </c>
      <c r="BT18" s="10">
        <f t="shared" si="32"/>
        <v>0</v>
      </c>
      <c r="BU18" s="10">
        <f t="shared" si="59"/>
        <v>0</v>
      </c>
      <c r="BV18" s="10">
        <f t="shared" si="33"/>
        <v>0</v>
      </c>
      <c r="BW18" s="107">
        <v>0</v>
      </c>
      <c r="BX18" s="10">
        <f t="shared" si="34"/>
        <v>0</v>
      </c>
      <c r="BY18" s="10">
        <f t="shared" si="60"/>
        <v>0</v>
      </c>
      <c r="BZ18" s="10">
        <f t="shared" si="35"/>
        <v>0</v>
      </c>
      <c r="CA18" s="10">
        <f t="shared" si="36"/>
        <v>65217.356</v>
      </c>
      <c r="CB18" s="10">
        <f t="shared" si="61"/>
        <v>619386.23600000003</v>
      </c>
      <c r="CC18" s="10">
        <f t="shared" si="37"/>
        <v>0.99676528756361849</v>
      </c>
      <c r="CD18" s="10">
        <f t="shared" si="38"/>
        <v>1.0781103164256209</v>
      </c>
    </row>
    <row r="19" spans="1:91">
      <c r="A19" s="16">
        <f>+Chem!A18</f>
        <v>45848</v>
      </c>
      <c r="B19" s="6" t="str">
        <f>+Chem!B18</f>
        <v>MG/Facial</v>
      </c>
      <c r="C19" s="16" t="str">
        <f>+Chem!C18</f>
        <v>16/12</v>
      </c>
      <c r="D19" s="8">
        <f>+Chem!D18</f>
        <v>58.376999999999995</v>
      </c>
      <c r="E19" s="7">
        <f>+Chem!E18</f>
        <v>58.366</v>
      </c>
      <c r="F19" s="7">
        <f t="shared" si="39"/>
        <v>632.87700000000007</v>
      </c>
      <c r="G19" s="107">
        <f>19.2*G7</f>
        <v>4427.3279999999995</v>
      </c>
      <c r="H19" s="10">
        <f t="shared" si="0"/>
        <v>8.1056673695940127</v>
      </c>
      <c r="I19" s="8">
        <f t="shared" si="40"/>
        <v>214725.40800000002</v>
      </c>
      <c r="J19" s="10">
        <f t="shared" si="1"/>
        <v>31.858067102301511</v>
      </c>
      <c r="K19" s="107"/>
      <c r="L19" s="10">
        <f t="shared" si="2"/>
        <v>0</v>
      </c>
      <c r="M19" s="10">
        <f t="shared" si="41"/>
        <v>0</v>
      </c>
      <c r="N19" s="10">
        <f t="shared" si="3"/>
        <v>0</v>
      </c>
      <c r="O19" s="107"/>
      <c r="P19" s="10">
        <f t="shared" si="4"/>
        <v>0</v>
      </c>
      <c r="Q19" s="10">
        <f t="shared" si="42"/>
        <v>0</v>
      </c>
      <c r="R19" s="10">
        <f t="shared" si="5"/>
        <v>0</v>
      </c>
      <c r="S19" s="107">
        <v>0</v>
      </c>
      <c r="T19" s="10">
        <f t="shared" si="6"/>
        <v>0</v>
      </c>
      <c r="U19" s="10">
        <f t="shared" si="43"/>
        <v>0</v>
      </c>
      <c r="V19" s="10">
        <f t="shared" si="7"/>
        <v>0</v>
      </c>
      <c r="W19" s="107"/>
      <c r="X19" s="10">
        <f t="shared" si="8"/>
        <v>0</v>
      </c>
      <c r="Y19" s="10">
        <f t="shared" si="44"/>
        <v>0</v>
      </c>
      <c r="Z19" s="10">
        <f t="shared" si="9"/>
        <v>0</v>
      </c>
      <c r="AA19" s="107"/>
      <c r="AB19" s="10">
        <f t="shared" si="10"/>
        <v>0</v>
      </c>
      <c r="AC19" s="10">
        <f t="shared" si="45"/>
        <v>9803.0239999999994</v>
      </c>
      <c r="AD19" s="10">
        <f t="shared" si="11"/>
        <v>1.4544408102718431</v>
      </c>
      <c r="AE19" s="10">
        <f t="shared" si="46"/>
        <v>4427.3279999999995</v>
      </c>
      <c r="AF19" s="10">
        <f t="shared" si="12"/>
        <v>8.1056673695940127</v>
      </c>
      <c r="AG19" s="10">
        <f t="shared" si="47"/>
        <v>224528.432</v>
      </c>
      <c r="AH19" s="10">
        <f t="shared" si="13"/>
        <v>33.312507912573352</v>
      </c>
      <c r="AI19" s="107">
        <f>134*AI7</f>
        <v>33692.826000000001</v>
      </c>
      <c r="AJ19" s="10">
        <f t="shared" si="14"/>
        <v>61.685703046534798</v>
      </c>
      <c r="AK19" s="10">
        <f t="shared" si="48"/>
        <v>432977.95799999998</v>
      </c>
      <c r="AL19" s="10">
        <f t="shared" si="15"/>
        <v>64.23944408004796</v>
      </c>
      <c r="AM19" s="107"/>
      <c r="AN19" s="10">
        <f t="shared" si="16"/>
        <v>0</v>
      </c>
      <c r="AO19" s="10">
        <f t="shared" si="49"/>
        <v>0</v>
      </c>
      <c r="AP19" s="10">
        <f t="shared" si="17"/>
        <v>0</v>
      </c>
      <c r="AQ19" s="107"/>
      <c r="AR19" s="10">
        <f t="shared" si="18"/>
        <v>0</v>
      </c>
      <c r="AS19" s="10">
        <f t="shared" si="50"/>
        <v>0</v>
      </c>
      <c r="AT19" s="10">
        <f t="shared" si="19"/>
        <v>0</v>
      </c>
      <c r="AU19" s="107"/>
      <c r="AV19" s="10">
        <f t="shared" si="20"/>
        <v>0</v>
      </c>
      <c r="AW19" s="10">
        <f t="shared" si="51"/>
        <v>0</v>
      </c>
      <c r="AX19" s="10">
        <f t="shared" si="21"/>
        <v>0</v>
      </c>
      <c r="AY19" s="107">
        <f>66*AY7</f>
        <v>16500</v>
      </c>
      <c r="AZ19" s="10">
        <f t="shared" si="22"/>
        <v>30.208629583871183</v>
      </c>
      <c r="BA19" s="10">
        <f t="shared" si="52"/>
        <v>16500</v>
      </c>
      <c r="BB19" s="10">
        <f t="shared" si="23"/>
        <v>2.4480480073786837E-2</v>
      </c>
      <c r="BC19" s="10">
        <f t="shared" si="53"/>
        <v>50192.826000000001</v>
      </c>
      <c r="BD19" s="10">
        <f t="shared" si="24"/>
        <v>91.894332630405984</v>
      </c>
      <c r="BE19" s="10">
        <f t="shared" si="54"/>
        <v>449477.95799999998</v>
      </c>
      <c r="BF19" s="10">
        <f t="shared" si="25"/>
        <v>66.687492087426648</v>
      </c>
      <c r="BG19" s="107">
        <v>0</v>
      </c>
      <c r="BH19" s="10">
        <f t="shared" si="26"/>
        <v>0</v>
      </c>
      <c r="BI19" s="10">
        <f t="shared" si="55"/>
        <v>0</v>
      </c>
      <c r="BJ19" s="10">
        <f t="shared" si="27"/>
        <v>0</v>
      </c>
      <c r="BK19" s="107"/>
      <c r="BL19" s="10">
        <f t="shared" si="28"/>
        <v>0</v>
      </c>
      <c r="BM19" s="10">
        <f t="shared" si="56"/>
        <v>0</v>
      </c>
      <c r="BN19" s="10">
        <f t="shared" si="29"/>
        <v>0</v>
      </c>
      <c r="BO19" s="107"/>
      <c r="BP19" s="15">
        <f t="shared" si="30"/>
        <v>0</v>
      </c>
      <c r="BQ19" s="10">
        <f t="shared" si="57"/>
        <v>0</v>
      </c>
      <c r="BR19" s="10">
        <f t="shared" si="31"/>
        <v>0</v>
      </c>
      <c r="BS19" s="10">
        <f t="shared" si="58"/>
        <v>0</v>
      </c>
      <c r="BT19" s="10">
        <f t="shared" si="32"/>
        <v>0</v>
      </c>
      <c r="BU19" s="10">
        <f t="shared" si="59"/>
        <v>0</v>
      </c>
      <c r="BV19" s="10">
        <f t="shared" si="33"/>
        <v>0</v>
      </c>
      <c r="BW19" s="107">
        <v>0</v>
      </c>
      <c r="BX19" s="10">
        <f t="shared" si="34"/>
        <v>0</v>
      </c>
      <c r="BY19" s="10">
        <f t="shared" si="60"/>
        <v>0</v>
      </c>
      <c r="BZ19" s="10">
        <f t="shared" si="35"/>
        <v>0</v>
      </c>
      <c r="CA19" s="10">
        <f t="shared" si="36"/>
        <v>54620.154000000002</v>
      </c>
      <c r="CB19" s="10">
        <f t="shared" si="61"/>
        <v>674006.39</v>
      </c>
      <c r="CC19" s="10">
        <f t="shared" si="37"/>
        <v>0.93582143713805988</v>
      </c>
      <c r="CD19" s="10">
        <f t="shared" si="38"/>
        <v>1.0649879676461618</v>
      </c>
    </row>
    <row r="20" spans="1:91">
      <c r="A20" s="16">
        <f>+Chem!A19</f>
        <v>45849</v>
      </c>
      <c r="B20" s="6" t="str">
        <f>+Chem!B19</f>
        <v>Facial</v>
      </c>
      <c r="C20" s="16" t="str">
        <f>+Chem!C19</f>
        <v>11,5</v>
      </c>
      <c r="D20" s="8">
        <f>+Chem!D19</f>
        <v>54.006</v>
      </c>
      <c r="E20" s="7">
        <f>+Chem!E19</f>
        <v>52.795999999999999</v>
      </c>
      <c r="F20" s="7">
        <f t="shared" si="39"/>
        <v>685.67300000000012</v>
      </c>
      <c r="G20" s="107">
        <f>9.8*G7</f>
        <v>2259.7820000000002</v>
      </c>
      <c r="H20" s="10">
        <f t="shared" si="0"/>
        <v>4.3963942665176994</v>
      </c>
      <c r="I20" s="8">
        <f t="shared" si="40"/>
        <v>216985.19000000003</v>
      </c>
      <c r="J20" s="10">
        <f t="shared" si="1"/>
        <v>29.91219163453734</v>
      </c>
      <c r="K20" s="107"/>
      <c r="L20" s="10">
        <f t="shared" si="2"/>
        <v>0</v>
      </c>
      <c r="M20" s="10">
        <f t="shared" si="41"/>
        <v>0</v>
      </c>
      <c r="N20" s="10">
        <f t="shared" si="3"/>
        <v>0</v>
      </c>
      <c r="O20" s="107"/>
      <c r="P20" s="10">
        <f t="shared" si="4"/>
        <v>0</v>
      </c>
      <c r="Q20" s="10">
        <f t="shared" si="42"/>
        <v>0</v>
      </c>
      <c r="R20" s="10">
        <f t="shared" si="5"/>
        <v>0</v>
      </c>
      <c r="S20" s="107">
        <v>0</v>
      </c>
      <c r="T20" s="10">
        <f t="shared" si="6"/>
        <v>0</v>
      </c>
      <c r="U20" s="10">
        <f t="shared" si="43"/>
        <v>0</v>
      </c>
      <c r="V20" s="10">
        <f t="shared" si="7"/>
        <v>0</v>
      </c>
      <c r="W20" s="107"/>
      <c r="X20" s="10">
        <f t="shared" si="8"/>
        <v>0</v>
      </c>
      <c r="Y20" s="10">
        <f t="shared" si="44"/>
        <v>0</v>
      </c>
      <c r="Z20" s="10">
        <f t="shared" si="9"/>
        <v>0</v>
      </c>
      <c r="AA20" s="107"/>
      <c r="AB20" s="10">
        <f t="shared" si="10"/>
        <v>0</v>
      </c>
      <c r="AC20" s="10">
        <f t="shared" si="45"/>
        <v>9803.0239999999994</v>
      </c>
      <c r="AD20" s="10">
        <f t="shared" si="11"/>
        <v>1.3513822417371835</v>
      </c>
      <c r="AE20" s="10">
        <f t="shared" si="46"/>
        <v>2259.7820000000002</v>
      </c>
      <c r="AF20" s="10">
        <f t="shared" si="12"/>
        <v>4.3963942665176994</v>
      </c>
      <c r="AG20" s="10">
        <f t="shared" si="47"/>
        <v>226788.21400000001</v>
      </c>
      <c r="AH20" s="10">
        <f t="shared" si="13"/>
        <v>31.263573876274513</v>
      </c>
      <c r="AI20" s="107">
        <f>98*AI7</f>
        <v>24641.022000000001</v>
      </c>
      <c r="AJ20" s="10">
        <f t="shared" si="14"/>
        <v>47.938981654839488</v>
      </c>
      <c r="AK20" s="10">
        <f t="shared" si="48"/>
        <v>457618.98</v>
      </c>
      <c r="AL20" s="10">
        <f t="shared" si="15"/>
        <v>63.084428137060897</v>
      </c>
      <c r="AM20" s="107"/>
      <c r="AN20" s="10">
        <f t="shared" si="16"/>
        <v>0</v>
      </c>
      <c r="AO20" s="10">
        <f t="shared" si="49"/>
        <v>0</v>
      </c>
      <c r="AP20" s="10">
        <f t="shared" si="17"/>
        <v>0</v>
      </c>
      <c r="AQ20" s="107"/>
      <c r="AR20" s="10">
        <f t="shared" si="18"/>
        <v>0</v>
      </c>
      <c r="AS20" s="10">
        <f t="shared" si="50"/>
        <v>0</v>
      </c>
      <c r="AT20" s="10">
        <f t="shared" si="19"/>
        <v>0</v>
      </c>
      <c r="AU20" s="107"/>
      <c r="AV20" s="10">
        <f t="shared" si="20"/>
        <v>0</v>
      </c>
      <c r="AW20" s="10">
        <f t="shared" si="51"/>
        <v>0</v>
      </c>
      <c r="AX20" s="10">
        <f t="shared" si="21"/>
        <v>0</v>
      </c>
      <c r="AY20" s="107">
        <f>98*AY7</f>
        <v>24500</v>
      </c>
      <c r="AZ20" s="10">
        <f t="shared" si="22"/>
        <v>47.664624078642817</v>
      </c>
      <c r="BA20" s="10">
        <f t="shared" si="52"/>
        <v>41000</v>
      </c>
      <c r="BB20" s="10">
        <f t="shared" si="23"/>
        <v>5.6519979866645767E-2</v>
      </c>
      <c r="BC20" s="10">
        <f t="shared" si="53"/>
        <v>49141.021999999997</v>
      </c>
      <c r="BD20" s="10">
        <f t="shared" si="24"/>
        <v>95.603605733482297</v>
      </c>
      <c r="BE20" s="10">
        <f t="shared" si="54"/>
        <v>498618.98</v>
      </c>
      <c r="BF20" s="10">
        <f t="shared" si="25"/>
        <v>68.736426123725479</v>
      </c>
      <c r="BG20" s="107">
        <v>0</v>
      </c>
      <c r="BH20" s="10">
        <f t="shared" si="26"/>
        <v>0</v>
      </c>
      <c r="BI20" s="10">
        <f t="shared" si="55"/>
        <v>0</v>
      </c>
      <c r="BJ20" s="10">
        <f t="shared" si="27"/>
        <v>0</v>
      </c>
      <c r="BK20" s="107"/>
      <c r="BL20" s="10">
        <f t="shared" si="28"/>
        <v>0</v>
      </c>
      <c r="BM20" s="10">
        <f t="shared" si="56"/>
        <v>0</v>
      </c>
      <c r="BN20" s="10">
        <f t="shared" si="29"/>
        <v>0</v>
      </c>
      <c r="BO20" s="107"/>
      <c r="BP20" s="15">
        <f t="shared" si="30"/>
        <v>0</v>
      </c>
      <c r="BQ20" s="10">
        <f t="shared" si="57"/>
        <v>0</v>
      </c>
      <c r="BR20" s="10">
        <f t="shared" si="31"/>
        <v>0</v>
      </c>
      <c r="BS20" s="10">
        <f t="shared" si="58"/>
        <v>0</v>
      </c>
      <c r="BT20" s="10">
        <f t="shared" si="32"/>
        <v>0</v>
      </c>
      <c r="BU20" s="10">
        <f t="shared" si="59"/>
        <v>0</v>
      </c>
      <c r="BV20" s="10">
        <f t="shared" si="33"/>
        <v>0</v>
      </c>
      <c r="BW20" s="107">
        <v>0</v>
      </c>
      <c r="BX20" s="10">
        <f t="shared" si="34"/>
        <v>0</v>
      </c>
      <c r="BY20" s="10">
        <f t="shared" si="60"/>
        <v>0</v>
      </c>
      <c r="BZ20" s="10">
        <f t="shared" si="35"/>
        <v>0</v>
      </c>
      <c r="CA20" s="10">
        <f t="shared" si="36"/>
        <v>51400.803999999996</v>
      </c>
      <c r="CB20" s="10">
        <f t="shared" si="61"/>
        <v>725407.19400000002</v>
      </c>
      <c r="CC20" s="10">
        <f t="shared" si="37"/>
        <v>0.97357383135085984</v>
      </c>
      <c r="CD20" s="10">
        <f t="shared" si="38"/>
        <v>1.0579491886073973</v>
      </c>
    </row>
    <row r="21" spans="1:91">
      <c r="A21" s="16">
        <f>+Chem!A20</f>
        <v>45850</v>
      </c>
      <c r="B21" s="6" t="str">
        <f>+Chem!B20</f>
        <v>Facial</v>
      </c>
      <c r="C21" s="16" t="str">
        <f>+Chem!C20</f>
        <v>11,5/10,5/10,3</v>
      </c>
      <c r="D21" s="8">
        <f>+Chem!D20</f>
        <v>55.114000000000004</v>
      </c>
      <c r="E21" s="7">
        <f>+Chem!E20</f>
        <v>46.07</v>
      </c>
      <c r="F21" s="7">
        <f t="shared" si="39"/>
        <v>731.74300000000017</v>
      </c>
      <c r="G21" s="107">
        <f>24.8*G7</f>
        <v>5718.6320000000005</v>
      </c>
      <c r="H21" s="10">
        <f t="shared" si="0"/>
        <v>10.445483706152176</v>
      </c>
      <c r="I21" s="8">
        <f t="shared" si="40"/>
        <v>222703.82200000004</v>
      </c>
      <c r="J21" s="10">
        <f t="shared" si="1"/>
        <v>28.546113845542049</v>
      </c>
      <c r="K21" s="107"/>
      <c r="L21" s="10">
        <f t="shared" si="2"/>
        <v>0</v>
      </c>
      <c r="M21" s="10">
        <f t="shared" si="41"/>
        <v>0</v>
      </c>
      <c r="N21" s="10">
        <f t="shared" si="3"/>
        <v>0</v>
      </c>
      <c r="O21" s="107"/>
      <c r="P21" s="10">
        <f t="shared" si="4"/>
        <v>0</v>
      </c>
      <c r="Q21" s="10">
        <f t="shared" si="42"/>
        <v>0</v>
      </c>
      <c r="R21" s="10">
        <f t="shared" si="5"/>
        <v>0</v>
      </c>
      <c r="S21" s="107">
        <v>0</v>
      </c>
      <c r="T21" s="10">
        <f t="shared" si="6"/>
        <v>0</v>
      </c>
      <c r="U21" s="10">
        <f t="shared" si="43"/>
        <v>0</v>
      </c>
      <c r="V21" s="10">
        <f t="shared" si="7"/>
        <v>0</v>
      </c>
      <c r="W21" s="107"/>
      <c r="X21" s="10">
        <f t="shared" si="8"/>
        <v>0</v>
      </c>
      <c r="Y21" s="10">
        <f t="shared" si="44"/>
        <v>0</v>
      </c>
      <c r="Z21" s="10">
        <f t="shared" si="9"/>
        <v>0</v>
      </c>
      <c r="AA21" s="107"/>
      <c r="AB21" s="10">
        <f t="shared" si="10"/>
        <v>0</v>
      </c>
      <c r="AC21" s="10">
        <f t="shared" si="45"/>
        <v>9803.0239999999994</v>
      </c>
      <c r="AD21" s="10">
        <f t="shared" si="11"/>
        <v>1.2565488846194159</v>
      </c>
      <c r="AE21" s="10">
        <f t="shared" si="46"/>
        <v>5718.6320000000005</v>
      </c>
      <c r="AF21" s="10">
        <f t="shared" si="12"/>
        <v>10.445483706152176</v>
      </c>
      <c r="AG21" s="10">
        <f t="shared" si="47"/>
        <v>232506.84600000002</v>
      </c>
      <c r="AH21" s="10">
        <f t="shared" si="13"/>
        <v>29.802662730161462</v>
      </c>
      <c r="AI21" s="107">
        <f>20*AI7</f>
        <v>5028.78</v>
      </c>
      <c r="AJ21" s="10">
        <f t="shared" si="14"/>
        <v>9.1854204907439279</v>
      </c>
      <c r="AK21" s="10">
        <f t="shared" si="48"/>
        <v>462647.76</v>
      </c>
      <c r="AL21" s="10">
        <f t="shared" si="15"/>
        <v>59.302060955851097</v>
      </c>
      <c r="AM21" s="107"/>
      <c r="AN21" s="10">
        <f t="shared" si="16"/>
        <v>0</v>
      </c>
      <c r="AO21" s="10">
        <f t="shared" si="49"/>
        <v>0</v>
      </c>
      <c r="AP21" s="10">
        <f t="shared" si="17"/>
        <v>0</v>
      </c>
      <c r="AQ21" s="107"/>
      <c r="AR21" s="10">
        <f t="shared" si="18"/>
        <v>0</v>
      </c>
      <c r="AS21" s="10">
        <f t="shared" si="50"/>
        <v>0</v>
      </c>
      <c r="AT21" s="10">
        <f t="shared" si="19"/>
        <v>0</v>
      </c>
      <c r="AU21" s="107"/>
      <c r="AV21" s="10">
        <f t="shared" si="20"/>
        <v>0</v>
      </c>
      <c r="AW21" s="10">
        <f t="shared" si="51"/>
        <v>0</v>
      </c>
      <c r="AX21" s="10">
        <f t="shared" si="21"/>
        <v>0</v>
      </c>
      <c r="AY21" s="107">
        <f>176*AY7</f>
        <v>44000</v>
      </c>
      <c r="AZ21" s="10">
        <f t="shared" si="22"/>
        <v>80.369095803103903</v>
      </c>
      <c r="BA21" s="10">
        <f t="shared" si="52"/>
        <v>85000</v>
      </c>
      <c r="BB21" s="10">
        <f t="shared" si="23"/>
        <v>0.10895276313987436</v>
      </c>
      <c r="BC21" s="10">
        <f t="shared" si="53"/>
        <v>49028.78</v>
      </c>
      <c r="BD21" s="10">
        <f t="shared" si="24"/>
        <v>89.554516293847826</v>
      </c>
      <c r="BE21" s="10">
        <f t="shared" si="54"/>
        <v>547647.76</v>
      </c>
      <c r="BF21" s="10">
        <f t="shared" si="25"/>
        <v>70.197337269838528</v>
      </c>
      <c r="BG21" s="107">
        <v>0</v>
      </c>
      <c r="BH21" s="10">
        <f t="shared" si="26"/>
        <v>0</v>
      </c>
      <c r="BI21" s="10">
        <f t="shared" si="55"/>
        <v>0</v>
      </c>
      <c r="BJ21" s="10">
        <f t="shared" si="27"/>
        <v>0</v>
      </c>
      <c r="BK21" s="107"/>
      <c r="BL21" s="10">
        <f t="shared" si="28"/>
        <v>0</v>
      </c>
      <c r="BM21" s="10">
        <f t="shared" si="56"/>
        <v>0</v>
      </c>
      <c r="BN21" s="10">
        <f t="shared" si="29"/>
        <v>0</v>
      </c>
      <c r="BO21" s="107"/>
      <c r="BP21" s="15">
        <f t="shared" si="30"/>
        <v>0</v>
      </c>
      <c r="BQ21" s="10">
        <f t="shared" si="57"/>
        <v>0</v>
      </c>
      <c r="BR21" s="10">
        <f t="shared" si="31"/>
        <v>0</v>
      </c>
      <c r="BS21" s="10">
        <f t="shared" si="58"/>
        <v>0</v>
      </c>
      <c r="BT21" s="10">
        <f t="shared" si="32"/>
        <v>0</v>
      </c>
      <c r="BU21" s="10">
        <f t="shared" si="59"/>
        <v>0</v>
      </c>
      <c r="BV21" s="10">
        <f t="shared" si="33"/>
        <v>0</v>
      </c>
      <c r="BW21" s="107">
        <v>0</v>
      </c>
      <c r="BX21" s="10">
        <f t="shared" si="34"/>
        <v>0</v>
      </c>
      <c r="BY21" s="10">
        <f t="shared" si="60"/>
        <v>0</v>
      </c>
      <c r="BZ21" s="10">
        <f t="shared" si="35"/>
        <v>0</v>
      </c>
      <c r="CA21" s="10">
        <f t="shared" si="36"/>
        <v>54747.411999999997</v>
      </c>
      <c r="CB21" s="10">
        <f t="shared" si="61"/>
        <v>780154.60600000003</v>
      </c>
      <c r="CC21" s="10">
        <f t="shared" si="37"/>
        <v>1.1883527675276753</v>
      </c>
      <c r="CD21" s="10">
        <f t="shared" si="38"/>
        <v>1.0661593018313806</v>
      </c>
      <c r="CH21" s="13"/>
      <c r="CI21" s="13"/>
      <c r="CL21" s="13"/>
      <c r="CM21" s="13"/>
    </row>
    <row r="22" spans="1:91">
      <c r="A22" s="16">
        <f>+Chem!A21</f>
        <v>45851</v>
      </c>
      <c r="B22" s="6" t="str">
        <f>+Chem!B21</f>
        <v>Facial</v>
      </c>
      <c r="C22" s="16" t="str">
        <f>+Chem!C21</f>
        <v>10,5/12</v>
      </c>
      <c r="D22" s="8">
        <f>+Chem!D21</f>
        <v>55.825000000000003</v>
      </c>
      <c r="E22" s="7">
        <f>+Chem!E21</f>
        <v>36.353999999999999</v>
      </c>
      <c r="F22" s="7">
        <f t="shared" si="39"/>
        <v>768.09700000000021</v>
      </c>
      <c r="G22" s="107">
        <f>22*G7</f>
        <v>5072.9800000000005</v>
      </c>
      <c r="H22" s="10">
        <f t="shared" si="0"/>
        <v>9.2113773396681999</v>
      </c>
      <c r="I22" s="8">
        <f t="shared" si="40"/>
        <v>227776.80200000005</v>
      </c>
      <c r="J22" s="10">
        <f t="shared" si="1"/>
        <v>27.271225929072706</v>
      </c>
      <c r="K22" s="107"/>
      <c r="L22" s="10">
        <f t="shared" si="2"/>
        <v>0</v>
      </c>
      <c r="M22" s="10">
        <f t="shared" si="41"/>
        <v>0</v>
      </c>
      <c r="N22" s="10">
        <f t="shared" si="3"/>
        <v>0</v>
      </c>
      <c r="O22" s="107"/>
      <c r="P22" s="10">
        <f t="shared" si="4"/>
        <v>0</v>
      </c>
      <c r="Q22" s="10">
        <f t="shared" si="42"/>
        <v>0</v>
      </c>
      <c r="R22" s="10">
        <f t="shared" si="5"/>
        <v>0</v>
      </c>
      <c r="S22" s="107">
        <v>0</v>
      </c>
      <c r="T22" s="10">
        <f t="shared" si="6"/>
        <v>0</v>
      </c>
      <c r="U22" s="10">
        <f t="shared" si="43"/>
        <v>0</v>
      </c>
      <c r="V22" s="10">
        <f t="shared" si="7"/>
        <v>0</v>
      </c>
      <c r="W22" s="107"/>
      <c r="X22" s="10">
        <f t="shared" si="8"/>
        <v>0</v>
      </c>
      <c r="Y22" s="10">
        <f t="shared" si="44"/>
        <v>0</v>
      </c>
      <c r="Z22" s="10">
        <f t="shared" si="9"/>
        <v>0</v>
      </c>
      <c r="AA22" s="107"/>
      <c r="AB22" s="10">
        <f t="shared" si="10"/>
        <v>0</v>
      </c>
      <c r="AC22" s="10">
        <f t="shared" si="45"/>
        <v>9803.0239999999994</v>
      </c>
      <c r="AD22" s="10">
        <f t="shared" si="11"/>
        <v>1.1736949502527565</v>
      </c>
      <c r="AE22" s="10">
        <f t="shared" si="46"/>
        <v>5072.9800000000005</v>
      </c>
      <c r="AF22" s="10">
        <f t="shared" si="12"/>
        <v>9.2113773396681999</v>
      </c>
      <c r="AG22" s="10">
        <f t="shared" si="47"/>
        <v>237579.82600000003</v>
      </c>
      <c r="AH22" s="10">
        <f t="shared" si="13"/>
        <v>28.444920879325466</v>
      </c>
      <c r="AI22" s="107">
        <v>0</v>
      </c>
      <c r="AJ22" s="10">
        <f t="shared" si="14"/>
        <v>0</v>
      </c>
      <c r="AK22" s="10">
        <f t="shared" si="48"/>
        <v>462647.76</v>
      </c>
      <c r="AL22" s="10">
        <f t="shared" si="15"/>
        <v>55.391819876983803</v>
      </c>
      <c r="AM22" s="107"/>
      <c r="AN22" s="10">
        <f t="shared" si="16"/>
        <v>0</v>
      </c>
      <c r="AO22" s="10">
        <f t="shared" si="49"/>
        <v>0</v>
      </c>
      <c r="AP22" s="10">
        <f t="shared" si="17"/>
        <v>0</v>
      </c>
      <c r="AQ22" s="107"/>
      <c r="AR22" s="10">
        <f t="shared" si="18"/>
        <v>0</v>
      </c>
      <c r="AS22" s="10">
        <f t="shared" si="50"/>
        <v>0</v>
      </c>
      <c r="AT22" s="10">
        <f t="shared" si="19"/>
        <v>0</v>
      </c>
      <c r="AU22" s="107"/>
      <c r="AV22" s="10">
        <f t="shared" si="20"/>
        <v>0</v>
      </c>
      <c r="AW22" s="10">
        <f t="shared" si="51"/>
        <v>0</v>
      </c>
      <c r="AX22" s="10">
        <f t="shared" si="21"/>
        <v>0</v>
      </c>
      <c r="AY22" s="107">
        <f>200*AY7</f>
        <v>50000</v>
      </c>
      <c r="AZ22" s="10">
        <f t="shared" si="22"/>
        <v>90.788622660331797</v>
      </c>
      <c r="BA22" s="10">
        <f t="shared" si="52"/>
        <v>135000</v>
      </c>
      <c r="BB22" s="10">
        <f t="shared" si="23"/>
        <v>0.16163259243690736</v>
      </c>
      <c r="BC22" s="10">
        <f t="shared" si="53"/>
        <v>50000</v>
      </c>
      <c r="BD22" s="10">
        <f t="shared" si="24"/>
        <v>90.788622660331797</v>
      </c>
      <c r="BE22" s="10">
        <f t="shared" si="54"/>
        <v>597647.76</v>
      </c>
      <c r="BF22" s="10">
        <f t="shared" si="25"/>
        <v>71.555079120674534</v>
      </c>
      <c r="BG22" s="107">
        <v>0</v>
      </c>
      <c r="BH22" s="10">
        <f t="shared" si="26"/>
        <v>0</v>
      </c>
      <c r="BI22" s="10">
        <f t="shared" si="55"/>
        <v>0</v>
      </c>
      <c r="BJ22" s="10">
        <f t="shared" si="27"/>
        <v>0</v>
      </c>
      <c r="BK22" s="107"/>
      <c r="BL22" s="10">
        <f t="shared" si="28"/>
        <v>0</v>
      </c>
      <c r="BM22" s="10">
        <f t="shared" si="56"/>
        <v>0</v>
      </c>
      <c r="BN22" s="10">
        <f t="shared" si="29"/>
        <v>0</v>
      </c>
      <c r="BO22" s="107"/>
      <c r="BP22" s="15">
        <f t="shared" si="30"/>
        <v>0</v>
      </c>
      <c r="BQ22" s="10">
        <f t="shared" si="57"/>
        <v>0</v>
      </c>
      <c r="BR22" s="10">
        <f t="shared" si="31"/>
        <v>0</v>
      </c>
      <c r="BS22" s="10">
        <f t="shared" si="58"/>
        <v>0</v>
      </c>
      <c r="BT22" s="10">
        <f t="shared" si="32"/>
        <v>0</v>
      </c>
      <c r="BU22" s="10">
        <f t="shared" si="59"/>
        <v>0</v>
      </c>
      <c r="BV22" s="10">
        <f t="shared" si="33"/>
        <v>0</v>
      </c>
      <c r="BW22" s="107">
        <v>0</v>
      </c>
      <c r="BX22" s="10">
        <f t="shared" si="34"/>
        <v>0</v>
      </c>
      <c r="BY22" s="10">
        <f t="shared" si="60"/>
        <v>0</v>
      </c>
      <c r="BZ22" s="10">
        <f t="shared" si="35"/>
        <v>0</v>
      </c>
      <c r="CA22" s="10">
        <f t="shared" si="36"/>
        <v>55072.98</v>
      </c>
      <c r="CB22" s="10">
        <f t="shared" si="61"/>
        <v>835227.58600000001</v>
      </c>
      <c r="CC22" s="10">
        <f t="shared" si="37"/>
        <v>1.5149084007261926</v>
      </c>
      <c r="CD22" s="10">
        <f t="shared" si="38"/>
        <v>1.0873985785649465</v>
      </c>
      <c r="CH22" s="13"/>
      <c r="CI22" s="13"/>
      <c r="CL22" s="13"/>
      <c r="CM22" s="13"/>
    </row>
    <row r="23" spans="1:91">
      <c r="A23" s="16">
        <f>+Chem!A22</f>
        <v>45852</v>
      </c>
      <c r="B23" s="6" t="str">
        <f>+Chem!B22</f>
        <v>Facial</v>
      </c>
      <c r="C23" s="16" t="str">
        <f>+Chem!C22</f>
        <v>10,5</v>
      </c>
      <c r="D23" s="8">
        <f>+Chem!D22</f>
        <v>50.575000000000003</v>
      </c>
      <c r="E23" s="7">
        <f>+Chem!E22</f>
        <v>45.256999999999998</v>
      </c>
      <c r="F23" s="7">
        <f t="shared" si="39"/>
        <v>813.35400000000016</v>
      </c>
      <c r="G23" s="107">
        <f>24.5*G7</f>
        <v>5649.4549999999999</v>
      </c>
      <c r="H23" s="10">
        <f t="shared" si="0"/>
        <v>10.948671841592125</v>
      </c>
      <c r="I23" s="8">
        <f t="shared" si="40"/>
        <v>233426.25700000004</v>
      </c>
      <c r="J23" s="10">
        <f t="shared" si="1"/>
        <v>26.321508728103844</v>
      </c>
      <c r="K23" s="107"/>
      <c r="L23" s="10">
        <f t="shared" si="2"/>
        <v>0</v>
      </c>
      <c r="M23" s="10">
        <f t="shared" si="41"/>
        <v>0</v>
      </c>
      <c r="N23" s="10">
        <f t="shared" si="3"/>
        <v>0</v>
      </c>
      <c r="O23" s="107"/>
      <c r="P23" s="10">
        <f t="shared" si="4"/>
        <v>0</v>
      </c>
      <c r="Q23" s="10">
        <f t="shared" si="42"/>
        <v>0</v>
      </c>
      <c r="R23" s="10">
        <f t="shared" si="5"/>
        <v>0</v>
      </c>
      <c r="S23" s="107">
        <v>0</v>
      </c>
      <c r="T23" s="10">
        <f t="shared" si="6"/>
        <v>0</v>
      </c>
      <c r="U23" s="10">
        <f t="shared" si="43"/>
        <v>0</v>
      </c>
      <c r="V23" s="10">
        <f t="shared" si="7"/>
        <v>0</v>
      </c>
      <c r="W23" s="107"/>
      <c r="X23" s="10">
        <f t="shared" si="8"/>
        <v>0</v>
      </c>
      <c r="Y23" s="10">
        <f t="shared" si="44"/>
        <v>0</v>
      </c>
      <c r="Z23" s="10">
        <f t="shared" si="9"/>
        <v>0</v>
      </c>
      <c r="AA23" s="107"/>
      <c r="AB23" s="10">
        <f t="shared" si="10"/>
        <v>0</v>
      </c>
      <c r="AC23" s="10">
        <f t="shared" si="45"/>
        <v>9803.0239999999994</v>
      </c>
      <c r="AD23" s="10">
        <f t="shared" si="11"/>
        <v>1.1054042723985904</v>
      </c>
      <c r="AE23" s="10">
        <f t="shared" si="46"/>
        <v>5649.4549999999999</v>
      </c>
      <c r="AF23" s="10">
        <f t="shared" si="12"/>
        <v>10.948671841592125</v>
      </c>
      <c r="AG23" s="10">
        <f t="shared" si="47"/>
        <v>243229.28100000002</v>
      </c>
      <c r="AH23" s="10">
        <f t="shared" si="13"/>
        <v>27.426913000502427</v>
      </c>
      <c r="AI23" s="107">
        <v>0</v>
      </c>
      <c r="AJ23" s="10">
        <f t="shared" si="14"/>
        <v>0</v>
      </c>
      <c r="AK23" s="10">
        <f t="shared" si="48"/>
        <v>462647.76</v>
      </c>
      <c r="AL23" s="10">
        <f t="shared" si="15"/>
        <v>52.168882838564691</v>
      </c>
      <c r="AM23" s="107"/>
      <c r="AN23" s="10">
        <f t="shared" si="16"/>
        <v>0</v>
      </c>
      <c r="AO23" s="10">
        <f t="shared" si="49"/>
        <v>0</v>
      </c>
      <c r="AP23" s="10">
        <f t="shared" si="17"/>
        <v>0</v>
      </c>
      <c r="AQ23" s="107"/>
      <c r="AR23" s="10">
        <f t="shared" si="18"/>
        <v>0</v>
      </c>
      <c r="AS23" s="10">
        <f t="shared" si="50"/>
        <v>0</v>
      </c>
      <c r="AT23" s="10">
        <f t="shared" si="19"/>
        <v>0</v>
      </c>
      <c r="AU23" s="107"/>
      <c r="AV23" s="10">
        <f t="shared" si="20"/>
        <v>0</v>
      </c>
      <c r="AW23" s="10">
        <f t="shared" si="51"/>
        <v>0</v>
      </c>
      <c r="AX23" s="10">
        <f t="shared" si="21"/>
        <v>0</v>
      </c>
      <c r="AY23" s="107">
        <f>176*AY7</f>
        <v>44000</v>
      </c>
      <c r="AZ23" s="10">
        <f t="shared" si="22"/>
        <v>85.27221847595095</v>
      </c>
      <c r="BA23" s="10">
        <f t="shared" si="52"/>
        <v>179000</v>
      </c>
      <c r="BB23" s="10">
        <f t="shared" si="23"/>
        <v>0.20184319120237562</v>
      </c>
      <c r="BC23" s="10">
        <f t="shared" si="53"/>
        <v>44000</v>
      </c>
      <c r="BD23" s="10">
        <f t="shared" si="24"/>
        <v>85.27221847595095</v>
      </c>
      <c r="BE23" s="10">
        <f t="shared" si="54"/>
        <v>641647.76</v>
      </c>
      <c r="BF23" s="10">
        <f t="shared" si="25"/>
        <v>72.353201958802245</v>
      </c>
      <c r="BG23" s="107">
        <v>0</v>
      </c>
      <c r="BH23" s="10">
        <f t="shared" si="26"/>
        <v>0</v>
      </c>
      <c r="BI23" s="10">
        <f t="shared" si="55"/>
        <v>0</v>
      </c>
      <c r="BJ23" s="10">
        <f t="shared" si="27"/>
        <v>0</v>
      </c>
      <c r="BK23" s="107"/>
      <c r="BL23" s="10">
        <f t="shared" si="28"/>
        <v>0</v>
      </c>
      <c r="BM23" s="10">
        <f t="shared" si="56"/>
        <v>0</v>
      </c>
      <c r="BN23" s="10">
        <f t="shared" si="29"/>
        <v>0</v>
      </c>
      <c r="BO23" s="107"/>
      <c r="BP23" s="15">
        <f t="shared" si="30"/>
        <v>0</v>
      </c>
      <c r="BQ23" s="10">
        <f t="shared" si="57"/>
        <v>0</v>
      </c>
      <c r="BR23" s="10">
        <f t="shared" si="31"/>
        <v>0</v>
      </c>
      <c r="BS23" s="10">
        <f t="shared" si="58"/>
        <v>0</v>
      </c>
      <c r="BT23" s="10">
        <f t="shared" si="32"/>
        <v>0</v>
      </c>
      <c r="BU23" s="10">
        <f t="shared" si="59"/>
        <v>0</v>
      </c>
      <c r="BV23" s="10">
        <f t="shared" si="33"/>
        <v>0</v>
      </c>
      <c r="BW23" s="107">
        <v>1950</v>
      </c>
      <c r="BX23" s="10">
        <f t="shared" si="34"/>
        <v>3.7791096824569173</v>
      </c>
      <c r="BY23" s="10">
        <f t="shared" si="60"/>
        <v>1950</v>
      </c>
      <c r="BZ23" s="10">
        <f t="shared" si="35"/>
        <v>0.21988504069532541</v>
      </c>
      <c r="CA23" s="10">
        <f t="shared" si="36"/>
        <v>51599.455000000002</v>
      </c>
      <c r="CB23" s="10">
        <f t="shared" si="61"/>
        <v>886827.04099999997</v>
      </c>
      <c r="CC23" s="10">
        <f t="shared" si="37"/>
        <v>1.1401430717899994</v>
      </c>
      <c r="CD23" s="10">
        <f t="shared" si="38"/>
        <v>1.0903334107903813</v>
      </c>
      <c r="CL23" s="13"/>
      <c r="CM23" s="13"/>
    </row>
    <row r="24" spans="1:91">
      <c r="A24" s="16">
        <f>+Chem!A23</f>
        <v>45853</v>
      </c>
      <c r="B24" s="6" t="str">
        <f>+Chem!B23</f>
        <v>Facial</v>
      </c>
      <c r="C24" s="16" t="str">
        <f>+Chem!C23</f>
        <v>10,5</v>
      </c>
      <c r="D24" s="8">
        <f>+Chem!D23</f>
        <v>52.656999999999996</v>
      </c>
      <c r="E24" s="7">
        <f>+Chem!E23</f>
        <v>50.311</v>
      </c>
      <c r="F24" s="7">
        <f t="shared" si="39"/>
        <v>863.66500000000019</v>
      </c>
      <c r="G24" s="107">
        <f>22.5*G7</f>
        <v>5188.2749999999996</v>
      </c>
      <c r="H24" s="10">
        <f t="shared" si="0"/>
        <v>11.196521665944619</v>
      </c>
      <c r="I24" s="8">
        <f t="shared" si="40"/>
        <v>238614.53200000004</v>
      </c>
      <c r="J24" s="10">
        <f t="shared" si="1"/>
        <v>25.570445869421921</v>
      </c>
      <c r="K24" s="107"/>
      <c r="L24" s="10">
        <f t="shared" si="2"/>
        <v>0</v>
      </c>
      <c r="M24" s="10">
        <f t="shared" si="41"/>
        <v>0</v>
      </c>
      <c r="N24" s="10">
        <f t="shared" si="3"/>
        <v>0</v>
      </c>
      <c r="O24" s="107"/>
      <c r="P24" s="10">
        <f t="shared" si="4"/>
        <v>0</v>
      </c>
      <c r="Q24" s="10">
        <f t="shared" si="42"/>
        <v>0</v>
      </c>
      <c r="R24" s="10">
        <f t="shared" si="5"/>
        <v>0</v>
      </c>
      <c r="S24" s="107">
        <v>0</v>
      </c>
      <c r="T24" s="10">
        <f t="shared" si="6"/>
        <v>0</v>
      </c>
      <c r="U24" s="10">
        <f t="shared" si="43"/>
        <v>0</v>
      </c>
      <c r="V24" s="10">
        <f t="shared" si="7"/>
        <v>0</v>
      </c>
      <c r="W24" s="107"/>
      <c r="X24" s="10">
        <f t="shared" si="8"/>
        <v>0</v>
      </c>
      <c r="Y24" s="10">
        <f t="shared" si="44"/>
        <v>0</v>
      </c>
      <c r="Z24" s="10">
        <f t="shared" si="9"/>
        <v>0</v>
      </c>
      <c r="AA24" s="107"/>
      <c r="AB24" s="10">
        <f t="shared" si="10"/>
        <v>0</v>
      </c>
      <c r="AC24" s="10">
        <f t="shared" si="45"/>
        <v>9803.0239999999994</v>
      </c>
      <c r="AD24" s="10">
        <f t="shared" si="11"/>
        <v>1.0505131118696658</v>
      </c>
      <c r="AE24" s="10">
        <f t="shared" si="46"/>
        <v>5188.2749999999996</v>
      </c>
      <c r="AF24" s="10">
        <f t="shared" si="12"/>
        <v>11.196521665944619</v>
      </c>
      <c r="AG24" s="10">
        <f t="shared" si="47"/>
        <v>248417.55600000001</v>
      </c>
      <c r="AH24" s="10">
        <f t="shared" si="13"/>
        <v>26.620958981291587</v>
      </c>
      <c r="AI24" s="107">
        <v>0</v>
      </c>
      <c r="AJ24" s="10">
        <f t="shared" si="14"/>
        <v>0</v>
      </c>
      <c r="AK24" s="10">
        <f t="shared" si="48"/>
        <v>462647.76</v>
      </c>
      <c r="AL24" s="10">
        <f t="shared" si="15"/>
        <v>49.578327876901071</v>
      </c>
      <c r="AM24" s="107"/>
      <c r="AN24" s="10">
        <f t="shared" si="16"/>
        <v>0</v>
      </c>
      <c r="AO24" s="10">
        <f t="shared" si="49"/>
        <v>0</v>
      </c>
      <c r="AP24" s="10">
        <f t="shared" si="17"/>
        <v>0</v>
      </c>
      <c r="AQ24" s="107"/>
      <c r="AR24" s="10">
        <f t="shared" si="18"/>
        <v>0</v>
      </c>
      <c r="AS24" s="10">
        <f t="shared" si="50"/>
        <v>0</v>
      </c>
      <c r="AT24" s="10">
        <f t="shared" si="19"/>
        <v>0</v>
      </c>
      <c r="AU24" s="107"/>
      <c r="AV24" s="10">
        <f t="shared" si="20"/>
        <v>0</v>
      </c>
      <c r="AW24" s="10">
        <f t="shared" si="51"/>
        <v>0</v>
      </c>
      <c r="AX24" s="10">
        <f t="shared" si="21"/>
        <v>0</v>
      </c>
      <c r="AY24" s="107">
        <f>160*AY7</f>
        <v>40000</v>
      </c>
      <c r="AZ24" s="10">
        <f t="shared" si="22"/>
        <v>86.321728635776793</v>
      </c>
      <c r="BA24" s="10">
        <f t="shared" si="52"/>
        <v>219000</v>
      </c>
      <c r="BB24" s="10">
        <f t="shared" si="23"/>
        <v>0.23468510482016244</v>
      </c>
      <c r="BC24" s="10">
        <f t="shared" si="53"/>
        <v>40000</v>
      </c>
      <c r="BD24" s="10">
        <f t="shared" si="24"/>
        <v>86.321728635776793</v>
      </c>
      <c r="BE24" s="10">
        <f t="shared" si="54"/>
        <v>681647.76</v>
      </c>
      <c r="BF24" s="10">
        <f t="shared" si="25"/>
        <v>73.046838358917327</v>
      </c>
      <c r="BG24" s="107">
        <v>0</v>
      </c>
      <c r="BH24" s="10">
        <f t="shared" si="26"/>
        <v>0</v>
      </c>
      <c r="BI24" s="10">
        <f t="shared" si="55"/>
        <v>0</v>
      </c>
      <c r="BJ24" s="10">
        <f t="shared" si="27"/>
        <v>0</v>
      </c>
      <c r="BK24" s="107"/>
      <c r="BL24" s="10">
        <f t="shared" si="28"/>
        <v>0</v>
      </c>
      <c r="BM24" s="10">
        <f t="shared" si="56"/>
        <v>0</v>
      </c>
      <c r="BN24" s="10">
        <f t="shared" si="29"/>
        <v>0</v>
      </c>
      <c r="BO24" s="107"/>
      <c r="BP24" s="15">
        <f t="shared" si="30"/>
        <v>0</v>
      </c>
      <c r="BQ24" s="10">
        <f t="shared" si="57"/>
        <v>0</v>
      </c>
      <c r="BR24" s="10">
        <f t="shared" si="31"/>
        <v>0</v>
      </c>
      <c r="BS24" s="10">
        <f t="shared" si="58"/>
        <v>0</v>
      </c>
      <c r="BT24" s="10">
        <f t="shared" si="32"/>
        <v>0</v>
      </c>
      <c r="BU24" s="10">
        <f t="shared" si="59"/>
        <v>0</v>
      </c>
      <c r="BV24" s="10">
        <f t="shared" si="33"/>
        <v>0</v>
      </c>
      <c r="BW24" s="107">
        <v>1150</v>
      </c>
      <c r="BX24" s="10">
        <f t="shared" si="34"/>
        <v>2.4817496982785827</v>
      </c>
      <c r="BY24" s="10">
        <f t="shared" si="60"/>
        <v>3100</v>
      </c>
      <c r="BZ24" s="10">
        <f t="shared" si="35"/>
        <v>0.33220265979109753</v>
      </c>
      <c r="CA24" s="10">
        <f t="shared" si="36"/>
        <v>46338.275000000001</v>
      </c>
      <c r="CB24" s="10">
        <f t="shared" si="61"/>
        <v>933165.31599999999</v>
      </c>
      <c r="CC24" s="10">
        <f t="shared" si="37"/>
        <v>0.92103665202440821</v>
      </c>
      <c r="CD24" s="10">
        <f t="shared" si="38"/>
        <v>1.0804713818436544</v>
      </c>
      <c r="CL24" s="13"/>
      <c r="CM24" s="13"/>
    </row>
    <row r="25" spans="1:91">
      <c r="A25" s="16">
        <f>+Chem!A24</f>
        <v>45854</v>
      </c>
      <c r="B25" s="6" t="str">
        <f>+Chem!B24</f>
        <v>Facial</v>
      </c>
      <c r="C25" s="16" t="str">
        <f>+Chem!C24</f>
        <v>10,3</v>
      </c>
      <c r="D25" s="8">
        <f>+Chem!D24</f>
        <v>53.582999999999998</v>
      </c>
      <c r="E25" s="7">
        <f>+Chem!E24</f>
        <v>53.802999999999997</v>
      </c>
      <c r="F25" s="7">
        <f t="shared" si="39"/>
        <v>917.46800000000019</v>
      </c>
      <c r="G25" s="107">
        <f>31.75*G7</f>
        <v>7321.2325000000001</v>
      </c>
      <c r="H25" s="10">
        <f t="shared" si="0"/>
        <v>13.923660880334063</v>
      </c>
      <c r="I25" s="8">
        <f t="shared" si="40"/>
        <v>245935.76450000005</v>
      </c>
      <c r="J25" s="10">
        <f t="shared" si="1"/>
        <v>24.949188498223794</v>
      </c>
      <c r="K25" s="107"/>
      <c r="L25" s="10">
        <f t="shared" si="2"/>
        <v>0</v>
      </c>
      <c r="M25" s="10">
        <f t="shared" si="41"/>
        <v>0</v>
      </c>
      <c r="N25" s="10">
        <f t="shared" si="3"/>
        <v>0</v>
      </c>
      <c r="O25" s="107"/>
      <c r="P25" s="10">
        <f t="shared" si="4"/>
        <v>0</v>
      </c>
      <c r="Q25" s="10">
        <f t="shared" si="42"/>
        <v>0</v>
      </c>
      <c r="R25" s="10">
        <f t="shared" si="5"/>
        <v>0</v>
      </c>
      <c r="S25" s="107">
        <v>0</v>
      </c>
      <c r="T25" s="10">
        <f t="shared" si="6"/>
        <v>0</v>
      </c>
      <c r="U25" s="10">
        <f t="shared" si="43"/>
        <v>0</v>
      </c>
      <c r="V25" s="10">
        <f t="shared" si="7"/>
        <v>0</v>
      </c>
      <c r="W25" s="107"/>
      <c r="X25" s="10">
        <f t="shared" si="8"/>
        <v>0</v>
      </c>
      <c r="Y25" s="10">
        <f t="shared" si="44"/>
        <v>0</v>
      </c>
      <c r="Z25" s="10">
        <f t="shared" si="9"/>
        <v>0</v>
      </c>
      <c r="AA25" s="107"/>
      <c r="AB25" s="10">
        <f t="shared" si="10"/>
        <v>0</v>
      </c>
      <c r="AC25" s="10">
        <f t="shared" si="45"/>
        <v>9803.0239999999994</v>
      </c>
      <c r="AD25" s="10">
        <f t="shared" si="11"/>
        <v>0.99447713156258644</v>
      </c>
      <c r="AE25" s="10">
        <f t="shared" si="46"/>
        <v>7321.2325000000001</v>
      </c>
      <c r="AF25" s="10">
        <f t="shared" si="12"/>
        <v>13.923660880334063</v>
      </c>
      <c r="AG25" s="10">
        <f t="shared" si="47"/>
        <v>255738.78850000002</v>
      </c>
      <c r="AH25" s="10">
        <f t="shared" si="13"/>
        <v>25.943665629786377</v>
      </c>
      <c r="AI25" s="107">
        <v>0</v>
      </c>
      <c r="AJ25" s="10">
        <f t="shared" si="14"/>
        <v>0</v>
      </c>
      <c r="AK25" s="10">
        <f t="shared" si="48"/>
        <v>462647.76</v>
      </c>
      <c r="AL25" s="10">
        <f t="shared" si="15"/>
        <v>46.933743841559085</v>
      </c>
      <c r="AM25" s="107"/>
      <c r="AN25" s="10">
        <f t="shared" si="16"/>
        <v>0</v>
      </c>
      <c r="AO25" s="10">
        <f t="shared" si="49"/>
        <v>0</v>
      </c>
      <c r="AP25" s="10">
        <f t="shared" si="17"/>
        <v>0</v>
      </c>
      <c r="AQ25" s="107"/>
      <c r="AR25" s="10">
        <f t="shared" si="18"/>
        <v>0</v>
      </c>
      <c r="AS25" s="10">
        <f t="shared" si="50"/>
        <v>0</v>
      </c>
      <c r="AT25" s="10">
        <f t="shared" si="19"/>
        <v>0</v>
      </c>
      <c r="AU25" s="107"/>
      <c r="AV25" s="10">
        <f t="shared" si="20"/>
        <v>0</v>
      </c>
      <c r="AW25" s="10">
        <f t="shared" si="51"/>
        <v>0</v>
      </c>
      <c r="AX25" s="10">
        <f t="shared" si="21"/>
        <v>0</v>
      </c>
      <c r="AY25" s="107">
        <f>172*AY7</f>
        <v>43000</v>
      </c>
      <c r="AZ25" s="10">
        <f t="shared" si="22"/>
        <v>81.778227621423667</v>
      </c>
      <c r="BA25" s="10">
        <f t="shared" si="52"/>
        <v>262000</v>
      </c>
      <c r="BB25" s="10">
        <f t="shared" si="23"/>
        <v>0.26578840209857452</v>
      </c>
      <c r="BC25" s="10">
        <f t="shared" si="53"/>
        <v>43000</v>
      </c>
      <c r="BD25" s="10">
        <f t="shared" si="24"/>
        <v>81.778227621423667</v>
      </c>
      <c r="BE25" s="10">
        <f t="shared" si="54"/>
        <v>724647.76</v>
      </c>
      <c r="BF25" s="10">
        <f t="shared" si="25"/>
        <v>73.512584051416539</v>
      </c>
      <c r="BG25" s="107">
        <v>0</v>
      </c>
      <c r="BH25" s="10">
        <f t="shared" si="26"/>
        <v>0</v>
      </c>
      <c r="BI25" s="10">
        <f t="shared" si="55"/>
        <v>0</v>
      </c>
      <c r="BJ25" s="10">
        <f t="shared" si="27"/>
        <v>0</v>
      </c>
      <c r="BK25" s="107"/>
      <c r="BL25" s="10">
        <f t="shared" si="28"/>
        <v>0</v>
      </c>
      <c r="BM25" s="10">
        <f t="shared" si="56"/>
        <v>0</v>
      </c>
      <c r="BN25" s="10">
        <f t="shared" si="29"/>
        <v>0</v>
      </c>
      <c r="BO25" s="107"/>
      <c r="BP25" s="15">
        <f t="shared" si="30"/>
        <v>0</v>
      </c>
      <c r="BQ25" s="10">
        <f t="shared" si="57"/>
        <v>0</v>
      </c>
      <c r="BR25" s="10">
        <f t="shared" si="31"/>
        <v>0</v>
      </c>
      <c r="BS25" s="10">
        <f t="shared" si="58"/>
        <v>0</v>
      </c>
      <c r="BT25" s="10">
        <f t="shared" si="32"/>
        <v>0</v>
      </c>
      <c r="BU25" s="10">
        <f t="shared" si="59"/>
        <v>0</v>
      </c>
      <c r="BV25" s="10">
        <f t="shared" si="33"/>
        <v>0</v>
      </c>
      <c r="BW25" s="107">
        <v>2260</v>
      </c>
      <c r="BX25" s="10">
        <f t="shared" si="34"/>
        <v>4.2981114982422675</v>
      </c>
      <c r="BY25" s="10">
        <f t="shared" si="60"/>
        <v>5360</v>
      </c>
      <c r="BZ25" s="10">
        <f t="shared" si="35"/>
        <v>0.5437503187970838</v>
      </c>
      <c r="CA25" s="10">
        <f t="shared" si="36"/>
        <v>52581.232499999998</v>
      </c>
      <c r="CB25" s="10">
        <f t="shared" si="61"/>
        <v>985746.54850000003</v>
      </c>
      <c r="CC25" s="10">
        <f t="shared" si="37"/>
        <v>0.97729183316915413</v>
      </c>
      <c r="CD25" s="10">
        <f t="shared" si="38"/>
        <v>1.0744206321092395</v>
      </c>
      <c r="CL25" s="13"/>
      <c r="CM25" s="13"/>
    </row>
    <row r="26" spans="1:91">
      <c r="A26" s="16">
        <f>+Chem!A25</f>
        <v>45855</v>
      </c>
      <c r="B26" s="6" t="str">
        <f>+Chem!B25</f>
        <v>Facial</v>
      </c>
      <c r="C26" s="16" t="str">
        <f>+Chem!C25</f>
        <v>10,3/11,5</v>
      </c>
      <c r="D26" s="8">
        <f>+Chem!D25</f>
        <v>54.313000000000002</v>
      </c>
      <c r="E26" s="7">
        <f>+Chem!E25</f>
        <v>54.225999999999999</v>
      </c>
      <c r="F26" s="7">
        <f t="shared" si="39"/>
        <v>971.69400000000019</v>
      </c>
      <c r="G26" s="107">
        <f>28.25*G7</f>
        <v>6514.1675000000005</v>
      </c>
      <c r="H26" s="10">
        <f t="shared" si="0"/>
        <v>11.383595051863358</v>
      </c>
      <c r="I26" s="8">
        <f t="shared" si="40"/>
        <v>252449.93200000006</v>
      </c>
      <c r="J26" s="10">
        <f t="shared" si="1"/>
        <v>24.204891674063074</v>
      </c>
      <c r="K26" s="107"/>
      <c r="L26" s="10">
        <f t="shared" si="2"/>
        <v>0</v>
      </c>
      <c r="M26" s="10">
        <f t="shared" si="41"/>
        <v>0</v>
      </c>
      <c r="N26" s="10">
        <f t="shared" si="3"/>
        <v>0</v>
      </c>
      <c r="O26" s="107"/>
      <c r="P26" s="10">
        <f t="shared" si="4"/>
        <v>0</v>
      </c>
      <c r="Q26" s="10">
        <f t="shared" si="42"/>
        <v>0</v>
      </c>
      <c r="R26" s="10">
        <f t="shared" si="5"/>
        <v>0</v>
      </c>
      <c r="S26" s="107">
        <v>0</v>
      </c>
      <c r="T26" s="10">
        <f t="shared" si="6"/>
        <v>0</v>
      </c>
      <c r="U26" s="10">
        <f t="shared" si="43"/>
        <v>0</v>
      </c>
      <c r="V26" s="10">
        <f t="shared" si="7"/>
        <v>0</v>
      </c>
      <c r="W26" s="107"/>
      <c r="X26" s="10">
        <f t="shared" si="8"/>
        <v>0</v>
      </c>
      <c r="Y26" s="10">
        <f t="shared" si="44"/>
        <v>0</v>
      </c>
      <c r="Z26" s="10">
        <f t="shared" si="9"/>
        <v>0</v>
      </c>
      <c r="AA26" s="107"/>
      <c r="AB26" s="10">
        <f t="shared" si="10"/>
        <v>0</v>
      </c>
      <c r="AC26" s="10">
        <f t="shared" si="45"/>
        <v>9803.0239999999994</v>
      </c>
      <c r="AD26" s="10">
        <f t="shared" si="11"/>
        <v>0.93991363799709982</v>
      </c>
      <c r="AE26" s="10">
        <f t="shared" si="46"/>
        <v>6514.1675000000005</v>
      </c>
      <c r="AF26" s="10">
        <f t="shared" si="12"/>
        <v>11.383595051863358</v>
      </c>
      <c r="AG26" s="10">
        <f t="shared" si="47"/>
        <v>262252.95600000001</v>
      </c>
      <c r="AH26" s="10">
        <f t="shared" si="13"/>
        <v>25.144805312060171</v>
      </c>
      <c r="AI26" s="107">
        <v>0</v>
      </c>
      <c r="AJ26" s="10">
        <f t="shared" si="14"/>
        <v>0</v>
      </c>
      <c r="AK26" s="10">
        <f t="shared" si="48"/>
        <v>462647.76</v>
      </c>
      <c r="AL26" s="10">
        <f t="shared" si="15"/>
        <v>44.358652923098944</v>
      </c>
      <c r="AM26" s="107"/>
      <c r="AN26" s="10">
        <f t="shared" si="16"/>
        <v>0</v>
      </c>
      <c r="AO26" s="10">
        <f t="shared" si="49"/>
        <v>0</v>
      </c>
      <c r="AP26" s="10">
        <f t="shared" si="17"/>
        <v>0</v>
      </c>
      <c r="AQ26" s="107"/>
      <c r="AR26" s="10">
        <f t="shared" si="18"/>
        <v>0</v>
      </c>
      <c r="AS26" s="10">
        <f t="shared" si="50"/>
        <v>0</v>
      </c>
      <c r="AT26" s="10">
        <f t="shared" si="19"/>
        <v>0</v>
      </c>
      <c r="AU26" s="107"/>
      <c r="AV26" s="10">
        <f t="shared" si="20"/>
        <v>0</v>
      </c>
      <c r="AW26" s="10">
        <f t="shared" si="51"/>
        <v>0</v>
      </c>
      <c r="AX26" s="10">
        <f t="shared" si="21"/>
        <v>0</v>
      </c>
      <c r="AY26" s="107">
        <f>188*AY7</f>
        <v>47000</v>
      </c>
      <c r="AZ26" s="10">
        <f t="shared" si="22"/>
        <v>82.133130202374716</v>
      </c>
      <c r="BA26" s="10">
        <f t="shared" si="52"/>
        <v>309000</v>
      </c>
      <c r="BB26" s="10">
        <f t="shared" si="23"/>
        <v>0.29626910445297677</v>
      </c>
      <c r="BC26" s="10">
        <f t="shared" si="53"/>
        <v>47000</v>
      </c>
      <c r="BD26" s="10">
        <f t="shared" si="24"/>
        <v>82.133130202374716</v>
      </c>
      <c r="BE26" s="10">
        <f t="shared" si="54"/>
        <v>771647.76</v>
      </c>
      <c r="BF26" s="10">
        <f t="shared" si="25"/>
        <v>73.985563368396626</v>
      </c>
      <c r="BG26" s="107">
        <v>0</v>
      </c>
      <c r="BH26" s="10">
        <f t="shared" si="26"/>
        <v>0</v>
      </c>
      <c r="BI26" s="10">
        <f t="shared" si="55"/>
        <v>0</v>
      </c>
      <c r="BJ26" s="10">
        <f t="shared" si="27"/>
        <v>0</v>
      </c>
      <c r="BK26" s="107"/>
      <c r="BL26" s="10">
        <f t="shared" si="28"/>
        <v>0</v>
      </c>
      <c r="BM26" s="10">
        <f t="shared" si="56"/>
        <v>0</v>
      </c>
      <c r="BN26" s="10">
        <f t="shared" si="29"/>
        <v>0</v>
      </c>
      <c r="BO26" s="107"/>
      <c r="BP26" s="15">
        <f t="shared" si="30"/>
        <v>0</v>
      </c>
      <c r="BQ26" s="10">
        <f t="shared" si="57"/>
        <v>0</v>
      </c>
      <c r="BR26" s="10">
        <f t="shared" si="31"/>
        <v>0</v>
      </c>
      <c r="BS26" s="10">
        <f t="shared" si="58"/>
        <v>0</v>
      </c>
      <c r="BT26" s="10">
        <f t="shared" si="32"/>
        <v>0</v>
      </c>
      <c r="BU26" s="10">
        <f t="shared" si="59"/>
        <v>0</v>
      </c>
      <c r="BV26" s="10">
        <f t="shared" si="33"/>
        <v>0</v>
      </c>
      <c r="BW26" s="107">
        <v>3710</v>
      </c>
      <c r="BX26" s="10">
        <f t="shared" si="34"/>
        <v>6.4832747457619186</v>
      </c>
      <c r="BY26" s="10">
        <f t="shared" si="60"/>
        <v>9070</v>
      </c>
      <c r="BZ26" s="10">
        <f t="shared" si="35"/>
        <v>0.86963131954320372</v>
      </c>
      <c r="CA26" s="10">
        <f t="shared" si="36"/>
        <v>57224.167500000003</v>
      </c>
      <c r="CB26" s="10">
        <f t="shared" si="61"/>
        <v>1042970.716</v>
      </c>
      <c r="CC26" s="10">
        <f t="shared" si="37"/>
        <v>1.0552902205584038</v>
      </c>
      <c r="CD26" s="10">
        <f t="shared" si="38"/>
        <v>1.0733530473585304</v>
      </c>
      <c r="CF26" s="13"/>
      <c r="CL26" s="13"/>
    </row>
    <row r="27" spans="1:91">
      <c r="A27" s="16">
        <f>+Chem!A26</f>
        <v>45856</v>
      </c>
      <c r="B27" s="6" t="str">
        <f>+Chem!B26</f>
        <v>Facial</v>
      </c>
      <c r="C27" s="16" t="str">
        <f>+Chem!C26</f>
        <v>11,5</v>
      </c>
      <c r="D27" s="8">
        <f>+Chem!D26</f>
        <v>53.427999999999997</v>
      </c>
      <c r="E27" s="7">
        <f>+Chem!E26</f>
        <v>53.707000000000001</v>
      </c>
      <c r="F27" s="7">
        <f t="shared" si="39"/>
        <v>1025.4010000000003</v>
      </c>
      <c r="G27" s="107">
        <f>11.5*G7</f>
        <v>2651.7849999999999</v>
      </c>
      <c r="H27" s="10">
        <f t="shared" si="0"/>
        <v>5.4149241241665989</v>
      </c>
      <c r="I27" s="8">
        <f t="shared" si="40"/>
        <v>255101.71700000006</v>
      </c>
      <c r="J27" s="10">
        <f t="shared" si="1"/>
        <v>23.362193225959988</v>
      </c>
      <c r="K27" s="107"/>
      <c r="L27" s="10">
        <f t="shared" si="2"/>
        <v>0</v>
      </c>
      <c r="M27" s="10">
        <f t="shared" si="41"/>
        <v>0</v>
      </c>
      <c r="N27" s="10">
        <f t="shared" si="3"/>
        <v>0</v>
      </c>
      <c r="O27" s="107"/>
      <c r="P27" s="10">
        <f t="shared" si="4"/>
        <v>0</v>
      </c>
      <c r="Q27" s="10">
        <f t="shared" si="42"/>
        <v>0</v>
      </c>
      <c r="R27" s="10">
        <f t="shared" si="5"/>
        <v>0</v>
      </c>
      <c r="S27" s="107">
        <v>0</v>
      </c>
      <c r="T27" s="10">
        <f t="shared" si="6"/>
        <v>0</v>
      </c>
      <c r="U27" s="10">
        <f t="shared" si="43"/>
        <v>0</v>
      </c>
      <c r="V27" s="10">
        <f t="shared" si="7"/>
        <v>0</v>
      </c>
      <c r="W27" s="107"/>
      <c r="X27" s="10">
        <f t="shared" si="8"/>
        <v>0</v>
      </c>
      <c r="Y27" s="10">
        <f t="shared" si="44"/>
        <v>0</v>
      </c>
      <c r="Z27" s="10">
        <f t="shared" si="9"/>
        <v>0</v>
      </c>
      <c r="AA27" s="107"/>
      <c r="AB27" s="10">
        <f t="shared" si="10"/>
        <v>0</v>
      </c>
      <c r="AC27" s="10">
        <f t="shared" si="45"/>
        <v>9803.0239999999994</v>
      </c>
      <c r="AD27" s="10">
        <f t="shared" si="11"/>
        <v>0.8977600918567048</v>
      </c>
      <c r="AE27" s="10">
        <f t="shared" si="46"/>
        <v>2651.7849999999999</v>
      </c>
      <c r="AF27" s="10">
        <f t="shared" si="12"/>
        <v>5.4149241241665989</v>
      </c>
      <c r="AG27" s="10">
        <f t="shared" si="47"/>
        <v>264904.74099999998</v>
      </c>
      <c r="AH27" s="10">
        <f t="shared" si="13"/>
        <v>24.259953317816684</v>
      </c>
      <c r="AI27" s="107">
        <v>0</v>
      </c>
      <c r="AJ27" s="10">
        <f t="shared" si="14"/>
        <v>0</v>
      </c>
      <c r="AK27" s="10">
        <f t="shared" si="48"/>
        <v>462647.76</v>
      </c>
      <c r="AL27" s="10">
        <f t="shared" si="15"/>
        <v>42.369241931356974</v>
      </c>
      <c r="AM27" s="107"/>
      <c r="AN27" s="10">
        <f t="shared" si="16"/>
        <v>0</v>
      </c>
      <c r="AO27" s="10">
        <f t="shared" si="49"/>
        <v>0</v>
      </c>
      <c r="AP27" s="10">
        <f t="shared" si="17"/>
        <v>0</v>
      </c>
      <c r="AQ27" s="107"/>
      <c r="AR27" s="10">
        <f t="shared" si="18"/>
        <v>0</v>
      </c>
      <c r="AS27" s="10">
        <f t="shared" si="50"/>
        <v>0</v>
      </c>
      <c r="AT27" s="10">
        <f t="shared" si="19"/>
        <v>0</v>
      </c>
      <c r="AU27" s="107"/>
      <c r="AV27" s="10">
        <f t="shared" si="20"/>
        <v>0</v>
      </c>
      <c r="AW27" s="10">
        <f t="shared" si="51"/>
        <v>0</v>
      </c>
      <c r="AX27" s="10">
        <f t="shared" si="21"/>
        <v>0</v>
      </c>
      <c r="AY27" s="107">
        <f>170*AY7</f>
        <v>42500</v>
      </c>
      <c r="AZ27" s="10">
        <f t="shared" si="22"/>
        <v>86.784665905071662</v>
      </c>
      <c r="BA27" s="10">
        <f t="shared" si="52"/>
        <v>351500</v>
      </c>
      <c r="BB27" s="10">
        <f t="shared" si="23"/>
        <v>0.32190339663315298</v>
      </c>
      <c r="BC27" s="10">
        <f t="shared" si="53"/>
        <v>42500</v>
      </c>
      <c r="BD27" s="10">
        <f t="shared" si="24"/>
        <v>86.784665905071662</v>
      </c>
      <c r="BE27" s="10">
        <f t="shared" si="54"/>
        <v>814147.76</v>
      </c>
      <c r="BF27" s="10">
        <f t="shared" si="25"/>
        <v>74.559581594672267</v>
      </c>
      <c r="BG27" s="107">
        <v>0</v>
      </c>
      <c r="BH27" s="10">
        <f t="shared" si="26"/>
        <v>0</v>
      </c>
      <c r="BI27" s="10">
        <f t="shared" si="55"/>
        <v>0</v>
      </c>
      <c r="BJ27" s="10">
        <f t="shared" si="27"/>
        <v>0</v>
      </c>
      <c r="BK27" s="107"/>
      <c r="BL27" s="10">
        <f t="shared" si="28"/>
        <v>0</v>
      </c>
      <c r="BM27" s="10">
        <f t="shared" si="56"/>
        <v>0</v>
      </c>
      <c r="BN27" s="10">
        <f t="shared" si="29"/>
        <v>0</v>
      </c>
      <c r="BO27" s="107"/>
      <c r="BP27" s="15">
        <f t="shared" si="30"/>
        <v>0</v>
      </c>
      <c r="BQ27" s="10">
        <f t="shared" si="57"/>
        <v>0</v>
      </c>
      <c r="BR27" s="10">
        <f t="shared" si="31"/>
        <v>0</v>
      </c>
      <c r="BS27" s="10">
        <f t="shared" si="58"/>
        <v>0</v>
      </c>
      <c r="BT27" s="10">
        <f t="shared" si="32"/>
        <v>0</v>
      </c>
      <c r="BU27" s="10">
        <f t="shared" si="59"/>
        <v>0</v>
      </c>
      <c r="BV27" s="10">
        <f t="shared" si="33"/>
        <v>0</v>
      </c>
      <c r="BW27" s="107">
        <v>3820</v>
      </c>
      <c r="BX27" s="10">
        <f t="shared" si="34"/>
        <v>7.8004099707617343</v>
      </c>
      <c r="BY27" s="10">
        <f t="shared" si="60"/>
        <v>12890</v>
      </c>
      <c r="BZ27" s="10">
        <f t="shared" si="35"/>
        <v>1.1804650875110503</v>
      </c>
      <c r="CA27" s="10">
        <f t="shared" si="36"/>
        <v>48971.785000000003</v>
      </c>
      <c r="CB27" s="10">
        <f t="shared" si="61"/>
        <v>1091942.5009999999</v>
      </c>
      <c r="CC27" s="10">
        <f t="shared" si="37"/>
        <v>0.91183244269834474</v>
      </c>
      <c r="CD27" s="10">
        <f t="shared" si="38"/>
        <v>1.0648931500944505</v>
      </c>
      <c r="CL27" s="13"/>
    </row>
    <row r="28" spans="1:91">
      <c r="A28" s="16">
        <f>+Chem!A27</f>
        <v>45857</v>
      </c>
      <c r="B28" s="6" t="str">
        <f>+Chem!B27</f>
        <v>Facial</v>
      </c>
      <c r="C28" s="16" t="str">
        <f>+Chem!C27</f>
        <v>11,5/10,3</v>
      </c>
      <c r="D28" s="8">
        <f>+Chem!D27</f>
        <v>49.811999999999998</v>
      </c>
      <c r="E28" s="7">
        <f>+Chem!E27</f>
        <v>50.598999999999997</v>
      </c>
      <c r="F28" s="7">
        <f t="shared" si="39"/>
        <v>1076.0000000000002</v>
      </c>
      <c r="G28" s="107">
        <f>23.5*G7</f>
        <v>5418.8649999999998</v>
      </c>
      <c r="H28" s="10">
        <f t="shared" si="0"/>
        <v>10.739173384102079</v>
      </c>
      <c r="I28" s="8">
        <f t="shared" si="40"/>
        <v>260520.58200000005</v>
      </c>
      <c r="J28" s="10">
        <f t="shared" si="1"/>
        <v>22.804645525957827</v>
      </c>
      <c r="K28" s="107"/>
      <c r="L28" s="10">
        <f t="shared" si="2"/>
        <v>0</v>
      </c>
      <c r="M28" s="10">
        <f t="shared" si="41"/>
        <v>0</v>
      </c>
      <c r="N28" s="10">
        <f t="shared" si="3"/>
        <v>0</v>
      </c>
      <c r="O28" s="107"/>
      <c r="P28" s="10">
        <f t="shared" si="4"/>
        <v>0</v>
      </c>
      <c r="Q28" s="10">
        <f t="shared" si="42"/>
        <v>0</v>
      </c>
      <c r="R28" s="10">
        <f t="shared" si="5"/>
        <v>0</v>
      </c>
      <c r="S28" s="107">
        <v>0</v>
      </c>
      <c r="T28" s="10">
        <f t="shared" si="6"/>
        <v>0</v>
      </c>
      <c r="U28" s="10">
        <f t="shared" si="43"/>
        <v>0</v>
      </c>
      <c r="V28" s="10">
        <f t="shared" si="7"/>
        <v>0</v>
      </c>
      <c r="W28" s="107"/>
      <c r="X28" s="10">
        <f t="shared" si="8"/>
        <v>0</v>
      </c>
      <c r="Y28" s="10">
        <f t="shared" si="44"/>
        <v>0</v>
      </c>
      <c r="Z28" s="10">
        <f t="shared" si="9"/>
        <v>0</v>
      </c>
      <c r="AA28" s="107"/>
      <c r="AB28" s="10">
        <f t="shared" si="10"/>
        <v>0</v>
      </c>
      <c r="AC28" s="10">
        <f t="shared" si="45"/>
        <v>9803.0239999999994</v>
      </c>
      <c r="AD28" s="10">
        <f t="shared" si="11"/>
        <v>0.85810681707465664</v>
      </c>
      <c r="AE28" s="10">
        <f t="shared" si="46"/>
        <v>5418.8649999999998</v>
      </c>
      <c r="AF28" s="10">
        <f t="shared" si="12"/>
        <v>10.739173384102079</v>
      </c>
      <c r="AG28" s="10">
        <f t="shared" si="47"/>
        <v>270323.60599999997</v>
      </c>
      <c r="AH28" s="10">
        <f t="shared" si="13"/>
        <v>23.662752343032473</v>
      </c>
      <c r="AI28" s="107">
        <v>0</v>
      </c>
      <c r="AJ28" s="10">
        <f t="shared" si="14"/>
        <v>0</v>
      </c>
      <c r="AK28" s="10">
        <f t="shared" si="48"/>
        <v>462647.76</v>
      </c>
      <c r="AL28" s="10">
        <f t="shared" si="15"/>
        <v>40.49782972685977</v>
      </c>
      <c r="AM28" s="107"/>
      <c r="AN28" s="10">
        <f t="shared" si="16"/>
        <v>0</v>
      </c>
      <c r="AO28" s="10">
        <f t="shared" si="49"/>
        <v>0</v>
      </c>
      <c r="AP28" s="10">
        <f t="shared" si="17"/>
        <v>0</v>
      </c>
      <c r="AQ28" s="107"/>
      <c r="AR28" s="10">
        <f t="shared" si="18"/>
        <v>0</v>
      </c>
      <c r="AS28" s="10">
        <f t="shared" si="50"/>
        <v>0</v>
      </c>
      <c r="AT28" s="10">
        <f t="shared" si="19"/>
        <v>0</v>
      </c>
      <c r="AU28" s="107"/>
      <c r="AV28" s="10">
        <f t="shared" si="20"/>
        <v>0</v>
      </c>
      <c r="AW28" s="10">
        <f t="shared" si="51"/>
        <v>0</v>
      </c>
      <c r="AX28" s="10">
        <f t="shared" si="21"/>
        <v>0</v>
      </c>
      <c r="AY28" s="107">
        <f>154*AY7</f>
        <v>38500</v>
      </c>
      <c r="AZ28" s="10">
        <f t="shared" si="22"/>
        <v>76.29977408330528</v>
      </c>
      <c r="BA28" s="10">
        <f t="shared" si="52"/>
        <v>390000</v>
      </c>
      <c r="BB28" s="10">
        <f t="shared" si="23"/>
        <v>0.34138614641677523</v>
      </c>
      <c r="BC28" s="10">
        <f t="shared" si="53"/>
        <v>38500</v>
      </c>
      <c r="BD28" s="10">
        <f t="shared" si="24"/>
        <v>76.29977408330528</v>
      </c>
      <c r="BE28" s="10">
        <f t="shared" si="54"/>
        <v>852647.76</v>
      </c>
      <c r="BF28" s="10">
        <f t="shared" si="25"/>
        <v>74.636444368537298</v>
      </c>
      <c r="BG28" s="107">
        <v>0</v>
      </c>
      <c r="BH28" s="10">
        <f t="shared" si="26"/>
        <v>0</v>
      </c>
      <c r="BI28" s="10">
        <f t="shared" si="55"/>
        <v>0</v>
      </c>
      <c r="BJ28" s="10">
        <f t="shared" si="27"/>
        <v>0</v>
      </c>
      <c r="BK28" s="107"/>
      <c r="BL28" s="10">
        <f t="shared" si="28"/>
        <v>0</v>
      </c>
      <c r="BM28" s="10">
        <f t="shared" si="56"/>
        <v>0</v>
      </c>
      <c r="BN28" s="10">
        <f t="shared" si="29"/>
        <v>0</v>
      </c>
      <c r="BO28" s="107"/>
      <c r="BP28" s="15">
        <f t="shared" si="30"/>
        <v>0</v>
      </c>
      <c r="BQ28" s="10">
        <f t="shared" si="57"/>
        <v>0</v>
      </c>
      <c r="BR28" s="10">
        <f t="shared" si="31"/>
        <v>0</v>
      </c>
      <c r="BS28" s="10">
        <f t="shared" si="58"/>
        <v>0</v>
      </c>
      <c r="BT28" s="10">
        <f t="shared" si="32"/>
        <v>0</v>
      </c>
      <c r="BU28" s="10">
        <f t="shared" si="59"/>
        <v>0</v>
      </c>
      <c r="BV28" s="10">
        <f t="shared" si="33"/>
        <v>0</v>
      </c>
      <c r="BW28" s="107">
        <v>6540</v>
      </c>
      <c r="BX28" s="10">
        <f t="shared" si="34"/>
        <v>12.961052532592637</v>
      </c>
      <c r="BY28" s="10">
        <f t="shared" si="60"/>
        <v>19430</v>
      </c>
      <c r="BZ28" s="10">
        <f t="shared" si="35"/>
        <v>1.700803288430242</v>
      </c>
      <c r="CA28" s="10">
        <f t="shared" si="36"/>
        <v>50458.864999999998</v>
      </c>
      <c r="CB28" s="10">
        <f t="shared" si="61"/>
        <v>1142401.3659999999</v>
      </c>
      <c r="CC28" s="10">
        <f t="shared" si="37"/>
        <v>0.99723047886321858</v>
      </c>
      <c r="CD28" s="10">
        <f t="shared" si="38"/>
        <v>1.0617113066914494</v>
      </c>
      <c r="CL28" s="13"/>
    </row>
    <row r="29" spans="1:91">
      <c r="A29" s="16">
        <f>+Chem!A28</f>
        <v>45858</v>
      </c>
      <c r="B29" s="6" t="str">
        <f>+Chem!B28</f>
        <v>Facial</v>
      </c>
      <c r="C29" s="16" t="str">
        <f>+Chem!C28</f>
        <v>11,5</v>
      </c>
      <c r="D29" s="8">
        <f>+Chem!D28</f>
        <v>47.595999999999997</v>
      </c>
      <c r="E29" s="7">
        <f>+Chem!E28</f>
        <v>45.067999999999998</v>
      </c>
      <c r="F29" s="7">
        <f t="shared" si="39"/>
        <v>1121.0680000000002</v>
      </c>
      <c r="G29" s="107">
        <f>16.92*G7</f>
        <v>3901.5828000000006</v>
      </c>
      <c r="H29" s="10">
        <f t="shared" si="0"/>
        <v>7.9833362794216685</v>
      </c>
      <c r="I29" s="8">
        <f t="shared" si="40"/>
        <v>264422.16480000003</v>
      </c>
      <c r="J29" s="10">
        <f t="shared" si="1"/>
        <v>22.196606165393021</v>
      </c>
      <c r="K29" s="107"/>
      <c r="L29" s="10">
        <f t="shared" si="2"/>
        <v>0</v>
      </c>
      <c r="M29" s="10">
        <f t="shared" si="41"/>
        <v>0</v>
      </c>
      <c r="N29" s="10">
        <f t="shared" si="3"/>
        <v>0</v>
      </c>
      <c r="O29" s="107"/>
      <c r="P29" s="10">
        <f t="shared" si="4"/>
        <v>0</v>
      </c>
      <c r="Q29" s="10">
        <f t="shared" si="42"/>
        <v>0</v>
      </c>
      <c r="R29" s="10">
        <f t="shared" si="5"/>
        <v>0</v>
      </c>
      <c r="S29" s="107">
        <v>0</v>
      </c>
      <c r="T29" s="10">
        <f t="shared" si="6"/>
        <v>0</v>
      </c>
      <c r="U29" s="10">
        <f t="shared" si="43"/>
        <v>0</v>
      </c>
      <c r="V29" s="10">
        <f t="shared" si="7"/>
        <v>0</v>
      </c>
      <c r="W29" s="107"/>
      <c r="X29" s="10">
        <f t="shared" si="8"/>
        <v>0</v>
      </c>
      <c r="Y29" s="10">
        <f t="shared" si="44"/>
        <v>0</v>
      </c>
      <c r="Z29" s="10">
        <f t="shared" si="9"/>
        <v>0</v>
      </c>
      <c r="AA29" s="107"/>
      <c r="AB29" s="10">
        <f t="shared" si="10"/>
        <v>0</v>
      </c>
      <c r="AC29" s="10">
        <f t="shared" si="45"/>
        <v>9803.0239999999994</v>
      </c>
      <c r="AD29" s="10">
        <f t="shared" si="11"/>
        <v>0.82290326577757344</v>
      </c>
      <c r="AE29" s="10">
        <f t="shared" si="46"/>
        <v>3901.5828000000006</v>
      </c>
      <c r="AF29" s="10">
        <f t="shared" si="12"/>
        <v>7.9833362794216685</v>
      </c>
      <c r="AG29" s="10">
        <f t="shared" si="47"/>
        <v>274225.18879999995</v>
      </c>
      <c r="AH29" s="10">
        <f t="shared" si="13"/>
        <v>23.019509431170587</v>
      </c>
      <c r="AI29" s="107">
        <v>0</v>
      </c>
      <c r="AJ29" s="10">
        <f t="shared" si="14"/>
        <v>0</v>
      </c>
      <c r="AK29" s="10">
        <f t="shared" si="48"/>
        <v>462647.76</v>
      </c>
      <c r="AL29" s="10">
        <f t="shared" si="15"/>
        <v>38.83641951796497</v>
      </c>
      <c r="AM29" s="107"/>
      <c r="AN29" s="10">
        <f t="shared" si="16"/>
        <v>0</v>
      </c>
      <c r="AO29" s="10">
        <f t="shared" si="49"/>
        <v>0</v>
      </c>
      <c r="AP29" s="10">
        <f t="shared" si="17"/>
        <v>0</v>
      </c>
      <c r="AQ29" s="107"/>
      <c r="AR29" s="10">
        <f t="shared" si="18"/>
        <v>0</v>
      </c>
      <c r="AS29" s="10">
        <f t="shared" si="50"/>
        <v>0</v>
      </c>
      <c r="AT29" s="10">
        <f t="shared" si="19"/>
        <v>0</v>
      </c>
      <c r="AU29" s="107"/>
      <c r="AV29" s="10">
        <f t="shared" si="20"/>
        <v>0</v>
      </c>
      <c r="AW29" s="10">
        <f t="shared" si="51"/>
        <v>0</v>
      </c>
      <c r="AX29" s="10">
        <f t="shared" si="21"/>
        <v>0</v>
      </c>
      <c r="AY29" s="107">
        <f>84*AY7</f>
        <v>21000</v>
      </c>
      <c r="AZ29" s="10">
        <f t="shared" si="22"/>
        <v>42.969756240430172</v>
      </c>
      <c r="BA29" s="10">
        <f t="shared" si="52"/>
        <v>411000</v>
      </c>
      <c r="BB29" s="10">
        <f t="shared" si="23"/>
        <v>0.34500909335178892</v>
      </c>
      <c r="BC29" s="10">
        <f t="shared" si="53"/>
        <v>21000</v>
      </c>
      <c r="BD29" s="10">
        <f t="shared" si="24"/>
        <v>42.969756240430172</v>
      </c>
      <c r="BE29" s="10">
        <f t="shared" si="54"/>
        <v>873647.76</v>
      </c>
      <c r="BF29" s="10">
        <f t="shared" si="25"/>
        <v>73.337328853143859</v>
      </c>
      <c r="BG29" s="107">
        <f>74*BG7</f>
        <v>18500</v>
      </c>
      <c r="BH29" s="10">
        <f t="shared" si="26"/>
        <v>37.854309068950386</v>
      </c>
      <c r="BI29" s="10">
        <f t="shared" si="55"/>
        <v>18500</v>
      </c>
      <c r="BJ29" s="10">
        <f t="shared" si="27"/>
        <v>1.5529606391747188</v>
      </c>
      <c r="BK29" s="107"/>
      <c r="BL29" s="10">
        <f t="shared" si="28"/>
        <v>0</v>
      </c>
      <c r="BM29" s="10">
        <f t="shared" si="56"/>
        <v>0</v>
      </c>
      <c r="BN29" s="10">
        <f t="shared" si="29"/>
        <v>0</v>
      </c>
      <c r="BO29" s="107"/>
      <c r="BP29" s="15">
        <f t="shared" si="30"/>
        <v>0</v>
      </c>
      <c r="BQ29" s="10">
        <f t="shared" si="57"/>
        <v>0</v>
      </c>
      <c r="BR29" s="10">
        <f t="shared" si="31"/>
        <v>0</v>
      </c>
      <c r="BS29" s="10">
        <f t="shared" si="58"/>
        <v>18500</v>
      </c>
      <c r="BT29" s="10">
        <f t="shared" si="32"/>
        <v>37.854309068950386</v>
      </c>
      <c r="BU29" s="10">
        <f t="shared" si="59"/>
        <v>18500</v>
      </c>
      <c r="BV29" s="10">
        <f t="shared" si="33"/>
        <v>1.5529606391747188</v>
      </c>
      <c r="BW29" s="107">
        <v>5470</v>
      </c>
      <c r="BX29" s="10">
        <f t="shared" si="34"/>
        <v>11.192598411197764</v>
      </c>
      <c r="BY29" s="10">
        <f t="shared" si="60"/>
        <v>24900</v>
      </c>
      <c r="BZ29" s="10">
        <f t="shared" si="35"/>
        <v>2.0902010765108376</v>
      </c>
      <c r="CA29" s="10">
        <f t="shared" si="36"/>
        <v>48871.582800000004</v>
      </c>
      <c r="CB29" s="10">
        <f t="shared" si="61"/>
        <v>1191272.9487999999</v>
      </c>
      <c r="CC29" s="10">
        <f t="shared" si="37"/>
        <v>1.084396529688471</v>
      </c>
      <c r="CD29" s="10">
        <f t="shared" si="38"/>
        <v>1.0626232742349258</v>
      </c>
      <c r="CL29" s="13"/>
    </row>
    <row r="30" spans="1:91">
      <c r="A30" s="16">
        <f>+Chem!A29</f>
        <v>45859</v>
      </c>
      <c r="B30" s="6" t="str">
        <f>+Chem!B29</f>
        <v>Facial</v>
      </c>
      <c r="C30" s="16" t="str">
        <f>+Chem!C29</f>
        <v>11,5</v>
      </c>
      <c r="D30" s="8">
        <f>+Chem!D29</f>
        <v>50.287999999999997</v>
      </c>
      <c r="E30" s="7">
        <f>+Chem!E29</f>
        <v>44.09</v>
      </c>
      <c r="F30" s="7">
        <f t="shared" si="39"/>
        <v>1165.1580000000001</v>
      </c>
      <c r="G30" s="107">
        <f>14.86*G7</f>
        <v>3426.5673999999999</v>
      </c>
      <c r="H30" s="10">
        <f t="shared" si="0"/>
        <v>6.8838965380324719</v>
      </c>
      <c r="I30" s="8">
        <f t="shared" si="40"/>
        <v>267848.73220000003</v>
      </c>
      <c r="J30" s="10">
        <f t="shared" si="1"/>
        <v>21.582437179471505</v>
      </c>
      <c r="K30" s="107"/>
      <c r="L30" s="10">
        <f t="shared" si="2"/>
        <v>0</v>
      </c>
      <c r="M30" s="10">
        <f t="shared" si="41"/>
        <v>0</v>
      </c>
      <c r="N30" s="10">
        <f t="shared" si="3"/>
        <v>0</v>
      </c>
      <c r="O30" s="107"/>
      <c r="P30" s="10">
        <f t="shared" si="4"/>
        <v>0</v>
      </c>
      <c r="Q30" s="10">
        <f t="shared" si="42"/>
        <v>0</v>
      </c>
      <c r="R30" s="10">
        <f t="shared" si="5"/>
        <v>0</v>
      </c>
      <c r="S30" s="107">
        <v>0</v>
      </c>
      <c r="T30" s="10">
        <f t="shared" si="6"/>
        <v>0</v>
      </c>
      <c r="U30" s="10">
        <f t="shared" si="43"/>
        <v>0</v>
      </c>
      <c r="V30" s="10">
        <f t="shared" si="7"/>
        <v>0</v>
      </c>
      <c r="W30" s="107"/>
      <c r="X30" s="10">
        <f t="shared" si="8"/>
        <v>0</v>
      </c>
      <c r="Y30" s="10">
        <f t="shared" si="44"/>
        <v>0</v>
      </c>
      <c r="Z30" s="10">
        <f t="shared" si="9"/>
        <v>0</v>
      </c>
      <c r="AA30" s="107"/>
      <c r="AB30" s="10">
        <f t="shared" si="10"/>
        <v>0</v>
      </c>
      <c r="AC30" s="10">
        <f t="shared" si="45"/>
        <v>9803.0239999999994</v>
      </c>
      <c r="AD30" s="10">
        <f t="shared" si="11"/>
        <v>0.78989789464775917</v>
      </c>
      <c r="AE30" s="10">
        <f t="shared" si="46"/>
        <v>3426.5673999999999</v>
      </c>
      <c r="AF30" s="10">
        <f t="shared" si="12"/>
        <v>6.8838965380324719</v>
      </c>
      <c r="AG30" s="10">
        <f t="shared" si="47"/>
        <v>277651.75619999995</v>
      </c>
      <c r="AH30" s="10">
        <f t="shared" si="13"/>
        <v>22.372335074119256</v>
      </c>
      <c r="AI30" s="107">
        <v>0</v>
      </c>
      <c r="AJ30" s="10">
        <f t="shared" si="14"/>
        <v>0</v>
      </c>
      <c r="AK30" s="10">
        <f t="shared" si="48"/>
        <v>462647.76</v>
      </c>
      <c r="AL30" s="10">
        <f t="shared" si="15"/>
        <v>37.278751086144617</v>
      </c>
      <c r="AM30" s="107"/>
      <c r="AN30" s="10">
        <f t="shared" si="16"/>
        <v>0</v>
      </c>
      <c r="AO30" s="10">
        <f t="shared" si="49"/>
        <v>0</v>
      </c>
      <c r="AP30" s="10">
        <f t="shared" si="17"/>
        <v>0</v>
      </c>
      <c r="AQ30" s="107"/>
      <c r="AR30" s="10">
        <f t="shared" si="18"/>
        <v>0</v>
      </c>
      <c r="AS30" s="10">
        <f t="shared" si="50"/>
        <v>0</v>
      </c>
      <c r="AT30" s="10">
        <f t="shared" si="19"/>
        <v>0</v>
      </c>
      <c r="AU30" s="107"/>
      <c r="AV30" s="10">
        <f t="shared" si="20"/>
        <v>0</v>
      </c>
      <c r="AW30" s="10">
        <f t="shared" si="51"/>
        <v>0</v>
      </c>
      <c r="AX30" s="10">
        <f t="shared" si="21"/>
        <v>0</v>
      </c>
      <c r="AY30" s="107">
        <v>0</v>
      </c>
      <c r="AZ30" s="10">
        <f t="shared" si="22"/>
        <v>0</v>
      </c>
      <c r="BA30" s="10">
        <f t="shared" si="52"/>
        <v>411000</v>
      </c>
      <c r="BB30" s="10">
        <f t="shared" si="23"/>
        <v>0.33117131479044526</v>
      </c>
      <c r="BC30" s="10">
        <f t="shared" si="53"/>
        <v>0</v>
      </c>
      <c r="BD30" s="10">
        <f t="shared" si="24"/>
        <v>0</v>
      </c>
      <c r="BE30" s="10">
        <f t="shared" si="54"/>
        <v>873647.76</v>
      </c>
      <c r="BF30" s="10">
        <f t="shared" si="25"/>
        <v>70.395882565189154</v>
      </c>
      <c r="BG30" s="107">
        <f>162*BG7</f>
        <v>40500</v>
      </c>
      <c r="BH30" s="10">
        <f t="shared" si="26"/>
        <v>81.363585549292011</v>
      </c>
      <c r="BI30" s="10">
        <f t="shared" si="55"/>
        <v>59000</v>
      </c>
      <c r="BJ30" s="10">
        <f t="shared" si="27"/>
        <v>4.7540407719309661</v>
      </c>
      <c r="BK30" s="107"/>
      <c r="BL30" s="10">
        <f t="shared" si="28"/>
        <v>0</v>
      </c>
      <c r="BM30" s="10">
        <f t="shared" si="56"/>
        <v>0</v>
      </c>
      <c r="BN30" s="10">
        <f t="shared" si="29"/>
        <v>0</v>
      </c>
      <c r="BO30" s="107"/>
      <c r="BP30" s="15">
        <f t="shared" si="30"/>
        <v>0</v>
      </c>
      <c r="BQ30" s="10">
        <f t="shared" si="57"/>
        <v>0</v>
      </c>
      <c r="BR30" s="10">
        <f t="shared" si="31"/>
        <v>0</v>
      </c>
      <c r="BS30" s="10">
        <f t="shared" si="58"/>
        <v>40500</v>
      </c>
      <c r="BT30" s="10">
        <f t="shared" si="32"/>
        <v>81.363585549292011</v>
      </c>
      <c r="BU30" s="10">
        <f t="shared" si="59"/>
        <v>59000</v>
      </c>
      <c r="BV30" s="10">
        <f t="shared" si="33"/>
        <v>4.7540407719309661</v>
      </c>
      <c r="BW30" s="107">
        <v>5850</v>
      </c>
      <c r="BX30" s="10">
        <f t="shared" si="34"/>
        <v>11.752517912675513</v>
      </c>
      <c r="BY30" s="10">
        <f t="shared" si="60"/>
        <v>30750</v>
      </c>
      <c r="BZ30" s="10">
        <f t="shared" si="35"/>
        <v>2.4777415887606309</v>
      </c>
      <c r="CA30" s="10">
        <f t="shared" si="36"/>
        <v>49776.5674</v>
      </c>
      <c r="CB30" s="10">
        <f t="shared" si="61"/>
        <v>1241049.5162</v>
      </c>
      <c r="CC30" s="10">
        <f t="shared" si="37"/>
        <v>1.1289763529144929</v>
      </c>
      <c r="CD30" s="10">
        <f t="shared" si="38"/>
        <v>1.0651340987230915</v>
      </c>
    </row>
    <row r="31" spans="1:91">
      <c r="A31" s="16">
        <f>+Chem!A30</f>
        <v>45860</v>
      </c>
      <c r="B31" s="6" t="str">
        <f>+Chem!B30</f>
        <v>Facial</v>
      </c>
      <c r="C31" s="16" t="str">
        <f>+Chem!C30</f>
        <v>11,5/12</v>
      </c>
      <c r="D31" s="8">
        <f>+Chem!D30</f>
        <v>53.364999999999995</v>
      </c>
      <c r="E31" s="7">
        <f>+Chem!E30</f>
        <v>47.679000000000002</v>
      </c>
      <c r="F31" s="7">
        <f t="shared" si="39"/>
        <v>1212.8370000000002</v>
      </c>
      <c r="G31" s="107">
        <f>14.57*G7</f>
        <v>3359.6963000000001</v>
      </c>
      <c r="H31" s="10">
        <f t="shared" si="0"/>
        <v>6.6246996336641768</v>
      </c>
      <c r="I31" s="8">
        <f t="shared" si="40"/>
        <v>271208.42850000004</v>
      </c>
      <c r="J31" s="10">
        <f t="shared" si="1"/>
        <v>20.995196017632363</v>
      </c>
      <c r="K31" s="107"/>
      <c r="L31" s="10">
        <f t="shared" si="2"/>
        <v>0</v>
      </c>
      <c r="M31" s="10">
        <f t="shared" si="41"/>
        <v>0</v>
      </c>
      <c r="N31" s="10">
        <f t="shared" si="3"/>
        <v>0</v>
      </c>
      <c r="O31" s="107"/>
      <c r="P31" s="10">
        <f t="shared" si="4"/>
        <v>0</v>
      </c>
      <c r="Q31" s="10">
        <f t="shared" si="42"/>
        <v>0</v>
      </c>
      <c r="R31" s="10">
        <f t="shared" si="5"/>
        <v>0</v>
      </c>
      <c r="S31" s="107">
        <v>0</v>
      </c>
      <c r="T31" s="10">
        <f t="shared" si="6"/>
        <v>0</v>
      </c>
      <c r="U31" s="10">
        <f t="shared" si="43"/>
        <v>0</v>
      </c>
      <c r="V31" s="10">
        <f t="shared" si="7"/>
        <v>0</v>
      </c>
      <c r="W31" s="107"/>
      <c r="X31" s="10">
        <f t="shared" si="8"/>
        <v>0</v>
      </c>
      <c r="Y31" s="10">
        <f t="shared" si="44"/>
        <v>0</v>
      </c>
      <c r="Z31" s="10">
        <f t="shared" si="9"/>
        <v>0</v>
      </c>
      <c r="AA31" s="107"/>
      <c r="AB31" s="10">
        <f t="shared" si="10"/>
        <v>0</v>
      </c>
      <c r="AC31" s="10">
        <f t="shared" si="45"/>
        <v>9803.0239999999994</v>
      </c>
      <c r="AD31" s="10">
        <f t="shared" si="11"/>
        <v>0.7588864829308003</v>
      </c>
      <c r="AE31" s="10">
        <f t="shared" si="46"/>
        <v>3359.6963000000001</v>
      </c>
      <c r="AF31" s="10">
        <f t="shared" si="12"/>
        <v>6.6246996336641768</v>
      </c>
      <c r="AG31" s="10">
        <f t="shared" si="47"/>
        <v>281011.45249999996</v>
      </c>
      <c r="AH31" s="10">
        <f t="shared" si="13"/>
        <v>21.754082500563158</v>
      </c>
      <c r="AI31" s="107">
        <v>0</v>
      </c>
      <c r="AJ31" s="10">
        <f t="shared" si="14"/>
        <v>0</v>
      </c>
      <c r="AK31" s="10">
        <f t="shared" si="48"/>
        <v>462647.76</v>
      </c>
      <c r="AL31" s="10">
        <f t="shared" si="15"/>
        <v>35.815186357007093</v>
      </c>
      <c r="AM31" s="107"/>
      <c r="AN31" s="10">
        <f t="shared" si="16"/>
        <v>0</v>
      </c>
      <c r="AO31" s="10">
        <f t="shared" si="49"/>
        <v>0</v>
      </c>
      <c r="AP31" s="10">
        <f t="shared" si="17"/>
        <v>0</v>
      </c>
      <c r="AQ31" s="107"/>
      <c r="AR31" s="10">
        <f t="shared" si="18"/>
        <v>0</v>
      </c>
      <c r="AS31" s="10">
        <f t="shared" si="50"/>
        <v>0</v>
      </c>
      <c r="AT31" s="10">
        <f t="shared" si="19"/>
        <v>0</v>
      </c>
      <c r="AU31" s="107"/>
      <c r="AV31" s="10">
        <f t="shared" si="20"/>
        <v>0</v>
      </c>
      <c r="AW31" s="10">
        <f t="shared" si="51"/>
        <v>0</v>
      </c>
      <c r="AX31" s="10">
        <f t="shared" si="21"/>
        <v>0</v>
      </c>
      <c r="AY31" s="107">
        <v>0</v>
      </c>
      <c r="AZ31" s="10">
        <f t="shared" si="22"/>
        <v>0</v>
      </c>
      <c r="BA31" s="10">
        <f t="shared" si="52"/>
        <v>411000</v>
      </c>
      <c r="BB31" s="10">
        <f t="shared" si="23"/>
        <v>0.31816952043018459</v>
      </c>
      <c r="BC31" s="10">
        <f t="shared" si="53"/>
        <v>0</v>
      </c>
      <c r="BD31" s="10">
        <f t="shared" si="24"/>
        <v>0</v>
      </c>
      <c r="BE31" s="10">
        <f t="shared" si="54"/>
        <v>873647.76</v>
      </c>
      <c r="BF31" s="10">
        <f t="shared" si="25"/>
        <v>67.632138400025539</v>
      </c>
      <c r="BG31" s="107">
        <f>172*BG7</f>
        <v>43000</v>
      </c>
      <c r="BH31" s="10">
        <f t="shared" si="26"/>
        <v>84.788045945569422</v>
      </c>
      <c r="BI31" s="10">
        <f t="shared" si="55"/>
        <v>102000</v>
      </c>
      <c r="BJ31" s="10">
        <f t="shared" si="27"/>
        <v>7.8961778792892527</v>
      </c>
      <c r="BK31" s="107"/>
      <c r="BL31" s="10">
        <f t="shared" si="28"/>
        <v>0</v>
      </c>
      <c r="BM31" s="10">
        <f t="shared" si="56"/>
        <v>0</v>
      </c>
      <c r="BN31" s="10">
        <f t="shared" si="29"/>
        <v>0</v>
      </c>
      <c r="BO31" s="107"/>
      <c r="BP31" s="15">
        <f t="shared" si="30"/>
        <v>0</v>
      </c>
      <c r="BQ31" s="10">
        <f t="shared" si="57"/>
        <v>0</v>
      </c>
      <c r="BR31" s="10">
        <f t="shared" si="31"/>
        <v>0</v>
      </c>
      <c r="BS31" s="10">
        <f t="shared" si="58"/>
        <v>43000</v>
      </c>
      <c r="BT31" s="10">
        <f t="shared" si="32"/>
        <v>84.788045945569422</v>
      </c>
      <c r="BU31" s="10">
        <f t="shared" si="59"/>
        <v>102000</v>
      </c>
      <c r="BV31" s="10">
        <f t="shared" si="33"/>
        <v>7.8961778792892527</v>
      </c>
      <c r="BW31" s="107">
        <v>4355</v>
      </c>
      <c r="BX31" s="10">
        <f t="shared" si="34"/>
        <v>8.5872544207663921</v>
      </c>
      <c r="BY31" s="10">
        <f t="shared" si="60"/>
        <v>35105</v>
      </c>
      <c r="BZ31" s="10">
        <f t="shared" si="35"/>
        <v>2.717601220122051</v>
      </c>
      <c r="CA31" s="10">
        <f t="shared" si="36"/>
        <v>50714.696300000003</v>
      </c>
      <c r="CB31" s="10">
        <f t="shared" si="61"/>
        <v>1291764.2124999999</v>
      </c>
      <c r="CC31" s="10">
        <f t="shared" si="37"/>
        <v>1.0636694624467795</v>
      </c>
      <c r="CD31" s="10">
        <f t="shared" si="38"/>
        <v>1.0650765209999362</v>
      </c>
    </row>
    <row r="32" spans="1:91">
      <c r="A32" s="16">
        <f>+Chem!A31</f>
        <v>45861</v>
      </c>
      <c r="B32" s="6" t="str">
        <f>+Chem!B31</f>
        <v>Facial</v>
      </c>
      <c r="C32" s="16" t="str">
        <f>+Chem!C31</f>
        <v>12</v>
      </c>
      <c r="D32" s="8">
        <f>+Chem!D31</f>
        <v>52.460999999999999</v>
      </c>
      <c r="E32" s="7">
        <f>+Chem!E31</f>
        <v>42.927999999999997</v>
      </c>
      <c r="F32" s="7">
        <f t="shared" si="39"/>
        <v>1255.7650000000003</v>
      </c>
      <c r="G32" s="107">
        <f>15.51*G7</f>
        <v>3576.4508999999998</v>
      </c>
      <c r="H32" s="10">
        <f t="shared" si="0"/>
        <v>6.9884699644148247</v>
      </c>
      <c r="I32" s="8">
        <f t="shared" si="40"/>
        <v>274784.87940000003</v>
      </c>
      <c r="J32" s="10">
        <f t="shared" si="1"/>
        <v>20.461431162886331</v>
      </c>
      <c r="K32" s="107"/>
      <c r="L32" s="10">
        <f t="shared" si="2"/>
        <v>0</v>
      </c>
      <c r="M32" s="10">
        <f t="shared" si="41"/>
        <v>0</v>
      </c>
      <c r="N32" s="10">
        <f t="shared" si="3"/>
        <v>0</v>
      </c>
      <c r="O32" s="107"/>
      <c r="P32" s="10">
        <f t="shared" si="4"/>
        <v>0</v>
      </c>
      <c r="Q32" s="10">
        <f t="shared" si="42"/>
        <v>0</v>
      </c>
      <c r="R32" s="10">
        <f t="shared" si="5"/>
        <v>0</v>
      </c>
      <c r="S32" s="107">
        <v>0</v>
      </c>
      <c r="T32" s="10">
        <f t="shared" si="6"/>
        <v>0</v>
      </c>
      <c r="U32" s="10">
        <f t="shared" si="43"/>
        <v>0</v>
      </c>
      <c r="V32" s="10">
        <f t="shared" si="7"/>
        <v>0</v>
      </c>
      <c r="W32" s="107"/>
      <c r="X32" s="10">
        <f t="shared" si="8"/>
        <v>0</v>
      </c>
      <c r="Y32" s="10">
        <f t="shared" si="44"/>
        <v>0</v>
      </c>
      <c r="Z32" s="10">
        <f t="shared" si="9"/>
        <v>0</v>
      </c>
      <c r="AA32" s="107"/>
      <c r="AB32" s="10">
        <f t="shared" si="10"/>
        <v>0</v>
      </c>
      <c r="AC32" s="10">
        <f t="shared" si="45"/>
        <v>9803.0239999999994</v>
      </c>
      <c r="AD32" s="10">
        <f t="shared" si="11"/>
        <v>0.72996702439414718</v>
      </c>
      <c r="AE32" s="10">
        <f t="shared" si="46"/>
        <v>3576.4508999999998</v>
      </c>
      <c r="AF32" s="10">
        <f t="shared" si="12"/>
        <v>6.9884699644148247</v>
      </c>
      <c r="AG32" s="10">
        <f t="shared" si="47"/>
        <v>284587.90339999995</v>
      </c>
      <c r="AH32" s="10">
        <f t="shared" si="13"/>
        <v>21.191398187280473</v>
      </c>
      <c r="AI32" s="107">
        <v>0</v>
      </c>
      <c r="AJ32" s="10">
        <f t="shared" si="14"/>
        <v>0</v>
      </c>
      <c r="AK32" s="10">
        <f t="shared" si="48"/>
        <v>462647.76</v>
      </c>
      <c r="AL32" s="10">
        <f t="shared" si="15"/>
        <v>34.450350086852545</v>
      </c>
      <c r="AM32" s="107"/>
      <c r="AN32" s="10">
        <f t="shared" si="16"/>
        <v>0</v>
      </c>
      <c r="AO32" s="10">
        <f t="shared" si="49"/>
        <v>0</v>
      </c>
      <c r="AP32" s="10">
        <f t="shared" si="17"/>
        <v>0</v>
      </c>
      <c r="AQ32" s="107"/>
      <c r="AR32" s="10">
        <f t="shared" si="18"/>
        <v>0</v>
      </c>
      <c r="AS32" s="10">
        <f t="shared" si="50"/>
        <v>0</v>
      </c>
      <c r="AT32" s="10">
        <f t="shared" si="19"/>
        <v>0</v>
      </c>
      <c r="AU32" s="107"/>
      <c r="AV32" s="10">
        <f t="shared" si="20"/>
        <v>0</v>
      </c>
      <c r="AW32" s="10">
        <f t="shared" si="51"/>
        <v>0</v>
      </c>
      <c r="AX32" s="10">
        <f t="shared" si="21"/>
        <v>0</v>
      </c>
      <c r="AY32" s="107"/>
      <c r="AZ32" s="10">
        <f t="shared" si="22"/>
        <v>0</v>
      </c>
      <c r="BA32" s="10">
        <f t="shared" si="52"/>
        <v>411000</v>
      </c>
      <c r="BB32" s="10">
        <f t="shared" si="23"/>
        <v>0.30604479497958437</v>
      </c>
      <c r="BC32" s="10">
        <f t="shared" si="53"/>
        <v>0</v>
      </c>
      <c r="BD32" s="10">
        <f t="shared" si="24"/>
        <v>0</v>
      </c>
      <c r="BE32" s="10">
        <f t="shared" si="54"/>
        <v>873647.76</v>
      </c>
      <c r="BF32" s="10">
        <f t="shared" si="25"/>
        <v>65.054829584810975</v>
      </c>
      <c r="BG32" s="107">
        <f>176*BG7</f>
        <v>44000</v>
      </c>
      <c r="BH32" s="10">
        <f t="shared" si="26"/>
        <v>85.977044570708998</v>
      </c>
      <c r="BI32" s="10">
        <f t="shared" si="55"/>
        <v>146000</v>
      </c>
      <c r="BJ32" s="10">
        <f t="shared" si="27"/>
        <v>10.871664249883045</v>
      </c>
      <c r="BK32" s="107"/>
      <c r="BL32" s="10">
        <f t="shared" si="28"/>
        <v>0</v>
      </c>
      <c r="BM32" s="10">
        <f t="shared" si="56"/>
        <v>0</v>
      </c>
      <c r="BN32" s="10">
        <f t="shared" si="29"/>
        <v>0</v>
      </c>
      <c r="BO32" s="107"/>
      <c r="BP32" s="15">
        <f t="shared" si="30"/>
        <v>0</v>
      </c>
      <c r="BQ32" s="10">
        <f t="shared" si="57"/>
        <v>0</v>
      </c>
      <c r="BR32" s="10">
        <f t="shared" si="31"/>
        <v>0</v>
      </c>
      <c r="BS32" s="10">
        <f t="shared" si="58"/>
        <v>44000</v>
      </c>
      <c r="BT32" s="10">
        <f t="shared" si="32"/>
        <v>85.977044570708998</v>
      </c>
      <c r="BU32" s="10">
        <f t="shared" si="59"/>
        <v>146000</v>
      </c>
      <c r="BV32" s="10">
        <f t="shared" si="33"/>
        <v>10.871664249883045</v>
      </c>
      <c r="BW32" s="107">
        <v>3600</v>
      </c>
      <c r="BX32" s="10">
        <f t="shared" si="34"/>
        <v>7.0344854648761901</v>
      </c>
      <c r="BY32" s="10">
        <f t="shared" si="60"/>
        <v>38705</v>
      </c>
      <c r="BZ32" s="10">
        <f t="shared" si="35"/>
        <v>2.8821079780255019</v>
      </c>
      <c r="CA32" s="10">
        <f t="shared" si="36"/>
        <v>51176.450899999996</v>
      </c>
      <c r="CB32" s="10">
        <f t="shared" si="61"/>
        <v>1342940.6634</v>
      </c>
      <c r="CC32" s="10">
        <f t="shared" si="37"/>
        <v>1.1921461726612002</v>
      </c>
      <c r="CD32" s="10">
        <f t="shared" si="38"/>
        <v>1.0694203640012261</v>
      </c>
    </row>
    <row r="33" spans="1:82">
      <c r="A33" s="16">
        <f>+Chem!A32</f>
        <v>45862</v>
      </c>
      <c r="B33" s="6" t="str">
        <f>+Chem!B32</f>
        <v>Facial</v>
      </c>
      <c r="C33" s="16" t="str">
        <f>+Chem!C32</f>
        <v>12/12,5</v>
      </c>
      <c r="D33" s="8">
        <f>+Chem!D32</f>
        <v>53.373999999999995</v>
      </c>
      <c r="E33" s="7">
        <f>+Chem!E32</f>
        <v>55.439</v>
      </c>
      <c r="F33" s="7">
        <f t="shared" si="39"/>
        <v>1311.2040000000004</v>
      </c>
      <c r="G33" s="107">
        <f>20.26*G7</f>
        <v>4671.7534000000005</v>
      </c>
      <c r="H33" s="10">
        <f t="shared" si="0"/>
        <v>8.9033681881878941</v>
      </c>
      <c r="I33" s="8">
        <f t="shared" si="40"/>
        <v>279456.63280000002</v>
      </c>
      <c r="J33" s="10">
        <f t="shared" si="1"/>
        <v>20.026812821463782</v>
      </c>
      <c r="K33" s="107"/>
      <c r="L33" s="10">
        <f t="shared" si="2"/>
        <v>0</v>
      </c>
      <c r="M33" s="10">
        <f t="shared" si="41"/>
        <v>0</v>
      </c>
      <c r="N33" s="10">
        <f t="shared" si="3"/>
        <v>0</v>
      </c>
      <c r="O33" s="107"/>
      <c r="P33" s="10">
        <f t="shared" si="4"/>
        <v>0</v>
      </c>
      <c r="Q33" s="10">
        <f t="shared" si="42"/>
        <v>0</v>
      </c>
      <c r="R33" s="10">
        <f t="shared" si="5"/>
        <v>0</v>
      </c>
      <c r="S33" s="107">
        <v>0</v>
      </c>
      <c r="T33" s="10">
        <f t="shared" si="6"/>
        <v>0</v>
      </c>
      <c r="U33" s="10">
        <f t="shared" si="43"/>
        <v>0</v>
      </c>
      <c r="V33" s="10">
        <f t="shared" si="7"/>
        <v>0</v>
      </c>
      <c r="W33" s="107"/>
      <c r="X33" s="10">
        <f t="shared" si="8"/>
        <v>0</v>
      </c>
      <c r="Y33" s="10">
        <f t="shared" si="44"/>
        <v>0</v>
      </c>
      <c r="Z33" s="10">
        <f t="shared" si="9"/>
        <v>0</v>
      </c>
      <c r="AA33" s="107"/>
      <c r="AB33" s="10">
        <f t="shared" si="10"/>
        <v>0</v>
      </c>
      <c r="AC33" s="10">
        <f t="shared" si="45"/>
        <v>9803.0239999999994</v>
      </c>
      <c r="AD33" s="10">
        <f t="shared" si="11"/>
        <v>0.70251804283643804</v>
      </c>
      <c r="AE33" s="10">
        <f t="shared" si="46"/>
        <v>4671.7534000000005</v>
      </c>
      <c r="AF33" s="10">
        <f t="shared" si="12"/>
        <v>8.9033681881878941</v>
      </c>
      <c r="AG33" s="10">
        <f t="shared" si="47"/>
        <v>289259.65679999994</v>
      </c>
      <c r="AH33" s="10">
        <f t="shared" si="13"/>
        <v>20.729330864300213</v>
      </c>
      <c r="AI33" s="107">
        <v>0</v>
      </c>
      <c r="AJ33" s="10">
        <f t="shared" si="14"/>
        <v>0</v>
      </c>
      <c r="AK33" s="10">
        <f t="shared" si="48"/>
        <v>462647.76</v>
      </c>
      <c r="AL33" s="10">
        <f t="shared" si="15"/>
        <v>33.154912084053059</v>
      </c>
      <c r="AM33" s="107"/>
      <c r="AN33" s="10">
        <f t="shared" si="16"/>
        <v>0</v>
      </c>
      <c r="AO33" s="10">
        <f t="shared" si="49"/>
        <v>0</v>
      </c>
      <c r="AP33" s="10">
        <f t="shared" si="17"/>
        <v>0</v>
      </c>
      <c r="AQ33" s="107"/>
      <c r="AR33" s="10">
        <f t="shared" si="18"/>
        <v>0</v>
      </c>
      <c r="AS33" s="10">
        <f>AQ33+AS32</f>
        <v>0</v>
      </c>
      <c r="AT33" s="10">
        <f t="shared" si="19"/>
        <v>0</v>
      </c>
      <c r="AU33" s="107"/>
      <c r="AV33" s="10">
        <f t="shared" si="20"/>
        <v>0</v>
      </c>
      <c r="AW33" s="10">
        <f t="shared" si="51"/>
        <v>0</v>
      </c>
      <c r="AX33" s="10">
        <f t="shared" si="21"/>
        <v>0</v>
      </c>
      <c r="AY33" s="107"/>
      <c r="AZ33" s="10">
        <f t="shared" si="22"/>
        <v>0</v>
      </c>
      <c r="BA33" s="10">
        <f t="shared" si="52"/>
        <v>411000</v>
      </c>
      <c r="BB33" s="10">
        <f t="shared" si="23"/>
        <v>0.29453657933080246</v>
      </c>
      <c r="BC33" s="10">
        <f t="shared" si="53"/>
        <v>0</v>
      </c>
      <c r="BD33" s="10">
        <f t="shared" si="24"/>
        <v>0</v>
      </c>
      <c r="BE33" s="10">
        <f t="shared" si="54"/>
        <v>873647.76</v>
      </c>
      <c r="BF33" s="10">
        <f t="shared" si="25"/>
        <v>62.608570017133303</v>
      </c>
      <c r="BG33" s="107">
        <f>180*BG7</f>
        <v>45000</v>
      </c>
      <c r="BH33" s="10">
        <f t="shared" si="26"/>
        <v>85.760427437898429</v>
      </c>
      <c r="BI33" s="10">
        <f t="shared" si="55"/>
        <v>191000</v>
      </c>
      <c r="BJ33" s="10">
        <f t="shared" si="27"/>
        <v>13.687709647733156</v>
      </c>
      <c r="BK33" s="107"/>
      <c r="BL33" s="10">
        <f t="shared" si="28"/>
        <v>0</v>
      </c>
      <c r="BM33" s="10">
        <f t="shared" si="56"/>
        <v>0</v>
      </c>
      <c r="BN33" s="10">
        <f t="shared" si="29"/>
        <v>0</v>
      </c>
      <c r="BO33" s="107"/>
      <c r="BP33" s="15">
        <f t="shared" si="30"/>
        <v>0</v>
      </c>
      <c r="BQ33" s="10">
        <f t="shared" si="57"/>
        <v>0</v>
      </c>
      <c r="BR33" s="10">
        <f t="shared" si="31"/>
        <v>0</v>
      </c>
      <c r="BS33" s="10">
        <f t="shared" si="58"/>
        <v>45000</v>
      </c>
      <c r="BT33" s="10">
        <f t="shared" si="32"/>
        <v>85.760427437898429</v>
      </c>
      <c r="BU33" s="10">
        <f t="shared" si="59"/>
        <v>191000</v>
      </c>
      <c r="BV33" s="10">
        <f t="shared" si="33"/>
        <v>13.687709647733156</v>
      </c>
      <c r="BW33" s="107">
        <v>2800</v>
      </c>
      <c r="BX33" s="10">
        <f t="shared" si="34"/>
        <v>5.33620437391368</v>
      </c>
      <c r="BY33" s="10">
        <f t="shared" si="60"/>
        <v>41505</v>
      </c>
      <c r="BZ33" s="10">
        <f t="shared" si="35"/>
        <v>2.9743894708333229</v>
      </c>
      <c r="CA33" s="10">
        <f t="shared" si="36"/>
        <v>52471.753400000001</v>
      </c>
      <c r="CB33" s="10">
        <f t="shared" si="61"/>
        <v>1395412.4168</v>
      </c>
      <c r="CC33" s="10">
        <f t="shared" si="37"/>
        <v>0.94647727051353747</v>
      </c>
      <c r="CD33" s="10">
        <f t="shared" si="38"/>
        <v>1.0642222085960686</v>
      </c>
    </row>
    <row r="34" spans="1:82">
      <c r="A34" s="16">
        <f>+Chem!A33</f>
        <v>45863</v>
      </c>
      <c r="B34" s="6" t="str">
        <f>+Chem!B33</f>
        <v>Facial</v>
      </c>
      <c r="C34" s="16" t="str">
        <f>+Chem!C33</f>
        <v>12,5</v>
      </c>
      <c r="D34" s="8">
        <f>+Chem!D33</f>
        <v>52.269999999999996</v>
      </c>
      <c r="E34" s="7">
        <f>+Chem!E33</f>
        <v>41.302999999999997</v>
      </c>
      <c r="F34" s="7">
        <f t="shared" si="39"/>
        <v>1352.5070000000005</v>
      </c>
      <c r="G34" s="107">
        <f>21.5*G7</f>
        <v>4957.6850000000004</v>
      </c>
      <c r="H34" s="10">
        <f t="shared" si="0"/>
        <v>9.6815253413623381</v>
      </c>
      <c r="I34" s="8">
        <f t="shared" si="40"/>
        <v>284414.31780000002</v>
      </c>
      <c r="J34" s="10">
        <f t="shared" si="1"/>
        <v>19.660608714486205</v>
      </c>
      <c r="K34" s="107"/>
      <c r="L34" s="10">
        <f t="shared" si="2"/>
        <v>0</v>
      </c>
      <c r="M34" s="10">
        <f t="shared" si="41"/>
        <v>0</v>
      </c>
      <c r="N34" s="10">
        <f t="shared" si="3"/>
        <v>0</v>
      </c>
      <c r="O34" s="107"/>
      <c r="P34" s="10">
        <f t="shared" si="4"/>
        <v>0</v>
      </c>
      <c r="Q34" s="10">
        <f t="shared" si="42"/>
        <v>0</v>
      </c>
      <c r="R34" s="10">
        <f t="shared" si="5"/>
        <v>0</v>
      </c>
      <c r="S34" s="107">
        <v>0</v>
      </c>
      <c r="T34" s="10">
        <f t="shared" si="6"/>
        <v>0</v>
      </c>
      <c r="U34" s="10">
        <f t="shared" si="43"/>
        <v>0</v>
      </c>
      <c r="V34" s="10">
        <f t="shared" si="7"/>
        <v>0</v>
      </c>
      <c r="W34" s="107"/>
      <c r="X34" s="10">
        <f t="shared" si="8"/>
        <v>0</v>
      </c>
      <c r="Y34" s="10">
        <f t="shared" si="44"/>
        <v>0</v>
      </c>
      <c r="Z34" s="10">
        <f t="shared" si="9"/>
        <v>0</v>
      </c>
      <c r="AA34" s="107"/>
      <c r="AB34" s="10">
        <f t="shared" si="10"/>
        <v>0</v>
      </c>
      <c r="AC34" s="10">
        <f t="shared" si="45"/>
        <v>9803.0239999999994</v>
      </c>
      <c r="AD34" s="10">
        <f t="shared" si="11"/>
        <v>0.67765019909527702</v>
      </c>
      <c r="AE34" s="10">
        <f t="shared" si="46"/>
        <v>4957.6850000000004</v>
      </c>
      <c r="AF34" s="10">
        <f t="shared" si="12"/>
        <v>9.6815253413623381</v>
      </c>
      <c r="AG34" s="10">
        <f t="shared" si="47"/>
        <v>294217.34179999994</v>
      </c>
      <c r="AH34" s="10">
        <f t="shared" si="13"/>
        <v>20.338258913581477</v>
      </c>
      <c r="AI34" s="107">
        <v>0</v>
      </c>
      <c r="AJ34" s="10">
        <f t="shared" si="14"/>
        <v>0</v>
      </c>
      <c r="AK34" s="10">
        <f t="shared" si="48"/>
        <v>462647.76</v>
      </c>
      <c r="AL34" s="10">
        <f t="shared" si="15"/>
        <v>31.981289311847444</v>
      </c>
      <c r="AM34" s="107"/>
      <c r="AN34" s="10">
        <f t="shared" si="16"/>
        <v>0</v>
      </c>
      <c r="AO34" s="10">
        <f t="shared" si="49"/>
        <v>0</v>
      </c>
      <c r="AP34" s="10">
        <f t="shared" si="17"/>
        <v>0</v>
      </c>
      <c r="AQ34" s="107"/>
      <c r="AR34" s="10">
        <f t="shared" si="18"/>
        <v>0</v>
      </c>
      <c r="AS34" s="10">
        <f>AQ34+AS33</f>
        <v>0</v>
      </c>
      <c r="AT34" s="10">
        <f t="shared" si="19"/>
        <v>0</v>
      </c>
      <c r="AU34" s="107"/>
      <c r="AV34" s="10">
        <f t="shared" si="20"/>
        <v>0</v>
      </c>
      <c r="AW34" s="10">
        <f t="shared" si="51"/>
        <v>0</v>
      </c>
      <c r="AX34" s="10">
        <f t="shared" si="21"/>
        <v>0</v>
      </c>
      <c r="AY34" s="107"/>
      <c r="AZ34" s="10">
        <f t="shared" si="22"/>
        <v>0</v>
      </c>
      <c r="BA34" s="10">
        <f t="shared" si="52"/>
        <v>411000</v>
      </c>
      <c r="BB34" s="10">
        <f t="shared" si="23"/>
        <v>0.28411052735172215</v>
      </c>
      <c r="BC34" s="10">
        <f t="shared" si="53"/>
        <v>0</v>
      </c>
      <c r="BD34" s="10">
        <f t="shared" si="24"/>
        <v>0</v>
      </c>
      <c r="BE34" s="10">
        <f t="shared" si="54"/>
        <v>873647.76</v>
      </c>
      <c r="BF34" s="10">
        <f t="shared" si="25"/>
        <v>60.392342047019653</v>
      </c>
      <c r="BG34" s="107">
        <f>168*BG7</f>
        <v>42000</v>
      </c>
      <c r="BH34" s="10">
        <f t="shared" si="26"/>
        <v>82.018939149465552</v>
      </c>
      <c r="BI34" s="10">
        <f t="shared" si="55"/>
        <v>233000</v>
      </c>
      <c r="BJ34" s="10">
        <f t="shared" si="27"/>
        <v>16.106509214829991</v>
      </c>
      <c r="BK34" s="107"/>
      <c r="BL34" s="10">
        <f t="shared" si="28"/>
        <v>0</v>
      </c>
      <c r="BM34" s="10">
        <f t="shared" si="56"/>
        <v>0</v>
      </c>
      <c r="BN34" s="10">
        <f t="shared" si="29"/>
        <v>0</v>
      </c>
      <c r="BO34" s="107"/>
      <c r="BP34" s="15">
        <f t="shared" si="30"/>
        <v>0</v>
      </c>
      <c r="BQ34" s="10">
        <f t="shared" si="57"/>
        <v>0</v>
      </c>
      <c r="BR34" s="10">
        <f t="shared" si="31"/>
        <v>0</v>
      </c>
      <c r="BS34" s="10">
        <f t="shared" si="58"/>
        <v>42000</v>
      </c>
      <c r="BT34" s="10">
        <f t="shared" si="32"/>
        <v>82.018939149465552</v>
      </c>
      <c r="BU34" s="10">
        <f t="shared" si="59"/>
        <v>233000</v>
      </c>
      <c r="BV34" s="10">
        <f t="shared" si="33"/>
        <v>16.106509214829991</v>
      </c>
      <c r="BW34" s="107">
        <v>4250</v>
      </c>
      <c r="BX34" s="10">
        <f t="shared" si="34"/>
        <v>8.2995355091721095</v>
      </c>
      <c r="BY34" s="10">
        <f t="shared" si="60"/>
        <v>45755</v>
      </c>
      <c r="BZ34" s="10">
        <f t="shared" si="35"/>
        <v>3.1628898245688681</v>
      </c>
      <c r="CA34" s="10">
        <f t="shared" si="36"/>
        <v>51207.684999999998</v>
      </c>
      <c r="CB34" s="10">
        <f t="shared" si="61"/>
        <v>1446620.1018000001</v>
      </c>
      <c r="CC34" s="10">
        <f t="shared" si="37"/>
        <v>1.239805462072973</v>
      </c>
      <c r="CD34" s="10">
        <f t="shared" si="38"/>
        <v>1.0695841883258272</v>
      </c>
    </row>
    <row r="35" spans="1:82">
      <c r="A35" s="16">
        <f>+Chem!A34</f>
        <v>45864</v>
      </c>
      <c r="B35" s="6" t="str">
        <f>+Chem!B34</f>
        <v>Facial</v>
      </c>
      <c r="C35" s="16" t="str">
        <f>+Chem!C34</f>
        <v>12,5/12</v>
      </c>
      <c r="D35" s="8">
        <f>+Chem!D34</f>
        <v>52.730000000000004</v>
      </c>
      <c r="E35" s="7">
        <f>+Chem!E34</f>
        <v>59.515000000000001</v>
      </c>
      <c r="F35" s="7">
        <f t="shared" si="39"/>
        <v>1412.0220000000006</v>
      </c>
      <c r="G35" s="107">
        <f>23*G7</f>
        <v>5303.57</v>
      </c>
      <c r="H35" s="10">
        <f t="shared" si="0"/>
        <v>9.4279705270261065</v>
      </c>
      <c r="I35" s="8">
        <f t="shared" si="40"/>
        <v>289717.88780000003</v>
      </c>
      <c r="J35" s="10">
        <f t="shared" si="1"/>
        <v>19.277594200782247</v>
      </c>
      <c r="K35" s="107"/>
      <c r="L35" s="10">
        <f t="shared" si="2"/>
        <v>0</v>
      </c>
      <c r="M35" s="10">
        <f t="shared" si="41"/>
        <v>0</v>
      </c>
      <c r="N35" s="10">
        <f t="shared" si="3"/>
        <v>0</v>
      </c>
      <c r="O35" s="107"/>
      <c r="P35" s="10">
        <f t="shared" si="4"/>
        <v>0</v>
      </c>
      <c r="Q35" s="10">
        <f t="shared" si="42"/>
        <v>0</v>
      </c>
      <c r="R35" s="10">
        <f t="shared" si="5"/>
        <v>0</v>
      </c>
      <c r="S35" s="107">
        <v>0</v>
      </c>
      <c r="T35" s="10">
        <f t="shared" si="6"/>
        <v>0</v>
      </c>
      <c r="U35" s="10">
        <f t="shared" si="43"/>
        <v>0</v>
      </c>
      <c r="V35" s="10">
        <f t="shared" si="7"/>
        <v>0</v>
      </c>
      <c r="W35" s="107"/>
      <c r="X35" s="10">
        <f t="shared" si="8"/>
        <v>0</v>
      </c>
      <c r="Y35" s="10">
        <f t="shared" si="44"/>
        <v>0</v>
      </c>
      <c r="Z35" s="10">
        <f t="shared" si="9"/>
        <v>0</v>
      </c>
      <c r="AA35" s="107"/>
      <c r="AB35" s="10">
        <f t="shared" si="10"/>
        <v>0</v>
      </c>
      <c r="AC35" s="10">
        <f t="shared" si="45"/>
        <v>9803.0239999999994</v>
      </c>
      <c r="AD35" s="10">
        <f t="shared" si="11"/>
        <v>0.65228529742349284</v>
      </c>
      <c r="AE35" s="10">
        <f t="shared" si="46"/>
        <v>5303.57</v>
      </c>
      <c r="AF35" s="10">
        <f t="shared" si="12"/>
        <v>9.4279705270261065</v>
      </c>
      <c r="AG35" s="10">
        <f t="shared" si="47"/>
        <v>299520.91179999994</v>
      </c>
      <c r="AH35" s="10">
        <f t="shared" si="13"/>
        <v>19.929879498205732</v>
      </c>
      <c r="AI35" s="107">
        <v>0</v>
      </c>
      <c r="AJ35" s="10">
        <f t="shared" si="14"/>
        <v>0</v>
      </c>
      <c r="AK35" s="10">
        <f t="shared" si="48"/>
        <v>462647.76</v>
      </c>
      <c r="AL35" s="10">
        <f t="shared" si="15"/>
        <v>30.784208192687561</v>
      </c>
      <c r="AM35" s="107"/>
      <c r="AN35" s="10">
        <f t="shared" si="16"/>
        <v>0</v>
      </c>
      <c r="AO35" s="10">
        <f t="shared" si="49"/>
        <v>0</v>
      </c>
      <c r="AP35" s="10">
        <f t="shared" si="17"/>
        <v>0</v>
      </c>
      <c r="AQ35" s="107"/>
      <c r="AR35" s="10">
        <f t="shared" si="18"/>
        <v>0</v>
      </c>
      <c r="AS35" s="10">
        <f>AQ35+AS34</f>
        <v>0</v>
      </c>
      <c r="AT35" s="10">
        <f t="shared" si="19"/>
        <v>0</v>
      </c>
      <c r="AU35" s="107"/>
      <c r="AV35" s="10">
        <f t="shared" si="20"/>
        <v>0</v>
      </c>
      <c r="AW35" s="10">
        <f t="shared" si="51"/>
        <v>0</v>
      </c>
      <c r="AX35" s="10">
        <f t="shared" si="21"/>
        <v>0</v>
      </c>
      <c r="AY35" s="107"/>
      <c r="AZ35" s="10">
        <f t="shared" si="22"/>
        <v>0</v>
      </c>
      <c r="BA35" s="10">
        <f t="shared" si="52"/>
        <v>411000</v>
      </c>
      <c r="BB35" s="10">
        <f t="shared" si="23"/>
        <v>0.27347607966792248</v>
      </c>
      <c r="BC35" s="10">
        <f t="shared" si="53"/>
        <v>0</v>
      </c>
      <c r="BD35" s="10">
        <f t="shared" si="24"/>
        <v>0</v>
      </c>
      <c r="BE35" s="10">
        <f t="shared" si="54"/>
        <v>873647.76</v>
      </c>
      <c r="BF35" s="10">
        <f t="shared" si="25"/>
        <v>58.131816159479811</v>
      </c>
      <c r="BG35" s="107">
        <f>180*BG7</f>
        <v>45000</v>
      </c>
      <c r="BH35" s="10">
        <f t="shared" si="26"/>
        <v>79.994922988887637</v>
      </c>
      <c r="BI35" s="10">
        <f t="shared" si="55"/>
        <v>278000</v>
      </c>
      <c r="BJ35" s="10">
        <f t="shared" si="27"/>
        <v>18.497895413061421</v>
      </c>
      <c r="BK35" s="107"/>
      <c r="BL35" s="10">
        <f t="shared" si="28"/>
        <v>0</v>
      </c>
      <c r="BM35" s="10">
        <f t="shared" si="56"/>
        <v>0</v>
      </c>
      <c r="BN35" s="10">
        <f t="shared" si="29"/>
        <v>0</v>
      </c>
      <c r="BO35" s="107"/>
      <c r="BP35" s="15">
        <f t="shared" si="30"/>
        <v>0</v>
      </c>
      <c r="BQ35" s="10">
        <f t="shared" si="57"/>
        <v>0</v>
      </c>
      <c r="BR35" s="10">
        <f t="shared" si="31"/>
        <v>0</v>
      </c>
      <c r="BS35" s="10">
        <f t="shared" si="58"/>
        <v>45000</v>
      </c>
      <c r="BT35" s="10">
        <f t="shared" si="32"/>
        <v>79.994922988887637</v>
      </c>
      <c r="BU35" s="10">
        <f t="shared" si="59"/>
        <v>278000</v>
      </c>
      <c r="BV35" s="10">
        <f t="shared" si="33"/>
        <v>18.497895413061421</v>
      </c>
      <c r="BW35" s="107">
        <v>5950</v>
      </c>
      <c r="BX35" s="10">
        <f t="shared" si="34"/>
        <v>10.577106484086254</v>
      </c>
      <c r="BY35" s="10">
        <f t="shared" si="60"/>
        <v>51705</v>
      </c>
      <c r="BZ35" s="10">
        <f t="shared" si="35"/>
        <v>3.4404089292530249</v>
      </c>
      <c r="CA35" s="10">
        <f t="shared" si="36"/>
        <v>56253.57</v>
      </c>
      <c r="CB35" s="10">
        <f t="shared" si="61"/>
        <v>1502873.6718000001</v>
      </c>
      <c r="CC35" s="10">
        <f t="shared" si="37"/>
        <v>0.94519986558010582</v>
      </c>
      <c r="CD35" s="10">
        <f t="shared" si="38"/>
        <v>1.0643415412791015</v>
      </c>
    </row>
    <row r="36" spans="1:82">
      <c r="A36" s="16">
        <f>+Chem!A35</f>
        <v>45865</v>
      </c>
      <c r="B36" s="6" t="str">
        <f>+Chem!B35</f>
        <v>Facial</v>
      </c>
      <c r="C36" s="16" t="str">
        <f>+Chem!C35</f>
        <v>12</v>
      </c>
      <c r="D36" s="8">
        <f>+Chem!D35</f>
        <v>50.991000000000007</v>
      </c>
      <c r="E36" s="7">
        <f>+Chem!E35</f>
        <v>51.79</v>
      </c>
      <c r="F36" s="7">
        <f t="shared" si="39"/>
        <v>1463.8120000000006</v>
      </c>
      <c r="G36" s="107">
        <f>21.5*G7</f>
        <v>4957.6850000000004</v>
      </c>
      <c r="H36" s="10">
        <f t="shared" si="0"/>
        <v>9.3351555429313109</v>
      </c>
      <c r="I36" s="8">
        <f t="shared" si="40"/>
        <v>294675.57280000002</v>
      </c>
      <c r="J36" s="10">
        <f t="shared" si="1"/>
        <v>18.938245725901488</v>
      </c>
      <c r="K36" s="107"/>
      <c r="L36" s="10">
        <f t="shared" si="2"/>
        <v>0</v>
      </c>
      <c r="M36" s="10">
        <f t="shared" si="41"/>
        <v>0</v>
      </c>
      <c r="N36" s="10">
        <f t="shared" si="3"/>
        <v>0</v>
      </c>
      <c r="O36" s="107"/>
      <c r="P36" s="10">
        <f t="shared" si="4"/>
        <v>0</v>
      </c>
      <c r="Q36" s="10">
        <f t="shared" si="42"/>
        <v>0</v>
      </c>
      <c r="R36" s="10">
        <f t="shared" si="5"/>
        <v>0</v>
      </c>
      <c r="S36" s="107">
        <v>0</v>
      </c>
      <c r="T36" s="10">
        <f t="shared" si="6"/>
        <v>0</v>
      </c>
      <c r="U36" s="10">
        <f t="shared" si="43"/>
        <v>0</v>
      </c>
      <c r="V36" s="10">
        <f t="shared" si="7"/>
        <v>0</v>
      </c>
      <c r="W36" s="107"/>
      <c r="X36" s="10">
        <f t="shared" si="8"/>
        <v>0</v>
      </c>
      <c r="Y36" s="10">
        <f t="shared" si="44"/>
        <v>0</v>
      </c>
      <c r="Z36" s="10">
        <f t="shared" si="9"/>
        <v>0</v>
      </c>
      <c r="AA36" s="107"/>
      <c r="AB36" s="10">
        <f t="shared" si="10"/>
        <v>0</v>
      </c>
      <c r="AC36" s="10">
        <f t="shared" si="45"/>
        <v>9803.0239999999994</v>
      </c>
      <c r="AD36" s="10">
        <f t="shared" si="11"/>
        <v>0.63002194448914861</v>
      </c>
      <c r="AE36" s="10">
        <f t="shared" si="46"/>
        <v>4957.6850000000004</v>
      </c>
      <c r="AF36" s="10">
        <f t="shared" si="12"/>
        <v>9.3351555429313109</v>
      </c>
      <c r="AG36" s="10">
        <f t="shared" si="47"/>
        <v>304478.59679999994</v>
      </c>
      <c r="AH36" s="10">
        <f t="shared" si="13"/>
        <v>19.568267670390632</v>
      </c>
      <c r="AI36" s="107">
        <v>0</v>
      </c>
      <c r="AJ36" s="10">
        <f t="shared" si="14"/>
        <v>0</v>
      </c>
      <c r="AK36" s="10">
        <f t="shared" si="48"/>
        <v>462647.76</v>
      </c>
      <c r="AL36" s="10">
        <f t="shared" si="15"/>
        <v>29.73350278125903</v>
      </c>
      <c r="AM36" s="107"/>
      <c r="AN36" s="10">
        <f t="shared" si="16"/>
        <v>0</v>
      </c>
      <c r="AO36" s="10">
        <f t="shared" si="49"/>
        <v>0</v>
      </c>
      <c r="AP36" s="10">
        <f t="shared" si="17"/>
        <v>0</v>
      </c>
      <c r="AQ36" s="107"/>
      <c r="AR36" s="10">
        <f t="shared" si="18"/>
        <v>0</v>
      </c>
      <c r="AS36" s="10">
        <f t="shared" si="50"/>
        <v>0</v>
      </c>
      <c r="AT36" s="10">
        <f t="shared" si="19"/>
        <v>0</v>
      </c>
      <c r="AU36" s="107"/>
      <c r="AV36" s="10">
        <f t="shared" si="20"/>
        <v>0</v>
      </c>
      <c r="AW36" s="10">
        <f t="shared" si="51"/>
        <v>0</v>
      </c>
      <c r="AX36" s="10">
        <f t="shared" si="21"/>
        <v>0</v>
      </c>
      <c r="AY36" s="107"/>
      <c r="AZ36" s="10">
        <f t="shared" si="22"/>
        <v>0</v>
      </c>
      <c r="BA36" s="10">
        <f t="shared" si="52"/>
        <v>411000</v>
      </c>
      <c r="BB36" s="10">
        <f t="shared" si="23"/>
        <v>0.26414198229550406</v>
      </c>
      <c r="BC36" s="10">
        <f t="shared" si="53"/>
        <v>0</v>
      </c>
      <c r="BD36" s="10">
        <f t="shared" si="24"/>
        <v>0</v>
      </c>
      <c r="BE36" s="10">
        <f t="shared" si="54"/>
        <v>873647.76</v>
      </c>
      <c r="BF36" s="10">
        <f t="shared" si="25"/>
        <v>56.147701010809435</v>
      </c>
      <c r="BG36" s="107">
        <f>172*BG7</f>
        <v>43000</v>
      </c>
      <c r="BH36" s="10">
        <f t="shared" si="26"/>
        <v>80.967566181805893</v>
      </c>
      <c r="BI36" s="10">
        <f t="shared" si="55"/>
        <v>321000</v>
      </c>
      <c r="BJ36" s="10">
        <f t="shared" si="27"/>
        <v>20.630067230378781</v>
      </c>
      <c r="BK36" s="107"/>
      <c r="BL36" s="10">
        <f t="shared" si="28"/>
        <v>0</v>
      </c>
      <c r="BM36" s="10">
        <f t="shared" si="56"/>
        <v>0</v>
      </c>
      <c r="BN36" s="10">
        <f t="shared" si="29"/>
        <v>0</v>
      </c>
      <c r="BO36" s="107"/>
      <c r="BP36" s="15">
        <f t="shared" si="30"/>
        <v>0</v>
      </c>
      <c r="BQ36" s="10">
        <f t="shared" si="57"/>
        <v>0</v>
      </c>
      <c r="BR36" s="10">
        <f t="shared" si="31"/>
        <v>0</v>
      </c>
      <c r="BS36" s="10">
        <f t="shared" si="58"/>
        <v>43000</v>
      </c>
      <c r="BT36" s="10">
        <f t="shared" si="32"/>
        <v>80.967566181805893</v>
      </c>
      <c r="BU36" s="10">
        <f t="shared" si="59"/>
        <v>321000</v>
      </c>
      <c r="BV36" s="10">
        <f t="shared" si="33"/>
        <v>20.630067230378781</v>
      </c>
      <c r="BW36" s="107">
        <v>5150</v>
      </c>
      <c r="BX36" s="10">
        <f t="shared" si="34"/>
        <v>9.6972782752628</v>
      </c>
      <c r="BY36" s="10">
        <f t="shared" si="60"/>
        <v>56855</v>
      </c>
      <c r="BZ36" s="10">
        <f t="shared" si="35"/>
        <v>3.6539640884211391</v>
      </c>
      <c r="CA36" s="10">
        <f t="shared" si="36"/>
        <v>53107.684999999998</v>
      </c>
      <c r="CB36" s="10">
        <f t="shared" si="61"/>
        <v>1555981.3568000002</v>
      </c>
      <c r="CC36" s="10">
        <f t="shared" si="37"/>
        <v>1.0254428461092875</v>
      </c>
      <c r="CD36" s="10">
        <f t="shared" si="38"/>
        <v>1.0629652966364531</v>
      </c>
    </row>
    <row r="37" spans="1:82">
      <c r="A37" s="16">
        <f>+Chem!A36</f>
        <v>45866</v>
      </c>
      <c r="B37" s="6" t="str">
        <f>+Chem!B36</f>
        <v>Facial</v>
      </c>
      <c r="C37" s="16" t="str">
        <f>+Chem!C36</f>
        <v>12/10,5/10,3</v>
      </c>
      <c r="D37" s="8">
        <f>+Chem!D36</f>
        <v>52.192999999999998</v>
      </c>
      <c r="E37" s="7">
        <f>+Chem!E36</f>
        <v>48.252000000000002</v>
      </c>
      <c r="F37" s="7">
        <f t="shared" si="39"/>
        <v>1512.0640000000005</v>
      </c>
      <c r="G37" s="107">
        <f>29.75*G7</f>
        <v>6860.0524999999998</v>
      </c>
      <c r="H37" s="10">
        <f t="shared" si="0"/>
        <v>12.324750375185616</v>
      </c>
      <c r="I37" s="8">
        <f t="shared" si="40"/>
        <v>301535.62530000001</v>
      </c>
      <c r="J37" s="10">
        <f t="shared" si="1"/>
        <v>18.709837497235512</v>
      </c>
      <c r="K37" s="107"/>
      <c r="L37" s="10">
        <f t="shared" si="2"/>
        <v>0</v>
      </c>
      <c r="M37" s="10">
        <f t="shared" si="41"/>
        <v>0</v>
      </c>
      <c r="N37" s="10">
        <f t="shared" si="3"/>
        <v>0</v>
      </c>
      <c r="O37" s="107"/>
      <c r="P37" s="10">
        <f t="shared" si="4"/>
        <v>0</v>
      </c>
      <c r="Q37" s="10">
        <f t="shared" si="42"/>
        <v>0</v>
      </c>
      <c r="R37" s="10">
        <f t="shared" si="5"/>
        <v>0</v>
      </c>
      <c r="S37" s="107">
        <v>0</v>
      </c>
      <c r="T37" s="10">
        <f t="shared" si="6"/>
        <v>0</v>
      </c>
      <c r="U37" s="10">
        <f t="shared" si="43"/>
        <v>0</v>
      </c>
      <c r="V37" s="10">
        <f t="shared" si="7"/>
        <v>0</v>
      </c>
      <c r="W37" s="107"/>
      <c r="X37" s="10">
        <f t="shared" si="8"/>
        <v>0</v>
      </c>
      <c r="Y37" s="10">
        <f t="shared" si="44"/>
        <v>0</v>
      </c>
      <c r="Z37" s="10">
        <f t="shared" si="9"/>
        <v>0</v>
      </c>
      <c r="AA37" s="107"/>
      <c r="AB37" s="10">
        <f t="shared" si="10"/>
        <v>0</v>
      </c>
      <c r="AC37" s="10">
        <f t="shared" si="45"/>
        <v>9803.0239999999994</v>
      </c>
      <c r="AD37" s="10">
        <f t="shared" si="11"/>
        <v>0.60826307285920433</v>
      </c>
      <c r="AE37" s="10">
        <f t="shared" si="46"/>
        <v>6860.0524999999998</v>
      </c>
      <c r="AF37" s="10">
        <f t="shared" si="12"/>
        <v>12.324750375185616</v>
      </c>
      <c r="AG37" s="10">
        <f t="shared" si="47"/>
        <v>311338.64929999993</v>
      </c>
      <c r="AH37" s="10">
        <f t="shared" si="13"/>
        <v>19.318100570094714</v>
      </c>
      <c r="AI37" s="107">
        <f>70*AI7</f>
        <v>17600.73</v>
      </c>
      <c r="AJ37" s="10">
        <f t="shared" si="14"/>
        <v>31.621420342051426</v>
      </c>
      <c r="AK37" s="10">
        <f t="shared" si="48"/>
        <v>480248.49</v>
      </c>
      <c r="AL37" s="10">
        <f t="shared" si="15"/>
        <v>29.798705201924719</v>
      </c>
      <c r="AM37" s="107"/>
      <c r="AN37" s="10">
        <f t="shared" si="16"/>
        <v>0</v>
      </c>
      <c r="AO37" s="10">
        <f t="shared" si="49"/>
        <v>0</v>
      </c>
      <c r="AP37" s="10">
        <f t="shared" si="17"/>
        <v>0</v>
      </c>
      <c r="AQ37" s="107"/>
      <c r="AR37" s="10">
        <f t="shared" si="18"/>
        <v>0</v>
      </c>
      <c r="AS37" s="10">
        <f t="shared" si="50"/>
        <v>0</v>
      </c>
      <c r="AT37" s="10">
        <f t="shared" si="19"/>
        <v>0</v>
      </c>
      <c r="AU37" s="107"/>
      <c r="AV37" s="10">
        <f t="shared" si="20"/>
        <v>0</v>
      </c>
      <c r="AW37" s="10">
        <f t="shared" si="51"/>
        <v>0</v>
      </c>
      <c r="AX37" s="10">
        <f t="shared" si="21"/>
        <v>0</v>
      </c>
      <c r="AY37" s="107"/>
      <c r="AZ37" s="10">
        <f t="shared" si="22"/>
        <v>0</v>
      </c>
      <c r="BA37" s="10">
        <f t="shared" si="52"/>
        <v>411000</v>
      </c>
      <c r="BB37" s="10">
        <f t="shared" si="23"/>
        <v>0.25501939293949805</v>
      </c>
      <c r="BC37" s="10">
        <f t="shared" si="53"/>
        <v>17600.73</v>
      </c>
      <c r="BD37" s="10">
        <f t="shared" si="24"/>
        <v>31.621420342051426</v>
      </c>
      <c r="BE37" s="10">
        <f t="shared" si="54"/>
        <v>891248.49</v>
      </c>
      <c r="BF37" s="10">
        <f t="shared" si="25"/>
        <v>55.300644495874529</v>
      </c>
      <c r="BG37" s="107">
        <f>104*BG7</f>
        <v>26000</v>
      </c>
      <c r="BH37" s="10">
        <f t="shared" si="26"/>
        <v>46.711524402302459</v>
      </c>
      <c r="BI37" s="10">
        <f t="shared" si="55"/>
        <v>347000</v>
      </c>
      <c r="BJ37" s="10">
        <f t="shared" si="27"/>
        <v>21.530834391728913</v>
      </c>
      <c r="BK37" s="107"/>
      <c r="BL37" s="10">
        <f t="shared" si="28"/>
        <v>0</v>
      </c>
      <c r="BM37" s="10">
        <f t="shared" si="56"/>
        <v>0</v>
      </c>
      <c r="BN37" s="10">
        <f t="shared" si="29"/>
        <v>0</v>
      </c>
      <c r="BO37" s="107"/>
      <c r="BP37" s="15">
        <f t="shared" si="30"/>
        <v>0</v>
      </c>
      <c r="BQ37" s="10">
        <f t="shared" si="57"/>
        <v>0</v>
      </c>
      <c r="BR37" s="10">
        <f t="shared" si="31"/>
        <v>0</v>
      </c>
      <c r="BS37" s="10">
        <f t="shared" si="58"/>
        <v>26000</v>
      </c>
      <c r="BT37" s="10">
        <f t="shared" si="32"/>
        <v>46.711524402302459</v>
      </c>
      <c r="BU37" s="10">
        <f t="shared" si="59"/>
        <v>347000</v>
      </c>
      <c r="BV37" s="10">
        <f t="shared" si="33"/>
        <v>21.530834391728913</v>
      </c>
      <c r="BW37" s="107">
        <v>5200</v>
      </c>
      <c r="BX37" s="10">
        <f t="shared" si="34"/>
        <v>9.3423048804604925</v>
      </c>
      <c r="BY37" s="10">
        <f t="shared" si="60"/>
        <v>62055</v>
      </c>
      <c r="BZ37" s="10">
        <f t="shared" si="35"/>
        <v>3.8504205423018378</v>
      </c>
      <c r="CA37" s="10">
        <f t="shared" si="36"/>
        <v>55660.782500000001</v>
      </c>
      <c r="CB37" s="10">
        <f t="shared" si="61"/>
        <v>1611642.1393000002</v>
      </c>
      <c r="CC37" s="10">
        <f t="shared" si="37"/>
        <v>1.1535435318743266</v>
      </c>
      <c r="CD37" s="10">
        <f t="shared" si="38"/>
        <v>1.0658557701922666</v>
      </c>
    </row>
    <row r="38" spans="1:82">
      <c r="A38" s="16">
        <f>+Chem!A37</f>
        <v>45867</v>
      </c>
      <c r="B38" s="6" t="str">
        <f>+Chem!B37</f>
        <v>Facial</v>
      </c>
      <c r="C38" s="16" t="str">
        <f>+Chem!C37</f>
        <v>10,3/13/12</v>
      </c>
      <c r="D38" s="8">
        <f>+Chem!D37</f>
        <v>53.781999999999996</v>
      </c>
      <c r="E38" s="7">
        <f>+Chem!E37</f>
        <v>53.576000000000001</v>
      </c>
      <c r="F38" s="7">
        <f t="shared" si="39"/>
        <v>1565.6400000000006</v>
      </c>
      <c r="G38" s="107">
        <f>27.75*G7</f>
        <v>6398.8725000000004</v>
      </c>
      <c r="H38" s="10">
        <f t="shared" si="0"/>
        <v>11.170408890761271</v>
      </c>
      <c r="I38" s="8">
        <f t="shared" si="40"/>
        <v>307934.49780000001</v>
      </c>
      <c r="J38" s="10">
        <f t="shared" si="1"/>
        <v>18.451054543039682</v>
      </c>
      <c r="K38" s="107"/>
      <c r="L38" s="10">
        <f t="shared" si="2"/>
        <v>0</v>
      </c>
      <c r="M38" s="10">
        <f t="shared" si="41"/>
        <v>0</v>
      </c>
      <c r="N38" s="10">
        <f t="shared" si="3"/>
        <v>0</v>
      </c>
      <c r="O38" s="107"/>
      <c r="P38" s="10">
        <f t="shared" si="4"/>
        <v>0</v>
      </c>
      <c r="Q38" s="10">
        <f t="shared" si="42"/>
        <v>0</v>
      </c>
      <c r="R38" s="10">
        <f t="shared" si="5"/>
        <v>0</v>
      </c>
      <c r="S38" s="107">
        <v>0</v>
      </c>
      <c r="T38" s="10">
        <f t="shared" si="6"/>
        <v>0</v>
      </c>
      <c r="U38" s="10">
        <f t="shared" si="43"/>
        <v>0</v>
      </c>
      <c r="V38" s="10">
        <f t="shared" si="7"/>
        <v>0</v>
      </c>
      <c r="W38" s="107"/>
      <c r="X38" s="10">
        <f t="shared" si="8"/>
        <v>0</v>
      </c>
      <c r="Y38" s="10">
        <f t="shared" si="44"/>
        <v>0</v>
      </c>
      <c r="Z38" s="10">
        <f t="shared" si="9"/>
        <v>0</v>
      </c>
      <c r="AA38" s="107"/>
      <c r="AB38" s="10">
        <f t="shared" si="10"/>
        <v>0</v>
      </c>
      <c r="AC38" s="10">
        <f t="shared" si="45"/>
        <v>9803.0239999999994</v>
      </c>
      <c r="AD38" s="10">
        <f t="shared" si="11"/>
        <v>0.58738508287630709</v>
      </c>
      <c r="AE38" s="10">
        <f t="shared" si="46"/>
        <v>6398.8725000000004</v>
      </c>
      <c r="AF38" s="10">
        <f t="shared" si="12"/>
        <v>11.170408890761271</v>
      </c>
      <c r="AG38" s="10">
        <f t="shared" si="47"/>
        <v>317737.52179999993</v>
      </c>
      <c r="AH38" s="10">
        <f t="shared" si="13"/>
        <v>19.038439625915984</v>
      </c>
      <c r="AI38" s="107">
        <f>94*AI7</f>
        <v>23635.266</v>
      </c>
      <c r="AJ38" s="10">
        <f t="shared" si="14"/>
        <v>41.259704027843583</v>
      </c>
      <c r="AK38" s="10">
        <f t="shared" si="48"/>
        <v>503883.75599999999</v>
      </c>
      <c r="AL38" s="10">
        <f t="shared" si="15"/>
        <v>30.192091927764835</v>
      </c>
      <c r="AM38" s="107"/>
      <c r="AN38" s="10">
        <f t="shared" si="16"/>
        <v>0</v>
      </c>
      <c r="AO38" s="10">
        <f t="shared" si="49"/>
        <v>0</v>
      </c>
      <c r="AP38" s="10">
        <f t="shared" si="17"/>
        <v>0</v>
      </c>
      <c r="AQ38" s="107"/>
      <c r="AR38" s="10">
        <f t="shared" si="18"/>
        <v>0</v>
      </c>
      <c r="AS38" s="10">
        <f t="shared" si="50"/>
        <v>0</v>
      </c>
      <c r="AT38" s="10">
        <f t="shared" si="19"/>
        <v>0</v>
      </c>
      <c r="AU38" s="107"/>
      <c r="AV38" s="10">
        <f t="shared" si="20"/>
        <v>0</v>
      </c>
      <c r="AW38" s="10">
        <f t="shared" si="51"/>
        <v>0</v>
      </c>
      <c r="AX38" s="10">
        <f t="shared" si="21"/>
        <v>0</v>
      </c>
      <c r="AY38" s="107"/>
      <c r="AZ38" s="10">
        <f t="shared" si="22"/>
        <v>0</v>
      </c>
      <c r="BA38" s="10">
        <f t="shared" si="52"/>
        <v>411000</v>
      </c>
      <c r="BB38" s="10">
        <f t="shared" si="23"/>
        <v>0.2462661205992786</v>
      </c>
      <c r="BC38" s="10">
        <f t="shared" si="53"/>
        <v>23635.266</v>
      </c>
      <c r="BD38" s="10">
        <f t="shared" si="24"/>
        <v>41.259704027843583</v>
      </c>
      <c r="BE38" s="10">
        <f t="shared" si="54"/>
        <v>914883.75599999994</v>
      </c>
      <c r="BF38" s="10">
        <f t="shared" si="25"/>
        <v>54.818703987692686</v>
      </c>
      <c r="BG38" s="107">
        <f>104*BG7</f>
        <v>26000</v>
      </c>
      <c r="BH38" s="10">
        <f t="shared" si="26"/>
        <v>45.387782169404538</v>
      </c>
      <c r="BI38" s="10">
        <f t="shared" si="55"/>
        <v>373000</v>
      </c>
      <c r="BJ38" s="10">
        <f t="shared" si="27"/>
        <v>22.349699022756912</v>
      </c>
      <c r="BK38" s="107"/>
      <c r="BL38" s="10">
        <f t="shared" si="28"/>
        <v>0</v>
      </c>
      <c r="BM38" s="10">
        <f t="shared" si="56"/>
        <v>0</v>
      </c>
      <c r="BN38" s="10">
        <f t="shared" si="29"/>
        <v>0</v>
      </c>
      <c r="BO38" s="107"/>
      <c r="BP38" s="15">
        <f t="shared" si="30"/>
        <v>0</v>
      </c>
      <c r="BQ38" s="10">
        <f t="shared" si="57"/>
        <v>0</v>
      </c>
      <c r="BR38" s="10">
        <f t="shared" si="31"/>
        <v>0</v>
      </c>
      <c r="BS38" s="10">
        <f t="shared" si="58"/>
        <v>26000</v>
      </c>
      <c r="BT38" s="10">
        <f t="shared" si="32"/>
        <v>45.387782169404538</v>
      </c>
      <c r="BU38" s="10">
        <f t="shared" si="59"/>
        <v>373000</v>
      </c>
      <c r="BV38" s="10">
        <f t="shared" si="33"/>
        <v>22.349699022756912</v>
      </c>
      <c r="BW38" s="107">
        <v>1250</v>
      </c>
      <c r="BX38" s="10">
        <f t="shared" si="34"/>
        <v>2.1821049119906029</v>
      </c>
      <c r="BY38" s="10">
        <f t="shared" si="60"/>
        <v>63305</v>
      </c>
      <c r="BZ38" s="10">
        <f t="shared" si="35"/>
        <v>3.7931573636343869</v>
      </c>
      <c r="CA38" s="10">
        <f t="shared" si="36"/>
        <v>57284.138500000001</v>
      </c>
      <c r="CB38" s="10">
        <f t="shared" si="61"/>
        <v>1668926.2778000003</v>
      </c>
      <c r="CC38" s="10">
        <f t="shared" si="37"/>
        <v>1.0692126791847094</v>
      </c>
      <c r="CD38" s="10">
        <f t="shared" si="38"/>
        <v>1.0659706431874503</v>
      </c>
    </row>
    <row r="39" spans="1:82">
      <c r="A39" s="16">
        <f>+Chem!A38</f>
        <v>45868</v>
      </c>
      <c r="B39" s="6" t="str">
        <f>+Chem!B38</f>
        <v>Facial</v>
      </c>
      <c r="C39" s="16" t="str">
        <f>+Chem!C38</f>
        <v>12</v>
      </c>
      <c r="D39" s="8">
        <f>+Chem!D38</f>
        <v>53.278999999999996</v>
      </c>
      <c r="E39" s="7">
        <f>+Chem!E38</f>
        <v>52.741999999999997</v>
      </c>
      <c r="F39" s="7">
        <f t="shared" si="39"/>
        <v>1618.3820000000005</v>
      </c>
      <c r="G39" s="107">
        <f>3.5*G7</f>
        <v>807.06500000000005</v>
      </c>
      <c r="H39" s="10">
        <f t="shared" si="0"/>
        <v>1.465870002333034</v>
      </c>
      <c r="I39" s="8">
        <f t="shared" si="40"/>
        <v>308741.56280000001</v>
      </c>
      <c r="J39" s="10">
        <f t="shared" si="1"/>
        <v>17.908616350002475</v>
      </c>
      <c r="K39" s="107"/>
      <c r="L39" s="10">
        <f t="shared" si="2"/>
        <v>0</v>
      </c>
      <c r="M39" s="10">
        <f t="shared" si="41"/>
        <v>0</v>
      </c>
      <c r="N39" s="10">
        <f t="shared" si="3"/>
        <v>0</v>
      </c>
      <c r="O39" s="107"/>
      <c r="P39" s="10">
        <f t="shared" si="4"/>
        <v>0</v>
      </c>
      <c r="Q39" s="10">
        <f t="shared" si="42"/>
        <v>0</v>
      </c>
      <c r="R39" s="10">
        <f t="shared" si="5"/>
        <v>0</v>
      </c>
      <c r="S39" s="107">
        <f>21*S7</f>
        <v>5250</v>
      </c>
      <c r="T39" s="10">
        <f t="shared" si="6"/>
        <v>9.5355609675161581</v>
      </c>
      <c r="U39" s="10">
        <f t="shared" si="43"/>
        <v>5250</v>
      </c>
      <c r="V39" s="10">
        <f t="shared" si="7"/>
        <v>0.30452730427622549</v>
      </c>
      <c r="W39" s="107"/>
      <c r="X39" s="10">
        <f t="shared" si="8"/>
        <v>0</v>
      </c>
      <c r="Y39" s="10">
        <f t="shared" si="44"/>
        <v>0</v>
      </c>
      <c r="Z39" s="10">
        <f t="shared" si="9"/>
        <v>0</v>
      </c>
      <c r="AA39" s="107"/>
      <c r="AB39" s="10">
        <f t="shared" si="10"/>
        <v>0</v>
      </c>
      <c r="AC39" s="10">
        <f t="shared" si="45"/>
        <v>9803.0239999999994</v>
      </c>
      <c r="AD39" s="10">
        <f t="shared" si="11"/>
        <v>0.56862637570955066</v>
      </c>
      <c r="AE39" s="10">
        <f t="shared" si="46"/>
        <v>6057.0650000000005</v>
      </c>
      <c r="AF39" s="10">
        <f t="shared" si="12"/>
        <v>11.001430969849192</v>
      </c>
      <c r="AG39" s="10">
        <f t="shared" si="47"/>
        <v>323794.58679999993</v>
      </c>
      <c r="AH39" s="10">
        <f t="shared" si="13"/>
        <v>18.781770029988245</v>
      </c>
      <c r="AI39" s="107">
        <v>0</v>
      </c>
      <c r="AJ39" s="10">
        <f t="shared" si="14"/>
        <v>0</v>
      </c>
      <c r="AK39" s="10">
        <f t="shared" si="48"/>
        <v>503883.75599999999</v>
      </c>
      <c r="AL39" s="10">
        <f t="shared" si="15"/>
        <v>29.227878453954165</v>
      </c>
      <c r="AM39" s="107"/>
      <c r="AN39" s="10">
        <f t="shared" si="16"/>
        <v>0</v>
      </c>
      <c r="AO39" s="10">
        <f t="shared" si="49"/>
        <v>0</v>
      </c>
      <c r="AP39" s="10">
        <f t="shared" si="17"/>
        <v>0</v>
      </c>
      <c r="AQ39" s="107"/>
      <c r="AR39" s="10">
        <f t="shared" si="18"/>
        <v>0</v>
      </c>
      <c r="AS39" s="10">
        <f t="shared" si="50"/>
        <v>0</v>
      </c>
      <c r="AT39" s="10">
        <f t="shared" si="19"/>
        <v>0</v>
      </c>
      <c r="AU39" s="107"/>
      <c r="AV39" s="10">
        <f t="shared" si="20"/>
        <v>0</v>
      </c>
      <c r="AW39" s="10">
        <f t="shared" si="51"/>
        <v>0</v>
      </c>
      <c r="AX39" s="10">
        <f t="shared" si="21"/>
        <v>0</v>
      </c>
      <c r="AY39" s="107"/>
      <c r="AZ39" s="10">
        <f t="shared" si="22"/>
        <v>0</v>
      </c>
      <c r="BA39" s="10">
        <f t="shared" si="52"/>
        <v>411000</v>
      </c>
      <c r="BB39" s="10">
        <f t="shared" si="23"/>
        <v>0.23840137534767367</v>
      </c>
      <c r="BC39" s="10">
        <f t="shared" si="53"/>
        <v>0</v>
      </c>
      <c r="BD39" s="10">
        <f t="shared" si="24"/>
        <v>0</v>
      </c>
      <c r="BE39" s="10">
        <f t="shared" si="54"/>
        <v>914883.75599999994</v>
      </c>
      <c r="BF39" s="10">
        <f t="shared" si="25"/>
        <v>53.068015988721527</v>
      </c>
      <c r="BG39" s="107">
        <f>196*BG7</f>
        <v>49000</v>
      </c>
      <c r="BH39" s="10">
        <f t="shared" si="26"/>
        <v>88.998569030150804</v>
      </c>
      <c r="BI39" s="10">
        <f t="shared" si="55"/>
        <v>422000</v>
      </c>
      <c r="BJ39" s="10">
        <f t="shared" si="27"/>
        <v>24.478194743727077</v>
      </c>
      <c r="BK39" s="107"/>
      <c r="BL39" s="10">
        <f t="shared" si="28"/>
        <v>0</v>
      </c>
      <c r="BM39" s="10">
        <f t="shared" si="56"/>
        <v>0</v>
      </c>
      <c r="BN39" s="10">
        <f t="shared" si="29"/>
        <v>0</v>
      </c>
      <c r="BO39" s="107"/>
      <c r="BP39" s="15">
        <f t="shared" si="30"/>
        <v>0</v>
      </c>
      <c r="BQ39" s="10">
        <f t="shared" si="57"/>
        <v>0</v>
      </c>
      <c r="BR39" s="10">
        <f t="shared" si="31"/>
        <v>0</v>
      </c>
      <c r="BS39" s="10">
        <f t="shared" si="58"/>
        <v>49000</v>
      </c>
      <c r="BT39" s="10">
        <f t="shared" si="32"/>
        <v>88.998569030150804</v>
      </c>
      <c r="BU39" s="10">
        <f t="shared" si="59"/>
        <v>422000</v>
      </c>
      <c r="BV39" s="10">
        <f t="shared" si="33"/>
        <v>24.478194743727077</v>
      </c>
      <c r="BW39" s="107"/>
      <c r="BX39" s="10">
        <f t="shared" si="34"/>
        <v>0</v>
      </c>
      <c r="BY39" s="10">
        <f t="shared" si="60"/>
        <v>63305</v>
      </c>
      <c r="BZ39" s="10">
        <f t="shared" si="35"/>
        <v>3.6720192375631338</v>
      </c>
      <c r="CA39" s="10">
        <f t="shared" si="36"/>
        <v>55057.065000000002</v>
      </c>
      <c r="CB39" s="10">
        <f t="shared" si="61"/>
        <v>1723983.3428000002</v>
      </c>
      <c r="CC39" s="10">
        <f t="shared" si="37"/>
        <v>1.0438941450836146</v>
      </c>
      <c r="CD39" s="10">
        <f t="shared" si="38"/>
        <v>1.0652511847017574</v>
      </c>
    </row>
    <row r="40" spans="1:82">
      <c r="A40" s="16">
        <f>+Chem!A39</f>
        <v>45869</v>
      </c>
      <c r="B40" s="6" t="str">
        <f>+Chem!B39</f>
        <v>Facial</v>
      </c>
      <c r="C40" s="16" t="str">
        <f>+Chem!C39</f>
        <v>12/13,5</v>
      </c>
      <c r="D40" s="8">
        <f>+Chem!D39</f>
        <v>53.228999999999999</v>
      </c>
      <c r="E40" s="7">
        <f>+Chem!E39</f>
        <v>50.648000000000003</v>
      </c>
      <c r="F40" s="7">
        <f>+E40+F39</f>
        <v>1669.0300000000004</v>
      </c>
      <c r="G40" s="107"/>
      <c r="H40" s="10">
        <f t="shared" si="0"/>
        <v>0</v>
      </c>
      <c r="I40" s="8">
        <f>G40+I39</f>
        <v>308741.56280000001</v>
      </c>
      <c r="J40" s="10">
        <f t="shared" si="1"/>
        <v>17.391604548900318</v>
      </c>
      <c r="K40" s="107"/>
      <c r="L40" s="10">
        <f t="shared" si="2"/>
        <v>0</v>
      </c>
      <c r="M40" s="10">
        <f>+K40+M39</f>
        <v>0</v>
      </c>
      <c r="N40" s="10">
        <f t="shared" si="3"/>
        <v>0</v>
      </c>
      <c r="O40" s="107"/>
      <c r="P40" s="10">
        <f t="shared" si="4"/>
        <v>0</v>
      </c>
      <c r="Q40" s="10">
        <f>+O40+Q39</f>
        <v>0</v>
      </c>
      <c r="R40" s="10">
        <f t="shared" si="5"/>
        <v>0</v>
      </c>
      <c r="S40" s="107">
        <f>23*S7</f>
        <v>5750</v>
      </c>
      <c r="T40" s="10">
        <f t="shared" si="6"/>
        <v>11.219512195121952</v>
      </c>
      <c r="U40" s="10">
        <f>+S40+U39</f>
        <v>11000</v>
      </c>
      <c r="V40" s="10">
        <f t="shared" si="7"/>
        <v>0.61963685194477958</v>
      </c>
      <c r="W40" s="107"/>
      <c r="X40" s="10">
        <f t="shared" si="8"/>
        <v>0</v>
      </c>
      <c r="Y40" s="10">
        <f>+W40+Y39</f>
        <v>0</v>
      </c>
      <c r="Z40" s="10">
        <f t="shared" si="9"/>
        <v>0</v>
      </c>
      <c r="AA40" s="107"/>
      <c r="AB40" s="10">
        <f t="shared" si="10"/>
        <v>0</v>
      </c>
      <c r="AC40" s="10">
        <f>AA40+AC39</f>
        <v>9803.0239999999994</v>
      </c>
      <c r="AD40" s="10">
        <f t="shared" si="11"/>
        <v>0.55221044826355647</v>
      </c>
      <c r="AE40" s="10">
        <f t="shared" si="46"/>
        <v>5750</v>
      </c>
      <c r="AF40" s="10">
        <f t="shared" si="12"/>
        <v>11.219512195121952</v>
      </c>
      <c r="AG40" s="10">
        <f>AE40+AG39</f>
        <v>329544.58679999993</v>
      </c>
      <c r="AH40" s="10">
        <f t="shared" si="13"/>
        <v>18.563451849108649</v>
      </c>
      <c r="AI40" s="107"/>
      <c r="AJ40" s="10">
        <f t="shared" si="14"/>
        <v>0</v>
      </c>
      <c r="AK40" s="10">
        <f>AI40+AK39</f>
        <v>503883.75599999999</v>
      </c>
      <c r="AL40" s="10">
        <f t="shared" si="15"/>
        <v>28.384085846722861</v>
      </c>
      <c r="AM40" s="107"/>
      <c r="AN40" s="10">
        <f t="shared" si="16"/>
        <v>0</v>
      </c>
      <c r="AO40" s="10">
        <f>AM40+AO39</f>
        <v>0</v>
      </c>
      <c r="AP40" s="10">
        <f t="shared" si="17"/>
        <v>0</v>
      </c>
      <c r="AQ40" s="107"/>
      <c r="AR40" s="10">
        <f t="shared" si="18"/>
        <v>0</v>
      </c>
      <c r="AS40" s="10">
        <f>AQ40+AS39</f>
        <v>0</v>
      </c>
      <c r="AT40" s="10">
        <f t="shared" si="19"/>
        <v>0</v>
      </c>
      <c r="AU40" s="107"/>
      <c r="AV40" s="10">
        <f t="shared" si="20"/>
        <v>0</v>
      </c>
      <c r="AW40" s="10">
        <f>AU40+AW39</f>
        <v>0</v>
      </c>
      <c r="AX40" s="10">
        <f t="shared" si="21"/>
        <v>0</v>
      </c>
      <c r="AY40" s="107"/>
      <c r="AZ40" s="10">
        <f t="shared" si="22"/>
        <v>0</v>
      </c>
      <c r="BA40" s="10">
        <f>AY40+BA39</f>
        <v>411000</v>
      </c>
      <c r="BB40" s="10">
        <f t="shared" si="23"/>
        <v>0.23151886013573131</v>
      </c>
      <c r="BC40" s="10">
        <f t="shared" si="53"/>
        <v>0</v>
      </c>
      <c r="BD40" s="10">
        <f>BC40/CA40*100</f>
        <v>0</v>
      </c>
      <c r="BE40" s="10">
        <f>BC40+BE39</f>
        <v>914883.75599999994</v>
      </c>
      <c r="BF40" s="10">
        <f>BE40/CB40*100</f>
        <v>51.535971860295994</v>
      </c>
      <c r="BG40" s="107">
        <f>182*BG7</f>
        <v>45500</v>
      </c>
      <c r="BH40" s="10">
        <f>+BG40/CA40*100</f>
        <v>88.780487804878049</v>
      </c>
      <c r="BI40" s="10">
        <f>+BG40+BI39</f>
        <v>467500</v>
      </c>
      <c r="BJ40" s="10">
        <f>+BI40/CB40*100</f>
        <v>26.334566207653136</v>
      </c>
      <c r="BK40" s="107"/>
      <c r="BL40" s="10">
        <f>BK40/CA40*100</f>
        <v>0</v>
      </c>
      <c r="BM40" s="10">
        <f>BK40+BM39</f>
        <v>0</v>
      </c>
      <c r="BN40" s="10">
        <f>BM40/CB40*100</f>
        <v>0</v>
      </c>
      <c r="BO40" s="107"/>
      <c r="BP40" s="15">
        <f>BO40/CA40*100</f>
        <v>0</v>
      </c>
      <c r="BQ40" s="10">
        <f>BO40+BQ39</f>
        <v>0</v>
      </c>
      <c r="BR40" s="10">
        <f>BQ40/CB40*100</f>
        <v>0</v>
      </c>
      <c r="BS40" s="10">
        <f>BG40+BK40+BO40</f>
        <v>45500</v>
      </c>
      <c r="BT40" s="10">
        <f>BS40/CA40*100</f>
        <v>88.780487804878049</v>
      </c>
      <c r="BU40" s="10">
        <f>BS40+BU39</f>
        <v>467500</v>
      </c>
      <c r="BV40" s="10">
        <f>BU40/CB40*100</f>
        <v>26.334566207653136</v>
      </c>
      <c r="BW40" s="107"/>
      <c r="BX40" s="10">
        <f>BW40/CA40*100</f>
        <v>0</v>
      </c>
      <c r="BY40" s="10">
        <f>BW40+BY39</f>
        <v>63305</v>
      </c>
      <c r="BZ40" s="10">
        <f>BY40/CB40*100</f>
        <v>3.5660100829422068</v>
      </c>
      <c r="CA40" s="10">
        <f t="shared" si="36"/>
        <v>51250</v>
      </c>
      <c r="CB40" s="10">
        <f>CA40+CB39</f>
        <v>1775233.3428000002</v>
      </c>
      <c r="CC40" s="10">
        <f t="shared" si="37"/>
        <v>1.0118859579845205</v>
      </c>
      <c r="CD40" s="10">
        <f t="shared" si="38"/>
        <v>1.0636317758218845</v>
      </c>
    </row>
    <row r="41" spans="1:82">
      <c r="A41" s="16"/>
      <c r="B41" s="16"/>
      <c r="C41" s="16"/>
      <c r="D41" s="8"/>
      <c r="E41" s="7"/>
      <c r="F41" s="7"/>
      <c r="G41" s="107"/>
      <c r="H41" s="10"/>
      <c r="I41" s="8"/>
      <c r="J41" s="10"/>
      <c r="K41" s="107"/>
      <c r="L41" s="10"/>
      <c r="M41" s="10"/>
      <c r="N41" s="10"/>
      <c r="O41" s="107"/>
      <c r="P41" s="10"/>
      <c r="Q41" s="10"/>
      <c r="R41" s="10"/>
      <c r="S41" s="107"/>
      <c r="T41" s="10"/>
      <c r="U41" s="10"/>
      <c r="V41" s="10"/>
      <c r="W41" s="107"/>
      <c r="X41" s="10"/>
      <c r="Y41" s="10"/>
      <c r="Z41" s="10"/>
      <c r="AA41" s="107"/>
      <c r="AB41" s="10"/>
      <c r="AC41" s="10"/>
      <c r="AD41" s="10"/>
      <c r="AE41" s="10"/>
      <c r="AF41" s="10"/>
      <c r="AG41" s="10"/>
      <c r="AH41" s="10"/>
      <c r="AI41" s="107"/>
      <c r="AJ41" s="10"/>
      <c r="AK41" s="10"/>
      <c r="AL41" s="10"/>
      <c r="AM41" s="107"/>
      <c r="AN41" s="10"/>
      <c r="AO41" s="10"/>
      <c r="AP41" s="10"/>
      <c r="AQ41" s="107"/>
      <c r="AR41" s="10"/>
      <c r="AS41" s="10"/>
      <c r="AT41" s="10"/>
      <c r="AU41" s="107"/>
      <c r="AV41" s="10"/>
      <c r="AW41" s="10"/>
      <c r="AX41" s="10"/>
      <c r="AY41" s="107"/>
      <c r="AZ41" s="10"/>
      <c r="BA41" s="10"/>
      <c r="BB41" s="10"/>
      <c r="BC41" s="10"/>
      <c r="BD41" s="10"/>
      <c r="BE41" s="10"/>
      <c r="BF41" s="10"/>
      <c r="BG41" s="107"/>
      <c r="BH41" s="10"/>
      <c r="BI41" s="10"/>
      <c r="BJ41" s="10"/>
      <c r="BK41" s="107"/>
      <c r="BL41" s="10"/>
      <c r="BM41" s="10"/>
      <c r="BN41" s="10"/>
      <c r="BO41" s="107"/>
      <c r="BP41" s="15"/>
      <c r="BQ41" s="10"/>
      <c r="BR41" s="10"/>
      <c r="BS41" s="10"/>
      <c r="BT41" s="10"/>
      <c r="BU41" s="10"/>
      <c r="BV41" s="10"/>
      <c r="BW41" s="107"/>
      <c r="BX41" s="10"/>
      <c r="BY41" s="10"/>
      <c r="BZ41" s="10"/>
      <c r="CA41" s="10"/>
      <c r="CB41" s="10"/>
      <c r="CC41" s="10"/>
      <c r="CD41" s="10"/>
    </row>
    <row r="42" spans="1:82" ht="13.5" thickBot="1">
      <c r="A42" s="11" t="s">
        <v>27</v>
      </c>
      <c r="B42" s="11"/>
      <c r="C42" s="12"/>
      <c r="D42" s="12">
        <f>SUM(D10:D41)</f>
        <v>1762.306</v>
      </c>
      <c r="E42" s="12">
        <f>SUM(E10:E41)</f>
        <v>1669.0300000000004</v>
      </c>
      <c r="F42" s="12"/>
      <c r="G42" s="12">
        <f>SUM(G10:G41)</f>
        <v>308741.56280000001</v>
      </c>
      <c r="H42" s="12">
        <f>G42/CA42*100</f>
        <v>17.391604548900318</v>
      </c>
      <c r="I42" s="12"/>
      <c r="J42" s="12"/>
      <c r="K42" s="12">
        <f>SUM(K10:K41)</f>
        <v>0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>
        <f>SUM(AA10:AA41)</f>
        <v>9803.0239999999994</v>
      </c>
      <c r="AB42" s="12">
        <f>+AA42/$CA$42*100</f>
        <v>0.55221044826355647</v>
      </c>
      <c r="AC42" s="12"/>
      <c r="AD42" s="12"/>
      <c r="AE42" s="12">
        <f>SUM(AE10:AE41)</f>
        <v>329544.58679999993</v>
      </c>
      <c r="AF42" s="19">
        <f>AE42/$CA$42*100</f>
        <v>18.563451849108649</v>
      </c>
      <c r="AG42" s="12"/>
      <c r="AH42" s="12"/>
      <c r="AI42" s="12">
        <f>SUM(AI10:AI41)</f>
        <v>503883.75599999999</v>
      </c>
      <c r="AJ42" s="12">
        <f>AI42/$CA$42*100</f>
        <v>28.384085846722861</v>
      </c>
      <c r="AK42" s="12"/>
      <c r="AL42" s="12"/>
      <c r="AM42" s="12">
        <f>SUM(AM10:AM41)</f>
        <v>0</v>
      </c>
      <c r="AN42" s="12">
        <f>AM42/$CA$42*100</f>
        <v>0</v>
      </c>
      <c r="AO42" s="12"/>
      <c r="AP42" s="12"/>
      <c r="AQ42" s="12">
        <f>SUM(AQ10:AQ41)</f>
        <v>0</v>
      </c>
      <c r="AR42" s="12">
        <f>AQ42/$CA$42*100</f>
        <v>0</v>
      </c>
      <c r="AS42" s="12"/>
      <c r="AT42" s="12"/>
      <c r="AU42" s="12">
        <f>SUM(AU10:AU41)</f>
        <v>0</v>
      </c>
      <c r="AV42" s="12">
        <f>AU42/$CA$42*100</f>
        <v>0</v>
      </c>
      <c r="AW42" s="12"/>
      <c r="AX42" s="12"/>
      <c r="AY42" s="12">
        <f>SUM(AY10:AY41)</f>
        <v>411000</v>
      </c>
      <c r="AZ42" s="12">
        <f>AY42/$CA$42*100</f>
        <v>23.151886013573129</v>
      </c>
      <c r="BA42" s="12"/>
      <c r="BB42" s="12"/>
      <c r="BC42" s="12">
        <f>SUM(BC10:BC41)</f>
        <v>914883.75599999994</v>
      </c>
      <c r="BD42" s="12">
        <f>BC42/$CA$42*100</f>
        <v>51.535971860295994</v>
      </c>
      <c r="BE42" s="12"/>
      <c r="BF42" s="12"/>
      <c r="BG42" s="12">
        <f>SUM(BG10:BG41)</f>
        <v>467500</v>
      </c>
      <c r="BH42" s="12">
        <f>BG42/$CA$42*100</f>
        <v>26.334566207653136</v>
      </c>
      <c r="BI42" s="12"/>
      <c r="BJ42" s="12"/>
      <c r="BK42" s="12">
        <f>SUM(BK10:BK41)</f>
        <v>0</v>
      </c>
      <c r="BL42" s="12">
        <f>BK42/$CA$42*100</f>
        <v>0</v>
      </c>
      <c r="BM42" s="12"/>
      <c r="BN42" s="12"/>
      <c r="BO42" s="12">
        <f>SUM(BO10:BO41)</f>
        <v>0</v>
      </c>
      <c r="BP42" s="12">
        <f>BO42/$CA$42*100</f>
        <v>0</v>
      </c>
      <c r="BQ42" s="12"/>
      <c r="BR42" s="12"/>
      <c r="BS42" s="12">
        <f>SUM(BS10:BS41)</f>
        <v>467500</v>
      </c>
      <c r="BT42" s="21">
        <f>BS42/$CA$42*100</f>
        <v>26.334566207653136</v>
      </c>
      <c r="BU42" s="12"/>
      <c r="BV42" s="12"/>
      <c r="BW42" s="12">
        <f>SUM(BW10:BW41)</f>
        <v>63305</v>
      </c>
      <c r="BX42" s="12">
        <f>BW42/$CA$42*100</f>
        <v>3.5660100829422068</v>
      </c>
      <c r="BY42" s="12"/>
      <c r="BZ42" s="12"/>
      <c r="CA42" s="12">
        <f>SUM(CA10:CA41)</f>
        <v>1775233.3428000002</v>
      </c>
      <c r="CB42" s="12">
        <f>CA42/$CA$42*100</f>
        <v>100</v>
      </c>
      <c r="CC42" s="12">
        <f>CA42/1000/E42</f>
        <v>1.0636317758218845</v>
      </c>
      <c r="CD42" s="12"/>
    </row>
    <row r="43" spans="1:82" ht="13.5" thickTop="1"/>
    <row r="44" spans="1:82">
      <c r="AQ44" s="13"/>
      <c r="AU44" s="13"/>
      <c r="BT44" s="13"/>
      <c r="BW44" s="13"/>
      <c r="BX44" s="13"/>
    </row>
    <row r="45" spans="1:82">
      <c r="E45" s="13"/>
      <c r="F45" s="13"/>
      <c r="G45" s="13"/>
      <c r="I45" s="13"/>
      <c r="AQ45" s="13"/>
      <c r="AU45" s="13"/>
      <c r="BW45" s="13"/>
    </row>
  </sheetData>
  <mergeCells count="25">
    <mergeCell ref="AI8:AL8"/>
    <mergeCell ref="AM8:AP8"/>
    <mergeCell ref="CC8:CD8"/>
    <mergeCell ref="BK8:BN8"/>
    <mergeCell ref="BS8:BV8"/>
    <mergeCell ref="BW8:BZ8"/>
    <mergeCell ref="CA8:CB8"/>
    <mergeCell ref="BO8:BR8"/>
    <mergeCell ref="BG8:BJ8"/>
    <mergeCell ref="BC8:BF8"/>
    <mergeCell ref="AQ8:AT8"/>
    <mergeCell ref="AY8:BB8"/>
    <mergeCell ref="AU8:AX8"/>
    <mergeCell ref="AE8:AH8"/>
    <mergeCell ref="S8:V8"/>
    <mergeCell ref="AA8:AD8"/>
    <mergeCell ref="A8:A9"/>
    <mergeCell ref="B8:B9"/>
    <mergeCell ref="C8:C9"/>
    <mergeCell ref="K8:N8"/>
    <mergeCell ref="G8:J8"/>
    <mergeCell ref="D8:D9"/>
    <mergeCell ref="E8:F8"/>
    <mergeCell ref="O8:R8"/>
    <mergeCell ref="W8:Z8"/>
  </mergeCells>
  <phoneticPr fontId="31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W45"/>
  <sheetViews>
    <sheetView zoomScale="85" workbookViewId="0">
      <pane xSplit="5" ySplit="8" topLeftCell="CC15" activePane="bottomRight" state="frozen"/>
      <selection pane="topRight" activeCell="E1" sqref="E1"/>
      <selection pane="bottomLeft" activeCell="A9" sqref="A9"/>
      <selection pane="bottomRight" activeCell="CI38" sqref="CI38"/>
    </sheetView>
  </sheetViews>
  <sheetFormatPr defaultColWidth="10.42578125" defaultRowHeight="15" customHeight="1"/>
  <cols>
    <col min="1" max="1" width="8.140625" style="272" customWidth="1"/>
    <col min="2" max="2" width="13.5703125" style="272" customWidth="1"/>
    <col min="3" max="3" width="13.28515625" style="273" customWidth="1"/>
    <col min="4" max="4" width="11.140625" style="273" customWidth="1"/>
    <col min="5" max="5" width="11" style="274" customWidth="1"/>
    <col min="6" max="17" width="12.42578125" style="532" customWidth="1"/>
    <col min="18" max="20" width="12.42578125" style="532" hidden="1" customWidth="1"/>
    <col min="21" max="23" width="12.42578125" style="532" customWidth="1"/>
    <col min="24" max="32" width="12.42578125" style="532" hidden="1" customWidth="1"/>
    <col min="33" max="38" width="12.42578125" style="532" customWidth="1"/>
    <col min="39" max="41" width="12.42578125" style="532" hidden="1" customWidth="1"/>
    <col min="42" max="44" width="12.42578125" style="532" customWidth="1"/>
    <col min="45" max="47" width="12.42578125" style="532" hidden="1" customWidth="1"/>
    <col min="48" max="56" width="12.42578125" style="532" customWidth="1"/>
    <col min="57" max="65" width="12.42578125" style="532" hidden="1" customWidth="1"/>
    <col min="66" max="89" width="12.42578125" style="532" customWidth="1"/>
    <col min="90" max="110" width="12.42578125" style="532" hidden="1" customWidth="1"/>
    <col min="111" max="113" width="12.42578125" style="532" customWidth="1"/>
    <col min="114" max="131" width="12.42578125" style="532" hidden="1" customWidth="1"/>
    <col min="132" max="140" width="12.42578125" style="532" customWidth="1"/>
    <col min="141" max="269" width="12.42578125" style="532" hidden="1" customWidth="1"/>
    <col min="270" max="303" width="5.5703125" style="532" hidden="1" customWidth="1"/>
    <col min="304" max="304" width="8.7109375" style="532" hidden="1" customWidth="1"/>
    <col min="305" max="305" width="7.7109375" style="532" hidden="1" customWidth="1"/>
    <col min="306" max="306" width="21" style="532" bestFit="1" customWidth="1"/>
    <col min="307" max="307" width="19.85546875" style="532" bestFit="1" customWidth="1"/>
    <col min="308" max="16384" width="10.42578125" style="272"/>
  </cols>
  <sheetData>
    <row r="1" spans="1:308" ht="15" customHeight="1">
      <c r="A1" s="268"/>
      <c r="B1" s="269"/>
      <c r="C1" s="270"/>
      <c r="D1" s="270"/>
      <c r="E1" s="271"/>
    </row>
    <row r="2" spans="1:308" ht="15" customHeight="1">
      <c r="A2" s="268"/>
    </row>
    <row r="3" spans="1:308" ht="15" customHeight="1">
      <c r="A3" s="276"/>
    </row>
    <row r="4" spans="1:308" ht="15" customHeight="1">
      <c r="A4" s="517" t="s">
        <v>324</v>
      </c>
    </row>
    <row r="5" spans="1:308" ht="15" customHeight="1" thickBot="1">
      <c r="F5" s="988" t="s">
        <v>337</v>
      </c>
      <c r="G5" s="989"/>
      <c r="H5" s="989"/>
      <c r="I5" s="989"/>
      <c r="J5" s="989"/>
      <c r="K5" s="989"/>
      <c r="L5" s="989"/>
      <c r="M5" s="989"/>
      <c r="N5" s="989"/>
      <c r="O5" s="989"/>
      <c r="P5" s="989"/>
      <c r="Q5" s="989"/>
      <c r="R5" s="989"/>
      <c r="S5" s="989"/>
      <c r="T5" s="989"/>
      <c r="U5" s="989"/>
      <c r="V5" s="989"/>
      <c r="W5" s="989"/>
      <c r="X5" s="989"/>
      <c r="Y5" s="989"/>
      <c r="Z5" s="989"/>
      <c r="AA5" s="989"/>
      <c r="AB5" s="989"/>
      <c r="AC5" s="989"/>
      <c r="AD5" s="989"/>
      <c r="AE5" s="989"/>
      <c r="AF5" s="989"/>
      <c r="AG5" s="989"/>
      <c r="AH5" s="989"/>
      <c r="AI5" s="989"/>
      <c r="AJ5" s="989"/>
      <c r="AK5" s="989"/>
      <c r="AL5" s="989"/>
      <c r="AM5" s="989"/>
      <c r="AN5" s="989"/>
      <c r="AO5" s="989"/>
      <c r="AP5" s="989"/>
      <c r="AQ5" s="989"/>
      <c r="AR5" s="989"/>
      <c r="AS5" s="989"/>
      <c r="AT5" s="989"/>
      <c r="AU5" s="989"/>
      <c r="AV5" s="989"/>
      <c r="AW5" s="989"/>
      <c r="AX5" s="989"/>
      <c r="AY5" s="989"/>
      <c r="AZ5" s="989"/>
      <c r="BA5" s="989"/>
      <c r="BB5" s="989"/>
      <c r="BC5" s="989"/>
      <c r="BD5" s="989"/>
      <c r="BE5" s="989"/>
      <c r="BF5" s="989"/>
      <c r="BG5" s="989"/>
      <c r="BH5" s="989"/>
      <c r="BI5" s="989"/>
      <c r="BJ5" s="989"/>
      <c r="BK5" s="989"/>
      <c r="BL5" s="989"/>
      <c r="BM5" s="989"/>
      <c r="BN5" s="989"/>
      <c r="BO5" s="989"/>
      <c r="BP5" s="989"/>
      <c r="BQ5" s="989"/>
      <c r="BR5" s="989"/>
      <c r="BS5" s="989"/>
      <c r="BT5" s="989"/>
      <c r="BU5" s="989"/>
      <c r="BV5" s="989"/>
      <c r="BW5" s="989"/>
      <c r="BX5" s="989"/>
      <c r="BY5" s="989"/>
      <c r="BZ5" s="989"/>
      <c r="CA5" s="989"/>
      <c r="CB5" s="989"/>
      <c r="CC5" s="989"/>
      <c r="CD5" s="989"/>
      <c r="CE5" s="989"/>
      <c r="CF5" s="989"/>
      <c r="CG5" s="989"/>
      <c r="CH5" s="989"/>
      <c r="CI5" s="989"/>
      <c r="CJ5" s="989"/>
      <c r="CK5" s="989"/>
      <c r="CL5" s="989"/>
      <c r="CM5" s="989"/>
      <c r="CN5" s="989"/>
      <c r="CO5" s="989"/>
      <c r="CP5" s="989"/>
      <c r="CQ5" s="989"/>
      <c r="CR5" s="989"/>
      <c r="CS5" s="989"/>
      <c r="CT5" s="989"/>
      <c r="CU5" s="989"/>
      <c r="CV5" s="989"/>
      <c r="CW5" s="989"/>
      <c r="CX5" s="989"/>
      <c r="CY5" s="989"/>
      <c r="CZ5" s="989"/>
      <c r="DA5" s="989"/>
      <c r="DB5" s="989"/>
      <c r="DC5" s="989"/>
      <c r="DD5" s="989"/>
      <c r="DE5" s="989"/>
      <c r="DF5" s="989"/>
      <c r="DG5" s="989"/>
      <c r="DH5" s="989"/>
      <c r="DI5" s="989"/>
      <c r="DJ5" s="989"/>
      <c r="DK5" s="989"/>
      <c r="DL5" s="989"/>
      <c r="DM5" s="989"/>
      <c r="DN5" s="989"/>
      <c r="DO5" s="989"/>
      <c r="DP5" s="989"/>
      <c r="DQ5" s="989"/>
      <c r="DR5" s="989"/>
      <c r="DS5" s="989"/>
      <c r="DT5" s="989"/>
      <c r="DU5" s="989"/>
      <c r="DV5" s="989"/>
      <c r="DW5" s="989"/>
      <c r="DX5" s="989"/>
      <c r="DY5" s="989"/>
      <c r="DZ5" s="989"/>
      <c r="EA5" s="989"/>
      <c r="EB5" s="989"/>
      <c r="EC5" s="989"/>
      <c r="ED5" s="989"/>
      <c r="EE5" s="989"/>
      <c r="EF5" s="989"/>
      <c r="EG5" s="989"/>
      <c r="EH5" s="989"/>
      <c r="EI5" s="989"/>
      <c r="EJ5" s="989"/>
      <c r="EK5" s="989"/>
      <c r="EL5" s="989"/>
      <c r="EM5" s="989"/>
      <c r="EN5" s="989"/>
      <c r="EO5" s="989"/>
      <c r="EP5" s="989"/>
      <c r="EQ5" s="989"/>
      <c r="ER5" s="989"/>
      <c r="ES5" s="989"/>
      <c r="ET5" s="989"/>
      <c r="EU5" s="989"/>
      <c r="EV5" s="989"/>
      <c r="EW5" s="989"/>
      <c r="EX5" s="989"/>
      <c r="EY5" s="989"/>
      <c r="EZ5" s="989"/>
      <c r="FA5" s="989"/>
      <c r="FB5" s="989"/>
      <c r="FC5" s="989"/>
      <c r="FD5" s="989"/>
      <c r="FE5" s="989"/>
      <c r="FF5" s="989"/>
      <c r="FG5" s="989"/>
      <c r="FH5" s="989"/>
      <c r="FI5" s="989"/>
      <c r="FJ5" s="989"/>
      <c r="FK5" s="989"/>
      <c r="FL5" s="989"/>
      <c r="FM5" s="989"/>
      <c r="FN5" s="989"/>
      <c r="FO5" s="989"/>
      <c r="FP5" s="989"/>
      <c r="FQ5" s="989"/>
      <c r="FR5" s="989"/>
      <c r="FS5" s="989"/>
      <c r="FT5" s="989"/>
      <c r="FU5" s="989"/>
      <c r="FV5" s="989"/>
      <c r="FW5" s="989"/>
      <c r="FX5" s="989"/>
      <c r="FY5" s="989"/>
      <c r="FZ5" s="989"/>
      <c r="GA5" s="989"/>
      <c r="GB5" s="989"/>
      <c r="GC5" s="990"/>
      <c r="GD5" s="988" t="s">
        <v>338</v>
      </c>
      <c r="GE5" s="989"/>
      <c r="GF5" s="989"/>
      <c r="GG5" s="989"/>
      <c r="GH5" s="989"/>
      <c r="GI5" s="989"/>
      <c r="GJ5" s="989"/>
      <c r="GK5" s="989"/>
      <c r="GL5" s="989"/>
      <c r="GM5" s="989"/>
      <c r="GN5" s="989"/>
      <c r="GO5" s="989"/>
      <c r="GP5" s="989"/>
      <c r="GQ5" s="989"/>
      <c r="GR5" s="989"/>
      <c r="GS5" s="989"/>
      <c r="GT5" s="989"/>
      <c r="GU5" s="989"/>
      <c r="GV5" s="989"/>
      <c r="GW5" s="989"/>
      <c r="GX5" s="989"/>
      <c r="GY5" s="989"/>
      <c r="GZ5" s="989"/>
      <c r="HA5" s="989"/>
      <c r="HB5" s="989"/>
      <c r="HC5" s="989"/>
      <c r="HD5" s="989"/>
      <c r="HE5" s="989"/>
      <c r="HF5" s="989"/>
      <c r="HG5" s="989"/>
      <c r="HH5" s="989"/>
      <c r="HI5" s="989"/>
      <c r="HJ5" s="989"/>
      <c r="HK5" s="989"/>
      <c r="HL5" s="989"/>
      <c r="HM5" s="989"/>
      <c r="HN5" s="989"/>
      <c r="HO5" s="989"/>
      <c r="HP5" s="989"/>
      <c r="HQ5" s="989"/>
      <c r="HR5" s="989"/>
      <c r="HS5" s="989"/>
      <c r="HT5" s="989"/>
      <c r="HU5" s="989"/>
      <c r="HV5" s="989"/>
      <c r="HW5" s="989"/>
      <c r="HX5" s="989"/>
      <c r="HY5" s="989"/>
      <c r="HZ5" s="989"/>
      <c r="IA5" s="989"/>
      <c r="IB5" s="989"/>
      <c r="IC5" s="989"/>
      <c r="ID5" s="989"/>
      <c r="IE5" s="989"/>
      <c r="IF5" s="989"/>
      <c r="IG5" s="989"/>
      <c r="IH5" s="989"/>
      <c r="II5" s="989"/>
      <c r="IJ5" s="989"/>
      <c r="IK5" s="989"/>
      <c r="IL5" s="989"/>
      <c r="IM5" s="989"/>
      <c r="IN5" s="989"/>
      <c r="IO5" s="989"/>
      <c r="IP5" s="989"/>
      <c r="IQ5" s="989"/>
      <c r="IR5" s="989"/>
      <c r="IS5" s="989"/>
      <c r="IT5" s="989"/>
      <c r="IU5" s="989"/>
      <c r="IV5" s="989"/>
      <c r="IW5" s="989"/>
      <c r="IX5" s="989"/>
      <c r="IY5" s="989"/>
      <c r="IZ5" s="989"/>
      <c r="JA5" s="989"/>
      <c r="JB5" s="989"/>
      <c r="JC5" s="989"/>
      <c r="JD5" s="989"/>
      <c r="JE5" s="989"/>
      <c r="JF5" s="989"/>
      <c r="JG5" s="989"/>
      <c r="JH5" s="989"/>
      <c r="JI5" s="989"/>
      <c r="JJ5" s="989"/>
      <c r="JK5" s="989"/>
      <c r="JL5" s="989"/>
      <c r="JM5" s="989"/>
      <c r="JN5" s="989"/>
      <c r="JO5" s="989"/>
      <c r="JP5" s="989"/>
      <c r="JQ5" s="989"/>
      <c r="JR5" s="989"/>
      <c r="JS5" s="989"/>
      <c r="JT5" s="989"/>
      <c r="JU5" s="989"/>
      <c r="JV5" s="989"/>
      <c r="JW5" s="989"/>
      <c r="JX5" s="989"/>
      <c r="JY5" s="989"/>
      <c r="JZ5" s="989"/>
      <c r="KA5" s="989"/>
      <c r="KB5" s="989"/>
      <c r="KC5" s="989"/>
      <c r="KD5" s="989"/>
      <c r="KE5" s="989"/>
      <c r="KF5" s="989"/>
      <c r="KG5" s="989"/>
      <c r="KH5" s="989"/>
      <c r="KI5" s="989"/>
      <c r="KJ5" s="989"/>
      <c r="KK5" s="989"/>
      <c r="KL5" s="989"/>
      <c r="KM5" s="989"/>
      <c r="KN5" s="989"/>
      <c r="KO5" s="989"/>
      <c r="KP5" s="989"/>
      <c r="KQ5" s="989"/>
      <c r="KR5" s="989"/>
      <c r="KS5" s="990"/>
      <c r="KT5" s="991" t="s">
        <v>339</v>
      </c>
      <c r="KU5" s="991" t="s">
        <v>338</v>
      </c>
    </row>
    <row r="6" spans="1:308" ht="15" customHeight="1">
      <c r="A6" s="985" t="s">
        <v>29</v>
      </c>
      <c r="B6" s="969" t="s">
        <v>4</v>
      </c>
      <c r="C6" s="969" t="s">
        <v>5</v>
      </c>
      <c r="D6" s="982" t="s">
        <v>40</v>
      </c>
      <c r="E6" s="979" t="s">
        <v>38</v>
      </c>
      <c r="F6" s="967" t="s">
        <v>340</v>
      </c>
      <c r="G6" s="972"/>
      <c r="H6" s="968"/>
      <c r="I6" s="967" t="s">
        <v>341</v>
      </c>
      <c r="J6" s="972"/>
      <c r="K6" s="968"/>
      <c r="L6" s="967" t="s">
        <v>342</v>
      </c>
      <c r="M6" s="972"/>
      <c r="N6" s="968"/>
      <c r="O6" s="967" t="s">
        <v>343</v>
      </c>
      <c r="P6" s="972"/>
      <c r="Q6" s="968"/>
      <c r="R6" s="967" t="s">
        <v>344</v>
      </c>
      <c r="S6" s="972"/>
      <c r="T6" s="968"/>
      <c r="U6" s="967" t="s">
        <v>345</v>
      </c>
      <c r="V6" s="972"/>
      <c r="W6" s="968"/>
      <c r="X6" s="967" t="s">
        <v>346</v>
      </c>
      <c r="Y6" s="972"/>
      <c r="Z6" s="968"/>
      <c r="AA6" s="967" t="s">
        <v>347</v>
      </c>
      <c r="AB6" s="972"/>
      <c r="AC6" s="968"/>
      <c r="AD6" s="967" t="s">
        <v>348</v>
      </c>
      <c r="AE6" s="972"/>
      <c r="AF6" s="968"/>
      <c r="AG6" s="967" t="s">
        <v>349</v>
      </c>
      <c r="AH6" s="972"/>
      <c r="AI6" s="968"/>
      <c r="AJ6" s="967" t="s">
        <v>350</v>
      </c>
      <c r="AK6" s="972"/>
      <c r="AL6" s="968"/>
      <c r="AM6" s="967" t="s">
        <v>351</v>
      </c>
      <c r="AN6" s="972"/>
      <c r="AO6" s="968"/>
      <c r="AP6" s="967" t="s">
        <v>352</v>
      </c>
      <c r="AQ6" s="972"/>
      <c r="AR6" s="968"/>
      <c r="AS6" s="967" t="s">
        <v>353</v>
      </c>
      <c r="AT6" s="972"/>
      <c r="AU6" s="968"/>
      <c r="AV6" s="967" t="s">
        <v>354</v>
      </c>
      <c r="AW6" s="972"/>
      <c r="AX6" s="968"/>
      <c r="AY6" s="973" t="s">
        <v>355</v>
      </c>
      <c r="AZ6" s="974"/>
      <c r="BA6" s="974"/>
      <c r="BB6" s="973" t="s">
        <v>356</v>
      </c>
      <c r="BC6" s="974"/>
      <c r="BD6" s="975"/>
      <c r="BE6" s="973" t="s">
        <v>357</v>
      </c>
      <c r="BF6" s="974"/>
      <c r="BG6" s="974"/>
      <c r="BH6" s="973" t="s">
        <v>358</v>
      </c>
      <c r="BI6" s="974"/>
      <c r="BJ6" s="975"/>
      <c r="BK6" s="973" t="s">
        <v>359</v>
      </c>
      <c r="BL6" s="974"/>
      <c r="BM6" s="974"/>
      <c r="BN6" s="973" t="s">
        <v>360</v>
      </c>
      <c r="BO6" s="974"/>
      <c r="BP6" s="975"/>
      <c r="BQ6" s="973" t="s">
        <v>361</v>
      </c>
      <c r="BR6" s="974"/>
      <c r="BS6" s="974"/>
      <c r="BT6" s="973" t="s">
        <v>362</v>
      </c>
      <c r="BU6" s="974"/>
      <c r="BV6" s="975"/>
      <c r="BW6" s="973" t="s">
        <v>363</v>
      </c>
      <c r="BX6" s="974"/>
      <c r="BY6" s="974"/>
      <c r="BZ6" s="973" t="s">
        <v>364</v>
      </c>
      <c r="CA6" s="974"/>
      <c r="CB6" s="975"/>
      <c r="CC6" s="973" t="s">
        <v>365</v>
      </c>
      <c r="CD6" s="974"/>
      <c r="CE6" s="974"/>
      <c r="CF6" s="973" t="s">
        <v>366</v>
      </c>
      <c r="CG6" s="974"/>
      <c r="CH6" s="975"/>
      <c r="CI6" s="973" t="s">
        <v>367</v>
      </c>
      <c r="CJ6" s="974"/>
      <c r="CK6" s="974"/>
      <c r="CL6" s="973" t="s">
        <v>368</v>
      </c>
      <c r="CM6" s="974"/>
      <c r="CN6" s="975"/>
      <c r="CO6" s="973" t="s">
        <v>369</v>
      </c>
      <c r="CP6" s="974"/>
      <c r="CQ6" s="974"/>
      <c r="CR6" s="973" t="s">
        <v>370</v>
      </c>
      <c r="CS6" s="974"/>
      <c r="CT6" s="975"/>
      <c r="CU6" s="973" t="s">
        <v>371</v>
      </c>
      <c r="CV6" s="974"/>
      <c r="CW6" s="974"/>
      <c r="CX6" s="973" t="s">
        <v>372</v>
      </c>
      <c r="CY6" s="974"/>
      <c r="CZ6" s="975"/>
      <c r="DA6" s="973" t="s">
        <v>373</v>
      </c>
      <c r="DB6" s="974"/>
      <c r="DC6" s="974"/>
      <c r="DD6" s="973" t="s">
        <v>374</v>
      </c>
      <c r="DE6" s="974"/>
      <c r="DF6" s="975"/>
      <c r="DG6" s="973" t="s">
        <v>375</v>
      </c>
      <c r="DH6" s="974"/>
      <c r="DI6" s="974"/>
      <c r="DJ6" s="973" t="s">
        <v>376</v>
      </c>
      <c r="DK6" s="974"/>
      <c r="DL6" s="975"/>
      <c r="DM6" s="973" t="s">
        <v>377</v>
      </c>
      <c r="DN6" s="974"/>
      <c r="DO6" s="974"/>
      <c r="DP6" s="973" t="s">
        <v>378</v>
      </c>
      <c r="DQ6" s="974"/>
      <c r="DR6" s="975"/>
      <c r="DS6" s="973" t="s">
        <v>379</v>
      </c>
      <c r="DT6" s="974"/>
      <c r="DU6" s="974"/>
      <c r="DV6" s="973" t="s">
        <v>380</v>
      </c>
      <c r="DW6" s="974"/>
      <c r="DX6" s="975"/>
      <c r="DY6" s="973" t="s">
        <v>381</v>
      </c>
      <c r="DZ6" s="974"/>
      <c r="EA6" s="974"/>
      <c r="EB6" s="992" t="s">
        <v>502</v>
      </c>
      <c r="EC6" s="974"/>
      <c r="ED6" s="975"/>
      <c r="EE6" s="973" t="s">
        <v>501</v>
      </c>
      <c r="EF6" s="974"/>
      <c r="EG6" s="974"/>
      <c r="EH6" s="973"/>
      <c r="EI6" s="974"/>
      <c r="EJ6" s="975"/>
      <c r="EK6" s="973"/>
      <c r="EL6" s="974"/>
      <c r="EM6" s="974"/>
      <c r="EN6" s="973"/>
      <c r="EO6" s="974"/>
      <c r="EP6" s="975"/>
      <c r="EQ6" s="973"/>
      <c r="ER6" s="974"/>
      <c r="ES6" s="974"/>
      <c r="ET6" s="973"/>
      <c r="EU6" s="974"/>
      <c r="EV6" s="975"/>
      <c r="EW6" s="973"/>
      <c r="EX6" s="974"/>
      <c r="EY6" s="974"/>
      <c r="EZ6" s="973"/>
      <c r="FA6" s="974"/>
      <c r="FB6" s="975"/>
      <c r="FC6" s="973"/>
      <c r="FD6" s="974"/>
      <c r="FE6" s="974"/>
      <c r="FF6" s="973"/>
      <c r="FG6" s="974"/>
      <c r="FH6" s="975"/>
      <c r="FI6" s="973"/>
      <c r="FJ6" s="974"/>
      <c r="FK6" s="974"/>
      <c r="FL6" s="973"/>
      <c r="FM6" s="974"/>
      <c r="FN6" s="975"/>
      <c r="FO6" s="973"/>
      <c r="FP6" s="974"/>
      <c r="FQ6" s="974"/>
      <c r="FR6" s="973"/>
      <c r="FS6" s="974"/>
      <c r="FT6" s="975"/>
      <c r="FU6" s="973"/>
      <c r="FV6" s="974"/>
      <c r="FW6" s="974"/>
      <c r="FX6" s="973"/>
      <c r="FY6" s="974"/>
      <c r="FZ6" s="975"/>
      <c r="GA6" s="973"/>
      <c r="GB6" s="974"/>
      <c r="GC6" s="974"/>
      <c r="GD6" s="973" t="s">
        <v>382</v>
      </c>
      <c r="GE6" s="974"/>
      <c r="GF6" s="975"/>
      <c r="GG6" s="973" t="s">
        <v>383</v>
      </c>
      <c r="GH6" s="974"/>
      <c r="GI6" s="974"/>
      <c r="GJ6" s="973" t="s">
        <v>384</v>
      </c>
      <c r="GK6" s="974"/>
      <c r="GL6" s="975"/>
      <c r="GM6" s="973" t="s">
        <v>385</v>
      </c>
      <c r="GN6" s="974"/>
      <c r="GO6" s="974"/>
      <c r="GP6" s="973" t="s">
        <v>386</v>
      </c>
      <c r="GQ6" s="974"/>
      <c r="GR6" s="975"/>
      <c r="GS6" s="973" t="s">
        <v>387</v>
      </c>
      <c r="GT6" s="974"/>
      <c r="GU6" s="974"/>
      <c r="GV6" s="973" t="s">
        <v>388</v>
      </c>
      <c r="GW6" s="974"/>
      <c r="GX6" s="975"/>
      <c r="GY6" s="973" t="s">
        <v>389</v>
      </c>
      <c r="GZ6" s="974"/>
      <c r="HA6" s="974"/>
      <c r="HB6" s="973" t="s">
        <v>364</v>
      </c>
      <c r="HC6" s="974"/>
      <c r="HD6" s="975"/>
      <c r="HE6" s="973" t="s">
        <v>380</v>
      </c>
      <c r="HF6" s="974"/>
      <c r="HG6" s="974"/>
      <c r="HH6" s="973" t="s">
        <v>379</v>
      </c>
      <c r="HI6" s="974"/>
      <c r="HJ6" s="975"/>
      <c r="HK6" s="973" t="s">
        <v>360</v>
      </c>
      <c r="HL6" s="974"/>
      <c r="HM6" s="974"/>
      <c r="HN6" s="973" t="s">
        <v>390</v>
      </c>
      <c r="HO6" s="974"/>
      <c r="HP6" s="975"/>
      <c r="HQ6" s="973" t="s">
        <v>371</v>
      </c>
      <c r="HR6" s="974"/>
      <c r="HS6" s="974"/>
      <c r="HT6" s="973" t="s">
        <v>391</v>
      </c>
      <c r="HU6" s="974"/>
      <c r="HV6" s="975"/>
      <c r="HW6" s="973" t="s">
        <v>392</v>
      </c>
      <c r="HX6" s="974"/>
      <c r="HY6" s="974"/>
      <c r="HZ6" s="973" t="s">
        <v>393</v>
      </c>
      <c r="IA6" s="974"/>
      <c r="IB6" s="975"/>
      <c r="IC6" s="973" t="s">
        <v>394</v>
      </c>
      <c r="ID6" s="974"/>
      <c r="IE6" s="974"/>
      <c r="IF6" s="973" t="s">
        <v>395</v>
      </c>
      <c r="IG6" s="974"/>
      <c r="IH6" s="975"/>
      <c r="II6" s="993" t="s">
        <v>366</v>
      </c>
      <c r="IJ6" s="993"/>
      <c r="IK6" s="993"/>
      <c r="IL6" s="973" t="s">
        <v>369</v>
      </c>
      <c r="IM6" s="974"/>
      <c r="IN6" s="975"/>
      <c r="IO6" s="973" t="s">
        <v>370</v>
      </c>
      <c r="IP6" s="974"/>
      <c r="IQ6" s="974"/>
      <c r="IR6" s="973" t="s">
        <v>365</v>
      </c>
      <c r="IS6" s="974"/>
      <c r="IT6" s="975"/>
      <c r="IU6" s="973" t="s">
        <v>396</v>
      </c>
      <c r="IV6" s="974"/>
      <c r="IW6" s="974"/>
      <c r="IX6" s="973" t="s">
        <v>373</v>
      </c>
      <c r="IY6" s="974"/>
      <c r="IZ6" s="975"/>
      <c r="JA6" s="973" t="s">
        <v>397</v>
      </c>
      <c r="JB6" s="974"/>
      <c r="JC6" s="974"/>
      <c r="JD6" s="973" t="s">
        <v>398</v>
      </c>
      <c r="JE6" s="974"/>
      <c r="JF6" s="975"/>
      <c r="JG6" s="973" t="s">
        <v>399</v>
      </c>
      <c r="JH6" s="974"/>
      <c r="JI6" s="974"/>
      <c r="JJ6" s="973"/>
      <c r="JK6" s="974"/>
      <c r="JL6" s="975"/>
      <c r="JM6" s="973"/>
      <c r="JN6" s="974"/>
      <c r="JO6" s="974"/>
      <c r="JP6" s="973"/>
      <c r="JQ6" s="974"/>
      <c r="JR6" s="975"/>
      <c r="JS6" s="973"/>
      <c r="JT6" s="974"/>
      <c r="JU6" s="974"/>
      <c r="JV6" s="973"/>
      <c r="JW6" s="974"/>
      <c r="JX6" s="975"/>
      <c r="JY6" s="973"/>
      <c r="JZ6" s="974"/>
      <c r="KA6" s="974"/>
      <c r="KB6" s="973"/>
      <c r="KC6" s="974"/>
      <c r="KD6" s="975"/>
      <c r="KE6" s="973"/>
      <c r="KF6" s="974"/>
      <c r="KG6" s="974"/>
      <c r="KH6" s="973"/>
      <c r="KI6" s="974"/>
      <c r="KJ6" s="975"/>
      <c r="KK6" s="973"/>
      <c r="KL6" s="974"/>
      <c r="KM6" s="974"/>
      <c r="KN6" s="973"/>
      <c r="KO6" s="974"/>
      <c r="KP6" s="975"/>
      <c r="KQ6" s="993"/>
      <c r="KR6" s="993"/>
      <c r="KS6" s="993"/>
      <c r="KT6" s="991"/>
      <c r="KU6" s="991"/>
    </row>
    <row r="7" spans="1:308" ht="15" customHeight="1">
      <c r="A7" s="986"/>
      <c r="B7" s="970"/>
      <c r="C7" s="970"/>
      <c r="D7" s="983"/>
      <c r="E7" s="980"/>
      <c r="F7" s="967" t="s">
        <v>134</v>
      </c>
      <c r="G7" s="968"/>
      <c r="H7" s="533" t="s">
        <v>400</v>
      </c>
      <c r="I7" s="967" t="s">
        <v>134</v>
      </c>
      <c r="J7" s="968"/>
      <c r="K7" s="533" t="s">
        <v>400</v>
      </c>
      <c r="L7" s="967" t="s">
        <v>134</v>
      </c>
      <c r="M7" s="968"/>
      <c r="N7" s="533" t="s">
        <v>400</v>
      </c>
      <c r="O7" s="967" t="s">
        <v>134</v>
      </c>
      <c r="P7" s="968"/>
      <c r="Q7" s="533" t="s">
        <v>400</v>
      </c>
      <c r="R7" s="967" t="s">
        <v>134</v>
      </c>
      <c r="S7" s="968"/>
      <c r="T7" s="533" t="s">
        <v>400</v>
      </c>
      <c r="U7" s="967" t="s">
        <v>134</v>
      </c>
      <c r="V7" s="968"/>
      <c r="W7" s="533" t="s">
        <v>400</v>
      </c>
      <c r="X7" s="967" t="s">
        <v>134</v>
      </c>
      <c r="Y7" s="968"/>
      <c r="Z7" s="533" t="s">
        <v>400</v>
      </c>
      <c r="AA7" s="967" t="s">
        <v>134</v>
      </c>
      <c r="AB7" s="968"/>
      <c r="AC7" s="533" t="s">
        <v>400</v>
      </c>
      <c r="AD7" s="967" t="s">
        <v>134</v>
      </c>
      <c r="AE7" s="968"/>
      <c r="AF7" s="533" t="s">
        <v>400</v>
      </c>
      <c r="AG7" s="967" t="s">
        <v>134</v>
      </c>
      <c r="AH7" s="968"/>
      <c r="AI7" s="533" t="s">
        <v>400</v>
      </c>
      <c r="AJ7" s="967" t="s">
        <v>134</v>
      </c>
      <c r="AK7" s="968"/>
      <c r="AL7" s="533" t="s">
        <v>400</v>
      </c>
      <c r="AM7" s="967" t="s">
        <v>134</v>
      </c>
      <c r="AN7" s="968"/>
      <c r="AO7" s="533" t="s">
        <v>400</v>
      </c>
      <c r="AP7" s="967" t="s">
        <v>134</v>
      </c>
      <c r="AQ7" s="968"/>
      <c r="AR7" s="533" t="s">
        <v>400</v>
      </c>
      <c r="AS7" s="967" t="s">
        <v>134</v>
      </c>
      <c r="AT7" s="968"/>
      <c r="AU7" s="533" t="s">
        <v>400</v>
      </c>
      <c r="AV7" s="967" t="s">
        <v>134</v>
      </c>
      <c r="AW7" s="968"/>
      <c r="AX7" s="533" t="s">
        <v>400</v>
      </c>
      <c r="AY7" s="967" t="s">
        <v>134</v>
      </c>
      <c r="AZ7" s="968"/>
      <c r="BA7" s="533" t="s">
        <v>400</v>
      </c>
      <c r="BB7" s="967" t="s">
        <v>134</v>
      </c>
      <c r="BC7" s="968"/>
      <c r="BD7" s="533" t="s">
        <v>400</v>
      </c>
      <c r="BE7" s="967" t="s">
        <v>134</v>
      </c>
      <c r="BF7" s="968"/>
      <c r="BG7" s="533" t="s">
        <v>400</v>
      </c>
      <c r="BH7" s="967" t="s">
        <v>134</v>
      </c>
      <c r="BI7" s="968"/>
      <c r="BJ7" s="533" t="s">
        <v>400</v>
      </c>
      <c r="BK7" s="967" t="s">
        <v>134</v>
      </c>
      <c r="BL7" s="968"/>
      <c r="BM7" s="533" t="s">
        <v>400</v>
      </c>
      <c r="BN7" s="967" t="s">
        <v>134</v>
      </c>
      <c r="BO7" s="968"/>
      <c r="BP7" s="533" t="s">
        <v>400</v>
      </c>
      <c r="BQ7" s="967" t="s">
        <v>134</v>
      </c>
      <c r="BR7" s="968"/>
      <c r="BS7" s="533" t="s">
        <v>400</v>
      </c>
      <c r="BT7" s="967" t="s">
        <v>134</v>
      </c>
      <c r="BU7" s="968"/>
      <c r="BV7" s="533" t="s">
        <v>400</v>
      </c>
      <c r="BW7" s="967" t="s">
        <v>134</v>
      </c>
      <c r="BX7" s="968"/>
      <c r="BY7" s="533" t="s">
        <v>400</v>
      </c>
      <c r="BZ7" s="967" t="s">
        <v>134</v>
      </c>
      <c r="CA7" s="968"/>
      <c r="CB7" s="533" t="s">
        <v>400</v>
      </c>
      <c r="CC7" s="967" t="s">
        <v>134</v>
      </c>
      <c r="CD7" s="968"/>
      <c r="CE7" s="533" t="s">
        <v>400</v>
      </c>
      <c r="CF7" s="967" t="s">
        <v>134</v>
      </c>
      <c r="CG7" s="968"/>
      <c r="CH7" s="533" t="s">
        <v>400</v>
      </c>
      <c r="CI7" s="967" t="s">
        <v>134</v>
      </c>
      <c r="CJ7" s="968"/>
      <c r="CK7" s="533" t="s">
        <v>400</v>
      </c>
      <c r="CL7" s="967" t="s">
        <v>134</v>
      </c>
      <c r="CM7" s="968"/>
      <c r="CN7" s="533" t="s">
        <v>400</v>
      </c>
      <c r="CO7" s="967" t="s">
        <v>134</v>
      </c>
      <c r="CP7" s="968"/>
      <c r="CQ7" s="533" t="s">
        <v>400</v>
      </c>
      <c r="CR7" s="967" t="s">
        <v>134</v>
      </c>
      <c r="CS7" s="968"/>
      <c r="CT7" s="533" t="s">
        <v>400</v>
      </c>
      <c r="CU7" s="967" t="s">
        <v>134</v>
      </c>
      <c r="CV7" s="968"/>
      <c r="CW7" s="533" t="s">
        <v>400</v>
      </c>
      <c r="CX7" s="967" t="s">
        <v>134</v>
      </c>
      <c r="CY7" s="968"/>
      <c r="CZ7" s="533" t="s">
        <v>400</v>
      </c>
      <c r="DA7" s="967" t="s">
        <v>134</v>
      </c>
      <c r="DB7" s="968"/>
      <c r="DC7" s="533" t="s">
        <v>400</v>
      </c>
      <c r="DD7" s="967" t="s">
        <v>134</v>
      </c>
      <c r="DE7" s="968"/>
      <c r="DF7" s="533" t="s">
        <v>400</v>
      </c>
      <c r="DG7" s="967" t="s">
        <v>134</v>
      </c>
      <c r="DH7" s="968"/>
      <c r="DI7" s="533" t="s">
        <v>400</v>
      </c>
      <c r="DJ7" s="967" t="s">
        <v>134</v>
      </c>
      <c r="DK7" s="968"/>
      <c r="DL7" s="533" t="s">
        <v>400</v>
      </c>
      <c r="DM7" s="967" t="s">
        <v>134</v>
      </c>
      <c r="DN7" s="968"/>
      <c r="DO7" s="533" t="s">
        <v>400</v>
      </c>
      <c r="DP7" s="967" t="s">
        <v>134</v>
      </c>
      <c r="DQ7" s="968"/>
      <c r="DR7" s="533" t="s">
        <v>400</v>
      </c>
      <c r="DS7" s="967" t="s">
        <v>134</v>
      </c>
      <c r="DT7" s="968"/>
      <c r="DU7" s="533" t="s">
        <v>400</v>
      </c>
      <c r="DV7" s="967" t="s">
        <v>134</v>
      </c>
      <c r="DW7" s="968"/>
      <c r="DX7" s="533" t="s">
        <v>400</v>
      </c>
      <c r="DY7" s="967" t="s">
        <v>134</v>
      </c>
      <c r="DZ7" s="968"/>
      <c r="EA7" s="533" t="s">
        <v>400</v>
      </c>
      <c r="EB7" s="967" t="s">
        <v>134</v>
      </c>
      <c r="EC7" s="968"/>
      <c r="ED7" s="533" t="s">
        <v>400</v>
      </c>
      <c r="EE7" s="967" t="s">
        <v>134</v>
      </c>
      <c r="EF7" s="968"/>
      <c r="EG7" s="533" t="s">
        <v>400</v>
      </c>
      <c r="EH7" s="967" t="s">
        <v>134</v>
      </c>
      <c r="EI7" s="968"/>
      <c r="EJ7" s="533" t="s">
        <v>400</v>
      </c>
      <c r="EK7" s="967" t="s">
        <v>134</v>
      </c>
      <c r="EL7" s="968"/>
      <c r="EM7" s="533" t="s">
        <v>400</v>
      </c>
      <c r="EN7" s="967" t="s">
        <v>134</v>
      </c>
      <c r="EO7" s="968"/>
      <c r="EP7" s="533" t="s">
        <v>400</v>
      </c>
      <c r="EQ7" s="967" t="s">
        <v>134</v>
      </c>
      <c r="ER7" s="968"/>
      <c r="ES7" s="533" t="s">
        <v>400</v>
      </c>
      <c r="ET7" s="967" t="s">
        <v>134</v>
      </c>
      <c r="EU7" s="968"/>
      <c r="EV7" s="533" t="s">
        <v>400</v>
      </c>
      <c r="EW7" s="967" t="s">
        <v>134</v>
      </c>
      <c r="EX7" s="968"/>
      <c r="EY7" s="533" t="s">
        <v>400</v>
      </c>
      <c r="EZ7" s="967" t="s">
        <v>134</v>
      </c>
      <c r="FA7" s="968"/>
      <c r="FB7" s="533" t="s">
        <v>400</v>
      </c>
      <c r="FC7" s="967" t="s">
        <v>134</v>
      </c>
      <c r="FD7" s="968"/>
      <c r="FE7" s="533" t="s">
        <v>400</v>
      </c>
      <c r="FF7" s="967" t="s">
        <v>134</v>
      </c>
      <c r="FG7" s="968"/>
      <c r="FH7" s="533" t="s">
        <v>400</v>
      </c>
      <c r="FI7" s="967" t="s">
        <v>134</v>
      </c>
      <c r="FJ7" s="968"/>
      <c r="FK7" s="533" t="s">
        <v>400</v>
      </c>
      <c r="FL7" s="967" t="s">
        <v>134</v>
      </c>
      <c r="FM7" s="968"/>
      <c r="FN7" s="533" t="s">
        <v>400</v>
      </c>
      <c r="FO7" s="967" t="s">
        <v>134</v>
      </c>
      <c r="FP7" s="968"/>
      <c r="FQ7" s="533" t="s">
        <v>400</v>
      </c>
      <c r="FR7" s="967" t="s">
        <v>134</v>
      </c>
      <c r="FS7" s="968"/>
      <c r="FT7" s="533" t="s">
        <v>400</v>
      </c>
      <c r="FU7" s="967" t="s">
        <v>134</v>
      </c>
      <c r="FV7" s="968"/>
      <c r="FW7" s="533" t="s">
        <v>400</v>
      </c>
      <c r="FX7" s="967" t="s">
        <v>134</v>
      </c>
      <c r="FY7" s="968"/>
      <c r="FZ7" s="533" t="s">
        <v>400</v>
      </c>
      <c r="GA7" s="967" t="s">
        <v>134</v>
      </c>
      <c r="GB7" s="968"/>
      <c r="GC7" s="533" t="s">
        <v>400</v>
      </c>
      <c r="GD7" s="967" t="s">
        <v>134</v>
      </c>
      <c r="GE7" s="968"/>
      <c r="GF7" s="533" t="s">
        <v>400</v>
      </c>
      <c r="GG7" s="967" t="s">
        <v>134</v>
      </c>
      <c r="GH7" s="968"/>
      <c r="GI7" s="533" t="s">
        <v>400</v>
      </c>
      <c r="GJ7" s="967" t="s">
        <v>134</v>
      </c>
      <c r="GK7" s="968"/>
      <c r="GL7" s="533" t="s">
        <v>400</v>
      </c>
      <c r="GM7" s="967" t="s">
        <v>134</v>
      </c>
      <c r="GN7" s="968"/>
      <c r="GO7" s="533" t="s">
        <v>400</v>
      </c>
      <c r="GP7" s="967" t="s">
        <v>134</v>
      </c>
      <c r="GQ7" s="968"/>
      <c r="GR7" s="533" t="s">
        <v>400</v>
      </c>
      <c r="GS7" s="967" t="s">
        <v>134</v>
      </c>
      <c r="GT7" s="968"/>
      <c r="GU7" s="533" t="s">
        <v>400</v>
      </c>
      <c r="GV7" s="967" t="s">
        <v>134</v>
      </c>
      <c r="GW7" s="968"/>
      <c r="GX7" s="533" t="s">
        <v>400</v>
      </c>
      <c r="GY7" s="967" t="s">
        <v>134</v>
      </c>
      <c r="GZ7" s="968"/>
      <c r="HA7" s="533" t="s">
        <v>400</v>
      </c>
      <c r="HB7" s="967" t="s">
        <v>134</v>
      </c>
      <c r="HC7" s="968"/>
      <c r="HD7" s="533" t="s">
        <v>400</v>
      </c>
      <c r="HE7" s="967" t="s">
        <v>134</v>
      </c>
      <c r="HF7" s="968"/>
      <c r="HG7" s="533" t="s">
        <v>400</v>
      </c>
      <c r="HH7" s="967" t="s">
        <v>134</v>
      </c>
      <c r="HI7" s="968"/>
      <c r="HJ7" s="533" t="s">
        <v>400</v>
      </c>
      <c r="HK7" s="967" t="s">
        <v>134</v>
      </c>
      <c r="HL7" s="968"/>
      <c r="HM7" s="533" t="s">
        <v>400</v>
      </c>
      <c r="HN7" s="967" t="s">
        <v>134</v>
      </c>
      <c r="HO7" s="968"/>
      <c r="HP7" s="533" t="s">
        <v>400</v>
      </c>
      <c r="HQ7" s="967" t="s">
        <v>134</v>
      </c>
      <c r="HR7" s="968"/>
      <c r="HS7" s="533" t="s">
        <v>400</v>
      </c>
      <c r="HT7" s="967" t="s">
        <v>134</v>
      </c>
      <c r="HU7" s="968"/>
      <c r="HV7" s="533" t="s">
        <v>400</v>
      </c>
      <c r="HW7" s="967" t="s">
        <v>134</v>
      </c>
      <c r="HX7" s="968"/>
      <c r="HY7" s="533" t="s">
        <v>400</v>
      </c>
      <c r="HZ7" s="967" t="s">
        <v>134</v>
      </c>
      <c r="IA7" s="968"/>
      <c r="IB7" s="533" t="s">
        <v>400</v>
      </c>
      <c r="IC7" s="967" t="s">
        <v>134</v>
      </c>
      <c r="ID7" s="968"/>
      <c r="IE7" s="533" t="s">
        <v>400</v>
      </c>
      <c r="IF7" s="967" t="s">
        <v>134</v>
      </c>
      <c r="IG7" s="968"/>
      <c r="IH7" s="533" t="s">
        <v>400</v>
      </c>
      <c r="II7" s="993" t="s">
        <v>134</v>
      </c>
      <c r="IJ7" s="993"/>
      <c r="IK7" s="538" t="s">
        <v>400</v>
      </c>
      <c r="IL7" s="967" t="s">
        <v>134</v>
      </c>
      <c r="IM7" s="968"/>
      <c r="IN7" s="533" t="s">
        <v>400</v>
      </c>
      <c r="IO7" s="967" t="s">
        <v>134</v>
      </c>
      <c r="IP7" s="968"/>
      <c r="IQ7" s="533" t="s">
        <v>400</v>
      </c>
      <c r="IR7" s="967" t="s">
        <v>134</v>
      </c>
      <c r="IS7" s="968"/>
      <c r="IT7" s="533" t="s">
        <v>400</v>
      </c>
      <c r="IU7" s="967" t="s">
        <v>134</v>
      </c>
      <c r="IV7" s="968"/>
      <c r="IW7" s="533" t="s">
        <v>400</v>
      </c>
      <c r="IX7" s="967" t="s">
        <v>134</v>
      </c>
      <c r="IY7" s="968"/>
      <c r="IZ7" s="533" t="s">
        <v>400</v>
      </c>
      <c r="JA7" s="967" t="s">
        <v>134</v>
      </c>
      <c r="JB7" s="968"/>
      <c r="JC7" s="533" t="s">
        <v>400</v>
      </c>
      <c r="JD7" s="967" t="s">
        <v>134</v>
      </c>
      <c r="JE7" s="968"/>
      <c r="JF7" s="533" t="s">
        <v>400</v>
      </c>
      <c r="JG7" s="967" t="s">
        <v>134</v>
      </c>
      <c r="JH7" s="968"/>
      <c r="JI7" s="533" t="s">
        <v>400</v>
      </c>
      <c r="JJ7" s="967" t="s">
        <v>134</v>
      </c>
      <c r="JK7" s="968"/>
      <c r="JL7" s="533" t="s">
        <v>400</v>
      </c>
      <c r="JM7" s="967" t="s">
        <v>134</v>
      </c>
      <c r="JN7" s="968"/>
      <c r="JO7" s="533" t="s">
        <v>400</v>
      </c>
      <c r="JP7" s="967" t="s">
        <v>134</v>
      </c>
      <c r="JQ7" s="968"/>
      <c r="JR7" s="533" t="s">
        <v>400</v>
      </c>
      <c r="JS7" s="967" t="s">
        <v>134</v>
      </c>
      <c r="JT7" s="968"/>
      <c r="JU7" s="533" t="s">
        <v>400</v>
      </c>
      <c r="JV7" s="967" t="s">
        <v>134</v>
      </c>
      <c r="JW7" s="968"/>
      <c r="JX7" s="533" t="s">
        <v>400</v>
      </c>
      <c r="JY7" s="967" t="s">
        <v>134</v>
      </c>
      <c r="JZ7" s="968"/>
      <c r="KA7" s="533" t="s">
        <v>400</v>
      </c>
      <c r="KB7" s="967" t="s">
        <v>134</v>
      </c>
      <c r="KC7" s="968"/>
      <c r="KD7" s="533" t="s">
        <v>400</v>
      </c>
      <c r="KE7" s="967" t="s">
        <v>134</v>
      </c>
      <c r="KF7" s="968"/>
      <c r="KG7" s="533" t="s">
        <v>400</v>
      </c>
      <c r="KH7" s="967" t="s">
        <v>134</v>
      </c>
      <c r="KI7" s="968"/>
      <c r="KJ7" s="533" t="s">
        <v>400</v>
      </c>
      <c r="KK7" s="967" t="s">
        <v>134</v>
      </c>
      <c r="KL7" s="968"/>
      <c r="KM7" s="533" t="s">
        <v>400</v>
      </c>
      <c r="KN7" s="967" t="s">
        <v>134</v>
      </c>
      <c r="KO7" s="968"/>
      <c r="KP7" s="533" t="s">
        <v>400</v>
      </c>
      <c r="KQ7" s="993" t="s">
        <v>134</v>
      </c>
      <c r="KR7" s="993"/>
      <c r="KS7" s="538" t="s">
        <v>400</v>
      </c>
      <c r="KT7" s="991"/>
      <c r="KU7" s="991"/>
    </row>
    <row r="8" spans="1:308" ht="15" customHeight="1" thickBot="1">
      <c r="A8" s="987"/>
      <c r="B8" s="971"/>
      <c r="C8" s="971"/>
      <c r="D8" s="984"/>
      <c r="E8" s="981"/>
      <c r="F8" s="534" t="s">
        <v>135</v>
      </c>
      <c r="G8" s="534" t="s">
        <v>39</v>
      </c>
      <c r="H8" s="535"/>
      <c r="I8" s="534" t="s">
        <v>135</v>
      </c>
      <c r="J8" s="534" t="s">
        <v>39</v>
      </c>
      <c r="K8" s="535"/>
      <c r="L8" s="534" t="s">
        <v>135</v>
      </c>
      <c r="M8" s="534" t="s">
        <v>39</v>
      </c>
      <c r="N8" s="535"/>
      <c r="O8" s="534" t="s">
        <v>135</v>
      </c>
      <c r="P8" s="534" t="s">
        <v>39</v>
      </c>
      <c r="Q8" s="535"/>
      <c r="R8" s="534" t="s">
        <v>135</v>
      </c>
      <c r="S8" s="534" t="s">
        <v>39</v>
      </c>
      <c r="T8" s="535"/>
      <c r="U8" s="534" t="s">
        <v>135</v>
      </c>
      <c r="V8" s="534" t="s">
        <v>39</v>
      </c>
      <c r="W8" s="535"/>
      <c r="X8" s="534" t="s">
        <v>135</v>
      </c>
      <c r="Y8" s="534" t="s">
        <v>39</v>
      </c>
      <c r="Z8" s="535"/>
      <c r="AA8" s="534" t="s">
        <v>135</v>
      </c>
      <c r="AB8" s="534" t="s">
        <v>39</v>
      </c>
      <c r="AC8" s="535"/>
      <c r="AD8" s="534" t="s">
        <v>135</v>
      </c>
      <c r="AE8" s="534" t="s">
        <v>39</v>
      </c>
      <c r="AF8" s="535"/>
      <c r="AG8" s="534" t="s">
        <v>135</v>
      </c>
      <c r="AH8" s="534" t="s">
        <v>39</v>
      </c>
      <c r="AI8" s="535"/>
      <c r="AJ8" s="534" t="s">
        <v>135</v>
      </c>
      <c r="AK8" s="534" t="s">
        <v>39</v>
      </c>
      <c r="AL8" s="535"/>
      <c r="AM8" s="534" t="s">
        <v>135</v>
      </c>
      <c r="AN8" s="534" t="s">
        <v>39</v>
      </c>
      <c r="AO8" s="535"/>
      <c r="AP8" s="534" t="s">
        <v>135</v>
      </c>
      <c r="AQ8" s="534" t="s">
        <v>39</v>
      </c>
      <c r="AR8" s="535"/>
      <c r="AS8" s="534" t="s">
        <v>135</v>
      </c>
      <c r="AT8" s="534" t="s">
        <v>39</v>
      </c>
      <c r="AU8" s="535"/>
      <c r="AV8" s="534" t="s">
        <v>135</v>
      </c>
      <c r="AW8" s="534" t="s">
        <v>39</v>
      </c>
      <c r="AX8" s="535"/>
      <c r="AY8" s="534" t="s">
        <v>135</v>
      </c>
      <c r="AZ8" s="534" t="s">
        <v>39</v>
      </c>
      <c r="BA8" s="535"/>
      <c r="BB8" s="534" t="s">
        <v>135</v>
      </c>
      <c r="BC8" s="534" t="s">
        <v>39</v>
      </c>
      <c r="BD8" s="535"/>
      <c r="BE8" s="534" t="s">
        <v>135</v>
      </c>
      <c r="BF8" s="534" t="s">
        <v>39</v>
      </c>
      <c r="BG8" s="535"/>
      <c r="BH8" s="534" t="s">
        <v>135</v>
      </c>
      <c r="BI8" s="534" t="s">
        <v>39</v>
      </c>
      <c r="BJ8" s="535"/>
      <c r="BK8" s="534" t="s">
        <v>135</v>
      </c>
      <c r="BL8" s="534" t="s">
        <v>39</v>
      </c>
      <c r="BM8" s="535"/>
      <c r="BN8" s="534" t="s">
        <v>135</v>
      </c>
      <c r="BO8" s="534" t="s">
        <v>39</v>
      </c>
      <c r="BP8" s="535"/>
      <c r="BQ8" s="534" t="s">
        <v>135</v>
      </c>
      <c r="BR8" s="534" t="s">
        <v>39</v>
      </c>
      <c r="BS8" s="535"/>
      <c r="BT8" s="534" t="s">
        <v>135</v>
      </c>
      <c r="BU8" s="534" t="s">
        <v>39</v>
      </c>
      <c r="BV8" s="535"/>
      <c r="BW8" s="534" t="s">
        <v>135</v>
      </c>
      <c r="BX8" s="534" t="s">
        <v>39</v>
      </c>
      <c r="BY8" s="535"/>
      <c r="BZ8" s="534" t="s">
        <v>135</v>
      </c>
      <c r="CA8" s="534" t="s">
        <v>39</v>
      </c>
      <c r="CB8" s="535"/>
      <c r="CC8" s="534" t="s">
        <v>135</v>
      </c>
      <c r="CD8" s="534" t="s">
        <v>39</v>
      </c>
      <c r="CE8" s="535"/>
      <c r="CF8" s="534" t="s">
        <v>135</v>
      </c>
      <c r="CG8" s="534" t="s">
        <v>39</v>
      </c>
      <c r="CH8" s="535"/>
      <c r="CI8" s="534" t="s">
        <v>135</v>
      </c>
      <c r="CJ8" s="534" t="s">
        <v>39</v>
      </c>
      <c r="CK8" s="535"/>
      <c r="CL8" s="534" t="s">
        <v>135</v>
      </c>
      <c r="CM8" s="534" t="s">
        <v>39</v>
      </c>
      <c r="CN8" s="535"/>
      <c r="CO8" s="534" t="s">
        <v>135</v>
      </c>
      <c r="CP8" s="534" t="s">
        <v>39</v>
      </c>
      <c r="CQ8" s="535"/>
      <c r="CR8" s="534" t="s">
        <v>135</v>
      </c>
      <c r="CS8" s="534" t="s">
        <v>39</v>
      </c>
      <c r="CT8" s="535"/>
      <c r="CU8" s="534" t="s">
        <v>135</v>
      </c>
      <c r="CV8" s="534" t="s">
        <v>39</v>
      </c>
      <c r="CW8" s="535"/>
      <c r="CX8" s="534" t="s">
        <v>135</v>
      </c>
      <c r="CY8" s="534" t="s">
        <v>39</v>
      </c>
      <c r="CZ8" s="535"/>
      <c r="DA8" s="534" t="s">
        <v>135</v>
      </c>
      <c r="DB8" s="534" t="s">
        <v>39</v>
      </c>
      <c r="DC8" s="535"/>
      <c r="DD8" s="534" t="s">
        <v>135</v>
      </c>
      <c r="DE8" s="534" t="s">
        <v>39</v>
      </c>
      <c r="DF8" s="535"/>
      <c r="DG8" s="534" t="s">
        <v>135</v>
      </c>
      <c r="DH8" s="534" t="s">
        <v>39</v>
      </c>
      <c r="DI8" s="535"/>
      <c r="DJ8" s="534" t="s">
        <v>135</v>
      </c>
      <c r="DK8" s="534" t="s">
        <v>39</v>
      </c>
      <c r="DL8" s="535"/>
      <c r="DM8" s="534" t="s">
        <v>135</v>
      </c>
      <c r="DN8" s="534" t="s">
        <v>39</v>
      </c>
      <c r="DO8" s="535"/>
      <c r="DP8" s="534" t="s">
        <v>135</v>
      </c>
      <c r="DQ8" s="534" t="s">
        <v>39</v>
      </c>
      <c r="DR8" s="535"/>
      <c r="DS8" s="534" t="s">
        <v>135</v>
      </c>
      <c r="DT8" s="534" t="s">
        <v>39</v>
      </c>
      <c r="DU8" s="535"/>
      <c r="DV8" s="534" t="s">
        <v>135</v>
      </c>
      <c r="DW8" s="534" t="s">
        <v>39</v>
      </c>
      <c r="DX8" s="535"/>
      <c r="DY8" s="534" t="s">
        <v>135</v>
      </c>
      <c r="DZ8" s="534" t="s">
        <v>39</v>
      </c>
      <c r="EA8" s="535"/>
      <c r="EB8" s="534" t="s">
        <v>135</v>
      </c>
      <c r="EC8" s="534" t="s">
        <v>39</v>
      </c>
      <c r="ED8" s="533"/>
      <c r="EE8" s="534" t="s">
        <v>135</v>
      </c>
      <c r="EF8" s="534" t="s">
        <v>39</v>
      </c>
      <c r="EG8" s="535"/>
      <c r="EH8" s="534" t="s">
        <v>135</v>
      </c>
      <c r="EI8" s="534" t="s">
        <v>39</v>
      </c>
      <c r="EJ8" s="535"/>
      <c r="EK8" s="534" t="s">
        <v>135</v>
      </c>
      <c r="EL8" s="534" t="s">
        <v>39</v>
      </c>
      <c r="EM8" s="535"/>
      <c r="EN8" s="534" t="s">
        <v>135</v>
      </c>
      <c r="EO8" s="534" t="s">
        <v>39</v>
      </c>
      <c r="EP8" s="535"/>
      <c r="EQ8" s="534" t="s">
        <v>135</v>
      </c>
      <c r="ER8" s="534" t="s">
        <v>39</v>
      </c>
      <c r="ES8" s="535"/>
      <c r="ET8" s="534" t="s">
        <v>135</v>
      </c>
      <c r="EU8" s="534" t="s">
        <v>39</v>
      </c>
      <c r="EV8" s="535"/>
      <c r="EW8" s="534" t="s">
        <v>135</v>
      </c>
      <c r="EX8" s="534" t="s">
        <v>39</v>
      </c>
      <c r="EY8" s="535"/>
      <c r="EZ8" s="534" t="s">
        <v>135</v>
      </c>
      <c r="FA8" s="534" t="s">
        <v>39</v>
      </c>
      <c r="FB8" s="535"/>
      <c r="FC8" s="534" t="s">
        <v>135</v>
      </c>
      <c r="FD8" s="534" t="s">
        <v>39</v>
      </c>
      <c r="FE8" s="535"/>
      <c r="FF8" s="534" t="s">
        <v>135</v>
      </c>
      <c r="FG8" s="534" t="s">
        <v>39</v>
      </c>
      <c r="FH8" s="535"/>
      <c r="FI8" s="534" t="s">
        <v>135</v>
      </c>
      <c r="FJ8" s="534" t="s">
        <v>39</v>
      </c>
      <c r="FK8" s="535"/>
      <c r="FL8" s="534" t="s">
        <v>135</v>
      </c>
      <c r="FM8" s="534" t="s">
        <v>39</v>
      </c>
      <c r="FN8" s="535"/>
      <c r="FO8" s="534" t="s">
        <v>135</v>
      </c>
      <c r="FP8" s="534" t="s">
        <v>39</v>
      </c>
      <c r="FQ8" s="535"/>
      <c r="FR8" s="534" t="s">
        <v>135</v>
      </c>
      <c r="FS8" s="534" t="s">
        <v>39</v>
      </c>
      <c r="FT8" s="535"/>
      <c r="FU8" s="534" t="s">
        <v>135</v>
      </c>
      <c r="FV8" s="534" t="s">
        <v>39</v>
      </c>
      <c r="FW8" s="535"/>
      <c r="FX8" s="534" t="s">
        <v>135</v>
      </c>
      <c r="FY8" s="534" t="s">
        <v>39</v>
      </c>
      <c r="FZ8" s="535"/>
      <c r="GA8" s="534" t="s">
        <v>135</v>
      </c>
      <c r="GB8" s="534" t="s">
        <v>39</v>
      </c>
      <c r="GC8" s="535"/>
      <c r="GD8" s="534" t="s">
        <v>135</v>
      </c>
      <c r="GE8" s="534" t="s">
        <v>39</v>
      </c>
      <c r="GF8" s="535"/>
      <c r="GG8" s="534" t="s">
        <v>135</v>
      </c>
      <c r="GH8" s="534" t="s">
        <v>39</v>
      </c>
      <c r="GI8" s="535"/>
      <c r="GJ8" s="534" t="s">
        <v>135</v>
      </c>
      <c r="GK8" s="534" t="s">
        <v>39</v>
      </c>
      <c r="GL8" s="535"/>
      <c r="GM8" s="534" t="s">
        <v>135</v>
      </c>
      <c r="GN8" s="534" t="s">
        <v>39</v>
      </c>
      <c r="GO8" s="535"/>
      <c r="GP8" s="534" t="s">
        <v>135</v>
      </c>
      <c r="GQ8" s="534" t="s">
        <v>39</v>
      </c>
      <c r="GR8" s="535"/>
      <c r="GS8" s="534" t="s">
        <v>135</v>
      </c>
      <c r="GT8" s="534" t="s">
        <v>39</v>
      </c>
      <c r="GU8" s="535"/>
      <c r="GV8" s="534" t="s">
        <v>135</v>
      </c>
      <c r="GW8" s="534" t="s">
        <v>39</v>
      </c>
      <c r="GX8" s="535"/>
      <c r="GY8" s="534" t="s">
        <v>135</v>
      </c>
      <c r="GZ8" s="534" t="s">
        <v>39</v>
      </c>
      <c r="HA8" s="535"/>
      <c r="HB8" s="534" t="s">
        <v>135</v>
      </c>
      <c r="HC8" s="534" t="s">
        <v>39</v>
      </c>
      <c r="HD8" s="535"/>
      <c r="HE8" s="534" t="s">
        <v>135</v>
      </c>
      <c r="HF8" s="534" t="s">
        <v>39</v>
      </c>
      <c r="HG8" s="535"/>
      <c r="HH8" s="534" t="s">
        <v>135</v>
      </c>
      <c r="HI8" s="534" t="s">
        <v>39</v>
      </c>
      <c r="HJ8" s="535"/>
      <c r="HK8" s="534" t="s">
        <v>135</v>
      </c>
      <c r="HL8" s="534" t="s">
        <v>39</v>
      </c>
      <c r="HM8" s="535"/>
      <c r="HN8" s="534" t="s">
        <v>135</v>
      </c>
      <c r="HO8" s="534" t="s">
        <v>39</v>
      </c>
      <c r="HP8" s="535"/>
      <c r="HQ8" s="534" t="s">
        <v>135</v>
      </c>
      <c r="HR8" s="534" t="s">
        <v>39</v>
      </c>
      <c r="HS8" s="535"/>
      <c r="HT8" s="534" t="s">
        <v>135</v>
      </c>
      <c r="HU8" s="534" t="s">
        <v>39</v>
      </c>
      <c r="HV8" s="535"/>
      <c r="HW8" s="534" t="s">
        <v>135</v>
      </c>
      <c r="HX8" s="534" t="s">
        <v>39</v>
      </c>
      <c r="HY8" s="535"/>
      <c r="HZ8" s="534" t="s">
        <v>135</v>
      </c>
      <c r="IA8" s="534" t="s">
        <v>39</v>
      </c>
      <c r="IB8" s="535"/>
      <c r="IC8" s="534" t="s">
        <v>135</v>
      </c>
      <c r="ID8" s="534" t="s">
        <v>39</v>
      </c>
      <c r="IE8" s="535"/>
      <c r="IF8" s="534" t="s">
        <v>135</v>
      </c>
      <c r="IG8" s="534" t="s">
        <v>39</v>
      </c>
      <c r="IH8" s="535"/>
      <c r="II8" s="534" t="s">
        <v>135</v>
      </c>
      <c r="IJ8" s="534" t="s">
        <v>39</v>
      </c>
      <c r="IK8" s="535"/>
      <c r="IL8" s="534" t="s">
        <v>135</v>
      </c>
      <c r="IM8" s="534" t="s">
        <v>39</v>
      </c>
      <c r="IN8" s="535"/>
      <c r="IO8" s="534" t="s">
        <v>135</v>
      </c>
      <c r="IP8" s="534" t="s">
        <v>39</v>
      </c>
      <c r="IQ8" s="535"/>
      <c r="IR8" s="534" t="s">
        <v>135</v>
      </c>
      <c r="IS8" s="534" t="s">
        <v>39</v>
      </c>
      <c r="IT8" s="535"/>
      <c r="IU8" s="534" t="s">
        <v>135</v>
      </c>
      <c r="IV8" s="534" t="s">
        <v>39</v>
      </c>
      <c r="IW8" s="535"/>
      <c r="IX8" s="534" t="s">
        <v>135</v>
      </c>
      <c r="IY8" s="534" t="s">
        <v>39</v>
      </c>
      <c r="IZ8" s="535"/>
      <c r="JA8" s="534" t="s">
        <v>135</v>
      </c>
      <c r="JB8" s="534" t="s">
        <v>39</v>
      </c>
      <c r="JC8" s="535"/>
      <c r="JD8" s="534" t="s">
        <v>135</v>
      </c>
      <c r="JE8" s="534" t="s">
        <v>39</v>
      </c>
      <c r="JF8" s="535"/>
      <c r="JG8" s="534" t="s">
        <v>135</v>
      </c>
      <c r="JH8" s="534" t="s">
        <v>39</v>
      </c>
      <c r="JI8" s="535"/>
      <c r="JJ8" s="534" t="s">
        <v>135</v>
      </c>
      <c r="JK8" s="534" t="s">
        <v>39</v>
      </c>
      <c r="JL8" s="535" t="s">
        <v>417</v>
      </c>
      <c r="JM8" s="534" t="s">
        <v>135</v>
      </c>
      <c r="JN8" s="534" t="s">
        <v>39</v>
      </c>
      <c r="JO8" s="535" t="s">
        <v>417</v>
      </c>
      <c r="JP8" s="534" t="s">
        <v>135</v>
      </c>
      <c r="JQ8" s="534" t="s">
        <v>39</v>
      </c>
      <c r="JR8" s="535" t="s">
        <v>417</v>
      </c>
      <c r="JS8" s="534" t="s">
        <v>135</v>
      </c>
      <c r="JT8" s="534" t="s">
        <v>39</v>
      </c>
      <c r="JU8" s="535" t="s">
        <v>417</v>
      </c>
      <c r="JV8" s="534" t="s">
        <v>135</v>
      </c>
      <c r="JW8" s="534" t="s">
        <v>39</v>
      </c>
      <c r="JX8" s="535" t="s">
        <v>417</v>
      </c>
      <c r="JY8" s="534" t="s">
        <v>135</v>
      </c>
      <c r="JZ8" s="534" t="s">
        <v>39</v>
      </c>
      <c r="KA8" s="535" t="s">
        <v>417</v>
      </c>
      <c r="KB8" s="534" t="s">
        <v>135</v>
      </c>
      <c r="KC8" s="534" t="s">
        <v>39</v>
      </c>
      <c r="KD8" s="535" t="s">
        <v>417</v>
      </c>
      <c r="KE8" s="534" t="s">
        <v>135</v>
      </c>
      <c r="KF8" s="534" t="s">
        <v>39</v>
      </c>
      <c r="KG8" s="535" t="s">
        <v>417</v>
      </c>
      <c r="KH8" s="534" t="s">
        <v>135</v>
      </c>
      <c r="KI8" s="534" t="s">
        <v>39</v>
      </c>
      <c r="KJ8" s="535" t="s">
        <v>417</v>
      </c>
      <c r="KK8" s="534" t="s">
        <v>135</v>
      </c>
      <c r="KL8" s="534" t="s">
        <v>39</v>
      </c>
      <c r="KM8" s="535" t="s">
        <v>417</v>
      </c>
      <c r="KN8" s="534" t="s">
        <v>135</v>
      </c>
      <c r="KO8" s="534" t="s">
        <v>39</v>
      </c>
      <c r="KP8" s="535" t="s">
        <v>417</v>
      </c>
      <c r="KQ8" s="534" t="s">
        <v>135</v>
      </c>
      <c r="KR8" s="534" t="s">
        <v>39</v>
      </c>
      <c r="KS8" s="535" t="s">
        <v>417</v>
      </c>
      <c r="KT8" s="991"/>
      <c r="KU8" s="991"/>
    </row>
    <row r="9" spans="1:308" ht="15" customHeight="1">
      <c r="A9" s="277">
        <f>+Report1!A9</f>
        <v>45839</v>
      </c>
      <c r="B9" s="278" t="str">
        <f>+Report1!B9</f>
        <v>MG</v>
      </c>
      <c r="C9" s="418" t="str">
        <f>+Report1!C9</f>
        <v>14</v>
      </c>
      <c r="D9" s="279">
        <f>+Report1!P9</f>
        <v>68.905000000000001</v>
      </c>
      <c r="E9" s="280">
        <f>+Report1!R9</f>
        <v>68.671999999999997</v>
      </c>
      <c r="F9" s="539"/>
      <c r="G9" s="540">
        <f t="shared" ref="G9:G39" si="0">+F9/$E9</f>
        <v>0</v>
      </c>
      <c r="H9" s="541">
        <f>+F9*$H$8</f>
        <v>0</v>
      </c>
      <c r="I9" s="539">
        <v>802.32558139534854</v>
      </c>
      <c r="J9" s="540">
        <f t="shared" ref="J9:J39" si="1">+I9/$E9</f>
        <v>11.683445675025462</v>
      </c>
      <c r="K9" s="541">
        <f>+I9*$H$8</f>
        <v>0</v>
      </c>
      <c r="L9" s="539"/>
      <c r="M9" s="540">
        <f t="shared" ref="M9:M39" si="2">+L9/$E9</f>
        <v>0</v>
      </c>
      <c r="N9" s="541">
        <f>+L9*$H$8</f>
        <v>0</v>
      </c>
      <c r="O9" s="539">
        <v>5.9999999999999716</v>
      </c>
      <c r="P9" s="540">
        <f t="shared" ref="P9:P39" si="3">+O9/$E9</f>
        <v>8.7371854613233518E-2</v>
      </c>
      <c r="Q9" s="541">
        <f>+O9*$H$8</f>
        <v>0</v>
      </c>
      <c r="R9" s="539"/>
      <c r="S9" s="540">
        <f t="shared" ref="S9:S39" si="4">+R9/$E9</f>
        <v>0</v>
      </c>
      <c r="T9" s="541">
        <f>+R9*$H$8</f>
        <v>0</v>
      </c>
      <c r="U9" s="539">
        <v>5.125</v>
      </c>
      <c r="V9" s="540">
        <f t="shared" ref="V9:V39" si="5">+U9/$E9</f>
        <v>7.4630125815470641E-2</v>
      </c>
      <c r="W9" s="541">
        <f>+U9*$H$8</f>
        <v>0</v>
      </c>
      <c r="X9" s="539"/>
      <c r="Y9" s="540">
        <f t="shared" ref="Y9:Y39" si="6">+X9/$E9</f>
        <v>0</v>
      </c>
      <c r="Z9" s="541">
        <f>+X9*$H$8</f>
        <v>0</v>
      </c>
      <c r="AA9" s="539"/>
      <c r="AB9" s="540">
        <f t="shared" ref="AB9:AB39" si="7">+AA9/$E9</f>
        <v>0</v>
      </c>
      <c r="AC9" s="541">
        <f>+AA9*$H$8</f>
        <v>0</v>
      </c>
      <c r="AD9" s="539"/>
      <c r="AE9" s="540">
        <f t="shared" ref="AE9:AE39" si="8">+AD9/$E9</f>
        <v>0</v>
      </c>
      <c r="AF9" s="541">
        <f>+AD9*$H$8</f>
        <v>0</v>
      </c>
      <c r="AG9" s="539"/>
      <c r="AH9" s="540">
        <f t="shared" ref="AH9:AH39" si="9">+AG9/$E9</f>
        <v>0</v>
      </c>
      <c r="AI9" s="541">
        <f>+AG9*$H$8</f>
        <v>0</v>
      </c>
      <c r="AJ9" s="539">
        <v>0</v>
      </c>
      <c r="AK9" s="540">
        <f t="shared" ref="AK9:AK39" si="10">+AJ9/$E9</f>
        <v>0</v>
      </c>
      <c r="AL9" s="541">
        <f>+AJ9*$H$8</f>
        <v>0</v>
      </c>
      <c r="AM9" s="539"/>
      <c r="AN9" s="540">
        <f t="shared" ref="AN9:AN39" si="11">+AM9/$E9</f>
        <v>0</v>
      </c>
      <c r="AO9" s="541">
        <f>+AM9*$H$8</f>
        <v>0</v>
      </c>
      <c r="AP9" s="539">
        <v>0</v>
      </c>
      <c r="AQ9" s="540">
        <f t="shared" ref="AQ9:AQ39" si="12">+AP9/$E9</f>
        <v>0</v>
      </c>
      <c r="AR9" s="541">
        <f>+AP9*$H$8</f>
        <v>0</v>
      </c>
      <c r="AS9" s="539"/>
      <c r="AT9" s="540">
        <f t="shared" ref="AT9:AT39" si="13">+AS9/$E9</f>
        <v>0</v>
      </c>
      <c r="AU9" s="541">
        <f>+AS9*$H$8</f>
        <v>0</v>
      </c>
      <c r="AV9" s="539">
        <v>8.3250000000000171</v>
      </c>
      <c r="AW9" s="540">
        <f t="shared" ref="AW9:AW39" si="14">+AV9/$E9</f>
        <v>0.12122844827586232</v>
      </c>
      <c r="AX9" s="541">
        <f>+AV9*$H$8</f>
        <v>0</v>
      </c>
      <c r="AY9" s="539">
        <v>0</v>
      </c>
      <c r="AZ9" s="540">
        <f t="shared" ref="AZ9:AZ39" si="15">+AY9/$E9</f>
        <v>0</v>
      </c>
      <c r="BA9" s="541">
        <f>+AY9*$H$8</f>
        <v>0</v>
      </c>
      <c r="BB9" s="539">
        <v>72.333333333333314</v>
      </c>
      <c r="BC9" s="540">
        <f t="shared" ref="BC9:BC39" si="16">+BB9/$E9</f>
        <v>1.0533162472817643</v>
      </c>
      <c r="BD9" s="541">
        <f>+BB9*$H$8</f>
        <v>0</v>
      </c>
      <c r="BE9" s="539"/>
      <c r="BF9" s="540">
        <f t="shared" ref="BF9:BF39" si="17">+BE9/$E9</f>
        <v>0</v>
      </c>
      <c r="BG9" s="541">
        <f>+BE9*$H$8</f>
        <v>0</v>
      </c>
      <c r="BH9" s="539"/>
      <c r="BI9" s="540">
        <f t="shared" ref="BI9:BI39" si="18">+BH9/$E9</f>
        <v>0</v>
      </c>
      <c r="BJ9" s="541">
        <f>+BH9*$H$8</f>
        <v>0</v>
      </c>
      <c r="BK9" s="539"/>
      <c r="BL9" s="540">
        <f t="shared" ref="BL9:BL39" si="19">+BK9/$E9</f>
        <v>0</v>
      </c>
      <c r="BM9" s="541">
        <f>+BK9*$H$8</f>
        <v>0</v>
      </c>
      <c r="BN9" s="539">
        <v>10.123456790123456</v>
      </c>
      <c r="BO9" s="540">
        <f t="shared" ref="BO9:BO39" si="20">+BN9/$E9</f>
        <v>0.14741753247500372</v>
      </c>
      <c r="BP9" s="541">
        <f>+BN9*$H$8</f>
        <v>0</v>
      </c>
      <c r="BQ9" s="539">
        <v>0</v>
      </c>
      <c r="BR9" s="540">
        <f t="shared" ref="BR9:BR39" si="21">+BQ9/$E9</f>
        <v>0</v>
      </c>
      <c r="BS9" s="541">
        <f>+BQ9*$H$8</f>
        <v>0</v>
      </c>
      <c r="BT9" s="539"/>
      <c r="BU9" s="540">
        <f t="shared" ref="BU9:BU39" si="22">+BT9/$E9</f>
        <v>0</v>
      </c>
      <c r="BV9" s="541">
        <f>+BT9*$H$8</f>
        <v>0</v>
      </c>
      <c r="BW9" s="539">
        <v>0.68000000000000682</v>
      </c>
      <c r="BX9" s="540">
        <f t="shared" ref="BX9:BX39" si="23">+BW9/$E9</f>
        <v>9.9021435228332771E-3</v>
      </c>
      <c r="BY9" s="541">
        <f>+BW9*$H$8</f>
        <v>0</v>
      </c>
      <c r="BZ9" s="539">
        <v>0</v>
      </c>
      <c r="CA9" s="540">
        <f t="shared" ref="CA9:CA39" si="24">+BZ9/$E9</f>
        <v>0</v>
      </c>
      <c r="CB9" s="541">
        <f>+BZ9*$H$8</f>
        <v>0</v>
      </c>
      <c r="CC9" s="539">
        <v>6.25</v>
      </c>
      <c r="CD9" s="540">
        <f t="shared" ref="CD9:CD39" si="25">+CC9/$E9</f>
        <v>9.1012348555452011E-2</v>
      </c>
      <c r="CE9" s="541">
        <f>+CC9*$H$8</f>
        <v>0</v>
      </c>
      <c r="CF9" s="539">
        <v>9.9999999999999978E-2</v>
      </c>
      <c r="CG9" s="540">
        <f t="shared" ref="CG9:CG39" si="26">+CF9/$E9</f>
        <v>1.4561975768872318E-3</v>
      </c>
      <c r="CH9" s="541">
        <f>+CF9*$H$8</f>
        <v>0</v>
      </c>
      <c r="CI9" s="539">
        <v>0</v>
      </c>
      <c r="CJ9" s="540">
        <f t="shared" ref="CJ9:CJ39" si="27">+CI9/$E9</f>
        <v>0</v>
      </c>
      <c r="CK9" s="541">
        <f>+CI9*$H$8</f>
        <v>0</v>
      </c>
      <c r="CL9" s="539"/>
      <c r="CM9" s="540">
        <f t="shared" ref="CM9:CM39" si="28">+CL9/$E9</f>
        <v>0</v>
      </c>
      <c r="CN9" s="541">
        <f>+CL9*$H$8</f>
        <v>0</v>
      </c>
      <c r="CO9" s="539"/>
      <c r="CP9" s="540">
        <f t="shared" ref="CP9:CP39" si="29">+CO9/$E9</f>
        <v>0</v>
      </c>
      <c r="CQ9" s="541">
        <f>+CO9*$H$8</f>
        <v>0</v>
      </c>
      <c r="CR9" s="539"/>
      <c r="CS9" s="540">
        <f t="shared" ref="CS9:CS39" si="30">+CR9/$E9</f>
        <v>0</v>
      </c>
      <c r="CT9" s="541">
        <f>+CR9*$H$8</f>
        <v>0</v>
      </c>
      <c r="CU9" s="539"/>
      <c r="CV9" s="540">
        <f t="shared" ref="CV9:CV39" si="31">+CU9/$E9</f>
        <v>0</v>
      </c>
      <c r="CW9" s="541">
        <f>+CU9*$H$8</f>
        <v>0</v>
      </c>
      <c r="CX9" s="539"/>
      <c r="CY9" s="540">
        <f t="shared" ref="CY9:CY39" si="32">+CX9/$E9</f>
        <v>0</v>
      </c>
      <c r="CZ9" s="541">
        <f>+CX9*$H$8</f>
        <v>0</v>
      </c>
      <c r="DA9" s="539"/>
      <c r="DB9" s="540">
        <f t="shared" ref="DB9:DB39" si="33">+DA9/$E9</f>
        <v>0</v>
      </c>
      <c r="DC9" s="541">
        <f>+DA9*$H$8</f>
        <v>0</v>
      </c>
      <c r="DD9" s="539"/>
      <c r="DE9" s="540">
        <f t="shared" ref="DE9:DE39" si="34">+DD9/$E9</f>
        <v>0</v>
      </c>
      <c r="DF9" s="541">
        <f>+DD9*$H$8</f>
        <v>0</v>
      </c>
      <c r="DG9" s="539">
        <v>4.7250000000000014</v>
      </c>
      <c r="DH9" s="540">
        <f t="shared" ref="DH9:DH39" si="35">+DG9/$E9</f>
        <v>6.8805335507921742E-2</v>
      </c>
      <c r="DI9" s="541">
        <v>0</v>
      </c>
      <c r="DJ9" s="539"/>
      <c r="DK9" s="540">
        <f t="shared" ref="DK9:DK39" si="36">+DJ9/$E9</f>
        <v>0</v>
      </c>
      <c r="DL9" s="541">
        <f>+DJ9*$H$8</f>
        <v>0</v>
      </c>
      <c r="DM9" s="539"/>
      <c r="DN9" s="540">
        <f t="shared" ref="DN9:DN39" si="37">+DM9/$E9</f>
        <v>0</v>
      </c>
      <c r="DO9" s="541">
        <f>+DM9*$H$8</f>
        <v>0</v>
      </c>
      <c r="DP9" s="539"/>
      <c r="DQ9" s="540">
        <f t="shared" ref="DQ9:DQ39" si="38">+DP9/$E9</f>
        <v>0</v>
      </c>
      <c r="DR9" s="541">
        <f>+DP9*$H$8</f>
        <v>0</v>
      </c>
      <c r="DS9" s="539"/>
      <c r="DT9" s="540">
        <f t="shared" ref="DT9:DT39" si="39">+DS9/$E9</f>
        <v>0</v>
      </c>
      <c r="DU9" s="541">
        <f>+DS9*$H$8</f>
        <v>0</v>
      </c>
      <c r="DV9" s="539"/>
      <c r="DW9" s="540">
        <f t="shared" ref="DW9:DW39" si="40">+DV9/$E9</f>
        <v>0</v>
      </c>
      <c r="DX9" s="541">
        <f>+DV9*$H$8</f>
        <v>0</v>
      </c>
      <c r="DY9" s="539"/>
      <c r="DZ9" s="540">
        <f t="shared" ref="DZ9:DZ39" si="41">+DY9/$E9</f>
        <v>0</v>
      </c>
      <c r="EA9" s="541">
        <f>+DY9*$H$8</f>
        <v>0</v>
      </c>
      <c r="EB9" s="539">
        <v>14.534883720930338</v>
      </c>
      <c r="EC9" s="540">
        <f t="shared" ref="EC9:EC39" si="42">+EB9/$E9</f>
        <v>0.21165662454756434</v>
      </c>
      <c r="ED9" s="541">
        <f>+EB9*$H$8</f>
        <v>0</v>
      </c>
      <c r="EE9" s="539">
        <v>3</v>
      </c>
      <c r="EF9" s="540">
        <f t="shared" ref="EF9:EF39" si="43">+EE9/$E9</f>
        <v>4.368592730661696E-2</v>
      </c>
      <c r="EG9" s="541">
        <f>+EE9*$H$8</f>
        <v>0</v>
      </c>
      <c r="EH9" s="539"/>
      <c r="EI9" s="540">
        <f t="shared" ref="EI9:EI39" si="44">+EH9/$E9</f>
        <v>0</v>
      </c>
      <c r="EJ9" s="541">
        <f>+EH9*$H$8</f>
        <v>0</v>
      </c>
      <c r="EK9" s="539"/>
      <c r="EL9" s="540">
        <f t="shared" ref="EL9:EL39" si="45">+EK9/$E9</f>
        <v>0</v>
      </c>
      <c r="EM9" s="541">
        <f>+EK9*$H$8</f>
        <v>0</v>
      </c>
      <c r="EN9" s="539"/>
      <c r="EO9" s="540">
        <f t="shared" ref="EO9:EO39" si="46">+EN9/$E9</f>
        <v>0</v>
      </c>
      <c r="EP9" s="541">
        <f>+EN9*$H$8</f>
        <v>0</v>
      </c>
      <c r="EQ9" s="539"/>
      <c r="ER9" s="540">
        <f t="shared" ref="ER9:ER39" si="47">+EQ9/$E9</f>
        <v>0</v>
      </c>
      <c r="ES9" s="541">
        <f>+EQ9*$H$8</f>
        <v>0</v>
      </c>
      <c r="ET9" s="539"/>
      <c r="EU9" s="540">
        <f t="shared" ref="EU9:EU39" si="48">+ET9/$E9</f>
        <v>0</v>
      </c>
      <c r="EV9" s="541">
        <f>+ET9*$H$8</f>
        <v>0</v>
      </c>
      <c r="EW9" s="539"/>
      <c r="EX9" s="540">
        <f t="shared" ref="EX9:EX39" si="49">+EW9/$E9</f>
        <v>0</v>
      </c>
      <c r="EY9" s="541">
        <f>+EW9*$H$8</f>
        <v>0</v>
      </c>
      <c r="EZ9" s="539"/>
      <c r="FA9" s="540">
        <f t="shared" ref="FA9:FA39" si="50">+EZ9/$E9</f>
        <v>0</v>
      </c>
      <c r="FB9" s="541">
        <f>+EZ9*$H$8</f>
        <v>0</v>
      </c>
      <c r="FC9" s="539"/>
      <c r="FD9" s="540">
        <f t="shared" ref="FD9:FD39" si="51">+FC9/$E9</f>
        <v>0</v>
      </c>
      <c r="FE9" s="541">
        <f>+FC9*$H$8</f>
        <v>0</v>
      </c>
      <c r="FF9" s="539"/>
      <c r="FG9" s="540">
        <f t="shared" ref="FG9:FG39" si="52">+FF9/$E9</f>
        <v>0</v>
      </c>
      <c r="FH9" s="541">
        <f>+FF9*$H$8</f>
        <v>0</v>
      </c>
      <c r="FI9" s="539"/>
      <c r="FJ9" s="540">
        <f t="shared" ref="FJ9:FJ39" si="53">+FI9/$E9</f>
        <v>0</v>
      </c>
      <c r="FK9" s="541">
        <f>+FI9*$H$8</f>
        <v>0</v>
      </c>
      <c r="FL9" s="539"/>
      <c r="FM9" s="540">
        <f t="shared" ref="FM9:FM39" si="54">+FL9/$E9</f>
        <v>0</v>
      </c>
      <c r="FN9" s="541">
        <f>+FL9*$H$8</f>
        <v>0</v>
      </c>
      <c r="FO9" s="539"/>
      <c r="FP9" s="540">
        <f t="shared" ref="FP9:FP39" si="55">+FO9/$E9</f>
        <v>0</v>
      </c>
      <c r="FQ9" s="541">
        <f>+FO9*$H$8</f>
        <v>0</v>
      </c>
      <c r="FR9" s="539"/>
      <c r="FS9" s="540">
        <f t="shared" ref="FS9:FS39" si="56">+FR9/$E9</f>
        <v>0</v>
      </c>
      <c r="FT9" s="541">
        <f>+FR9*$H$8</f>
        <v>0</v>
      </c>
      <c r="FU9" s="539"/>
      <c r="FV9" s="540">
        <f t="shared" ref="FV9:FV39" si="57">+FU9/$E9</f>
        <v>0</v>
      </c>
      <c r="FW9" s="541">
        <f>+FU9*$H$8</f>
        <v>0</v>
      </c>
      <c r="FX9" s="539"/>
      <c r="FY9" s="540">
        <f t="shared" ref="FY9:FY39" si="58">+FX9/$E9</f>
        <v>0</v>
      </c>
      <c r="FZ9" s="541">
        <f>+FX9*$H$8</f>
        <v>0</v>
      </c>
      <c r="GA9" s="539"/>
      <c r="GB9" s="540">
        <f t="shared" ref="GB9:GB39" si="59">+GA9/$E9</f>
        <v>0</v>
      </c>
      <c r="GC9" s="541">
        <f>+GA9*$H$8</f>
        <v>0</v>
      </c>
      <c r="GD9" s="539"/>
      <c r="GE9" s="540">
        <f t="shared" ref="GE9:GE39" si="60">+GD9/$E9</f>
        <v>0</v>
      </c>
      <c r="GF9" s="541">
        <f>+GD9*$H$8</f>
        <v>0</v>
      </c>
      <c r="GG9" s="539"/>
      <c r="GH9" s="540">
        <f t="shared" ref="GH9:GH39" si="61">+GG9/$E9</f>
        <v>0</v>
      </c>
      <c r="GI9" s="541">
        <f>+GG9*$H$8</f>
        <v>0</v>
      </c>
      <c r="GJ9" s="539"/>
      <c r="GK9" s="540">
        <f t="shared" ref="GK9:GK39" si="62">+GJ9/$E9</f>
        <v>0</v>
      </c>
      <c r="GL9" s="541">
        <f>+GJ9*$H$8</f>
        <v>0</v>
      </c>
      <c r="GM9" s="539"/>
      <c r="GN9" s="540">
        <f t="shared" ref="GN9:GN39" si="63">+GM9/$E9</f>
        <v>0</v>
      </c>
      <c r="GO9" s="541">
        <f>+GM9*$H$8</f>
        <v>0</v>
      </c>
      <c r="GP9" s="539"/>
      <c r="GQ9" s="540">
        <f t="shared" ref="GQ9:GQ39" si="64">+GP9/$E9</f>
        <v>0</v>
      </c>
      <c r="GR9" s="541">
        <f>+GP9*$H$8</f>
        <v>0</v>
      </c>
      <c r="GS9" s="539"/>
      <c r="GT9" s="540">
        <f t="shared" ref="GT9:GT39" si="65">+GS9/$E9</f>
        <v>0</v>
      </c>
      <c r="GU9" s="541">
        <f>+GS9*$H$8</f>
        <v>0</v>
      </c>
      <c r="GV9" s="539"/>
      <c r="GW9" s="540">
        <f t="shared" ref="GW9:GW39" si="66">+GV9/$E9</f>
        <v>0</v>
      </c>
      <c r="GX9" s="541">
        <f>+GV9*$H$8</f>
        <v>0</v>
      </c>
      <c r="GY9" s="539"/>
      <c r="GZ9" s="540">
        <f t="shared" ref="GZ9:GZ39" si="67">+GY9/$E9</f>
        <v>0</v>
      </c>
      <c r="HA9" s="541">
        <f>+GY9*$H$8</f>
        <v>0</v>
      </c>
      <c r="HB9" s="539"/>
      <c r="HC9" s="540">
        <f t="shared" ref="HC9:HC39" si="68">+HB9/$E9</f>
        <v>0</v>
      </c>
      <c r="HD9" s="541">
        <f>+HB9*$H$8</f>
        <v>0</v>
      </c>
      <c r="HE9" s="539"/>
      <c r="HF9" s="540">
        <f t="shared" ref="HF9:HF39" si="69">+HE9/$E9</f>
        <v>0</v>
      </c>
      <c r="HG9" s="541">
        <f>+HE9*$H$8</f>
        <v>0</v>
      </c>
      <c r="HH9" s="539"/>
      <c r="HI9" s="540">
        <f t="shared" ref="HI9:HI39" si="70">+HH9/$E9</f>
        <v>0</v>
      </c>
      <c r="HJ9" s="541">
        <f>+HH9*$H$8</f>
        <v>0</v>
      </c>
      <c r="HK9" s="539"/>
      <c r="HL9" s="540">
        <f t="shared" ref="HL9:HL39" si="71">+HK9/$E9</f>
        <v>0</v>
      </c>
      <c r="HM9" s="541">
        <f>+HK9*$H$8</f>
        <v>0</v>
      </c>
      <c r="HN9" s="539"/>
      <c r="HO9" s="540">
        <f t="shared" ref="HO9:HO39" si="72">+HN9/$E9</f>
        <v>0</v>
      </c>
      <c r="HP9" s="541">
        <f>+HN9*$H$8</f>
        <v>0</v>
      </c>
      <c r="HQ9" s="539"/>
      <c r="HR9" s="540">
        <f t="shared" ref="HR9:HR39" si="73">+HQ9/$E9</f>
        <v>0</v>
      </c>
      <c r="HS9" s="541">
        <f>+HQ9*$H$8</f>
        <v>0</v>
      </c>
      <c r="HT9" s="539"/>
      <c r="HU9" s="540">
        <f t="shared" ref="HU9:HU39" si="74">+HT9/$E9</f>
        <v>0</v>
      </c>
      <c r="HV9" s="541">
        <f>+HT9*$H$8</f>
        <v>0</v>
      </c>
      <c r="HW9" s="539"/>
      <c r="HX9" s="540">
        <f t="shared" ref="HX9:HX39" si="75">+HW9/$E9</f>
        <v>0</v>
      </c>
      <c r="HY9" s="541">
        <f>+HW9*$H$8</f>
        <v>0</v>
      </c>
      <c r="HZ9" s="539"/>
      <c r="IA9" s="540">
        <f t="shared" ref="IA9:IA39" si="76">+HZ9/$E9</f>
        <v>0</v>
      </c>
      <c r="IB9" s="541">
        <f>+HZ9*$H$8</f>
        <v>0</v>
      </c>
      <c r="IC9" s="539"/>
      <c r="ID9" s="540">
        <f t="shared" ref="ID9:ID39" si="77">+IC9/$E9</f>
        <v>0</v>
      </c>
      <c r="IE9" s="541">
        <f>+IC9*$H$8</f>
        <v>0</v>
      </c>
      <c r="IF9" s="539"/>
      <c r="IG9" s="540">
        <f t="shared" ref="IG9:IG39" si="78">+IF9/$E9</f>
        <v>0</v>
      </c>
      <c r="IH9" s="541">
        <f>+IF9*$H$8</f>
        <v>0</v>
      </c>
      <c r="II9" s="539"/>
      <c r="IJ9" s="540">
        <f t="shared" ref="IJ9:IJ39" si="79">+II9/$E9</f>
        <v>0</v>
      </c>
      <c r="IK9" s="541">
        <f>+II9*$H$8</f>
        <v>0</v>
      </c>
      <c r="IL9" s="539"/>
      <c r="IM9" s="540">
        <f t="shared" ref="IM9:IM39" si="80">+IL9/$E9</f>
        <v>0</v>
      </c>
      <c r="IN9" s="541">
        <f>+IL9*$H$8</f>
        <v>0</v>
      </c>
      <c r="IO9" s="539"/>
      <c r="IP9" s="540">
        <f t="shared" ref="IP9:IP39" si="81">+IO9/$E9</f>
        <v>0</v>
      </c>
      <c r="IQ9" s="541">
        <f>+IO9*$H$8</f>
        <v>0</v>
      </c>
      <c r="IR9" s="539"/>
      <c r="IS9" s="540">
        <f t="shared" ref="IS9:IS39" si="82">+IR9/$E9</f>
        <v>0</v>
      </c>
      <c r="IT9" s="541">
        <f>+IR9*$H$8</f>
        <v>0</v>
      </c>
      <c r="IU9" s="539"/>
      <c r="IV9" s="540">
        <f t="shared" ref="IV9:IV39" si="83">+IU9/$E9</f>
        <v>0</v>
      </c>
      <c r="IW9" s="541">
        <f>+IU9*$H$8</f>
        <v>0</v>
      </c>
      <c r="IX9" s="539"/>
      <c r="IY9" s="540">
        <f t="shared" ref="IY9:IY39" si="84">+IX9/$E9</f>
        <v>0</v>
      </c>
      <c r="IZ9" s="541">
        <f>+IX9*$H$8</f>
        <v>0</v>
      </c>
      <c r="JA9" s="539"/>
      <c r="JB9" s="540">
        <f t="shared" ref="JB9:JB39" si="85">+JA9/$E9</f>
        <v>0</v>
      </c>
      <c r="JC9" s="541">
        <f>+JA9*$H$8</f>
        <v>0</v>
      </c>
      <c r="JD9" s="539"/>
      <c r="JE9" s="540">
        <f t="shared" ref="JE9:JE39" si="86">+JD9/$E9</f>
        <v>0</v>
      </c>
      <c r="JF9" s="541">
        <f>+JD9*$H$8</f>
        <v>0</v>
      </c>
      <c r="JG9" s="539"/>
      <c r="JH9" s="540">
        <f t="shared" ref="JH9:JH39" si="87">+JG9/$E9</f>
        <v>0</v>
      </c>
      <c r="JI9" s="541">
        <f>+JG9*$H$8</f>
        <v>0</v>
      </c>
      <c r="JJ9" s="539"/>
      <c r="JK9" s="541" t="str">
        <f t="shared" ref="JK9:JK39" si="88">IFERROR((JJ9/$L9),"0")</f>
        <v>0</v>
      </c>
      <c r="JL9" s="541" t="str">
        <f t="shared" ref="JL9:JL39" si="89">IFERROR(((JJ9*JL$8)/$L9),"0")</f>
        <v>0</v>
      </c>
      <c r="JM9" s="539"/>
      <c r="JN9" s="541" t="str">
        <f t="shared" ref="JN9:JN39" si="90">IFERROR((JM9/$L9),"0")</f>
        <v>0</v>
      </c>
      <c r="JO9" s="541" t="str">
        <f t="shared" ref="JO9:JO39" si="91">IFERROR(((JM9*JO$8)/$L9),"0")</f>
        <v>0</v>
      </c>
      <c r="JP9" s="539"/>
      <c r="JQ9" s="541" t="str">
        <f t="shared" ref="JQ9:JQ39" si="92">IFERROR((JP9/$L9),"0")</f>
        <v>0</v>
      </c>
      <c r="JR9" s="541" t="str">
        <f t="shared" ref="JR9:JR39" si="93">IFERROR(((JP9*JR$8)/$L9),"0")</f>
        <v>0</v>
      </c>
      <c r="JS9" s="539"/>
      <c r="JT9" s="541" t="str">
        <f t="shared" ref="JT9:JT39" si="94">IFERROR((JS9/$L9),"0")</f>
        <v>0</v>
      </c>
      <c r="JU9" s="541" t="str">
        <f t="shared" ref="JU9:JU39" si="95">IFERROR(((JS9*JU$8)/$L9),"0")</f>
        <v>0</v>
      </c>
      <c r="JV9" s="539"/>
      <c r="JW9" s="541" t="str">
        <f t="shared" ref="JW9:JW39" si="96">IFERROR((JV9/$L9),"0")</f>
        <v>0</v>
      </c>
      <c r="JX9" s="541" t="str">
        <f t="shared" ref="JX9:JX39" si="97">IFERROR(((JV9*JX$8)/$L9),"0")</f>
        <v>0</v>
      </c>
      <c r="JY9" s="539"/>
      <c r="JZ9" s="541" t="str">
        <f t="shared" ref="JZ9:JZ39" si="98">IFERROR((JY9/$L9),"0")</f>
        <v>0</v>
      </c>
      <c r="KA9" s="541" t="str">
        <f t="shared" ref="KA9:KA39" si="99">IFERROR(((JY9*KA$8)/$L9),"0")</f>
        <v>0</v>
      </c>
      <c r="KB9" s="539"/>
      <c r="KC9" s="541" t="str">
        <f t="shared" ref="KC9:KC39" si="100">IFERROR((KB9/$L9),"0")</f>
        <v>0</v>
      </c>
      <c r="KD9" s="541" t="str">
        <f t="shared" ref="KD9:KD39" si="101">IFERROR(((KB9*KD$8)/$L9),"0")</f>
        <v>0</v>
      </c>
      <c r="KE9" s="539"/>
      <c r="KF9" s="541" t="str">
        <f t="shared" ref="KF9:KF39" si="102">IFERROR((KE9/$L9),"0")</f>
        <v>0</v>
      </c>
      <c r="KG9" s="541" t="str">
        <f t="shared" ref="KG9:KG39" si="103">IFERROR(((KE9*KG$8)/$L9),"0")</f>
        <v>0</v>
      </c>
      <c r="KH9" s="539"/>
      <c r="KI9" s="541" t="str">
        <f t="shared" ref="KI9:KI39" si="104">IFERROR((KH9/$L9),"0")</f>
        <v>0</v>
      </c>
      <c r="KJ9" s="541" t="str">
        <f t="shared" ref="KJ9:KJ39" si="105">IFERROR(((KH9*KJ$8)/$L9),"0")</f>
        <v>0</v>
      </c>
      <c r="KK9" s="539"/>
      <c r="KL9" s="541" t="str">
        <f t="shared" ref="KL9:KL39" si="106">IFERROR((KK9/$L9),"0")</f>
        <v>0</v>
      </c>
      <c r="KM9" s="541" t="str">
        <f t="shared" ref="KM9:KM39" si="107">IFERROR(((KK9*KM$8)/$L9),"0")</f>
        <v>0</v>
      </c>
      <c r="KN9" s="539"/>
      <c r="KO9" s="541" t="str">
        <f t="shared" ref="KO9:KO39" si="108">IFERROR((KN9/$L9),"0")</f>
        <v>0</v>
      </c>
      <c r="KP9" s="541" t="str">
        <f t="shared" ref="KP9:KP39" si="109">IFERROR(((KN9*KP$8)/$L9),"0")</f>
        <v>0</v>
      </c>
      <c r="KQ9" s="539"/>
      <c r="KR9" s="541" t="str">
        <f t="shared" ref="KR9:KR39" si="110">IFERROR((KQ9/$L9),"0")</f>
        <v>0</v>
      </c>
      <c r="KS9" s="541" t="str">
        <f t="shared" ref="KS9:KS39" si="111">IFERROR(((KQ9*KS$8)/$L9),"0")</f>
        <v>0</v>
      </c>
      <c r="KT9" s="541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41">
        <f>GF9+GI9+GL9+GO9+GR9+GU9+GX9+HA9+HD9+HG9+HJ9+HM9+HP9+HS9+HV9+HY9+IB9+IE9+IH9+IK9+IN9+IQ9+IT9+IW9+IZ9+JC9+JF9+JI9+JL9+JO9+JR9+JU9+JX9++KA9+KD9+KG9+KJ9++KM9+KP9+KS9</f>
        <v>0</v>
      </c>
      <c r="KV9" s="275">
        <f>+F9+I9+L9+O9+R9+U9+X9+AA9+AD9+AG9+AJ9+AM9+AP9+AS9+AV9+AY9+BB9+BE9+BH9+BK9+BN9+BQ9+BT9+BW9+BZ9+CC9+CF9+CI9+CL9+CO9+CR9+CU9+CX9+DA9+DD9+DJ9+DM9+DP9+DS9+DV9+DY9+EB9+DG9+EE9</f>
        <v>933.52225523973561</v>
      </c>
    </row>
    <row r="10" spans="1:308" ht="15" customHeight="1">
      <c r="A10" s="277">
        <f>+A9+1</f>
        <v>45840</v>
      </c>
      <c r="B10" s="278" t="str">
        <f>+Report1!B10</f>
        <v>MG</v>
      </c>
      <c r="C10" s="418" t="str">
        <f>+Report1!C10</f>
        <v>14</v>
      </c>
      <c r="D10" s="279">
        <f>+Report1!P10</f>
        <v>68.865999999999985</v>
      </c>
      <c r="E10" s="280">
        <f>+Report1!R10</f>
        <v>69.626999999999995</v>
      </c>
      <c r="F10" s="539"/>
      <c r="G10" s="540">
        <f t="shared" si="0"/>
        <v>0</v>
      </c>
      <c r="H10" s="541">
        <f t="shared" ref="H10:H39" si="112">+F10*$H$8</f>
        <v>0</v>
      </c>
      <c r="I10" s="539">
        <v>837.20930232558146</v>
      </c>
      <c r="J10" s="540">
        <f t="shared" si="1"/>
        <v>12.024204724109634</v>
      </c>
      <c r="K10" s="541">
        <f t="shared" ref="K10:K39" si="113">+I10*$H$8</f>
        <v>0</v>
      </c>
      <c r="L10" s="539"/>
      <c r="M10" s="540">
        <f t="shared" si="2"/>
        <v>0</v>
      </c>
      <c r="N10" s="541">
        <f t="shared" ref="N10:N39" si="114">+L10*$H$8</f>
        <v>0</v>
      </c>
      <c r="O10" s="539">
        <v>6</v>
      </c>
      <c r="P10" s="540">
        <f t="shared" si="3"/>
        <v>8.6173467189452374E-2</v>
      </c>
      <c r="Q10" s="541">
        <f t="shared" ref="Q10:Q39" si="115">+O10*$H$8</f>
        <v>0</v>
      </c>
      <c r="R10" s="539"/>
      <c r="S10" s="540">
        <f t="shared" si="4"/>
        <v>0</v>
      </c>
      <c r="T10" s="541">
        <f t="shared" ref="T10:T39" si="116">+R10*$H$8</f>
        <v>0</v>
      </c>
      <c r="U10" s="539">
        <v>5.1249999999999858</v>
      </c>
      <c r="V10" s="540">
        <f t="shared" si="5"/>
        <v>7.3606503224323702E-2</v>
      </c>
      <c r="W10" s="541">
        <f t="shared" ref="W10:W39" si="117">+U10*$H$8</f>
        <v>0</v>
      </c>
      <c r="X10" s="539"/>
      <c r="Y10" s="540">
        <f t="shared" si="6"/>
        <v>0</v>
      </c>
      <c r="Z10" s="541">
        <f t="shared" ref="Z10:Z39" si="118">+X10*$H$8</f>
        <v>0</v>
      </c>
      <c r="AA10" s="539"/>
      <c r="AB10" s="540">
        <f t="shared" si="7"/>
        <v>0</v>
      </c>
      <c r="AC10" s="541">
        <f t="shared" ref="AC10:AC39" si="119">+AA10*$H$8</f>
        <v>0</v>
      </c>
      <c r="AD10" s="539"/>
      <c r="AE10" s="540">
        <f t="shared" si="8"/>
        <v>0</v>
      </c>
      <c r="AF10" s="541">
        <f t="shared" ref="AF10:AF39" si="120">+AD10*$H$8</f>
        <v>0</v>
      </c>
      <c r="AG10" s="539"/>
      <c r="AH10" s="540">
        <f t="shared" si="9"/>
        <v>0</v>
      </c>
      <c r="AI10" s="541">
        <f t="shared" ref="AI10:AI39" si="121">+AG10*$H$8</f>
        <v>0</v>
      </c>
      <c r="AJ10" s="539">
        <v>0</v>
      </c>
      <c r="AK10" s="540">
        <f t="shared" si="10"/>
        <v>0</v>
      </c>
      <c r="AL10" s="541">
        <f t="shared" ref="AL10:AL39" si="122">+AJ10*$H$8</f>
        <v>0</v>
      </c>
      <c r="AM10" s="539"/>
      <c r="AN10" s="540">
        <f t="shared" si="11"/>
        <v>0</v>
      </c>
      <c r="AO10" s="541">
        <f t="shared" ref="AO10:AO39" si="123">+AM10*$H$8</f>
        <v>0</v>
      </c>
      <c r="AP10" s="539">
        <v>0</v>
      </c>
      <c r="AQ10" s="540">
        <f t="shared" si="12"/>
        <v>0</v>
      </c>
      <c r="AR10" s="541">
        <f t="shared" ref="AR10:AR39" si="124">+AP10*$H$8</f>
        <v>0</v>
      </c>
      <c r="AS10" s="539"/>
      <c r="AT10" s="540">
        <f t="shared" si="13"/>
        <v>0</v>
      </c>
      <c r="AU10" s="541">
        <f t="shared" ref="AU10:AU39" si="125">+AS10*$H$8</f>
        <v>0</v>
      </c>
      <c r="AV10" s="539">
        <v>2.7750000000000057</v>
      </c>
      <c r="AW10" s="540">
        <f t="shared" si="14"/>
        <v>3.9855228575121804E-2</v>
      </c>
      <c r="AX10" s="541">
        <f t="shared" ref="AX10:AX39" si="126">+AV10*$H$8</f>
        <v>0</v>
      </c>
      <c r="AY10" s="539">
        <v>0</v>
      </c>
      <c r="AZ10" s="540">
        <f t="shared" si="15"/>
        <v>0</v>
      </c>
      <c r="BA10" s="541">
        <f t="shared" ref="BA10:BA39" si="127">+AY10*$H$8</f>
        <v>0</v>
      </c>
      <c r="BB10" s="539">
        <v>62.999999999999943</v>
      </c>
      <c r="BC10" s="540">
        <f t="shared" si="16"/>
        <v>0.90482140548924905</v>
      </c>
      <c r="BD10" s="541">
        <f t="shared" ref="BD10:BD39" si="128">+BB10*$H$8</f>
        <v>0</v>
      </c>
      <c r="BE10" s="539"/>
      <c r="BF10" s="540">
        <f t="shared" si="17"/>
        <v>0</v>
      </c>
      <c r="BG10" s="541">
        <f t="shared" ref="BG10:BG39" si="129">+BE10*$H$8</f>
        <v>0</v>
      </c>
      <c r="BH10" s="539"/>
      <c r="BI10" s="540">
        <f t="shared" si="18"/>
        <v>0</v>
      </c>
      <c r="BJ10" s="541">
        <f t="shared" ref="BJ10:BJ39" si="130">+BH10*$H$8</f>
        <v>0</v>
      </c>
      <c r="BK10" s="539"/>
      <c r="BL10" s="540">
        <f t="shared" si="19"/>
        <v>0</v>
      </c>
      <c r="BM10" s="541">
        <f t="shared" ref="BM10:BM39" si="131">+BK10*$H$8</f>
        <v>0</v>
      </c>
      <c r="BN10" s="539">
        <v>12.654320987654323</v>
      </c>
      <c r="BO10" s="540">
        <f t="shared" si="20"/>
        <v>0.18174445240573806</v>
      </c>
      <c r="BP10" s="541">
        <f t="shared" ref="BP10:BP39" si="132">+BN10*$H$8</f>
        <v>0</v>
      </c>
      <c r="BQ10" s="539">
        <v>0</v>
      </c>
      <c r="BR10" s="540">
        <f t="shared" si="21"/>
        <v>0</v>
      </c>
      <c r="BS10" s="541">
        <f t="shared" ref="BS10:BS39" si="133">+BQ10*$H$8</f>
        <v>0</v>
      </c>
      <c r="BT10" s="539"/>
      <c r="BU10" s="540">
        <f t="shared" si="22"/>
        <v>0</v>
      </c>
      <c r="BV10" s="541">
        <f t="shared" ref="BV10:BV39" si="134">+BT10*$H$8</f>
        <v>0</v>
      </c>
      <c r="BW10" s="539">
        <v>0.68000000000000682</v>
      </c>
      <c r="BX10" s="540">
        <f t="shared" si="23"/>
        <v>9.7663262814713676E-3</v>
      </c>
      <c r="BY10" s="541">
        <f t="shared" ref="BY10:BY39" si="135">+BW10*$H$8</f>
        <v>0</v>
      </c>
      <c r="BZ10" s="539">
        <v>0</v>
      </c>
      <c r="CA10" s="540">
        <f t="shared" si="24"/>
        <v>0</v>
      </c>
      <c r="CB10" s="541">
        <f t="shared" ref="CB10:CB39" si="136">+BZ10*$H$8</f>
        <v>0</v>
      </c>
      <c r="CC10" s="539">
        <v>6.25</v>
      </c>
      <c r="CD10" s="540">
        <f t="shared" si="25"/>
        <v>8.9764028322346229E-2</v>
      </c>
      <c r="CE10" s="541">
        <f t="shared" ref="CE10:CE39" si="137">+CC10*$H$8</f>
        <v>0</v>
      </c>
      <c r="CF10" s="539">
        <v>0.10000000000000003</v>
      </c>
      <c r="CG10" s="540">
        <f t="shared" si="26"/>
        <v>1.43622445315754E-3</v>
      </c>
      <c r="CH10" s="541">
        <f t="shared" ref="CH10:CH39" si="138">+CF10*$H$8</f>
        <v>0</v>
      </c>
      <c r="CI10" s="539">
        <v>0</v>
      </c>
      <c r="CJ10" s="540">
        <f t="shared" si="27"/>
        <v>0</v>
      </c>
      <c r="CK10" s="541">
        <f t="shared" ref="CK10:CK39" si="139">+CI10*$H$8</f>
        <v>0</v>
      </c>
      <c r="CL10" s="539"/>
      <c r="CM10" s="540">
        <f t="shared" si="28"/>
        <v>0</v>
      </c>
      <c r="CN10" s="541">
        <f t="shared" ref="CN10:CN39" si="140">+CL10*$H$8</f>
        <v>0</v>
      </c>
      <c r="CO10" s="539"/>
      <c r="CP10" s="540">
        <f t="shared" si="29"/>
        <v>0</v>
      </c>
      <c r="CQ10" s="541">
        <f t="shared" ref="CQ10:CQ39" si="141">+CO10*$H$8</f>
        <v>0</v>
      </c>
      <c r="CR10" s="539"/>
      <c r="CS10" s="540">
        <f t="shared" si="30"/>
        <v>0</v>
      </c>
      <c r="CT10" s="541">
        <f t="shared" ref="CT10:CT39" si="142">+CR10*$H$8</f>
        <v>0</v>
      </c>
      <c r="CU10" s="539"/>
      <c r="CV10" s="540">
        <f t="shared" si="31"/>
        <v>0</v>
      </c>
      <c r="CW10" s="541">
        <f t="shared" ref="CW10:CW39" si="143">+CU10*$H$8</f>
        <v>0</v>
      </c>
      <c r="CX10" s="539"/>
      <c r="CY10" s="540">
        <f t="shared" si="32"/>
        <v>0</v>
      </c>
      <c r="CZ10" s="541">
        <f t="shared" ref="CZ10:CZ39" si="144">+CX10*$H$8</f>
        <v>0</v>
      </c>
      <c r="DA10" s="539"/>
      <c r="DB10" s="540">
        <f t="shared" si="33"/>
        <v>0</v>
      </c>
      <c r="DC10" s="541">
        <f t="shared" ref="DC10:DC39" si="145">+DA10*$H$8</f>
        <v>0</v>
      </c>
      <c r="DD10" s="539"/>
      <c r="DE10" s="540">
        <f t="shared" si="34"/>
        <v>0</v>
      </c>
      <c r="DF10" s="541">
        <f t="shared" ref="DF10:DF39" si="146">+DD10*$H$8</f>
        <v>0</v>
      </c>
      <c r="DG10" s="539">
        <v>4.7249999999999979</v>
      </c>
      <c r="DH10" s="540">
        <f t="shared" si="35"/>
        <v>6.7861605411693712E-2</v>
      </c>
      <c r="DI10" s="541">
        <v>0</v>
      </c>
      <c r="DJ10" s="539"/>
      <c r="DK10" s="540">
        <f t="shared" si="36"/>
        <v>0</v>
      </c>
      <c r="DL10" s="541">
        <f t="shared" ref="DL10:DL39" si="147">+DJ10*$H$8</f>
        <v>0</v>
      </c>
      <c r="DM10" s="539"/>
      <c r="DN10" s="540">
        <f t="shared" si="37"/>
        <v>0</v>
      </c>
      <c r="DO10" s="541">
        <f t="shared" ref="DO10:DO39" si="148">+DM10*$H$8</f>
        <v>0</v>
      </c>
      <c r="DP10" s="539"/>
      <c r="DQ10" s="540">
        <f t="shared" si="38"/>
        <v>0</v>
      </c>
      <c r="DR10" s="541">
        <f t="shared" ref="DR10:DR39" si="149">+DP10*$H$8</f>
        <v>0</v>
      </c>
      <c r="DS10" s="539"/>
      <c r="DT10" s="540">
        <f t="shared" si="39"/>
        <v>0</v>
      </c>
      <c r="DU10" s="541">
        <f t="shared" ref="DU10:DU39" si="150">+DS10*$H$8</f>
        <v>0</v>
      </c>
      <c r="DV10" s="539"/>
      <c r="DW10" s="540">
        <f t="shared" si="40"/>
        <v>0</v>
      </c>
      <c r="DX10" s="541">
        <f t="shared" ref="DX10:DX39" si="151">+DV10*$H$8</f>
        <v>0</v>
      </c>
      <c r="DY10" s="539"/>
      <c r="DZ10" s="540">
        <f t="shared" si="41"/>
        <v>0</v>
      </c>
      <c r="EA10" s="541">
        <f t="shared" ref="EA10:EA39" si="152">+DY10*$H$8</f>
        <v>0</v>
      </c>
      <c r="EB10" s="539">
        <v>14.534883720930338</v>
      </c>
      <c r="EC10" s="540">
        <f t="shared" si="42"/>
        <v>0.20875355423801598</v>
      </c>
      <c r="ED10" s="541">
        <f t="shared" ref="ED10:ED39" si="153">+EB10*$H$8</f>
        <v>0</v>
      </c>
      <c r="EE10" s="539">
        <v>3</v>
      </c>
      <c r="EF10" s="540">
        <f t="shared" si="43"/>
        <v>4.3086733594726187E-2</v>
      </c>
      <c r="EG10" s="541">
        <f t="shared" ref="EG10:EG39" si="154">+EE10*$H$8</f>
        <v>0</v>
      </c>
      <c r="EH10" s="539"/>
      <c r="EI10" s="540">
        <f t="shared" si="44"/>
        <v>0</v>
      </c>
      <c r="EJ10" s="541">
        <f t="shared" ref="EJ10:EJ39" si="155">+EH10*$H$8</f>
        <v>0</v>
      </c>
      <c r="EK10" s="539"/>
      <c r="EL10" s="540">
        <f t="shared" si="45"/>
        <v>0</v>
      </c>
      <c r="EM10" s="541">
        <f t="shared" ref="EM10:EM39" si="156">+EK10*$H$8</f>
        <v>0</v>
      </c>
      <c r="EN10" s="539"/>
      <c r="EO10" s="540">
        <f t="shared" si="46"/>
        <v>0</v>
      </c>
      <c r="EP10" s="541">
        <f t="shared" ref="EP10:EP39" si="157">+EN10*$H$8</f>
        <v>0</v>
      </c>
      <c r="EQ10" s="539"/>
      <c r="ER10" s="540">
        <f t="shared" si="47"/>
        <v>0</v>
      </c>
      <c r="ES10" s="541">
        <f t="shared" ref="ES10:ES39" si="158">+EQ10*$H$8</f>
        <v>0</v>
      </c>
      <c r="ET10" s="539"/>
      <c r="EU10" s="540">
        <f t="shared" si="48"/>
        <v>0</v>
      </c>
      <c r="EV10" s="541">
        <f t="shared" ref="EV10:EV39" si="159">+ET10*$H$8</f>
        <v>0</v>
      </c>
      <c r="EW10" s="539"/>
      <c r="EX10" s="540">
        <f t="shared" si="49"/>
        <v>0</v>
      </c>
      <c r="EY10" s="541">
        <f t="shared" ref="EY10:EY39" si="160">+EW10*$H$8</f>
        <v>0</v>
      </c>
      <c r="EZ10" s="539"/>
      <c r="FA10" s="540">
        <f t="shared" si="50"/>
        <v>0</v>
      </c>
      <c r="FB10" s="541">
        <f t="shared" ref="FB10:FB39" si="161">+EZ10*$H$8</f>
        <v>0</v>
      </c>
      <c r="FC10" s="539"/>
      <c r="FD10" s="540">
        <f t="shared" si="51"/>
        <v>0</v>
      </c>
      <c r="FE10" s="541">
        <f t="shared" ref="FE10:FE39" si="162">+FC10*$H$8</f>
        <v>0</v>
      </c>
      <c r="FF10" s="539"/>
      <c r="FG10" s="540">
        <f t="shared" si="52"/>
        <v>0</v>
      </c>
      <c r="FH10" s="541">
        <f t="shared" ref="FH10:FH39" si="163">+FF10*$H$8</f>
        <v>0</v>
      </c>
      <c r="FI10" s="539"/>
      <c r="FJ10" s="540">
        <f t="shared" si="53"/>
        <v>0</v>
      </c>
      <c r="FK10" s="541">
        <f t="shared" ref="FK10:FK39" si="164">+FI10*$H$8</f>
        <v>0</v>
      </c>
      <c r="FL10" s="539"/>
      <c r="FM10" s="540">
        <f t="shared" si="54"/>
        <v>0</v>
      </c>
      <c r="FN10" s="541">
        <f t="shared" ref="FN10:FN39" si="165">+FL10*$H$8</f>
        <v>0</v>
      </c>
      <c r="FO10" s="539"/>
      <c r="FP10" s="540">
        <f t="shared" si="55"/>
        <v>0</v>
      </c>
      <c r="FQ10" s="541">
        <f t="shared" ref="FQ10:FQ39" si="166">+FO10*$H$8</f>
        <v>0</v>
      </c>
      <c r="FR10" s="539"/>
      <c r="FS10" s="540">
        <f t="shared" si="56"/>
        <v>0</v>
      </c>
      <c r="FT10" s="541">
        <f t="shared" ref="FT10:FT39" si="167">+FR10*$H$8</f>
        <v>0</v>
      </c>
      <c r="FU10" s="539"/>
      <c r="FV10" s="540">
        <f t="shared" si="57"/>
        <v>0</v>
      </c>
      <c r="FW10" s="541">
        <f t="shared" ref="FW10:FW39" si="168">+FU10*$H$8</f>
        <v>0</v>
      </c>
      <c r="FX10" s="539"/>
      <c r="FY10" s="540">
        <f t="shared" si="58"/>
        <v>0</v>
      </c>
      <c r="FZ10" s="541">
        <f t="shared" ref="FZ10:FZ39" si="169">+FX10*$H$8</f>
        <v>0</v>
      </c>
      <c r="GA10" s="539"/>
      <c r="GB10" s="540">
        <f t="shared" si="59"/>
        <v>0</v>
      </c>
      <c r="GC10" s="541">
        <f t="shared" ref="GC10:GC39" si="170">+GA10*$H$8</f>
        <v>0</v>
      </c>
      <c r="GD10" s="539"/>
      <c r="GE10" s="540">
        <f t="shared" si="60"/>
        <v>0</v>
      </c>
      <c r="GF10" s="541">
        <f t="shared" ref="GF10:GF39" si="171">+GD10*$H$8</f>
        <v>0</v>
      </c>
      <c r="GG10" s="539"/>
      <c r="GH10" s="540">
        <f t="shared" si="61"/>
        <v>0</v>
      </c>
      <c r="GI10" s="541">
        <f t="shared" ref="GI10:GI39" si="172">+GG10*$H$8</f>
        <v>0</v>
      </c>
      <c r="GJ10" s="539"/>
      <c r="GK10" s="540">
        <f t="shared" si="62"/>
        <v>0</v>
      </c>
      <c r="GL10" s="541">
        <f t="shared" ref="GL10:GL39" si="173">+GJ10*$H$8</f>
        <v>0</v>
      </c>
      <c r="GM10" s="539"/>
      <c r="GN10" s="540">
        <f t="shared" si="63"/>
        <v>0</v>
      </c>
      <c r="GO10" s="541">
        <f t="shared" ref="GO10:GO39" si="174">+GM10*$H$8</f>
        <v>0</v>
      </c>
      <c r="GP10" s="539"/>
      <c r="GQ10" s="540">
        <f t="shared" si="64"/>
        <v>0</v>
      </c>
      <c r="GR10" s="541">
        <f t="shared" ref="GR10:GR39" si="175">+GP10*$H$8</f>
        <v>0</v>
      </c>
      <c r="GS10" s="539"/>
      <c r="GT10" s="540">
        <f t="shared" si="65"/>
        <v>0</v>
      </c>
      <c r="GU10" s="541">
        <f t="shared" ref="GU10:GU39" si="176">+GS10*$H$8</f>
        <v>0</v>
      </c>
      <c r="GV10" s="539"/>
      <c r="GW10" s="540">
        <f t="shared" si="66"/>
        <v>0</v>
      </c>
      <c r="GX10" s="541">
        <f t="shared" ref="GX10:GX39" si="177">+GV10*$H$8</f>
        <v>0</v>
      </c>
      <c r="GY10" s="539"/>
      <c r="GZ10" s="540">
        <f t="shared" si="67"/>
        <v>0</v>
      </c>
      <c r="HA10" s="541">
        <f t="shared" ref="HA10:HA39" si="178">+GY10*$H$8</f>
        <v>0</v>
      </c>
      <c r="HB10" s="539"/>
      <c r="HC10" s="540">
        <f t="shared" si="68"/>
        <v>0</v>
      </c>
      <c r="HD10" s="541">
        <f t="shared" ref="HD10:HD39" si="179">+HB10*$H$8</f>
        <v>0</v>
      </c>
      <c r="HE10" s="539"/>
      <c r="HF10" s="540">
        <f t="shared" si="69"/>
        <v>0</v>
      </c>
      <c r="HG10" s="541">
        <f t="shared" ref="HG10:HG39" si="180">+HE10*$H$8</f>
        <v>0</v>
      </c>
      <c r="HH10" s="539"/>
      <c r="HI10" s="540">
        <f t="shared" si="70"/>
        <v>0</v>
      </c>
      <c r="HJ10" s="541">
        <f t="shared" ref="HJ10:HJ39" si="181">+HH10*$H$8</f>
        <v>0</v>
      </c>
      <c r="HK10" s="539"/>
      <c r="HL10" s="540">
        <f t="shared" si="71"/>
        <v>0</v>
      </c>
      <c r="HM10" s="541">
        <f t="shared" ref="HM10:HM39" si="182">+HK10*$H$8</f>
        <v>0</v>
      </c>
      <c r="HN10" s="539"/>
      <c r="HO10" s="540">
        <f t="shared" si="72"/>
        <v>0</v>
      </c>
      <c r="HP10" s="541">
        <f t="shared" ref="HP10:HP39" si="183">+HN10*$H$8</f>
        <v>0</v>
      </c>
      <c r="HQ10" s="539"/>
      <c r="HR10" s="540">
        <f t="shared" si="73"/>
        <v>0</v>
      </c>
      <c r="HS10" s="541">
        <f t="shared" ref="HS10:HS39" si="184">+HQ10*$H$8</f>
        <v>0</v>
      </c>
      <c r="HT10" s="539"/>
      <c r="HU10" s="540">
        <f t="shared" si="74"/>
        <v>0</v>
      </c>
      <c r="HV10" s="541">
        <f t="shared" ref="HV10:HV39" si="185">+HT10*$H$8</f>
        <v>0</v>
      </c>
      <c r="HW10" s="539"/>
      <c r="HX10" s="540">
        <f t="shared" si="75"/>
        <v>0</v>
      </c>
      <c r="HY10" s="541">
        <f t="shared" ref="HY10:HY39" si="186">+HW10*$H$8</f>
        <v>0</v>
      </c>
      <c r="HZ10" s="539"/>
      <c r="IA10" s="540">
        <f t="shared" si="76"/>
        <v>0</v>
      </c>
      <c r="IB10" s="541">
        <f t="shared" ref="IB10:IB39" si="187">+HZ10*$H$8</f>
        <v>0</v>
      </c>
      <c r="IC10" s="539"/>
      <c r="ID10" s="540">
        <f t="shared" si="77"/>
        <v>0</v>
      </c>
      <c r="IE10" s="541">
        <f t="shared" ref="IE10:IE39" si="188">+IC10*$H$8</f>
        <v>0</v>
      </c>
      <c r="IF10" s="539"/>
      <c r="IG10" s="540">
        <f t="shared" si="78"/>
        <v>0</v>
      </c>
      <c r="IH10" s="541">
        <f t="shared" ref="IH10:IH39" si="189">+IF10*$H$8</f>
        <v>0</v>
      </c>
      <c r="II10" s="539"/>
      <c r="IJ10" s="540">
        <f t="shared" si="79"/>
        <v>0</v>
      </c>
      <c r="IK10" s="541">
        <f t="shared" ref="IK10:IK39" si="190">+II10*$H$8</f>
        <v>0</v>
      </c>
      <c r="IL10" s="539"/>
      <c r="IM10" s="540">
        <f t="shared" si="80"/>
        <v>0</v>
      </c>
      <c r="IN10" s="541">
        <f t="shared" ref="IN10:IN39" si="191">+IL10*$H$8</f>
        <v>0</v>
      </c>
      <c r="IO10" s="539"/>
      <c r="IP10" s="540">
        <f t="shared" si="81"/>
        <v>0</v>
      </c>
      <c r="IQ10" s="541">
        <f t="shared" ref="IQ10:IQ39" si="192">+IO10*$H$8</f>
        <v>0</v>
      </c>
      <c r="IR10" s="539"/>
      <c r="IS10" s="540">
        <f t="shared" si="82"/>
        <v>0</v>
      </c>
      <c r="IT10" s="541">
        <f t="shared" ref="IT10:IT39" si="193">+IR10*$H$8</f>
        <v>0</v>
      </c>
      <c r="IU10" s="539"/>
      <c r="IV10" s="540">
        <f t="shared" si="83"/>
        <v>0</v>
      </c>
      <c r="IW10" s="541">
        <f t="shared" ref="IW10:IW39" si="194">+IU10*$H$8</f>
        <v>0</v>
      </c>
      <c r="IX10" s="539"/>
      <c r="IY10" s="540">
        <f t="shared" si="84"/>
        <v>0</v>
      </c>
      <c r="IZ10" s="541">
        <f t="shared" ref="IZ10:IZ39" si="195">+IX10*$H$8</f>
        <v>0</v>
      </c>
      <c r="JA10" s="539"/>
      <c r="JB10" s="540">
        <f t="shared" si="85"/>
        <v>0</v>
      </c>
      <c r="JC10" s="541">
        <f t="shared" ref="JC10:JC39" si="196">+JA10*$H$8</f>
        <v>0</v>
      </c>
      <c r="JD10" s="539"/>
      <c r="JE10" s="540">
        <f t="shared" si="86"/>
        <v>0</v>
      </c>
      <c r="JF10" s="541">
        <f t="shared" ref="JF10:JF39" si="197">+JD10*$H$8</f>
        <v>0</v>
      </c>
      <c r="JG10" s="539"/>
      <c r="JH10" s="540">
        <f t="shared" si="87"/>
        <v>0</v>
      </c>
      <c r="JI10" s="541">
        <f t="shared" ref="JI10:JI39" si="198">+JG10*$H$8</f>
        <v>0</v>
      </c>
      <c r="JJ10" s="539"/>
      <c r="JK10" s="541" t="str">
        <f t="shared" si="88"/>
        <v>0</v>
      </c>
      <c r="JL10" s="541" t="str">
        <f t="shared" si="89"/>
        <v>0</v>
      </c>
      <c r="JM10" s="539"/>
      <c r="JN10" s="541" t="str">
        <f t="shared" si="90"/>
        <v>0</v>
      </c>
      <c r="JO10" s="541" t="str">
        <f t="shared" si="91"/>
        <v>0</v>
      </c>
      <c r="JP10" s="539"/>
      <c r="JQ10" s="541" t="str">
        <f t="shared" si="92"/>
        <v>0</v>
      </c>
      <c r="JR10" s="541" t="str">
        <f t="shared" si="93"/>
        <v>0</v>
      </c>
      <c r="JS10" s="539"/>
      <c r="JT10" s="541" t="str">
        <f t="shared" si="94"/>
        <v>0</v>
      </c>
      <c r="JU10" s="541" t="str">
        <f t="shared" si="95"/>
        <v>0</v>
      </c>
      <c r="JV10" s="539"/>
      <c r="JW10" s="541" t="str">
        <f t="shared" si="96"/>
        <v>0</v>
      </c>
      <c r="JX10" s="541" t="str">
        <f t="shared" si="97"/>
        <v>0</v>
      </c>
      <c r="JY10" s="539"/>
      <c r="JZ10" s="541" t="str">
        <f t="shared" si="98"/>
        <v>0</v>
      </c>
      <c r="KA10" s="541" t="str">
        <f t="shared" si="99"/>
        <v>0</v>
      </c>
      <c r="KB10" s="539"/>
      <c r="KC10" s="541" t="str">
        <f t="shared" si="100"/>
        <v>0</v>
      </c>
      <c r="KD10" s="541" t="str">
        <f t="shared" si="101"/>
        <v>0</v>
      </c>
      <c r="KE10" s="539"/>
      <c r="KF10" s="541" t="str">
        <f t="shared" si="102"/>
        <v>0</v>
      </c>
      <c r="KG10" s="541" t="str">
        <f t="shared" si="103"/>
        <v>0</v>
      </c>
      <c r="KH10" s="539"/>
      <c r="KI10" s="541" t="str">
        <f t="shared" si="104"/>
        <v>0</v>
      </c>
      <c r="KJ10" s="541" t="str">
        <f t="shared" si="105"/>
        <v>0</v>
      </c>
      <c r="KK10" s="539"/>
      <c r="KL10" s="541" t="str">
        <f t="shared" si="106"/>
        <v>0</v>
      </c>
      <c r="KM10" s="541" t="str">
        <f t="shared" si="107"/>
        <v>0</v>
      </c>
      <c r="KN10" s="539"/>
      <c r="KO10" s="541" t="str">
        <f t="shared" si="108"/>
        <v>0</v>
      </c>
      <c r="KP10" s="541" t="str">
        <f t="shared" si="109"/>
        <v>0</v>
      </c>
      <c r="KQ10" s="539"/>
      <c r="KR10" s="541" t="str">
        <f t="shared" si="110"/>
        <v>0</v>
      </c>
      <c r="KS10" s="541" t="str">
        <f t="shared" si="111"/>
        <v>0</v>
      </c>
      <c r="KT10" s="541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41">
        <f>GF10+GI10+GL10+GO10+GR10+GU10+GX10+HA10+HD10+HG10+HJ10+HM10+HP10+HS10+HV10+HY10+IB10+IE10+IH10+IK10+IN10+IQ10+IT10+IW10+IZ10+JC10+JF10+JI10+JL10+JO10+JR10+JU10+JX10++KA10+KD10+KG10+KJ10++KM10+KP10+KS10</f>
        <v>0</v>
      </c>
      <c r="KV10" s="275">
        <f t="shared" ref="KV10:KV41" si="199">+F10+I10+L10+O10+R10+U10+X10+AA10+AD10+AG10+AJ10+AM10+AP10+AS10+AV10+AY10+BB10+BE10+BH10+BK10+BN10+BQ10+BT10+BW10+BZ10+CC10+CF10+CI10+CL10+CO10+CR10+CU10+CX10+DA10+DD10+DJ10+DM10+DP10+DS10+DV10+DY10+EB10+DG10+EE10</f>
        <v>956.05350703416616</v>
      </c>
    </row>
    <row r="11" spans="1:308" ht="15" customHeight="1">
      <c r="A11" s="277">
        <f t="shared" ref="A11:A39" si="200">+A10+1</f>
        <v>45841</v>
      </c>
      <c r="B11" s="278" t="str">
        <f>+Report1!B11</f>
        <v>MG</v>
      </c>
      <c r="C11" s="418" t="str">
        <f>+Report1!C11</f>
        <v>14/17</v>
      </c>
      <c r="D11" s="279">
        <f>+Report1!P11</f>
        <v>77.805000000000007</v>
      </c>
      <c r="E11" s="280">
        <f>+Report1!R11</f>
        <v>74.578999999999994</v>
      </c>
      <c r="F11" s="539"/>
      <c r="G11" s="540">
        <f t="shared" si="0"/>
        <v>0</v>
      </c>
      <c r="H11" s="541">
        <f t="shared" si="112"/>
        <v>0</v>
      </c>
      <c r="I11" s="539">
        <v>802.32558139534888</v>
      </c>
      <c r="J11" s="540">
        <f t="shared" si="1"/>
        <v>10.758063012313775</v>
      </c>
      <c r="K11" s="541">
        <f t="shared" si="113"/>
        <v>0</v>
      </c>
      <c r="L11" s="539"/>
      <c r="M11" s="540">
        <f t="shared" si="2"/>
        <v>0</v>
      </c>
      <c r="N11" s="541">
        <f t="shared" si="114"/>
        <v>0</v>
      </c>
      <c r="O11" s="539">
        <v>6.0000000000000284</v>
      </c>
      <c r="P11" s="540">
        <f t="shared" si="3"/>
        <v>8.0451601657303376E-2</v>
      </c>
      <c r="Q11" s="541">
        <f t="shared" si="115"/>
        <v>0</v>
      </c>
      <c r="R11" s="539"/>
      <c r="S11" s="540">
        <f t="shared" si="4"/>
        <v>0</v>
      </c>
      <c r="T11" s="541">
        <f t="shared" si="116"/>
        <v>0</v>
      </c>
      <c r="U11" s="539">
        <v>5.125</v>
      </c>
      <c r="V11" s="540">
        <f t="shared" si="5"/>
        <v>6.8719076415612979E-2</v>
      </c>
      <c r="W11" s="541">
        <f t="shared" si="117"/>
        <v>0</v>
      </c>
      <c r="X11" s="539"/>
      <c r="Y11" s="540">
        <f t="shared" si="6"/>
        <v>0</v>
      </c>
      <c r="Z11" s="541">
        <f t="shared" si="118"/>
        <v>0</v>
      </c>
      <c r="AA11" s="539"/>
      <c r="AB11" s="540">
        <f t="shared" si="7"/>
        <v>0</v>
      </c>
      <c r="AC11" s="541">
        <f t="shared" si="119"/>
        <v>0</v>
      </c>
      <c r="AD11" s="539"/>
      <c r="AE11" s="540">
        <f t="shared" si="8"/>
        <v>0</v>
      </c>
      <c r="AF11" s="541">
        <f t="shared" si="120"/>
        <v>0</v>
      </c>
      <c r="AG11" s="539"/>
      <c r="AH11" s="540">
        <f t="shared" si="9"/>
        <v>0</v>
      </c>
      <c r="AI11" s="541">
        <f t="shared" si="121"/>
        <v>0</v>
      </c>
      <c r="AJ11" s="539">
        <v>0</v>
      </c>
      <c r="AK11" s="540">
        <f t="shared" si="10"/>
        <v>0</v>
      </c>
      <c r="AL11" s="541">
        <f t="shared" si="122"/>
        <v>0</v>
      </c>
      <c r="AM11" s="539"/>
      <c r="AN11" s="540">
        <f t="shared" si="11"/>
        <v>0</v>
      </c>
      <c r="AO11" s="541">
        <f t="shared" si="123"/>
        <v>0</v>
      </c>
      <c r="AP11" s="539">
        <v>0</v>
      </c>
      <c r="AQ11" s="540">
        <f t="shared" si="12"/>
        <v>0</v>
      </c>
      <c r="AR11" s="541">
        <f t="shared" si="124"/>
        <v>0</v>
      </c>
      <c r="AS11" s="539"/>
      <c r="AT11" s="540">
        <f t="shared" si="13"/>
        <v>0</v>
      </c>
      <c r="AU11" s="541">
        <f t="shared" si="125"/>
        <v>0</v>
      </c>
      <c r="AV11" s="539">
        <v>8.3249999999999886</v>
      </c>
      <c r="AW11" s="540">
        <f t="shared" si="14"/>
        <v>0.11162659729950776</v>
      </c>
      <c r="AX11" s="541">
        <f t="shared" si="126"/>
        <v>0</v>
      </c>
      <c r="AY11" s="539">
        <v>0</v>
      </c>
      <c r="AZ11" s="540">
        <f t="shared" si="15"/>
        <v>0</v>
      </c>
      <c r="BA11" s="541">
        <f t="shared" si="127"/>
        <v>0</v>
      </c>
      <c r="BB11" s="539">
        <v>79.333333333333371</v>
      </c>
      <c r="BC11" s="540">
        <f t="shared" si="16"/>
        <v>1.0637489552465624</v>
      </c>
      <c r="BD11" s="541">
        <f t="shared" si="128"/>
        <v>0</v>
      </c>
      <c r="BE11" s="539"/>
      <c r="BF11" s="540">
        <f t="shared" si="17"/>
        <v>0</v>
      </c>
      <c r="BG11" s="541">
        <f t="shared" si="129"/>
        <v>0</v>
      </c>
      <c r="BH11" s="539"/>
      <c r="BI11" s="540">
        <f t="shared" si="18"/>
        <v>0</v>
      </c>
      <c r="BJ11" s="541">
        <f t="shared" si="130"/>
        <v>0</v>
      </c>
      <c r="BK11" s="539"/>
      <c r="BL11" s="540">
        <f t="shared" si="19"/>
        <v>0</v>
      </c>
      <c r="BM11" s="541">
        <f t="shared" si="131"/>
        <v>0</v>
      </c>
      <c r="BN11" s="539">
        <v>7.5925925925925952</v>
      </c>
      <c r="BO11" s="540">
        <f t="shared" si="20"/>
        <v>0.10180603913424149</v>
      </c>
      <c r="BP11" s="541">
        <f t="shared" si="132"/>
        <v>0</v>
      </c>
      <c r="BQ11" s="539">
        <v>0</v>
      </c>
      <c r="BR11" s="540">
        <f t="shared" si="21"/>
        <v>0</v>
      </c>
      <c r="BS11" s="541">
        <f t="shared" si="133"/>
        <v>0</v>
      </c>
      <c r="BT11" s="539"/>
      <c r="BU11" s="540">
        <f t="shared" si="22"/>
        <v>0</v>
      </c>
      <c r="BV11" s="541">
        <f t="shared" si="134"/>
        <v>0</v>
      </c>
      <c r="BW11" s="539">
        <v>0.67999999999999261</v>
      </c>
      <c r="BX11" s="540">
        <f t="shared" si="23"/>
        <v>9.1178481878275743E-3</v>
      </c>
      <c r="BY11" s="541">
        <f t="shared" si="135"/>
        <v>0</v>
      </c>
      <c r="BZ11" s="539">
        <v>0</v>
      </c>
      <c r="CA11" s="540">
        <f t="shared" si="24"/>
        <v>0</v>
      </c>
      <c r="CB11" s="541">
        <f t="shared" si="136"/>
        <v>0</v>
      </c>
      <c r="CC11" s="539">
        <v>6.25</v>
      </c>
      <c r="CD11" s="540">
        <f t="shared" si="25"/>
        <v>8.380375172635729E-2</v>
      </c>
      <c r="CE11" s="541">
        <f t="shared" si="137"/>
        <v>0</v>
      </c>
      <c r="CF11" s="539">
        <v>9.9999999999999978E-2</v>
      </c>
      <c r="CG11" s="540">
        <f t="shared" si="26"/>
        <v>1.3408600276217165E-3</v>
      </c>
      <c r="CH11" s="541">
        <f t="shared" si="138"/>
        <v>0</v>
      </c>
      <c r="CI11" s="539">
        <v>0</v>
      </c>
      <c r="CJ11" s="540">
        <f t="shared" si="27"/>
        <v>0</v>
      </c>
      <c r="CK11" s="541">
        <f t="shared" si="139"/>
        <v>0</v>
      </c>
      <c r="CL11" s="539"/>
      <c r="CM11" s="540">
        <f t="shared" si="28"/>
        <v>0</v>
      </c>
      <c r="CN11" s="541">
        <f t="shared" si="140"/>
        <v>0</v>
      </c>
      <c r="CO11" s="539"/>
      <c r="CP11" s="540">
        <f t="shared" si="29"/>
        <v>0</v>
      </c>
      <c r="CQ11" s="541">
        <f t="shared" si="141"/>
        <v>0</v>
      </c>
      <c r="CR11" s="539"/>
      <c r="CS11" s="540">
        <f t="shared" si="30"/>
        <v>0</v>
      </c>
      <c r="CT11" s="541">
        <f t="shared" si="142"/>
        <v>0</v>
      </c>
      <c r="CU11" s="539"/>
      <c r="CV11" s="540">
        <f t="shared" si="31"/>
        <v>0</v>
      </c>
      <c r="CW11" s="541">
        <f t="shared" si="143"/>
        <v>0</v>
      </c>
      <c r="CX11" s="539"/>
      <c r="CY11" s="540">
        <f t="shared" si="32"/>
        <v>0</v>
      </c>
      <c r="CZ11" s="541">
        <f t="shared" si="144"/>
        <v>0</v>
      </c>
      <c r="DA11" s="539"/>
      <c r="DB11" s="540">
        <f t="shared" si="33"/>
        <v>0</v>
      </c>
      <c r="DC11" s="541">
        <f t="shared" si="145"/>
        <v>0</v>
      </c>
      <c r="DD11" s="539"/>
      <c r="DE11" s="540">
        <f t="shared" si="34"/>
        <v>0</v>
      </c>
      <c r="DF11" s="541">
        <f t="shared" si="146"/>
        <v>0</v>
      </c>
      <c r="DG11" s="539">
        <v>4.7250000000000014</v>
      </c>
      <c r="DH11" s="540">
        <f t="shared" si="35"/>
        <v>6.3355636305126126E-2</v>
      </c>
      <c r="DI11" s="541">
        <v>0</v>
      </c>
      <c r="DJ11" s="539"/>
      <c r="DK11" s="540">
        <f t="shared" si="36"/>
        <v>0</v>
      </c>
      <c r="DL11" s="541">
        <f t="shared" si="147"/>
        <v>0</v>
      </c>
      <c r="DM11" s="539"/>
      <c r="DN11" s="540">
        <f t="shared" si="37"/>
        <v>0</v>
      </c>
      <c r="DO11" s="541">
        <f t="shared" si="148"/>
        <v>0</v>
      </c>
      <c r="DP11" s="539"/>
      <c r="DQ11" s="540">
        <f t="shared" si="38"/>
        <v>0</v>
      </c>
      <c r="DR11" s="541">
        <f t="shared" si="149"/>
        <v>0</v>
      </c>
      <c r="DS11" s="539"/>
      <c r="DT11" s="540">
        <f t="shared" si="39"/>
        <v>0</v>
      </c>
      <c r="DU11" s="541">
        <f t="shared" si="150"/>
        <v>0</v>
      </c>
      <c r="DV11" s="539"/>
      <c r="DW11" s="540">
        <f t="shared" si="40"/>
        <v>0</v>
      </c>
      <c r="DX11" s="541">
        <f t="shared" si="151"/>
        <v>0</v>
      </c>
      <c r="DY11" s="539"/>
      <c r="DZ11" s="540">
        <f t="shared" si="41"/>
        <v>0</v>
      </c>
      <c r="EA11" s="541">
        <f t="shared" si="152"/>
        <v>0</v>
      </c>
      <c r="EB11" s="539">
        <v>29.069767441860222</v>
      </c>
      <c r="EC11" s="540">
        <f t="shared" si="42"/>
        <v>0.3897848917504958</v>
      </c>
      <c r="ED11" s="541">
        <f t="shared" si="153"/>
        <v>0</v>
      </c>
      <c r="EE11" s="539">
        <v>3</v>
      </c>
      <c r="EF11" s="540">
        <f t="shared" si="43"/>
        <v>4.0225800828651501E-2</v>
      </c>
      <c r="EG11" s="541">
        <f t="shared" si="154"/>
        <v>0</v>
      </c>
      <c r="EH11" s="539"/>
      <c r="EI11" s="540">
        <f t="shared" si="44"/>
        <v>0</v>
      </c>
      <c r="EJ11" s="541">
        <f t="shared" si="155"/>
        <v>0</v>
      </c>
      <c r="EK11" s="539"/>
      <c r="EL11" s="540">
        <f t="shared" si="45"/>
        <v>0</v>
      </c>
      <c r="EM11" s="541">
        <f t="shared" si="156"/>
        <v>0</v>
      </c>
      <c r="EN11" s="539"/>
      <c r="EO11" s="540">
        <f t="shared" si="46"/>
        <v>0</v>
      </c>
      <c r="EP11" s="541">
        <f t="shared" si="157"/>
        <v>0</v>
      </c>
      <c r="EQ11" s="539"/>
      <c r="ER11" s="540">
        <f t="shared" si="47"/>
        <v>0</v>
      </c>
      <c r="ES11" s="541">
        <f t="shared" si="158"/>
        <v>0</v>
      </c>
      <c r="ET11" s="539"/>
      <c r="EU11" s="540">
        <f t="shared" si="48"/>
        <v>0</v>
      </c>
      <c r="EV11" s="541">
        <f t="shared" si="159"/>
        <v>0</v>
      </c>
      <c r="EW11" s="539"/>
      <c r="EX11" s="540">
        <f t="shared" si="49"/>
        <v>0</v>
      </c>
      <c r="EY11" s="541">
        <f t="shared" si="160"/>
        <v>0</v>
      </c>
      <c r="EZ11" s="539"/>
      <c r="FA11" s="540">
        <f t="shared" si="50"/>
        <v>0</v>
      </c>
      <c r="FB11" s="541">
        <f t="shared" si="161"/>
        <v>0</v>
      </c>
      <c r="FC11" s="539"/>
      <c r="FD11" s="540">
        <f t="shared" si="51"/>
        <v>0</v>
      </c>
      <c r="FE11" s="541">
        <f t="shared" si="162"/>
        <v>0</v>
      </c>
      <c r="FF11" s="539"/>
      <c r="FG11" s="540">
        <f t="shared" si="52"/>
        <v>0</v>
      </c>
      <c r="FH11" s="541">
        <f t="shared" si="163"/>
        <v>0</v>
      </c>
      <c r="FI11" s="539"/>
      <c r="FJ11" s="540">
        <f t="shared" si="53"/>
        <v>0</v>
      </c>
      <c r="FK11" s="541">
        <f t="shared" si="164"/>
        <v>0</v>
      </c>
      <c r="FL11" s="539"/>
      <c r="FM11" s="540">
        <f t="shared" si="54"/>
        <v>0</v>
      </c>
      <c r="FN11" s="541">
        <f t="shared" si="165"/>
        <v>0</v>
      </c>
      <c r="FO11" s="539"/>
      <c r="FP11" s="540">
        <f t="shared" si="55"/>
        <v>0</v>
      </c>
      <c r="FQ11" s="541">
        <f t="shared" si="166"/>
        <v>0</v>
      </c>
      <c r="FR11" s="539"/>
      <c r="FS11" s="540">
        <f t="shared" si="56"/>
        <v>0</v>
      </c>
      <c r="FT11" s="541">
        <f t="shared" si="167"/>
        <v>0</v>
      </c>
      <c r="FU11" s="539"/>
      <c r="FV11" s="540">
        <f t="shared" si="57"/>
        <v>0</v>
      </c>
      <c r="FW11" s="541">
        <f t="shared" si="168"/>
        <v>0</v>
      </c>
      <c r="FX11" s="539"/>
      <c r="FY11" s="540">
        <f t="shared" si="58"/>
        <v>0</v>
      </c>
      <c r="FZ11" s="541">
        <f t="shared" si="169"/>
        <v>0</v>
      </c>
      <c r="GA11" s="539"/>
      <c r="GB11" s="540">
        <f t="shared" si="59"/>
        <v>0</v>
      </c>
      <c r="GC11" s="541">
        <f t="shared" si="170"/>
        <v>0</v>
      </c>
      <c r="GD11" s="539"/>
      <c r="GE11" s="540">
        <f t="shared" si="60"/>
        <v>0</v>
      </c>
      <c r="GF11" s="541">
        <f t="shared" si="171"/>
        <v>0</v>
      </c>
      <c r="GG11" s="539"/>
      <c r="GH11" s="540">
        <f t="shared" si="61"/>
        <v>0</v>
      </c>
      <c r="GI11" s="541">
        <f t="shared" si="172"/>
        <v>0</v>
      </c>
      <c r="GJ11" s="539"/>
      <c r="GK11" s="540">
        <f t="shared" si="62"/>
        <v>0</v>
      </c>
      <c r="GL11" s="541">
        <f t="shared" si="173"/>
        <v>0</v>
      </c>
      <c r="GM11" s="539"/>
      <c r="GN11" s="540">
        <f t="shared" si="63"/>
        <v>0</v>
      </c>
      <c r="GO11" s="541">
        <f t="shared" si="174"/>
        <v>0</v>
      </c>
      <c r="GP11" s="539"/>
      <c r="GQ11" s="540">
        <f t="shared" si="64"/>
        <v>0</v>
      </c>
      <c r="GR11" s="541">
        <f t="shared" si="175"/>
        <v>0</v>
      </c>
      <c r="GS11" s="539"/>
      <c r="GT11" s="540">
        <f t="shared" si="65"/>
        <v>0</v>
      </c>
      <c r="GU11" s="541">
        <f t="shared" si="176"/>
        <v>0</v>
      </c>
      <c r="GV11" s="539"/>
      <c r="GW11" s="540">
        <f t="shared" si="66"/>
        <v>0</v>
      </c>
      <c r="GX11" s="541">
        <f t="shared" si="177"/>
        <v>0</v>
      </c>
      <c r="GY11" s="539"/>
      <c r="GZ11" s="540">
        <f t="shared" si="67"/>
        <v>0</v>
      </c>
      <c r="HA11" s="541">
        <f t="shared" si="178"/>
        <v>0</v>
      </c>
      <c r="HB11" s="539"/>
      <c r="HC11" s="540">
        <f t="shared" si="68"/>
        <v>0</v>
      </c>
      <c r="HD11" s="541">
        <f t="shared" si="179"/>
        <v>0</v>
      </c>
      <c r="HE11" s="539"/>
      <c r="HF11" s="540">
        <f t="shared" si="69"/>
        <v>0</v>
      </c>
      <c r="HG11" s="541">
        <f t="shared" si="180"/>
        <v>0</v>
      </c>
      <c r="HH11" s="539"/>
      <c r="HI11" s="540">
        <f t="shared" si="70"/>
        <v>0</v>
      </c>
      <c r="HJ11" s="541">
        <f t="shared" si="181"/>
        <v>0</v>
      </c>
      <c r="HK11" s="539"/>
      <c r="HL11" s="540">
        <f t="shared" si="71"/>
        <v>0</v>
      </c>
      <c r="HM11" s="541">
        <f t="shared" si="182"/>
        <v>0</v>
      </c>
      <c r="HN11" s="539"/>
      <c r="HO11" s="540">
        <f t="shared" si="72"/>
        <v>0</v>
      </c>
      <c r="HP11" s="541">
        <f t="shared" si="183"/>
        <v>0</v>
      </c>
      <c r="HQ11" s="539"/>
      <c r="HR11" s="540">
        <f t="shared" si="73"/>
        <v>0</v>
      </c>
      <c r="HS11" s="541">
        <f t="shared" si="184"/>
        <v>0</v>
      </c>
      <c r="HT11" s="539"/>
      <c r="HU11" s="540">
        <f t="shared" si="74"/>
        <v>0</v>
      </c>
      <c r="HV11" s="541">
        <f t="shared" si="185"/>
        <v>0</v>
      </c>
      <c r="HW11" s="539"/>
      <c r="HX11" s="540">
        <f t="shared" si="75"/>
        <v>0</v>
      </c>
      <c r="HY11" s="541">
        <f t="shared" si="186"/>
        <v>0</v>
      </c>
      <c r="HZ11" s="539"/>
      <c r="IA11" s="540">
        <f t="shared" si="76"/>
        <v>0</v>
      </c>
      <c r="IB11" s="541">
        <f t="shared" si="187"/>
        <v>0</v>
      </c>
      <c r="IC11" s="539"/>
      <c r="ID11" s="540">
        <f t="shared" si="77"/>
        <v>0</v>
      </c>
      <c r="IE11" s="541">
        <f t="shared" si="188"/>
        <v>0</v>
      </c>
      <c r="IF11" s="539"/>
      <c r="IG11" s="540">
        <f t="shared" si="78"/>
        <v>0</v>
      </c>
      <c r="IH11" s="541">
        <f t="shared" si="189"/>
        <v>0</v>
      </c>
      <c r="II11" s="539"/>
      <c r="IJ11" s="540">
        <f t="shared" si="79"/>
        <v>0</v>
      </c>
      <c r="IK11" s="541">
        <f t="shared" si="190"/>
        <v>0</v>
      </c>
      <c r="IL11" s="539"/>
      <c r="IM11" s="540">
        <f t="shared" si="80"/>
        <v>0</v>
      </c>
      <c r="IN11" s="541">
        <f t="shared" si="191"/>
        <v>0</v>
      </c>
      <c r="IO11" s="539"/>
      <c r="IP11" s="540">
        <f t="shared" si="81"/>
        <v>0</v>
      </c>
      <c r="IQ11" s="541">
        <f t="shared" si="192"/>
        <v>0</v>
      </c>
      <c r="IR11" s="539"/>
      <c r="IS11" s="540">
        <f t="shared" si="82"/>
        <v>0</v>
      </c>
      <c r="IT11" s="541">
        <f t="shared" si="193"/>
        <v>0</v>
      </c>
      <c r="IU11" s="539"/>
      <c r="IV11" s="540">
        <f t="shared" si="83"/>
        <v>0</v>
      </c>
      <c r="IW11" s="541">
        <f t="shared" si="194"/>
        <v>0</v>
      </c>
      <c r="IX11" s="539"/>
      <c r="IY11" s="540">
        <f t="shared" si="84"/>
        <v>0</v>
      </c>
      <c r="IZ11" s="541">
        <f t="shared" si="195"/>
        <v>0</v>
      </c>
      <c r="JA11" s="539"/>
      <c r="JB11" s="540">
        <f t="shared" si="85"/>
        <v>0</v>
      </c>
      <c r="JC11" s="541">
        <f t="shared" si="196"/>
        <v>0</v>
      </c>
      <c r="JD11" s="539"/>
      <c r="JE11" s="540">
        <f t="shared" si="86"/>
        <v>0</v>
      </c>
      <c r="JF11" s="541">
        <f t="shared" si="197"/>
        <v>0</v>
      </c>
      <c r="JG11" s="539"/>
      <c r="JH11" s="540">
        <f t="shared" si="87"/>
        <v>0</v>
      </c>
      <c r="JI11" s="541">
        <f t="shared" si="198"/>
        <v>0</v>
      </c>
      <c r="JJ11" s="539"/>
      <c r="JK11" s="541" t="str">
        <f t="shared" si="88"/>
        <v>0</v>
      </c>
      <c r="JL11" s="541" t="str">
        <f t="shared" si="89"/>
        <v>0</v>
      </c>
      <c r="JM11" s="539"/>
      <c r="JN11" s="541" t="str">
        <f t="shared" si="90"/>
        <v>0</v>
      </c>
      <c r="JO11" s="541" t="str">
        <f t="shared" si="91"/>
        <v>0</v>
      </c>
      <c r="JP11" s="539"/>
      <c r="JQ11" s="541" t="str">
        <f t="shared" si="92"/>
        <v>0</v>
      </c>
      <c r="JR11" s="541" t="str">
        <f t="shared" si="93"/>
        <v>0</v>
      </c>
      <c r="JS11" s="539"/>
      <c r="JT11" s="541" t="str">
        <f t="shared" si="94"/>
        <v>0</v>
      </c>
      <c r="JU11" s="541" t="str">
        <f t="shared" si="95"/>
        <v>0</v>
      </c>
      <c r="JV11" s="539"/>
      <c r="JW11" s="541" t="str">
        <f t="shared" si="96"/>
        <v>0</v>
      </c>
      <c r="JX11" s="541" t="str">
        <f t="shared" si="97"/>
        <v>0</v>
      </c>
      <c r="JY11" s="539"/>
      <c r="JZ11" s="541" t="str">
        <f t="shared" si="98"/>
        <v>0</v>
      </c>
      <c r="KA11" s="541" t="str">
        <f t="shared" si="99"/>
        <v>0</v>
      </c>
      <c r="KB11" s="539"/>
      <c r="KC11" s="541" t="str">
        <f t="shared" si="100"/>
        <v>0</v>
      </c>
      <c r="KD11" s="541" t="str">
        <f t="shared" si="101"/>
        <v>0</v>
      </c>
      <c r="KE11" s="539"/>
      <c r="KF11" s="541" t="str">
        <f t="shared" si="102"/>
        <v>0</v>
      </c>
      <c r="KG11" s="541" t="str">
        <f t="shared" si="103"/>
        <v>0</v>
      </c>
      <c r="KH11" s="539"/>
      <c r="KI11" s="541" t="str">
        <f t="shared" si="104"/>
        <v>0</v>
      </c>
      <c r="KJ11" s="541" t="str">
        <f t="shared" si="105"/>
        <v>0</v>
      </c>
      <c r="KK11" s="539"/>
      <c r="KL11" s="541" t="str">
        <f t="shared" si="106"/>
        <v>0</v>
      </c>
      <c r="KM11" s="541" t="str">
        <f t="shared" si="107"/>
        <v>0</v>
      </c>
      <c r="KN11" s="539"/>
      <c r="KO11" s="541" t="str">
        <f t="shared" si="108"/>
        <v>0</v>
      </c>
      <c r="KP11" s="541" t="str">
        <f t="shared" si="109"/>
        <v>0</v>
      </c>
      <c r="KQ11" s="539"/>
      <c r="KR11" s="541" t="str">
        <f t="shared" si="110"/>
        <v>0</v>
      </c>
      <c r="KS11" s="541" t="str">
        <f t="shared" si="111"/>
        <v>0</v>
      </c>
      <c r="KT11" s="541">
        <f t="shared" ref="KT11:KT41" si="201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41">
        <f t="shared" ref="KU11:KU41" si="202">GF11+GI11+GL11+GO11+GR11+GU11+GX11+HA11+HD11+HG11+HJ11+HM11+HP11+HS11+HV11+HY11+IB11+IE11+IH11+IK11+IN11+IQ11+IT11+IW11+IZ11+JC11+JF11+JI11+JL11+JO11+JR11+JU11+JX11++KA11+KD11+KG11+KJ11++KM11+KP11+KS11</f>
        <v>0</v>
      </c>
      <c r="KV11" s="275">
        <f t="shared" si="199"/>
        <v>952.52627476313501</v>
      </c>
    </row>
    <row r="12" spans="1:308" ht="15" customHeight="1">
      <c r="A12" s="277">
        <f t="shared" si="200"/>
        <v>45842</v>
      </c>
      <c r="B12" s="278" t="str">
        <f>+Report1!B12</f>
        <v>MG</v>
      </c>
      <c r="C12" s="418" t="str">
        <f>+Report1!C12</f>
        <v>17</v>
      </c>
      <c r="D12" s="279">
        <f>+Report1!P12</f>
        <v>79.141999999999996</v>
      </c>
      <c r="E12" s="280">
        <f>+Report1!R12</f>
        <v>78.611000000000004</v>
      </c>
      <c r="F12" s="539"/>
      <c r="G12" s="540">
        <f t="shared" si="0"/>
        <v>0</v>
      </c>
      <c r="H12" s="541">
        <f t="shared" si="112"/>
        <v>0</v>
      </c>
      <c r="I12" s="539">
        <v>779.06976744186056</v>
      </c>
      <c r="J12" s="540">
        <f t="shared" si="1"/>
        <v>9.9104421447616815</v>
      </c>
      <c r="K12" s="541">
        <f t="shared" si="113"/>
        <v>0</v>
      </c>
      <c r="L12" s="539"/>
      <c r="M12" s="540">
        <f t="shared" si="2"/>
        <v>0</v>
      </c>
      <c r="N12" s="541">
        <f t="shared" si="114"/>
        <v>0</v>
      </c>
      <c r="O12" s="539">
        <v>5.9999999999999716</v>
      </c>
      <c r="P12" s="540">
        <f t="shared" si="3"/>
        <v>7.6325196219358252E-2</v>
      </c>
      <c r="Q12" s="541">
        <f t="shared" si="115"/>
        <v>0</v>
      </c>
      <c r="R12" s="539"/>
      <c r="S12" s="540">
        <f t="shared" si="4"/>
        <v>0</v>
      </c>
      <c r="T12" s="541">
        <f t="shared" si="116"/>
        <v>0</v>
      </c>
      <c r="U12" s="539">
        <v>5.1249999999999432</v>
      </c>
      <c r="V12" s="540">
        <f t="shared" si="5"/>
        <v>6.5194438437368094E-2</v>
      </c>
      <c r="W12" s="541">
        <f t="shared" si="117"/>
        <v>0</v>
      </c>
      <c r="X12" s="539"/>
      <c r="Y12" s="540">
        <f t="shared" si="6"/>
        <v>0</v>
      </c>
      <c r="Z12" s="541">
        <f t="shared" si="118"/>
        <v>0</v>
      </c>
      <c r="AA12" s="539"/>
      <c r="AB12" s="540">
        <f t="shared" si="7"/>
        <v>0</v>
      </c>
      <c r="AC12" s="541">
        <f t="shared" si="119"/>
        <v>0</v>
      </c>
      <c r="AD12" s="539"/>
      <c r="AE12" s="540">
        <f t="shared" si="8"/>
        <v>0</v>
      </c>
      <c r="AF12" s="541">
        <f t="shared" si="120"/>
        <v>0</v>
      </c>
      <c r="AG12" s="539"/>
      <c r="AH12" s="540">
        <f t="shared" si="9"/>
        <v>0</v>
      </c>
      <c r="AI12" s="541">
        <f t="shared" si="121"/>
        <v>0</v>
      </c>
      <c r="AJ12" s="539">
        <v>0</v>
      </c>
      <c r="AK12" s="540">
        <f t="shared" si="10"/>
        <v>0</v>
      </c>
      <c r="AL12" s="541">
        <f t="shared" si="122"/>
        <v>0</v>
      </c>
      <c r="AM12" s="539"/>
      <c r="AN12" s="540">
        <f t="shared" si="11"/>
        <v>0</v>
      </c>
      <c r="AO12" s="541">
        <f t="shared" si="123"/>
        <v>0</v>
      </c>
      <c r="AP12" s="539">
        <v>0</v>
      </c>
      <c r="AQ12" s="540">
        <f t="shared" si="12"/>
        <v>0</v>
      </c>
      <c r="AR12" s="541">
        <f t="shared" si="124"/>
        <v>0</v>
      </c>
      <c r="AS12" s="539"/>
      <c r="AT12" s="540">
        <f t="shared" si="13"/>
        <v>0</v>
      </c>
      <c r="AU12" s="541">
        <f t="shared" si="125"/>
        <v>0</v>
      </c>
      <c r="AV12" s="539">
        <v>8.3250000000000171</v>
      </c>
      <c r="AW12" s="540">
        <f t="shared" si="14"/>
        <v>0.10590120975436029</v>
      </c>
      <c r="AX12" s="541">
        <f t="shared" si="126"/>
        <v>0</v>
      </c>
      <c r="AY12" s="539">
        <v>0</v>
      </c>
      <c r="AZ12" s="540">
        <f t="shared" si="15"/>
        <v>0</v>
      </c>
      <c r="BA12" s="541">
        <f t="shared" si="127"/>
        <v>0</v>
      </c>
      <c r="BB12" s="539">
        <v>70</v>
      </c>
      <c r="BC12" s="540">
        <f t="shared" si="16"/>
        <v>0.89046062255918379</v>
      </c>
      <c r="BD12" s="541">
        <f t="shared" si="128"/>
        <v>0</v>
      </c>
      <c r="BE12" s="539"/>
      <c r="BF12" s="540">
        <f t="shared" si="17"/>
        <v>0</v>
      </c>
      <c r="BG12" s="541">
        <f t="shared" si="129"/>
        <v>0</v>
      </c>
      <c r="BH12" s="539"/>
      <c r="BI12" s="540">
        <f t="shared" si="18"/>
        <v>0</v>
      </c>
      <c r="BJ12" s="541">
        <f t="shared" si="130"/>
        <v>0</v>
      </c>
      <c r="BK12" s="539"/>
      <c r="BL12" s="540">
        <f t="shared" si="19"/>
        <v>0</v>
      </c>
      <c r="BM12" s="541">
        <f t="shared" si="131"/>
        <v>0</v>
      </c>
      <c r="BN12" s="539">
        <v>10.123456790123456</v>
      </c>
      <c r="BO12" s="540">
        <f t="shared" si="20"/>
        <v>0.12877913765406185</v>
      </c>
      <c r="BP12" s="541">
        <f t="shared" si="132"/>
        <v>0</v>
      </c>
      <c r="BQ12" s="539">
        <v>0</v>
      </c>
      <c r="BR12" s="540">
        <f t="shared" si="21"/>
        <v>0</v>
      </c>
      <c r="BS12" s="541">
        <f t="shared" si="133"/>
        <v>0</v>
      </c>
      <c r="BT12" s="539"/>
      <c r="BU12" s="540">
        <f t="shared" si="22"/>
        <v>0</v>
      </c>
      <c r="BV12" s="541">
        <f t="shared" si="134"/>
        <v>0</v>
      </c>
      <c r="BW12" s="539">
        <v>0.68000000000000682</v>
      </c>
      <c r="BX12" s="540">
        <f t="shared" si="23"/>
        <v>8.6501889048607294E-3</v>
      </c>
      <c r="BY12" s="541">
        <f t="shared" si="135"/>
        <v>0</v>
      </c>
      <c r="BZ12" s="539">
        <v>0</v>
      </c>
      <c r="CA12" s="540">
        <f t="shared" si="24"/>
        <v>0</v>
      </c>
      <c r="CB12" s="541">
        <f t="shared" si="136"/>
        <v>0</v>
      </c>
      <c r="CC12" s="539">
        <v>0</v>
      </c>
      <c r="CD12" s="540">
        <f t="shared" si="25"/>
        <v>0</v>
      </c>
      <c r="CE12" s="541">
        <f t="shared" si="137"/>
        <v>0</v>
      </c>
      <c r="CF12" s="539">
        <v>9.9999999999999867E-2</v>
      </c>
      <c r="CG12" s="540">
        <f t="shared" si="26"/>
        <v>1.2720866036559752E-3</v>
      </c>
      <c r="CH12" s="541">
        <f t="shared" si="138"/>
        <v>0</v>
      </c>
      <c r="CI12" s="539">
        <v>0</v>
      </c>
      <c r="CJ12" s="540">
        <f t="shared" si="27"/>
        <v>0</v>
      </c>
      <c r="CK12" s="541">
        <f t="shared" si="139"/>
        <v>0</v>
      </c>
      <c r="CL12" s="539"/>
      <c r="CM12" s="540">
        <f t="shared" si="28"/>
        <v>0</v>
      </c>
      <c r="CN12" s="541">
        <f t="shared" si="140"/>
        <v>0</v>
      </c>
      <c r="CO12" s="539"/>
      <c r="CP12" s="540">
        <f t="shared" si="29"/>
        <v>0</v>
      </c>
      <c r="CQ12" s="541">
        <f t="shared" si="141"/>
        <v>0</v>
      </c>
      <c r="CR12" s="539"/>
      <c r="CS12" s="540">
        <f t="shared" si="30"/>
        <v>0</v>
      </c>
      <c r="CT12" s="541">
        <f t="shared" si="142"/>
        <v>0</v>
      </c>
      <c r="CU12" s="539"/>
      <c r="CV12" s="540">
        <f t="shared" si="31"/>
        <v>0</v>
      </c>
      <c r="CW12" s="541">
        <f t="shared" si="143"/>
        <v>0</v>
      </c>
      <c r="CX12" s="539"/>
      <c r="CY12" s="540">
        <f t="shared" si="32"/>
        <v>0</v>
      </c>
      <c r="CZ12" s="541">
        <f t="shared" si="144"/>
        <v>0</v>
      </c>
      <c r="DA12" s="539"/>
      <c r="DB12" s="540">
        <f t="shared" si="33"/>
        <v>0</v>
      </c>
      <c r="DC12" s="541">
        <f t="shared" si="145"/>
        <v>0</v>
      </c>
      <c r="DD12" s="539"/>
      <c r="DE12" s="540">
        <f t="shared" si="34"/>
        <v>0</v>
      </c>
      <c r="DF12" s="541">
        <f t="shared" si="146"/>
        <v>0</v>
      </c>
      <c r="DG12" s="539">
        <v>4.7250000000000014</v>
      </c>
      <c r="DH12" s="540">
        <f t="shared" si="35"/>
        <v>6.0106092022744924E-2</v>
      </c>
      <c r="DI12" s="541">
        <v>0</v>
      </c>
      <c r="DJ12" s="539"/>
      <c r="DK12" s="540">
        <f t="shared" si="36"/>
        <v>0</v>
      </c>
      <c r="DL12" s="541">
        <f t="shared" si="147"/>
        <v>0</v>
      </c>
      <c r="DM12" s="539"/>
      <c r="DN12" s="540">
        <f t="shared" si="37"/>
        <v>0</v>
      </c>
      <c r="DO12" s="541">
        <f t="shared" si="148"/>
        <v>0</v>
      </c>
      <c r="DP12" s="539"/>
      <c r="DQ12" s="540">
        <f t="shared" si="38"/>
        <v>0</v>
      </c>
      <c r="DR12" s="541">
        <f t="shared" si="149"/>
        <v>0</v>
      </c>
      <c r="DS12" s="539"/>
      <c r="DT12" s="540">
        <f t="shared" si="39"/>
        <v>0</v>
      </c>
      <c r="DU12" s="541">
        <f t="shared" si="150"/>
        <v>0</v>
      </c>
      <c r="DV12" s="539"/>
      <c r="DW12" s="540">
        <f t="shared" si="40"/>
        <v>0</v>
      </c>
      <c r="DX12" s="541">
        <f t="shared" si="151"/>
        <v>0</v>
      </c>
      <c r="DY12" s="539"/>
      <c r="DZ12" s="540">
        <f t="shared" si="41"/>
        <v>0</v>
      </c>
      <c r="EA12" s="541">
        <f t="shared" si="152"/>
        <v>0</v>
      </c>
      <c r="EB12" s="539">
        <v>29.069767441860449</v>
      </c>
      <c r="EC12" s="540">
        <f t="shared" si="42"/>
        <v>0.36979261734185354</v>
      </c>
      <c r="ED12" s="541">
        <f t="shared" si="153"/>
        <v>0</v>
      </c>
      <c r="EE12" s="539">
        <v>3</v>
      </c>
      <c r="EF12" s="540">
        <f t="shared" si="43"/>
        <v>3.8162598109679306E-2</v>
      </c>
      <c r="EG12" s="541">
        <f t="shared" si="154"/>
        <v>0</v>
      </c>
      <c r="EH12" s="539"/>
      <c r="EI12" s="540">
        <f t="shared" si="44"/>
        <v>0</v>
      </c>
      <c r="EJ12" s="541">
        <f t="shared" si="155"/>
        <v>0</v>
      </c>
      <c r="EK12" s="539"/>
      <c r="EL12" s="540">
        <f t="shared" si="45"/>
        <v>0</v>
      </c>
      <c r="EM12" s="541">
        <f t="shared" si="156"/>
        <v>0</v>
      </c>
      <c r="EN12" s="539"/>
      <c r="EO12" s="540">
        <f t="shared" si="46"/>
        <v>0</v>
      </c>
      <c r="EP12" s="541">
        <f t="shared" si="157"/>
        <v>0</v>
      </c>
      <c r="EQ12" s="539"/>
      <c r="ER12" s="540">
        <f t="shared" si="47"/>
        <v>0</v>
      </c>
      <c r="ES12" s="541">
        <f t="shared" si="158"/>
        <v>0</v>
      </c>
      <c r="ET12" s="539"/>
      <c r="EU12" s="540">
        <f t="shared" si="48"/>
        <v>0</v>
      </c>
      <c r="EV12" s="541">
        <f t="shared" si="159"/>
        <v>0</v>
      </c>
      <c r="EW12" s="539"/>
      <c r="EX12" s="540">
        <f t="shared" si="49"/>
        <v>0</v>
      </c>
      <c r="EY12" s="541">
        <f t="shared" si="160"/>
        <v>0</v>
      </c>
      <c r="EZ12" s="539"/>
      <c r="FA12" s="540">
        <f t="shared" si="50"/>
        <v>0</v>
      </c>
      <c r="FB12" s="541">
        <f t="shared" si="161"/>
        <v>0</v>
      </c>
      <c r="FC12" s="539"/>
      <c r="FD12" s="540">
        <f t="shared" si="51"/>
        <v>0</v>
      </c>
      <c r="FE12" s="541">
        <f t="shared" si="162"/>
        <v>0</v>
      </c>
      <c r="FF12" s="539"/>
      <c r="FG12" s="540">
        <f t="shared" si="52"/>
        <v>0</v>
      </c>
      <c r="FH12" s="541">
        <f t="shared" si="163"/>
        <v>0</v>
      </c>
      <c r="FI12" s="539"/>
      <c r="FJ12" s="540">
        <f t="shared" si="53"/>
        <v>0</v>
      </c>
      <c r="FK12" s="541">
        <f t="shared" si="164"/>
        <v>0</v>
      </c>
      <c r="FL12" s="539"/>
      <c r="FM12" s="540">
        <f t="shared" si="54"/>
        <v>0</v>
      </c>
      <c r="FN12" s="541">
        <f t="shared" si="165"/>
        <v>0</v>
      </c>
      <c r="FO12" s="539"/>
      <c r="FP12" s="540">
        <f t="shared" si="55"/>
        <v>0</v>
      </c>
      <c r="FQ12" s="541">
        <f t="shared" si="166"/>
        <v>0</v>
      </c>
      <c r="FR12" s="539"/>
      <c r="FS12" s="540">
        <f t="shared" si="56"/>
        <v>0</v>
      </c>
      <c r="FT12" s="541">
        <f t="shared" si="167"/>
        <v>0</v>
      </c>
      <c r="FU12" s="539"/>
      <c r="FV12" s="540">
        <f t="shared" si="57"/>
        <v>0</v>
      </c>
      <c r="FW12" s="541">
        <f t="shared" si="168"/>
        <v>0</v>
      </c>
      <c r="FX12" s="539"/>
      <c r="FY12" s="540">
        <f t="shared" si="58"/>
        <v>0</v>
      </c>
      <c r="FZ12" s="541">
        <f t="shared" si="169"/>
        <v>0</v>
      </c>
      <c r="GA12" s="539"/>
      <c r="GB12" s="540">
        <f t="shared" si="59"/>
        <v>0</v>
      </c>
      <c r="GC12" s="541">
        <f t="shared" si="170"/>
        <v>0</v>
      </c>
      <c r="GD12" s="539"/>
      <c r="GE12" s="540">
        <f t="shared" si="60"/>
        <v>0</v>
      </c>
      <c r="GF12" s="541">
        <f t="shared" si="171"/>
        <v>0</v>
      </c>
      <c r="GG12" s="539"/>
      <c r="GH12" s="540">
        <f t="shared" si="61"/>
        <v>0</v>
      </c>
      <c r="GI12" s="541">
        <f t="shared" si="172"/>
        <v>0</v>
      </c>
      <c r="GJ12" s="539"/>
      <c r="GK12" s="540">
        <f t="shared" si="62"/>
        <v>0</v>
      </c>
      <c r="GL12" s="541">
        <f t="shared" si="173"/>
        <v>0</v>
      </c>
      <c r="GM12" s="539"/>
      <c r="GN12" s="540">
        <f t="shared" si="63"/>
        <v>0</v>
      </c>
      <c r="GO12" s="541">
        <f t="shared" si="174"/>
        <v>0</v>
      </c>
      <c r="GP12" s="539"/>
      <c r="GQ12" s="540">
        <f t="shared" si="64"/>
        <v>0</v>
      </c>
      <c r="GR12" s="541">
        <f t="shared" si="175"/>
        <v>0</v>
      </c>
      <c r="GS12" s="539"/>
      <c r="GT12" s="540">
        <f t="shared" si="65"/>
        <v>0</v>
      </c>
      <c r="GU12" s="541">
        <f t="shared" si="176"/>
        <v>0</v>
      </c>
      <c r="GV12" s="539"/>
      <c r="GW12" s="540">
        <f t="shared" si="66"/>
        <v>0</v>
      </c>
      <c r="GX12" s="541">
        <f t="shared" si="177"/>
        <v>0</v>
      </c>
      <c r="GY12" s="539"/>
      <c r="GZ12" s="540">
        <f t="shared" si="67"/>
        <v>0</v>
      </c>
      <c r="HA12" s="541">
        <f t="shared" si="178"/>
        <v>0</v>
      </c>
      <c r="HB12" s="539"/>
      <c r="HC12" s="540">
        <f t="shared" si="68"/>
        <v>0</v>
      </c>
      <c r="HD12" s="541">
        <f t="shared" si="179"/>
        <v>0</v>
      </c>
      <c r="HE12" s="539"/>
      <c r="HF12" s="540">
        <f t="shared" si="69"/>
        <v>0</v>
      </c>
      <c r="HG12" s="541">
        <f t="shared" si="180"/>
        <v>0</v>
      </c>
      <c r="HH12" s="539"/>
      <c r="HI12" s="540">
        <f t="shared" si="70"/>
        <v>0</v>
      </c>
      <c r="HJ12" s="541">
        <f t="shared" si="181"/>
        <v>0</v>
      </c>
      <c r="HK12" s="539"/>
      <c r="HL12" s="540">
        <f t="shared" si="71"/>
        <v>0</v>
      </c>
      <c r="HM12" s="541">
        <f t="shared" si="182"/>
        <v>0</v>
      </c>
      <c r="HN12" s="539"/>
      <c r="HO12" s="540">
        <f t="shared" si="72"/>
        <v>0</v>
      </c>
      <c r="HP12" s="541">
        <f t="shared" si="183"/>
        <v>0</v>
      </c>
      <c r="HQ12" s="539"/>
      <c r="HR12" s="540">
        <f t="shared" si="73"/>
        <v>0</v>
      </c>
      <c r="HS12" s="541">
        <f t="shared" si="184"/>
        <v>0</v>
      </c>
      <c r="HT12" s="539"/>
      <c r="HU12" s="540">
        <f t="shared" si="74"/>
        <v>0</v>
      </c>
      <c r="HV12" s="541">
        <f t="shared" si="185"/>
        <v>0</v>
      </c>
      <c r="HW12" s="539"/>
      <c r="HX12" s="540">
        <f t="shared" si="75"/>
        <v>0</v>
      </c>
      <c r="HY12" s="541">
        <f t="shared" si="186"/>
        <v>0</v>
      </c>
      <c r="HZ12" s="539"/>
      <c r="IA12" s="540">
        <f t="shared" si="76"/>
        <v>0</v>
      </c>
      <c r="IB12" s="541">
        <f t="shared" si="187"/>
        <v>0</v>
      </c>
      <c r="IC12" s="539"/>
      <c r="ID12" s="540">
        <f t="shared" si="77"/>
        <v>0</v>
      </c>
      <c r="IE12" s="541">
        <f t="shared" si="188"/>
        <v>0</v>
      </c>
      <c r="IF12" s="539"/>
      <c r="IG12" s="540">
        <f t="shared" si="78"/>
        <v>0</v>
      </c>
      <c r="IH12" s="541">
        <f t="shared" si="189"/>
        <v>0</v>
      </c>
      <c r="II12" s="539"/>
      <c r="IJ12" s="540">
        <f t="shared" si="79"/>
        <v>0</v>
      </c>
      <c r="IK12" s="541">
        <f t="shared" si="190"/>
        <v>0</v>
      </c>
      <c r="IL12" s="539"/>
      <c r="IM12" s="540">
        <f t="shared" si="80"/>
        <v>0</v>
      </c>
      <c r="IN12" s="541">
        <f t="shared" si="191"/>
        <v>0</v>
      </c>
      <c r="IO12" s="539"/>
      <c r="IP12" s="540">
        <f t="shared" si="81"/>
        <v>0</v>
      </c>
      <c r="IQ12" s="541">
        <f t="shared" si="192"/>
        <v>0</v>
      </c>
      <c r="IR12" s="539"/>
      <c r="IS12" s="540">
        <f t="shared" si="82"/>
        <v>0</v>
      </c>
      <c r="IT12" s="541">
        <f t="shared" si="193"/>
        <v>0</v>
      </c>
      <c r="IU12" s="539"/>
      <c r="IV12" s="540">
        <f t="shared" si="83"/>
        <v>0</v>
      </c>
      <c r="IW12" s="541">
        <f t="shared" si="194"/>
        <v>0</v>
      </c>
      <c r="IX12" s="539"/>
      <c r="IY12" s="540">
        <f t="shared" si="84"/>
        <v>0</v>
      </c>
      <c r="IZ12" s="541">
        <f t="shared" si="195"/>
        <v>0</v>
      </c>
      <c r="JA12" s="539"/>
      <c r="JB12" s="540">
        <f t="shared" si="85"/>
        <v>0</v>
      </c>
      <c r="JC12" s="541">
        <f t="shared" si="196"/>
        <v>0</v>
      </c>
      <c r="JD12" s="539"/>
      <c r="JE12" s="540">
        <f t="shared" si="86"/>
        <v>0</v>
      </c>
      <c r="JF12" s="541">
        <f t="shared" si="197"/>
        <v>0</v>
      </c>
      <c r="JG12" s="539"/>
      <c r="JH12" s="540">
        <f t="shared" si="87"/>
        <v>0</v>
      </c>
      <c r="JI12" s="541">
        <f t="shared" si="198"/>
        <v>0</v>
      </c>
      <c r="JJ12" s="539"/>
      <c r="JK12" s="541" t="str">
        <f t="shared" si="88"/>
        <v>0</v>
      </c>
      <c r="JL12" s="541" t="str">
        <f t="shared" si="89"/>
        <v>0</v>
      </c>
      <c r="JM12" s="539"/>
      <c r="JN12" s="541" t="str">
        <f t="shared" si="90"/>
        <v>0</v>
      </c>
      <c r="JO12" s="541" t="str">
        <f t="shared" si="91"/>
        <v>0</v>
      </c>
      <c r="JP12" s="539"/>
      <c r="JQ12" s="541" t="str">
        <f t="shared" si="92"/>
        <v>0</v>
      </c>
      <c r="JR12" s="541" t="str">
        <f t="shared" si="93"/>
        <v>0</v>
      </c>
      <c r="JS12" s="539"/>
      <c r="JT12" s="541" t="str">
        <f t="shared" si="94"/>
        <v>0</v>
      </c>
      <c r="JU12" s="541" t="str">
        <f t="shared" si="95"/>
        <v>0</v>
      </c>
      <c r="JV12" s="539"/>
      <c r="JW12" s="541" t="str">
        <f t="shared" si="96"/>
        <v>0</v>
      </c>
      <c r="JX12" s="541" t="str">
        <f t="shared" si="97"/>
        <v>0</v>
      </c>
      <c r="JY12" s="539"/>
      <c r="JZ12" s="541" t="str">
        <f t="shared" si="98"/>
        <v>0</v>
      </c>
      <c r="KA12" s="541" t="str">
        <f t="shared" si="99"/>
        <v>0</v>
      </c>
      <c r="KB12" s="539"/>
      <c r="KC12" s="541" t="str">
        <f t="shared" si="100"/>
        <v>0</v>
      </c>
      <c r="KD12" s="541" t="str">
        <f t="shared" si="101"/>
        <v>0</v>
      </c>
      <c r="KE12" s="539"/>
      <c r="KF12" s="541" t="str">
        <f t="shared" si="102"/>
        <v>0</v>
      </c>
      <c r="KG12" s="541" t="str">
        <f t="shared" si="103"/>
        <v>0</v>
      </c>
      <c r="KH12" s="539"/>
      <c r="KI12" s="541" t="str">
        <f t="shared" si="104"/>
        <v>0</v>
      </c>
      <c r="KJ12" s="541" t="str">
        <f t="shared" si="105"/>
        <v>0</v>
      </c>
      <c r="KK12" s="539"/>
      <c r="KL12" s="541" t="str">
        <f t="shared" si="106"/>
        <v>0</v>
      </c>
      <c r="KM12" s="541" t="str">
        <f t="shared" si="107"/>
        <v>0</v>
      </c>
      <c r="KN12" s="539"/>
      <c r="KO12" s="541" t="str">
        <f t="shared" si="108"/>
        <v>0</v>
      </c>
      <c r="KP12" s="541" t="str">
        <f t="shared" si="109"/>
        <v>0</v>
      </c>
      <c r="KQ12" s="539"/>
      <c r="KR12" s="541" t="str">
        <f t="shared" si="110"/>
        <v>0</v>
      </c>
      <c r="KS12" s="541" t="str">
        <f t="shared" si="111"/>
        <v>0</v>
      </c>
      <c r="KT12" s="541">
        <f t="shared" si="201"/>
        <v>0</v>
      </c>
      <c r="KU12" s="541">
        <f t="shared" si="202"/>
        <v>0</v>
      </c>
      <c r="KV12" s="275">
        <f t="shared" si="199"/>
        <v>916.21799167384438</v>
      </c>
    </row>
    <row r="13" spans="1:308" ht="15" customHeight="1">
      <c r="A13" s="277">
        <f t="shared" si="200"/>
        <v>45843</v>
      </c>
      <c r="B13" s="278" t="str">
        <f>+Report1!B13</f>
        <v>MG</v>
      </c>
      <c r="C13" s="418" t="str">
        <f>+Report1!C13</f>
        <v>16</v>
      </c>
      <c r="D13" s="279">
        <f>+Report1!P13</f>
        <v>74.533000000000001</v>
      </c>
      <c r="E13" s="280">
        <f>+Report1!R13</f>
        <v>74.552000000000007</v>
      </c>
      <c r="F13" s="539"/>
      <c r="G13" s="540">
        <f t="shared" si="0"/>
        <v>0</v>
      </c>
      <c r="H13" s="541">
        <f t="shared" si="112"/>
        <v>0</v>
      </c>
      <c r="I13" s="539">
        <v>857.97042325581378</v>
      </c>
      <c r="J13" s="540">
        <f t="shared" si="1"/>
        <v>11.508348847191407</v>
      </c>
      <c r="K13" s="541">
        <f t="shared" si="113"/>
        <v>0</v>
      </c>
      <c r="L13" s="539"/>
      <c r="M13" s="540">
        <f t="shared" si="2"/>
        <v>0</v>
      </c>
      <c r="N13" s="541">
        <f t="shared" si="114"/>
        <v>0</v>
      </c>
      <c r="O13" s="539">
        <v>6.233600000000024</v>
      </c>
      <c r="P13" s="540">
        <f t="shared" si="3"/>
        <v>8.3614121686876583E-2</v>
      </c>
      <c r="Q13" s="541">
        <f t="shared" si="115"/>
        <v>0</v>
      </c>
      <c r="R13" s="539"/>
      <c r="S13" s="540">
        <f t="shared" si="4"/>
        <v>0</v>
      </c>
      <c r="T13" s="541">
        <f t="shared" si="116"/>
        <v>0</v>
      </c>
      <c r="U13" s="539">
        <v>5.3266000000000986</v>
      </c>
      <c r="V13" s="540">
        <f t="shared" si="5"/>
        <v>7.144811675072564E-2</v>
      </c>
      <c r="W13" s="541">
        <f t="shared" si="117"/>
        <v>0</v>
      </c>
      <c r="X13" s="539"/>
      <c r="Y13" s="540">
        <f t="shared" si="6"/>
        <v>0</v>
      </c>
      <c r="Z13" s="541">
        <f t="shared" si="118"/>
        <v>0</v>
      </c>
      <c r="AA13" s="539"/>
      <c r="AB13" s="540">
        <f t="shared" si="7"/>
        <v>0</v>
      </c>
      <c r="AC13" s="541">
        <f t="shared" si="119"/>
        <v>0</v>
      </c>
      <c r="AD13" s="539"/>
      <c r="AE13" s="540">
        <f t="shared" si="8"/>
        <v>0</v>
      </c>
      <c r="AF13" s="541">
        <f t="shared" si="120"/>
        <v>0</v>
      </c>
      <c r="AG13" s="539"/>
      <c r="AH13" s="540">
        <f t="shared" si="9"/>
        <v>0</v>
      </c>
      <c r="AI13" s="541">
        <f t="shared" si="121"/>
        <v>0</v>
      </c>
      <c r="AJ13" s="539">
        <v>0</v>
      </c>
      <c r="AK13" s="540">
        <f t="shared" si="10"/>
        <v>0</v>
      </c>
      <c r="AL13" s="541">
        <f t="shared" si="122"/>
        <v>0</v>
      </c>
      <c r="AM13" s="539"/>
      <c r="AN13" s="540">
        <f t="shared" si="11"/>
        <v>0</v>
      </c>
      <c r="AO13" s="541">
        <f t="shared" si="123"/>
        <v>0</v>
      </c>
      <c r="AP13" s="539">
        <v>0</v>
      </c>
      <c r="AQ13" s="540">
        <f t="shared" si="12"/>
        <v>0</v>
      </c>
      <c r="AR13" s="541">
        <f t="shared" si="124"/>
        <v>0</v>
      </c>
      <c r="AS13" s="539"/>
      <c r="AT13" s="540">
        <f t="shared" si="13"/>
        <v>0</v>
      </c>
      <c r="AU13" s="541">
        <f t="shared" si="125"/>
        <v>0</v>
      </c>
      <c r="AV13" s="539">
        <v>5.7620000000000005</v>
      </c>
      <c r="AW13" s="540">
        <f t="shared" si="14"/>
        <v>7.7288335658332444E-2</v>
      </c>
      <c r="AX13" s="541">
        <f t="shared" si="126"/>
        <v>0</v>
      </c>
      <c r="AY13" s="539">
        <v>0</v>
      </c>
      <c r="AZ13" s="540">
        <f t="shared" si="15"/>
        <v>0</v>
      </c>
      <c r="BA13" s="541">
        <f t="shared" si="127"/>
        <v>0</v>
      </c>
      <c r="BB13" s="539">
        <v>92.147333333333307</v>
      </c>
      <c r="BC13" s="540">
        <f t="shared" si="16"/>
        <v>1.2360142361483704</v>
      </c>
      <c r="BD13" s="541">
        <f t="shared" si="128"/>
        <v>0</v>
      </c>
      <c r="BE13" s="539"/>
      <c r="BF13" s="540">
        <f t="shared" si="17"/>
        <v>0</v>
      </c>
      <c r="BG13" s="541">
        <f t="shared" si="129"/>
        <v>0</v>
      </c>
      <c r="BH13" s="539"/>
      <c r="BI13" s="540">
        <f t="shared" si="18"/>
        <v>0</v>
      </c>
      <c r="BJ13" s="541">
        <f t="shared" si="130"/>
        <v>0</v>
      </c>
      <c r="BK13" s="539"/>
      <c r="BL13" s="540">
        <f t="shared" si="19"/>
        <v>0</v>
      </c>
      <c r="BM13" s="541">
        <f t="shared" si="131"/>
        <v>0</v>
      </c>
      <c r="BN13" s="539">
        <v>11.839777777777755</v>
      </c>
      <c r="BO13" s="540">
        <f t="shared" si="20"/>
        <v>0.15881234276448322</v>
      </c>
      <c r="BP13" s="541">
        <f t="shared" si="132"/>
        <v>0</v>
      </c>
      <c r="BQ13" s="539">
        <v>0</v>
      </c>
      <c r="BR13" s="540">
        <f t="shared" si="21"/>
        <v>0</v>
      </c>
      <c r="BS13" s="541">
        <f t="shared" si="133"/>
        <v>0</v>
      </c>
      <c r="BT13" s="539"/>
      <c r="BU13" s="540">
        <f t="shared" si="22"/>
        <v>0</v>
      </c>
      <c r="BV13" s="541">
        <f t="shared" si="134"/>
        <v>0</v>
      </c>
      <c r="BW13" s="539">
        <v>0.67999999999999261</v>
      </c>
      <c r="BX13" s="540">
        <f t="shared" si="23"/>
        <v>9.1211503380190014E-3</v>
      </c>
      <c r="BY13" s="541">
        <f t="shared" si="135"/>
        <v>0</v>
      </c>
      <c r="BZ13" s="539">
        <v>0</v>
      </c>
      <c r="CA13" s="540">
        <f t="shared" si="24"/>
        <v>0</v>
      </c>
      <c r="CB13" s="541">
        <f t="shared" si="136"/>
        <v>0</v>
      </c>
      <c r="CC13" s="539">
        <v>3.125</v>
      </c>
      <c r="CD13" s="540">
        <f t="shared" si="25"/>
        <v>4.1917051185749538E-2</v>
      </c>
      <c r="CE13" s="541">
        <f t="shared" si="137"/>
        <v>0</v>
      </c>
      <c r="CF13" s="539">
        <v>0.4</v>
      </c>
      <c r="CG13" s="540">
        <f t="shared" si="26"/>
        <v>5.365382551775941E-3</v>
      </c>
      <c r="CH13" s="541">
        <f t="shared" si="138"/>
        <v>0</v>
      </c>
      <c r="CI13" s="539">
        <v>0</v>
      </c>
      <c r="CJ13" s="540">
        <f t="shared" si="27"/>
        <v>0</v>
      </c>
      <c r="CK13" s="541">
        <f t="shared" si="139"/>
        <v>0</v>
      </c>
      <c r="CL13" s="539"/>
      <c r="CM13" s="540">
        <f t="shared" si="28"/>
        <v>0</v>
      </c>
      <c r="CN13" s="541">
        <f t="shared" si="140"/>
        <v>0</v>
      </c>
      <c r="CO13" s="539"/>
      <c r="CP13" s="540">
        <f t="shared" si="29"/>
        <v>0</v>
      </c>
      <c r="CQ13" s="541">
        <f t="shared" si="141"/>
        <v>0</v>
      </c>
      <c r="CR13" s="539"/>
      <c r="CS13" s="540">
        <f t="shared" si="30"/>
        <v>0</v>
      </c>
      <c r="CT13" s="541">
        <f t="shared" si="142"/>
        <v>0</v>
      </c>
      <c r="CU13" s="539"/>
      <c r="CV13" s="540">
        <f t="shared" si="31"/>
        <v>0</v>
      </c>
      <c r="CW13" s="541">
        <f t="shared" si="143"/>
        <v>0</v>
      </c>
      <c r="CX13" s="539"/>
      <c r="CY13" s="540">
        <f t="shared" si="32"/>
        <v>0</v>
      </c>
      <c r="CZ13" s="541">
        <f t="shared" si="144"/>
        <v>0</v>
      </c>
      <c r="DA13" s="539"/>
      <c r="DB13" s="540">
        <f t="shared" si="33"/>
        <v>0</v>
      </c>
      <c r="DC13" s="541">
        <f t="shared" si="145"/>
        <v>0</v>
      </c>
      <c r="DD13" s="539"/>
      <c r="DE13" s="540">
        <f t="shared" si="34"/>
        <v>0</v>
      </c>
      <c r="DF13" s="541">
        <f t="shared" si="146"/>
        <v>0</v>
      </c>
      <c r="DG13" s="539">
        <v>4.7249999999999979</v>
      </c>
      <c r="DH13" s="540">
        <f t="shared" si="35"/>
        <v>6.3378581392853281E-2</v>
      </c>
      <c r="DI13" s="541">
        <v>0</v>
      </c>
      <c r="DJ13" s="539"/>
      <c r="DK13" s="540">
        <f t="shared" si="36"/>
        <v>0</v>
      </c>
      <c r="DL13" s="541">
        <f t="shared" si="147"/>
        <v>0</v>
      </c>
      <c r="DM13" s="539"/>
      <c r="DN13" s="540">
        <f t="shared" si="37"/>
        <v>0</v>
      </c>
      <c r="DO13" s="541">
        <f t="shared" si="148"/>
        <v>0</v>
      </c>
      <c r="DP13" s="539"/>
      <c r="DQ13" s="540">
        <f t="shared" si="38"/>
        <v>0</v>
      </c>
      <c r="DR13" s="541">
        <f t="shared" si="149"/>
        <v>0</v>
      </c>
      <c r="DS13" s="539"/>
      <c r="DT13" s="540">
        <f t="shared" si="39"/>
        <v>0</v>
      </c>
      <c r="DU13" s="541">
        <f t="shared" si="150"/>
        <v>0</v>
      </c>
      <c r="DV13" s="539"/>
      <c r="DW13" s="540">
        <f t="shared" si="40"/>
        <v>0</v>
      </c>
      <c r="DX13" s="541">
        <f t="shared" si="151"/>
        <v>0</v>
      </c>
      <c r="DY13" s="539"/>
      <c r="DZ13" s="540">
        <f t="shared" si="41"/>
        <v>0</v>
      </c>
      <c r="EA13" s="541">
        <f t="shared" si="152"/>
        <v>0</v>
      </c>
      <c r="EB13" s="539">
        <v>15.102446511628159</v>
      </c>
      <c r="EC13" s="540">
        <f t="shared" si="42"/>
        <v>0.20257600750654789</v>
      </c>
      <c r="ED13" s="541">
        <f t="shared" si="153"/>
        <v>0</v>
      </c>
      <c r="EE13" s="539">
        <v>3</v>
      </c>
      <c r="EF13" s="540">
        <f t="shared" si="43"/>
        <v>4.0240369138319555E-2</v>
      </c>
      <c r="EG13" s="541">
        <f t="shared" si="154"/>
        <v>0</v>
      </c>
      <c r="EH13" s="539"/>
      <c r="EI13" s="540">
        <f t="shared" si="44"/>
        <v>0</v>
      </c>
      <c r="EJ13" s="541">
        <f t="shared" si="155"/>
        <v>0</v>
      </c>
      <c r="EK13" s="539"/>
      <c r="EL13" s="540">
        <f t="shared" si="45"/>
        <v>0</v>
      </c>
      <c r="EM13" s="541">
        <f t="shared" si="156"/>
        <v>0</v>
      </c>
      <c r="EN13" s="539"/>
      <c r="EO13" s="540">
        <f t="shared" si="46"/>
        <v>0</v>
      </c>
      <c r="EP13" s="541">
        <f t="shared" si="157"/>
        <v>0</v>
      </c>
      <c r="EQ13" s="539"/>
      <c r="ER13" s="540">
        <f t="shared" si="47"/>
        <v>0</v>
      </c>
      <c r="ES13" s="541">
        <f t="shared" si="158"/>
        <v>0</v>
      </c>
      <c r="ET13" s="539"/>
      <c r="EU13" s="540">
        <f t="shared" si="48"/>
        <v>0</v>
      </c>
      <c r="EV13" s="541">
        <f t="shared" si="159"/>
        <v>0</v>
      </c>
      <c r="EW13" s="539"/>
      <c r="EX13" s="540">
        <f t="shared" si="49"/>
        <v>0</v>
      </c>
      <c r="EY13" s="541">
        <f t="shared" si="160"/>
        <v>0</v>
      </c>
      <c r="EZ13" s="539"/>
      <c r="FA13" s="540">
        <f t="shared" si="50"/>
        <v>0</v>
      </c>
      <c r="FB13" s="541">
        <f t="shared" si="161"/>
        <v>0</v>
      </c>
      <c r="FC13" s="539"/>
      <c r="FD13" s="540">
        <f t="shared" si="51"/>
        <v>0</v>
      </c>
      <c r="FE13" s="541">
        <f t="shared" si="162"/>
        <v>0</v>
      </c>
      <c r="FF13" s="539"/>
      <c r="FG13" s="540">
        <f t="shared" si="52"/>
        <v>0</v>
      </c>
      <c r="FH13" s="541">
        <f t="shared" si="163"/>
        <v>0</v>
      </c>
      <c r="FI13" s="539"/>
      <c r="FJ13" s="540">
        <f t="shared" si="53"/>
        <v>0</v>
      </c>
      <c r="FK13" s="541">
        <f t="shared" si="164"/>
        <v>0</v>
      </c>
      <c r="FL13" s="539"/>
      <c r="FM13" s="540">
        <f t="shared" si="54"/>
        <v>0</v>
      </c>
      <c r="FN13" s="541">
        <f t="shared" si="165"/>
        <v>0</v>
      </c>
      <c r="FO13" s="539"/>
      <c r="FP13" s="540">
        <f t="shared" si="55"/>
        <v>0</v>
      </c>
      <c r="FQ13" s="541">
        <f t="shared" si="166"/>
        <v>0</v>
      </c>
      <c r="FR13" s="539"/>
      <c r="FS13" s="540">
        <f t="shared" si="56"/>
        <v>0</v>
      </c>
      <c r="FT13" s="541">
        <f t="shared" si="167"/>
        <v>0</v>
      </c>
      <c r="FU13" s="539"/>
      <c r="FV13" s="540">
        <f t="shared" si="57"/>
        <v>0</v>
      </c>
      <c r="FW13" s="541">
        <f t="shared" si="168"/>
        <v>0</v>
      </c>
      <c r="FX13" s="539"/>
      <c r="FY13" s="540">
        <f t="shared" si="58"/>
        <v>0</v>
      </c>
      <c r="FZ13" s="541">
        <f t="shared" si="169"/>
        <v>0</v>
      </c>
      <c r="GA13" s="539"/>
      <c r="GB13" s="540">
        <f t="shared" si="59"/>
        <v>0</v>
      </c>
      <c r="GC13" s="541">
        <f t="shared" si="170"/>
        <v>0</v>
      </c>
      <c r="GD13" s="539"/>
      <c r="GE13" s="540">
        <f t="shared" si="60"/>
        <v>0</v>
      </c>
      <c r="GF13" s="541">
        <f t="shared" si="171"/>
        <v>0</v>
      </c>
      <c r="GG13" s="539"/>
      <c r="GH13" s="540">
        <f t="shared" si="61"/>
        <v>0</v>
      </c>
      <c r="GI13" s="541">
        <f t="shared" si="172"/>
        <v>0</v>
      </c>
      <c r="GJ13" s="539"/>
      <c r="GK13" s="540">
        <f t="shared" si="62"/>
        <v>0</v>
      </c>
      <c r="GL13" s="541">
        <f t="shared" si="173"/>
        <v>0</v>
      </c>
      <c r="GM13" s="539"/>
      <c r="GN13" s="540">
        <f t="shared" si="63"/>
        <v>0</v>
      </c>
      <c r="GO13" s="541">
        <f t="shared" si="174"/>
        <v>0</v>
      </c>
      <c r="GP13" s="539"/>
      <c r="GQ13" s="540">
        <f t="shared" si="64"/>
        <v>0</v>
      </c>
      <c r="GR13" s="541">
        <f t="shared" si="175"/>
        <v>0</v>
      </c>
      <c r="GS13" s="539"/>
      <c r="GT13" s="540">
        <f t="shared" si="65"/>
        <v>0</v>
      </c>
      <c r="GU13" s="541">
        <f t="shared" si="176"/>
        <v>0</v>
      </c>
      <c r="GV13" s="539"/>
      <c r="GW13" s="540">
        <f t="shared" si="66"/>
        <v>0</v>
      </c>
      <c r="GX13" s="541">
        <f t="shared" si="177"/>
        <v>0</v>
      </c>
      <c r="GY13" s="539"/>
      <c r="GZ13" s="540">
        <f t="shared" si="67"/>
        <v>0</v>
      </c>
      <c r="HA13" s="541">
        <f t="shared" si="178"/>
        <v>0</v>
      </c>
      <c r="HB13" s="539"/>
      <c r="HC13" s="540">
        <f t="shared" si="68"/>
        <v>0</v>
      </c>
      <c r="HD13" s="541">
        <f t="shared" si="179"/>
        <v>0</v>
      </c>
      <c r="HE13" s="539"/>
      <c r="HF13" s="540">
        <f t="shared" si="69"/>
        <v>0</v>
      </c>
      <c r="HG13" s="541">
        <f t="shared" si="180"/>
        <v>0</v>
      </c>
      <c r="HH13" s="539"/>
      <c r="HI13" s="540">
        <f t="shared" si="70"/>
        <v>0</v>
      </c>
      <c r="HJ13" s="541">
        <f t="shared" si="181"/>
        <v>0</v>
      </c>
      <c r="HK13" s="539"/>
      <c r="HL13" s="540">
        <f t="shared" si="71"/>
        <v>0</v>
      </c>
      <c r="HM13" s="541">
        <f t="shared" si="182"/>
        <v>0</v>
      </c>
      <c r="HN13" s="539"/>
      <c r="HO13" s="540">
        <f t="shared" si="72"/>
        <v>0</v>
      </c>
      <c r="HP13" s="541">
        <f t="shared" si="183"/>
        <v>0</v>
      </c>
      <c r="HQ13" s="539"/>
      <c r="HR13" s="540">
        <f t="shared" si="73"/>
        <v>0</v>
      </c>
      <c r="HS13" s="541">
        <f t="shared" si="184"/>
        <v>0</v>
      </c>
      <c r="HT13" s="539"/>
      <c r="HU13" s="540">
        <f t="shared" si="74"/>
        <v>0</v>
      </c>
      <c r="HV13" s="541">
        <f t="shared" si="185"/>
        <v>0</v>
      </c>
      <c r="HW13" s="539"/>
      <c r="HX13" s="540">
        <f t="shared" si="75"/>
        <v>0</v>
      </c>
      <c r="HY13" s="541">
        <f t="shared" si="186"/>
        <v>0</v>
      </c>
      <c r="HZ13" s="539"/>
      <c r="IA13" s="540">
        <f t="shared" si="76"/>
        <v>0</v>
      </c>
      <c r="IB13" s="541">
        <f t="shared" si="187"/>
        <v>0</v>
      </c>
      <c r="IC13" s="539"/>
      <c r="ID13" s="540">
        <f t="shared" si="77"/>
        <v>0</v>
      </c>
      <c r="IE13" s="541">
        <f t="shared" si="188"/>
        <v>0</v>
      </c>
      <c r="IF13" s="539"/>
      <c r="IG13" s="540">
        <f t="shared" si="78"/>
        <v>0</v>
      </c>
      <c r="IH13" s="541">
        <f t="shared" si="189"/>
        <v>0</v>
      </c>
      <c r="II13" s="539"/>
      <c r="IJ13" s="540">
        <f t="shared" si="79"/>
        <v>0</v>
      </c>
      <c r="IK13" s="541">
        <f t="shared" si="190"/>
        <v>0</v>
      </c>
      <c r="IL13" s="539"/>
      <c r="IM13" s="540">
        <f t="shared" si="80"/>
        <v>0</v>
      </c>
      <c r="IN13" s="541">
        <f t="shared" si="191"/>
        <v>0</v>
      </c>
      <c r="IO13" s="539"/>
      <c r="IP13" s="540">
        <f t="shared" si="81"/>
        <v>0</v>
      </c>
      <c r="IQ13" s="541">
        <f t="shared" si="192"/>
        <v>0</v>
      </c>
      <c r="IR13" s="539"/>
      <c r="IS13" s="540">
        <f t="shared" si="82"/>
        <v>0</v>
      </c>
      <c r="IT13" s="541">
        <f t="shared" si="193"/>
        <v>0</v>
      </c>
      <c r="IU13" s="539"/>
      <c r="IV13" s="540">
        <f t="shared" si="83"/>
        <v>0</v>
      </c>
      <c r="IW13" s="541">
        <f t="shared" si="194"/>
        <v>0</v>
      </c>
      <c r="IX13" s="539"/>
      <c r="IY13" s="540">
        <f t="shared" si="84"/>
        <v>0</v>
      </c>
      <c r="IZ13" s="541">
        <f t="shared" si="195"/>
        <v>0</v>
      </c>
      <c r="JA13" s="539"/>
      <c r="JB13" s="540">
        <f t="shared" si="85"/>
        <v>0</v>
      </c>
      <c r="JC13" s="541">
        <f t="shared" si="196"/>
        <v>0</v>
      </c>
      <c r="JD13" s="539"/>
      <c r="JE13" s="540">
        <f t="shared" si="86"/>
        <v>0</v>
      </c>
      <c r="JF13" s="541">
        <f t="shared" si="197"/>
        <v>0</v>
      </c>
      <c r="JG13" s="539"/>
      <c r="JH13" s="540">
        <f t="shared" si="87"/>
        <v>0</v>
      </c>
      <c r="JI13" s="541">
        <f t="shared" si="198"/>
        <v>0</v>
      </c>
      <c r="JJ13" s="539"/>
      <c r="JK13" s="541" t="str">
        <f t="shared" si="88"/>
        <v>0</v>
      </c>
      <c r="JL13" s="541" t="str">
        <f t="shared" si="89"/>
        <v>0</v>
      </c>
      <c r="JM13" s="539"/>
      <c r="JN13" s="541" t="str">
        <f t="shared" si="90"/>
        <v>0</v>
      </c>
      <c r="JO13" s="541" t="str">
        <f t="shared" si="91"/>
        <v>0</v>
      </c>
      <c r="JP13" s="539"/>
      <c r="JQ13" s="541" t="str">
        <f t="shared" si="92"/>
        <v>0</v>
      </c>
      <c r="JR13" s="541" t="str">
        <f t="shared" si="93"/>
        <v>0</v>
      </c>
      <c r="JS13" s="539"/>
      <c r="JT13" s="541" t="str">
        <f t="shared" si="94"/>
        <v>0</v>
      </c>
      <c r="JU13" s="541" t="str">
        <f t="shared" si="95"/>
        <v>0</v>
      </c>
      <c r="JV13" s="539"/>
      <c r="JW13" s="541" t="str">
        <f t="shared" si="96"/>
        <v>0</v>
      </c>
      <c r="JX13" s="541" t="str">
        <f t="shared" si="97"/>
        <v>0</v>
      </c>
      <c r="JY13" s="539"/>
      <c r="JZ13" s="541" t="str">
        <f t="shared" si="98"/>
        <v>0</v>
      </c>
      <c r="KA13" s="541" t="str">
        <f t="shared" si="99"/>
        <v>0</v>
      </c>
      <c r="KB13" s="539"/>
      <c r="KC13" s="541" t="str">
        <f t="shared" si="100"/>
        <v>0</v>
      </c>
      <c r="KD13" s="541" t="str">
        <f t="shared" si="101"/>
        <v>0</v>
      </c>
      <c r="KE13" s="539"/>
      <c r="KF13" s="541" t="str">
        <f t="shared" si="102"/>
        <v>0</v>
      </c>
      <c r="KG13" s="541" t="str">
        <f t="shared" si="103"/>
        <v>0</v>
      </c>
      <c r="KH13" s="539"/>
      <c r="KI13" s="541" t="str">
        <f t="shared" si="104"/>
        <v>0</v>
      </c>
      <c r="KJ13" s="541" t="str">
        <f t="shared" si="105"/>
        <v>0</v>
      </c>
      <c r="KK13" s="539"/>
      <c r="KL13" s="541" t="str">
        <f t="shared" si="106"/>
        <v>0</v>
      </c>
      <c r="KM13" s="541" t="str">
        <f t="shared" si="107"/>
        <v>0</v>
      </c>
      <c r="KN13" s="539"/>
      <c r="KO13" s="541" t="str">
        <f t="shared" si="108"/>
        <v>0</v>
      </c>
      <c r="KP13" s="541" t="str">
        <f t="shared" si="109"/>
        <v>0</v>
      </c>
      <c r="KQ13" s="539"/>
      <c r="KR13" s="541" t="str">
        <f t="shared" si="110"/>
        <v>0</v>
      </c>
      <c r="KS13" s="541" t="str">
        <f t="shared" si="111"/>
        <v>0</v>
      </c>
      <c r="KT13" s="541">
        <f t="shared" si="201"/>
        <v>0</v>
      </c>
      <c r="KU13" s="541">
        <f t="shared" si="202"/>
        <v>0</v>
      </c>
      <c r="KV13" s="275">
        <f t="shared" si="199"/>
        <v>1006.312180878553</v>
      </c>
    </row>
    <row r="14" spans="1:308" ht="15" customHeight="1">
      <c r="A14" s="277">
        <f t="shared" si="200"/>
        <v>45844</v>
      </c>
      <c r="B14" s="278" t="str">
        <f>+Report1!B14</f>
        <v>MG</v>
      </c>
      <c r="C14" s="418" t="str">
        <f>+Report1!C14</f>
        <v>16</v>
      </c>
      <c r="D14" s="279">
        <f>+Report1!P14</f>
        <v>68.905000000000001</v>
      </c>
      <c r="E14" s="280">
        <f>+Report1!R14</f>
        <v>70.131</v>
      </c>
      <c r="F14" s="539"/>
      <c r="G14" s="540">
        <f t="shared" si="0"/>
        <v>0</v>
      </c>
      <c r="H14" s="541">
        <f t="shared" si="112"/>
        <v>0</v>
      </c>
      <c r="I14" s="539">
        <v>793.19280000000003</v>
      </c>
      <c r="J14" s="540">
        <f t="shared" si="1"/>
        <v>11.310159558540446</v>
      </c>
      <c r="K14" s="541">
        <f t="shared" si="113"/>
        <v>0</v>
      </c>
      <c r="L14" s="539"/>
      <c r="M14" s="540">
        <f t="shared" si="2"/>
        <v>0</v>
      </c>
      <c r="N14" s="541">
        <f t="shared" si="114"/>
        <v>0</v>
      </c>
      <c r="O14" s="539">
        <v>5.765199999999993</v>
      </c>
      <c r="P14" s="540">
        <f t="shared" si="3"/>
        <v>8.2206157048951151E-2</v>
      </c>
      <c r="Q14" s="541">
        <f t="shared" si="115"/>
        <v>0</v>
      </c>
      <c r="R14" s="539"/>
      <c r="S14" s="540">
        <f t="shared" si="4"/>
        <v>0</v>
      </c>
      <c r="T14" s="541">
        <f t="shared" si="116"/>
        <v>0</v>
      </c>
      <c r="U14" s="539">
        <v>4.9233999999999583</v>
      </c>
      <c r="V14" s="540">
        <f t="shared" si="5"/>
        <v>7.0202905990217709E-2</v>
      </c>
      <c r="W14" s="541">
        <f t="shared" si="117"/>
        <v>0</v>
      </c>
      <c r="X14" s="539"/>
      <c r="Y14" s="540">
        <f t="shared" si="6"/>
        <v>0</v>
      </c>
      <c r="Z14" s="541">
        <f t="shared" si="118"/>
        <v>0</v>
      </c>
      <c r="AA14" s="539"/>
      <c r="AB14" s="540">
        <f t="shared" si="7"/>
        <v>0</v>
      </c>
      <c r="AC14" s="541">
        <f t="shared" si="119"/>
        <v>0</v>
      </c>
      <c r="AD14" s="539"/>
      <c r="AE14" s="540">
        <f t="shared" si="8"/>
        <v>0</v>
      </c>
      <c r="AF14" s="541">
        <f t="shared" si="120"/>
        <v>0</v>
      </c>
      <c r="AG14" s="539"/>
      <c r="AH14" s="540">
        <f t="shared" si="9"/>
        <v>0</v>
      </c>
      <c r="AI14" s="541">
        <f t="shared" si="121"/>
        <v>0</v>
      </c>
      <c r="AJ14" s="539">
        <v>0</v>
      </c>
      <c r="AK14" s="540">
        <f t="shared" si="10"/>
        <v>0</v>
      </c>
      <c r="AL14" s="541">
        <f t="shared" si="122"/>
        <v>0</v>
      </c>
      <c r="AM14" s="539"/>
      <c r="AN14" s="540">
        <f t="shared" si="11"/>
        <v>0</v>
      </c>
      <c r="AO14" s="541">
        <f t="shared" si="123"/>
        <v>0</v>
      </c>
      <c r="AP14" s="539">
        <v>0</v>
      </c>
      <c r="AQ14" s="540">
        <f t="shared" si="12"/>
        <v>0</v>
      </c>
      <c r="AR14" s="541">
        <f t="shared" si="124"/>
        <v>0</v>
      </c>
      <c r="AS14" s="539"/>
      <c r="AT14" s="540">
        <f t="shared" si="13"/>
        <v>0</v>
      </c>
      <c r="AU14" s="541">
        <f t="shared" si="125"/>
        <v>0</v>
      </c>
      <c r="AV14" s="539">
        <v>5.3360000000000127</v>
      </c>
      <c r="AW14" s="540">
        <f t="shared" si="14"/>
        <v>7.6086181574482228E-2</v>
      </c>
      <c r="AX14" s="541">
        <f t="shared" si="126"/>
        <v>0</v>
      </c>
      <c r="AY14" s="539">
        <v>0</v>
      </c>
      <c r="AZ14" s="540">
        <f t="shared" si="15"/>
        <v>0</v>
      </c>
      <c r="BA14" s="541">
        <f t="shared" si="127"/>
        <v>0</v>
      </c>
      <c r="BB14" s="539">
        <v>85.1828</v>
      </c>
      <c r="BC14" s="540">
        <f t="shared" si="16"/>
        <v>1.2146240606864296</v>
      </c>
      <c r="BD14" s="541">
        <f t="shared" si="128"/>
        <v>0</v>
      </c>
      <c r="BE14" s="539"/>
      <c r="BF14" s="540">
        <f t="shared" si="17"/>
        <v>0</v>
      </c>
      <c r="BG14" s="541">
        <f t="shared" si="129"/>
        <v>0</v>
      </c>
      <c r="BH14" s="539"/>
      <c r="BI14" s="540">
        <f t="shared" si="18"/>
        <v>0</v>
      </c>
      <c r="BJ14" s="541">
        <f t="shared" si="130"/>
        <v>0</v>
      </c>
      <c r="BK14" s="539"/>
      <c r="BL14" s="540">
        <f t="shared" si="19"/>
        <v>0</v>
      </c>
      <c r="BM14" s="541">
        <f t="shared" si="131"/>
        <v>0</v>
      </c>
      <c r="BN14" s="539">
        <v>10.938300000000027</v>
      </c>
      <c r="BO14" s="540">
        <f t="shared" si="20"/>
        <v>0.15596954271292335</v>
      </c>
      <c r="BP14" s="541">
        <f t="shared" si="132"/>
        <v>0</v>
      </c>
      <c r="BQ14" s="539">
        <v>0</v>
      </c>
      <c r="BR14" s="540">
        <f t="shared" si="21"/>
        <v>0</v>
      </c>
      <c r="BS14" s="541">
        <f t="shared" si="133"/>
        <v>0</v>
      </c>
      <c r="BT14" s="539"/>
      <c r="BU14" s="540">
        <f t="shared" si="22"/>
        <v>0</v>
      </c>
      <c r="BV14" s="541">
        <f t="shared" si="134"/>
        <v>0</v>
      </c>
      <c r="BW14" s="539">
        <v>0.68000000000000682</v>
      </c>
      <c r="BX14" s="540">
        <f t="shared" si="23"/>
        <v>9.6961400807062045E-3</v>
      </c>
      <c r="BY14" s="541">
        <f t="shared" si="135"/>
        <v>0</v>
      </c>
      <c r="BZ14" s="539">
        <v>0</v>
      </c>
      <c r="CA14" s="540">
        <f t="shared" si="24"/>
        <v>0</v>
      </c>
      <c r="CB14" s="541">
        <f t="shared" si="136"/>
        <v>0</v>
      </c>
      <c r="CC14" s="539">
        <v>3.125</v>
      </c>
      <c r="CD14" s="540">
        <f t="shared" si="25"/>
        <v>4.4559467282656744E-2</v>
      </c>
      <c r="CE14" s="541">
        <f t="shared" si="137"/>
        <v>0</v>
      </c>
      <c r="CF14" s="539">
        <v>0.4</v>
      </c>
      <c r="CG14" s="540">
        <f t="shared" si="26"/>
        <v>5.7036118121800636E-3</v>
      </c>
      <c r="CH14" s="541">
        <f t="shared" si="138"/>
        <v>0</v>
      </c>
      <c r="CI14" s="539">
        <v>0</v>
      </c>
      <c r="CJ14" s="540">
        <f t="shared" si="27"/>
        <v>0</v>
      </c>
      <c r="CK14" s="541">
        <f t="shared" si="139"/>
        <v>0</v>
      </c>
      <c r="CL14" s="539"/>
      <c r="CM14" s="540">
        <f t="shared" si="28"/>
        <v>0</v>
      </c>
      <c r="CN14" s="541">
        <f t="shared" si="140"/>
        <v>0</v>
      </c>
      <c r="CO14" s="539"/>
      <c r="CP14" s="540">
        <f t="shared" si="29"/>
        <v>0</v>
      </c>
      <c r="CQ14" s="541">
        <f t="shared" si="141"/>
        <v>0</v>
      </c>
      <c r="CR14" s="539"/>
      <c r="CS14" s="540">
        <f t="shared" si="30"/>
        <v>0</v>
      </c>
      <c r="CT14" s="541">
        <f t="shared" si="142"/>
        <v>0</v>
      </c>
      <c r="CU14" s="539"/>
      <c r="CV14" s="540">
        <f t="shared" si="31"/>
        <v>0</v>
      </c>
      <c r="CW14" s="541">
        <f t="shared" si="143"/>
        <v>0</v>
      </c>
      <c r="CX14" s="539"/>
      <c r="CY14" s="540">
        <f t="shared" si="32"/>
        <v>0</v>
      </c>
      <c r="CZ14" s="541">
        <f t="shared" si="144"/>
        <v>0</v>
      </c>
      <c r="DA14" s="539"/>
      <c r="DB14" s="540">
        <f t="shared" si="33"/>
        <v>0</v>
      </c>
      <c r="DC14" s="541">
        <f t="shared" si="145"/>
        <v>0</v>
      </c>
      <c r="DD14" s="539"/>
      <c r="DE14" s="540">
        <f t="shared" si="34"/>
        <v>0</v>
      </c>
      <c r="DF14" s="541">
        <f t="shared" si="146"/>
        <v>0</v>
      </c>
      <c r="DG14" s="539">
        <v>4.7250000000000014</v>
      </c>
      <c r="DH14" s="540">
        <f t="shared" si="35"/>
        <v>6.7373914531377019E-2</v>
      </c>
      <c r="DI14" s="541">
        <f t="shared" ref="DI14:DI39" si="203">+DG14*$H$8</f>
        <v>0</v>
      </c>
      <c r="DJ14" s="539"/>
      <c r="DK14" s="540">
        <f t="shared" si="36"/>
        <v>0</v>
      </c>
      <c r="DL14" s="541">
        <f t="shared" si="147"/>
        <v>0</v>
      </c>
      <c r="DM14" s="539"/>
      <c r="DN14" s="540">
        <f t="shared" si="37"/>
        <v>0</v>
      </c>
      <c r="DO14" s="541">
        <f t="shared" si="148"/>
        <v>0</v>
      </c>
      <c r="DP14" s="539"/>
      <c r="DQ14" s="540">
        <f t="shared" si="38"/>
        <v>0</v>
      </c>
      <c r="DR14" s="541">
        <f t="shared" si="149"/>
        <v>0</v>
      </c>
      <c r="DS14" s="539"/>
      <c r="DT14" s="540">
        <f t="shared" si="39"/>
        <v>0</v>
      </c>
      <c r="DU14" s="541">
        <f t="shared" si="150"/>
        <v>0</v>
      </c>
      <c r="DV14" s="539"/>
      <c r="DW14" s="540">
        <f t="shared" si="40"/>
        <v>0</v>
      </c>
      <c r="DX14" s="541">
        <f t="shared" si="151"/>
        <v>0</v>
      </c>
      <c r="DY14" s="539"/>
      <c r="DZ14" s="540">
        <f t="shared" si="41"/>
        <v>0</v>
      </c>
      <c r="EA14" s="541">
        <f t="shared" si="152"/>
        <v>0</v>
      </c>
      <c r="EB14" s="539">
        <v>13.962399999999889</v>
      </c>
      <c r="EC14" s="540">
        <f t="shared" si="42"/>
        <v>0.19909027391595568</v>
      </c>
      <c r="ED14" s="541">
        <f t="shared" si="153"/>
        <v>0</v>
      </c>
      <c r="EE14" s="539">
        <v>3</v>
      </c>
      <c r="EF14" s="540">
        <f t="shared" si="43"/>
        <v>4.2777088591350473E-2</v>
      </c>
      <c r="EG14" s="541">
        <f t="shared" si="154"/>
        <v>0</v>
      </c>
      <c r="EH14" s="539"/>
      <c r="EI14" s="540">
        <f t="shared" si="44"/>
        <v>0</v>
      </c>
      <c r="EJ14" s="541">
        <f t="shared" si="155"/>
        <v>0</v>
      </c>
      <c r="EK14" s="539"/>
      <c r="EL14" s="540">
        <f t="shared" si="45"/>
        <v>0</v>
      </c>
      <c r="EM14" s="541">
        <f t="shared" si="156"/>
        <v>0</v>
      </c>
      <c r="EN14" s="539"/>
      <c r="EO14" s="540">
        <f t="shared" si="46"/>
        <v>0</v>
      </c>
      <c r="EP14" s="541">
        <f t="shared" si="157"/>
        <v>0</v>
      </c>
      <c r="EQ14" s="539"/>
      <c r="ER14" s="540">
        <f t="shared" si="47"/>
        <v>0</v>
      </c>
      <c r="ES14" s="541">
        <f t="shared" si="158"/>
        <v>0</v>
      </c>
      <c r="ET14" s="539"/>
      <c r="EU14" s="540">
        <f t="shared" si="48"/>
        <v>0</v>
      </c>
      <c r="EV14" s="541">
        <f t="shared" si="159"/>
        <v>0</v>
      </c>
      <c r="EW14" s="539"/>
      <c r="EX14" s="540">
        <f t="shared" si="49"/>
        <v>0</v>
      </c>
      <c r="EY14" s="541">
        <f t="shared" si="160"/>
        <v>0</v>
      </c>
      <c r="EZ14" s="539"/>
      <c r="FA14" s="540">
        <f t="shared" si="50"/>
        <v>0</v>
      </c>
      <c r="FB14" s="541">
        <f t="shared" si="161"/>
        <v>0</v>
      </c>
      <c r="FC14" s="539"/>
      <c r="FD14" s="540">
        <f t="shared" si="51"/>
        <v>0</v>
      </c>
      <c r="FE14" s="541">
        <f t="shared" si="162"/>
        <v>0</v>
      </c>
      <c r="FF14" s="539"/>
      <c r="FG14" s="540">
        <f t="shared" si="52"/>
        <v>0</v>
      </c>
      <c r="FH14" s="541">
        <f t="shared" si="163"/>
        <v>0</v>
      </c>
      <c r="FI14" s="539"/>
      <c r="FJ14" s="540">
        <f t="shared" si="53"/>
        <v>0</v>
      </c>
      <c r="FK14" s="541">
        <f t="shared" si="164"/>
        <v>0</v>
      </c>
      <c r="FL14" s="539"/>
      <c r="FM14" s="540">
        <f t="shared" si="54"/>
        <v>0</v>
      </c>
      <c r="FN14" s="541">
        <f t="shared" si="165"/>
        <v>0</v>
      </c>
      <c r="FO14" s="539"/>
      <c r="FP14" s="540">
        <f t="shared" si="55"/>
        <v>0</v>
      </c>
      <c r="FQ14" s="541">
        <f t="shared" si="166"/>
        <v>0</v>
      </c>
      <c r="FR14" s="539"/>
      <c r="FS14" s="540">
        <f t="shared" si="56"/>
        <v>0</v>
      </c>
      <c r="FT14" s="541">
        <f t="shared" si="167"/>
        <v>0</v>
      </c>
      <c r="FU14" s="539"/>
      <c r="FV14" s="540">
        <f t="shared" si="57"/>
        <v>0</v>
      </c>
      <c r="FW14" s="541">
        <f t="shared" si="168"/>
        <v>0</v>
      </c>
      <c r="FX14" s="539"/>
      <c r="FY14" s="540">
        <f t="shared" si="58"/>
        <v>0</v>
      </c>
      <c r="FZ14" s="541">
        <f t="shared" si="169"/>
        <v>0</v>
      </c>
      <c r="GA14" s="539"/>
      <c r="GB14" s="540">
        <f t="shared" si="59"/>
        <v>0</v>
      </c>
      <c r="GC14" s="541">
        <f t="shared" si="170"/>
        <v>0</v>
      </c>
      <c r="GD14" s="539"/>
      <c r="GE14" s="540">
        <f t="shared" si="60"/>
        <v>0</v>
      </c>
      <c r="GF14" s="541">
        <f t="shared" si="171"/>
        <v>0</v>
      </c>
      <c r="GG14" s="539"/>
      <c r="GH14" s="540">
        <f t="shared" si="61"/>
        <v>0</v>
      </c>
      <c r="GI14" s="541">
        <f t="shared" si="172"/>
        <v>0</v>
      </c>
      <c r="GJ14" s="539"/>
      <c r="GK14" s="540">
        <f t="shared" si="62"/>
        <v>0</v>
      </c>
      <c r="GL14" s="541">
        <f t="shared" si="173"/>
        <v>0</v>
      </c>
      <c r="GM14" s="539"/>
      <c r="GN14" s="540">
        <f t="shared" si="63"/>
        <v>0</v>
      </c>
      <c r="GO14" s="541">
        <f t="shared" si="174"/>
        <v>0</v>
      </c>
      <c r="GP14" s="539"/>
      <c r="GQ14" s="540">
        <f t="shared" si="64"/>
        <v>0</v>
      </c>
      <c r="GR14" s="541">
        <f t="shared" si="175"/>
        <v>0</v>
      </c>
      <c r="GS14" s="539"/>
      <c r="GT14" s="540">
        <f t="shared" si="65"/>
        <v>0</v>
      </c>
      <c r="GU14" s="541">
        <f t="shared" si="176"/>
        <v>0</v>
      </c>
      <c r="GV14" s="539"/>
      <c r="GW14" s="540">
        <f t="shared" si="66"/>
        <v>0</v>
      </c>
      <c r="GX14" s="541">
        <f t="shared" si="177"/>
        <v>0</v>
      </c>
      <c r="GY14" s="539"/>
      <c r="GZ14" s="540">
        <f t="shared" si="67"/>
        <v>0</v>
      </c>
      <c r="HA14" s="541">
        <f t="shared" si="178"/>
        <v>0</v>
      </c>
      <c r="HB14" s="539"/>
      <c r="HC14" s="540">
        <f t="shared" si="68"/>
        <v>0</v>
      </c>
      <c r="HD14" s="541">
        <f t="shared" si="179"/>
        <v>0</v>
      </c>
      <c r="HE14" s="539"/>
      <c r="HF14" s="540">
        <f t="shared" si="69"/>
        <v>0</v>
      </c>
      <c r="HG14" s="541">
        <f t="shared" si="180"/>
        <v>0</v>
      </c>
      <c r="HH14" s="539"/>
      <c r="HI14" s="540">
        <f t="shared" si="70"/>
        <v>0</v>
      </c>
      <c r="HJ14" s="541">
        <f t="shared" si="181"/>
        <v>0</v>
      </c>
      <c r="HK14" s="539"/>
      <c r="HL14" s="540">
        <f t="shared" si="71"/>
        <v>0</v>
      </c>
      <c r="HM14" s="541">
        <f t="shared" si="182"/>
        <v>0</v>
      </c>
      <c r="HN14" s="539"/>
      <c r="HO14" s="540">
        <f t="shared" si="72"/>
        <v>0</v>
      </c>
      <c r="HP14" s="541">
        <f t="shared" si="183"/>
        <v>0</v>
      </c>
      <c r="HQ14" s="539"/>
      <c r="HR14" s="540">
        <f t="shared" si="73"/>
        <v>0</v>
      </c>
      <c r="HS14" s="541">
        <f t="shared" si="184"/>
        <v>0</v>
      </c>
      <c r="HT14" s="539"/>
      <c r="HU14" s="540">
        <f t="shared" si="74"/>
        <v>0</v>
      </c>
      <c r="HV14" s="541">
        <f t="shared" si="185"/>
        <v>0</v>
      </c>
      <c r="HW14" s="539"/>
      <c r="HX14" s="540">
        <f t="shared" si="75"/>
        <v>0</v>
      </c>
      <c r="HY14" s="541">
        <f t="shared" si="186"/>
        <v>0</v>
      </c>
      <c r="HZ14" s="539"/>
      <c r="IA14" s="540">
        <f t="shared" si="76"/>
        <v>0</v>
      </c>
      <c r="IB14" s="541">
        <f t="shared" si="187"/>
        <v>0</v>
      </c>
      <c r="IC14" s="539"/>
      <c r="ID14" s="540">
        <f t="shared" si="77"/>
        <v>0</v>
      </c>
      <c r="IE14" s="541">
        <f t="shared" si="188"/>
        <v>0</v>
      </c>
      <c r="IF14" s="539"/>
      <c r="IG14" s="540">
        <f t="shared" si="78"/>
        <v>0</v>
      </c>
      <c r="IH14" s="541">
        <f t="shared" si="189"/>
        <v>0</v>
      </c>
      <c r="II14" s="539"/>
      <c r="IJ14" s="540">
        <f t="shared" si="79"/>
        <v>0</v>
      </c>
      <c r="IK14" s="541">
        <f t="shared" si="190"/>
        <v>0</v>
      </c>
      <c r="IL14" s="539"/>
      <c r="IM14" s="540">
        <f t="shared" si="80"/>
        <v>0</v>
      </c>
      <c r="IN14" s="541">
        <f t="shared" si="191"/>
        <v>0</v>
      </c>
      <c r="IO14" s="539"/>
      <c r="IP14" s="540">
        <f t="shared" si="81"/>
        <v>0</v>
      </c>
      <c r="IQ14" s="541">
        <f t="shared" si="192"/>
        <v>0</v>
      </c>
      <c r="IR14" s="539"/>
      <c r="IS14" s="540">
        <f t="shared" si="82"/>
        <v>0</v>
      </c>
      <c r="IT14" s="541">
        <f t="shared" si="193"/>
        <v>0</v>
      </c>
      <c r="IU14" s="539"/>
      <c r="IV14" s="540">
        <f t="shared" si="83"/>
        <v>0</v>
      </c>
      <c r="IW14" s="541">
        <f t="shared" si="194"/>
        <v>0</v>
      </c>
      <c r="IX14" s="539"/>
      <c r="IY14" s="540">
        <f t="shared" si="84"/>
        <v>0</v>
      </c>
      <c r="IZ14" s="541">
        <f t="shared" si="195"/>
        <v>0</v>
      </c>
      <c r="JA14" s="539"/>
      <c r="JB14" s="540">
        <f t="shared" si="85"/>
        <v>0</v>
      </c>
      <c r="JC14" s="541">
        <f t="shared" si="196"/>
        <v>0</v>
      </c>
      <c r="JD14" s="539"/>
      <c r="JE14" s="540">
        <f t="shared" si="86"/>
        <v>0</v>
      </c>
      <c r="JF14" s="541">
        <f t="shared" si="197"/>
        <v>0</v>
      </c>
      <c r="JG14" s="539"/>
      <c r="JH14" s="540">
        <f t="shared" si="87"/>
        <v>0</v>
      </c>
      <c r="JI14" s="541">
        <f t="shared" si="198"/>
        <v>0</v>
      </c>
      <c r="JJ14" s="539"/>
      <c r="JK14" s="541" t="str">
        <f t="shared" si="88"/>
        <v>0</v>
      </c>
      <c r="JL14" s="541" t="str">
        <f t="shared" si="89"/>
        <v>0</v>
      </c>
      <c r="JM14" s="539"/>
      <c r="JN14" s="541" t="str">
        <f t="shared" si="90"/>
        <v>0</v>
      </c>
      <c r="JO14" s="541" t="str">
        <f t="shared" si="91"/>
        <v>0</v>
      </c>
      <c r="JP14" s="539"/>
      <c r="JQ14" s="541" t="str">
        <f t="shared" si="92"/>
        <v>0</v>
      </c>
      <c r="JR14" s="541" t="str">
        <f t="shared" si="93"/>
        <v>0</v>
      </c>
      <c r="JS14" s="539"/>
      <c r="JT14" s="541" t="str">
        <f t="shared" si="94"/>
        <v>0</v>
      </c>
      <c r="JU14" s="541" t="str">
        <f t="shared" si="95"/>
        <v>0</v>
      </c>
      <c r="JV14" s="539"/>
      <c r="JW14" s="541" t="str">
        <f t="shared" si="96"/>
        <v>0</v>
      </c>
      <c r="JX14" s="541" t="str">
        <f t="shared" si="97"/>
        <v>0</v>
      </c>
      <c r="JY14" s="539"/>
      <c r="JZ14" s="541" t="str">
        <f t="shared" si="98"/>
        <v>0</v>
      </c>
      <c r="KA14" s="541" t="str">
        <f t="shared" si="99"/>
        <v>0</v>
      </c>
      <c r="KB14" s="539"/>
      <c r="KC14" s="541" t="str">
        <f t="shared" si="100"/>
        <v>0</v>
      </c>
      <c r="KD14" s="541" t="str">
        <f t="shared" si="101"/>
        <v>0</v>
      </c>
      <c r="KE14" s="539"/>
      <c r="KF14" s="541" t="str">
        <f t="shared" si="102"/>
        <v>0</v>
      </c>
      <c r="KG14" s="541" t="str">
        <f t="shared" si="103"/>
        <v>0</v>
      </c>
      <c r="KH14" s="539"/>
      <c r="KI14" s="541" t="str">
        <f t="shared" si="104"/>
        <v>0</v>
      </c>
      <c r="KJ14" s="541" t="str">
        <f t="shared" si="105"/>
        <v>0</v>
      </c>
      <c r="KK14" s="539"/>
      <c r="KL14" s="541" t="str">
        <f t="shared" si="106"/>
        <v>0</v>
      </c>
      <c r="KM14" s="541" t="str">
        <f t="shared" si="107"/>
        <v>0</v>
      </c>
      <c r="KN14" s="539"/>
      <c r="KO14" s="541" t="str">
        <f t="shared" si="108"/>
        <v>0</v>
      </c>
      <c r="KP14" s="541" t="str">
        <f t="shared" si="109"/>
        <v>0</v>
      </c>
      <c r="KQ14" s="539"/>
      <c r="KR14" s="541" t="str">
        <f t="shared" si="110"/>
        <v>0</v>
      </c>
      <c r="KS14" s="541" t="str">
        <f t="shared" si="111"/>
        <v>0</v>
      </c>
      <c r="KT14" s="541">
        <f t="shared" si="201"/>
        <v>0</v>
      </c>
      <c r="KU14" s="541">
        <f t="shared" si="202"/>
        <v>0</v>
      </c>
      <c r="KV14" s="275">
        <f t="shared" si="199"/>
        <v>931.23090000000002</v>
      </c>
    </row>
    <row r="15" spans="1:308" ht="15" customHeight="1">
      <c r="A15" s="277">
        <f t="shared" si="200"/>
        <v>45845</v>
      </c>
      <c r="B15" s="278" t="str">
        <f>+Report1!B15</f>
        <v>MG</v>
      </c>
      <c r="C15" s="418" t="str">
        <f>+Report1!C15</f>
        <v>16/22/24/20</v>
      </c>
      <c r="D15" s="279">
        <f>+Report1!P15</f>
        <v>55.073</v>
      </c>
      <c r="E15" s="280">
        <f>+Report1!R15</f>
        <v>60.798000000000002</v>
      </c>
      <c r="F15" s="539"/>
      <c r="G15" s="540">
        <f t="shared" si="0"/>
        <v>0</v>
      </c>
      <c r="H15" s="541">
        <f t="shared" si="112"/>
        <v>0</v>
      </c>
      <c r="I15" s="539">
        <v>674.41817209302337</v>
      </c>
      <c r="J15" s="540">
        <f t="shared" si="1"/>
        <v>11.092769039985251</v>
      </c>
      <c r="K15" s="541">
        <f t="shared" si="113"/>
        <v>0</v>
      </c>
      <c r="L15" s="539"/>
      <c r="M15" s="540">
        <f t="shared" si="2"/>
        <v>0</v>
      </c>
      <c r="N15" s="541">
        <f t="shared" si="114"/>
        <v>0</v>
      </c>
      <c r="O15" s="539">
        <v>6.001199999999983</v>
      </c>
      <c r="P15" s="540">
        <f t="shared" si="3"/>
        <v>9.8707194315602209E-2</v>
      </c>
      <c r="Q15" s="541">
        <f t="shared" si="115"/>
        <v>0</v>
      </c>
      <c r="R15" s="539"/>
      <c r="S15" s="540">
        <f t="shared" si="4"/>
        <v>0</v>
      </c>
      <c r="T15" s="541">
        <f t="shared" si="116"/>
        <v>0</v>
      </c>
      <c r="U15" s="539">
        <v>5.125</v>
      </c>
      <c r="V15" s="540">
        <f t="shared" si="5"/>
        <v>8.4295536037369653E-2</v>
      </c>
      <c r="W15" s="541">
        <f t="shared" si="117"/>
        <v>0</v>
      </c>
      <c r="X15" s="539"/>
      <c r="Y15" s="540">
        <f t="shared" si="6"/>
        <v>0</v>
      </c>
      <c r="Z15" s="541">
        <f t="shared" si="118"/>
        <v>0</v>
      </c>
      <c r="AA15" s="539"/>
      <c r="AB15" s="540">
        <f t="shared" si="7"/>
        <v>0</v>
      </c>
      <c r="AC15" s="541">
        <f t="shared" si="119"/>
        <v>0</v>
      </c>
      <c r="AD15" s="539"/>
      <c r="AE15" s="540">
        <f t="shared" si="8"/>
        <v>0</v>
      </c>
      <c r="AF15" s="541">
        <f t="shared" si="120"/>
        <v>0</v>
      </c>
      <c r="AG15" s="539"/>
      <c r="AH15" s="540">
        <f t="shared" si="9"/>
        <v>0</v>
      </c>
      <c r="AI15" s="541">
        <f t="shared" si="121"/>
        <v>0</v>
      </c>
      <c r="AJ15" s="539">
        <v>0</v>
      </c>
      <c r="AK15" s="540">
        <f t="shared" si="10"/>
        <v>0</v>
      </c>
      <c r="AL15" s="541">
        <f t="shared" si="122"/>
        <v>0</v>
      </c>
      <c r="AM15" s="539"/>
      <c r="AN15" s="540">
        <f t="shared" si="11"/>
        <v>0</v>
      </c>
      <c r="AO15" s="541">
        <f t="shared" si="123"/>
        <v>0</v>
      </c>
      <c r="AP15" s="539">
        <v>0</v>
      </c>
      <c r="AQ15" s="540">
        <f t="shared" si="12"/>
        <v>0</v>
      </c>
      <c r="AR15" s="541">
        <f t="shared" si="124"/>
        <v>0</v>
      </c>
      <c r="AS15" s="539"/>
      <c r="AT15" s="540">
        <f t="shared" si="13"/>
        <v>0</v>
      </c>
      <c r="AU15" s="541">
        <f t="shared" si="125"/>
        <v>0</v>
      </c>
      <c r="AV15" s="539">
        <v>2.7769999999999868</v>
      </c>
      <c r="AW15" s="540">
        <f t="shared" si="14"/>
        <v>4.5675844600151103E-2</v>
      </c>
      <c r="AX15" s="541">
        <f t="shared" si="126"/>
        <v>0</v>
      </c>
      <c r="AY15" s="539">
        <v>0</v>
      </c>
      <c r="AZ15" s="540">
        <f t="shared" si="15"/>
        <v>0</v>
      </c>
      <c r="BA15" s="541">
        <f t="shared" si="127"/>
        <v>0</v>
      </c>
      <c r="BB15" s="539">
        <v>70.003200000000021</v>
      </c>
      <c r="BC15" s="540">
        <f t="shared" si="16"/>
        <v>1.1514062962597458</v>
      </c>
      <c r="BD15" s="541">
        <f t="shared" si="128"/>
        <v>0</v>
      </c>
      <c r="BE15" s="539"/>
      <c r="BF15" s="540">
        <f t="shared" si="17"/>
        <v>0</v>
      </c>
      <c r="BG15" s="541">
        <f t="shared" si="129"/>
        <v>0</v>
      </c>
      <c r="BH15" s="539"/>
      <c r="BI15" s="540">
        <f t="shared" si="18"/>
        <v>0</v>
      </c>
      <c r="BJ15" s="541">
        <f t="shared" si="130"/>
        <v>0</v>
      </c>
      <c r="BK15" s="539"/>
      <c r="BL15" s="540">
        <f t="shared" si="19"/>
        <v>0</v>
      </c>
      <c r="BM15" s="541">
        <f t="shared" si="131"/>
        <v>0</v>
      </c>
      <c r="BN15" s="539">
        <v>7.5922925925925711</v>
      </c>
      <c r="BO15" s="540">
        <f t="shared" si="20"/>
        <v>0.12487734123807644</v>
      </c>
      <c r="BP15" s="541">
        <f t="shared" si="132"/>
        <v>0</v>
      </c>
      <c r="BQ15" s="539">
        <v>0</v>
      </c>
      <c r="BR15" s="540">
        <f t="shared" si="21"/>
        <v>0</v>
      </c>
      <c r="BS15" s="541">
        <f t="shared" si="133"/>
        <v>0</v>
      </c>
      <c r="BT15" s="539"/>
      <c r="BU15" s="540">
        <f t="shared" si="22"/>
        <v>0</v>
      </c>
      <c r="BV15" s="541">
        <f t="shared" si="134"/>
        <v>0</v>
      </c>
      <c r="BW15" s="539">
        <v>0.67999999999999261</v>
      </c>
      <c r="BX15" s="540">
        <f t="shared" si="23"/>
        <v>1.1184578440080145E-2</v>
      </c>
      <c r="BY15" s="541">
        <f t="shared" si="135"/>
        <v>0</v>
      </c>
      <c r="BZ15" s="539">
        <v>0</v>
      </c>
      <c r="CA15" s="540">
        <f t="shared" si="24"/>
        <v>0</v>
      </c>
      <c r="CB15" s="541">
        <f t="shared" si="136"/>
        <v>0</v>
      </c>
      <c r="CC15" s="539">
        <v>0</v>
      </c>
      <c r="CD15" s="540">
        <f t="shared" si="25"/>
        <v>0</v>
      </c>
      <c r="CE15" s="541">
        <f t="shared" si="137"/>
        <v>0</v>
      </c>
      <c r="CF15" s="539">
        <v>9.9999999999999978E-2</v>
      </c>
      <c r="CG15" s="540">
        <f t="shared" si="26"/>
        <v>1.6447909470706269E-3</v>
      </c>
      <c r="CH15" s="541">
        <f t="shared" si="138"/>
        <v>0</v>
      </c>
      <c r="CI15" s="539">
        <v>0</v>
      </c>
      <c r="CJ15" s="540">
        <f t="shared" si="27"/>
        <v>0</v>
      </c>
      <c r="CK15" s="541">
        <f t="shared" si="139"/>
        <v>0</v>
      </c>
      <c r="CL15" s="539"/>
      <c r="CM15" s="540">
        <f t="shared" si="28"/>
        <v>0</v>
      </c>
      <c r="CN15" s="541">
        <f t="shared" si="140"/>
        <v>0</v>
      </c>
      <c r="CO15" s="539"/>
      <c r="CP15" s="540">
        <f t="shared" si="29"/>
        <v>0</v>
      </c>
      <c r="CQ15" s="541">
        <f t="shared" si="141"/>
        <v>0</v>
      </c>
      <c r="CR15" s="539"/>
      <c r="CS15" s="540">
        <f t="shared" si="30"/>
        <v>0</v>
      </c>
      <c r="CT15" s="541">
        <f t="shared" si="142"/>
        <v>0</v>
      </c>
      <c r="CU15" s="539"/>
      <c r="CV15" s="540">
        <f t="shared" si="31"/>
        <v>0</v>
      </c>
      <c r="CW15" s="541">
        <f t="shared" si="143"/>
        <v>0</v>
      </c>
      <c r="CX15" s="539"/>
      <c r="CY15" s="540">
        <f t="shared" si="32"/>
        <v>0</v>
      </c>
      <c r="CZ15" s="541">
        <f t="shared" si="144"/>
        <v>0</v>
      </c>
      <c r="DA15" s="539"/>
      <c r="DB15" s="540">
        <f t="shared" si="33"/>
        <v>0</v>
      </c>
      <c r="DC15" s="541">
        <f t="shared" si="145"/>
        <v>0</v>
      </c>
      <c r="DD15" s="539"/>
      <c r="DE15" s="540">
        <f t="shared" si="34"/>
        <v>0</v>
      </c>
      <c r="DF15" s="541">
        <f t="shared" si="146"/>
        <v>0</v>
      </c>
      <c r="DG15" s="539">
        <v>4.7249999999999996</v>
      </c>
      <c r="DH15" s="540">
        <f t="shared" si="35"/>
        <v>7.7716372249087132E-2</v>
      </c>
      <c r="DI15" s="541">
        <f t="shared" si="203"/>
        <v>0</v>
      </c>
      <c r="DJ15" s="539"/>
      <c r="DK15" s="540">
        <f t="shared" si="36"/>
        <v>0</v>
      </c>
      <c r="DL15" s="541">
        <f t="shared" si="147"/>
        <v>0</v>
      </c>
      <c r="DM15" s="539"/>
      <c r="DN15" s="540">
        <f t="shared" si="37"/>
        <v>0</v>
      </c>
      <c r="DO15" s="541">
        <f t="shared" si="148"/>
        <v>0</v>
      </c>
      <c r="DP15" s="539"/>
      <c r="DQ15" s="540">
        <f t="shared" si="38"/>
        <v>0</v>
      </c>
      <c r="DR15" s="541">
        <f t="shared" si="149"/>
        <v>0</v>
      </c>
      <c r="DS15" s="539"/>
      <c r="DT15" s="540">
        <f t="shared" si="39"/>
        <v>0</v>
      </c>
      <c r="DU15" s="541">
        <f t="shared" si="150"/>
        <v>0</v>
      </c>
      <c r="DV15" s="539"/>
      <c r="DW15" s="540">
        <f t="shared" si="40"/>
        <v>0</v>
      </c>
      <c r="DX15" s="541">
        <f t="shared" si="151"/>
        <v>0</v>
      </c>
      <c r="DY15" s="539"/>
      <c r="DZ15" s="540">
        <f t="shared" si="41"/>
        <v>0</v>
      </c>
      <c r="EA15" s="541">
        <f t="shared" si="152"/>
        <v>0</v>
      </c>
      <c r="EB15" s="539">
        <v>29.074688372092851</v>
      </c>
      <c r="EC15" s="540">
        <f t="shared" si="42"/>
        <v>0.47821784223317954</v>
      </c>
      <c r="ED15" s="541">
        <f t="shared" si="153"/>
        <v>0</v>
      </c>
      <c r="EE15" s="539">
        <v>3</v>
      </c>
      <c r="EF15" s="540">
        <f t="shared" si="43"/>
        <v>4.9343728412118822E-2</v>
      </c>
      <c r="EG15" s="541">
        <f t="shared" si="154"/>
        <v>0</v>
      </c>
      <c r="EH15" s="539"/>
      <c r="EI15" s="540">
        <f t="shared" si="44"/>
        <v>0</v>
      </c>
      <c r="EJ15" s="541">
        <f t="shared" si="155"/>
        <v>0</v>
      </c>
      <c r="EK15" s="539"/>
      <c r="EL15" s="540">
        <f t="shared" si="45"/>
        <v>0</v>
      </c>
      <c r="EM15" s="541">
        <f t="shared" si="156"/>
        <v>0</v>
      </c>
      <c r="EN15" s="539"/>
      <c r="EO15" s="540">
        <f t="shared" si="46"/>
        <v>0</v>
      </c>
      <c r="EP15" s="541">
        <f t="shared" si="157"/>
        <v>0</v>
      </c>
      <c r="EQ15" s="539"/>
      <c r="ER15" s="540">
        <f t="shared" si="47"/>
        <v>0</v>
      </c>
      <c r="ES15" s="541">
        <f t="shared" si="158"/>
        <v>0</v>
      </c>
      <c r="ET15" s="539"/>
      <c r="EU15" s="540">
        <f t="shared" si="48"/>
        <v>0</v>
      </c>
      <c r="EV15" s="541">
        <f t="shared" si="159"/>
        <v>0</v>
      </c>
      <c r="EW15" s="539"/>
      <c r="EX15" s="540">
        <f t="shared" si="49"/>
        <v>0</v>
      </c>
      <c r="EY15" s="541">
        <f t="shared" si="160"/>
        <v>0</v>
      </c>
      <c r="EZ15" s="539"/>
      <c r="FA15" s="540">
        <f t="shared" si="50"/>
        <v>0</v>
      </c>
      <c r="FB15" s="541">
        <f t="shared" si="161"/>
        <v>0</v>
      </c>
      <c r="FC15" s="539"/>
      <c r="FD15" s="540">
        <f t="shared" si="51"/>
        <v>0</v>
      </c>
      <c r="FE15" s="541">
        <f t="shared" si="162"/>
        <v>0</v>
      </c>
      <c r="FF15" s="539"/>
      <c r="FG15" s="540">
        <f t="shared" si="52"/>
        <v>0</v>
      </c>
      <c r="FH15" s="541">
        <f t="shared" si="163"/>
        <v>0</v>
      </c>
      <c r="FI15" s="539"/>
      <c r="FJ15" s="540">
        <f t="shared" si="53"/>
        <v>0</v>
      </c>
      <c r="FK15" s="541">
        <f t="shared" si="164"/>
        <v>0</v>
      </c>
      <c r="FL15" s="539"/>
      <c r="FM15" s="540">
        <f t="shared" si="54"/>
        <v>0</v>
      </c>
      <c r="FN15" s="541">
        <f t="shared" si="165"/>
        <v>0</v>
      </c>
      <c r="FO15" s="539"/>
      <c r="FP15" s="540">
        <f t="shared" si="55"/>
        <v>0</v>
      </c>
      <c r="FQ15" s="541">
        <f t="shared" si="166"/>
        <v>0</v>
      </c>
      <c r="FR15" s="539"/>
      <c r="FS15" s="540">
        <f t="shared" si="56"/>
        <v>0</v>
      </c>
      <c r="FT15" s="541">
        <f t="shared" si="167"/>
        <v>0</v>
      </c>
      <c r="FU15" s="539"/>
      <c r="FV15" s="540">
        <f t="shared" si="57"/>
        <v>0</v>
      </c>
      <c r="FW15" s="541">
        <f t="shared" si="168"/>
        <v>0</v>
      </c>
      <c r="FX15" s="539"/>
      <c r="FY15" s="540">
        <f t="shared" si="58"/>
        <v>0</v>
      </c>
      <c r="FZ15" s="541">
        <f t="shared" si="169"/>
        <v>0</v>
      </c>
      <c r="GA15" s="539"/>
      <c r="GB15" s="540">
        <f t="shared" si="59"/>
        <v>0</v>
      </c>
      <c r="GC15" s="541">
        <f t="shared" si="170"/>
        <v>0</v>
      </c>
      <c r="GD15" s="539"/>
      <c r="GE15" s="540">
        <f t="shared" si="60"/>
        <v>0</v>
      </c>
      <c r="GF15" s="541">
        <f t="shared" si="171"/>
        <v>0</v>
      </c>
      <c r="GG15" s="539"/>
      <c r="GH15" s="540">
        <f t="shared" si="61"/>
        <v>0</v>
      </c>
      <c r="GI15" s="541">
        <f t="shared" si="172"/>
        <v>0</v>
      </c>
      <c r="GJ15" s="539"/>
      <c r="GK15" s="540">
        <f t="shared" si="62"/>
        <v>0</v>
      </c>
      <c r="GL15" s="541">
        <f t="shared" si="173"/>
        <v>0</v>
      </c>
      <c r="GM15" s="539"/>
      <c r="GN15" s="540">
        <f t="shared" si="63"/>
        <v>0</v>
      </c>
      <c r="GO15" s="541">
        <f t="shared" si="174"/>
        <v>0</v>
      </c>
      <c r="GP15" s="539"/>
      <c r="GQ15" s="540">
        <f t="shared" si="64"/>
        <v>0</v>
      </c>
      <c r="GR15" s="541">
        <f t="shared" si="175"/>
        <v>0</v>
      </c>
      <c r="GS15" s="539"/>
      <c r="GT15" s="540">
        <f t="shared" si="65"/>
        <v>0</v>
      </c>
      <c r="GU15" s="541">
        <f t="shared" si="176"/>
        <v>0</v>
      </c>
      <c r="GV15" s="539"/>
      <c r="GW15" s="540">
        <f t="shared" si="66"/>
        <v>0</v>
      </c>
      <c r="GX15" s="541">
        <f t="shared" si="177"/>
        <v>0</v>
      </c>
      <c r="GY15" s="539"/>
      <c r="GZ15" s="540">
        <f t="shared" si="67"/>
        <v>0</v>
      </c>
      <c r="HA15" s="541">
        <f t="shared" si="178"/>
        <v>0</v>
      </c>
      <c r="HB15" s="539"/>
      <c r="HC15" s="540">
        <f t="shared" si="68"/>
        <v>0</v>
      </c>
      <c r="HD15" s="541">
        <f t="shared" si="179"/>
        <v>0</v>
      </c>
      <c r="HE15" s="539"/>
      <c r="HF15" s="540">
        <f t="shared" si="69"/>
        <v>0</v>
      </c>
      <c r="HG15" s="541">
        <f t="shared" si="180"/>
        <v>0</v>
      </c>
      <c r="HH15" s="539"/>
      <c r="HI15" s="540">
        <f t="shared" si="70"/>
        <v>0</v>
      </c>
      <c r="HJ15" s="541">
        <f t="shared" si="181"/>
        <v>0</v>
      </c>
      <c r="HK15" s="539"/>
      <c r="HL15" s="540">
        <f t="shared" si="71"/>
        <v>0</v>
      </c>
      <c r="HM15" s="541">
        <f t="shared" si="182"/>
        <v>0</v>
      </c>
      <c r="HN15" s="539"/>
      <c r="HO15" s="540">
        <f t="shared" si="72"/>
        <v>0</v>
      </c>
      <c r="HP15" s="541">
        <f t="shared" si="183"/>
        <v>0</v>
      </c>
      <c r="HQ15" s="539"/>
      <c r="HR15" s="540">
        <f t="shared" si="73"/>
        <v>0</v>
      </c>
      <c r="HS15" s="541">
        <f t="shared" si="184"/>
        <v>0</v>
      </c>
      <c r="HT15" s="539"/>
      <c r="HU15" s="540">
        <f t="shared" si="74"/>
        <v>0</v>
      </c>
      <c r="HV15" s="541">
        <f t="shared" si="185"/>
        <v>0</v>
      </c>
      <c r="HW15" s="539"/>
      <c r="HX15" s="540">
        <f t="shared" si="75"/>
        <v>0</v>
      </c>
      <c r="HY15" s="541">
        <f t="shared" si="186"/>
        <v>0</v>
      </c>
      <c r="HZ15" s="539"/>
      <c r="IA15" s="540">
        <f t="shared" si="76"/>
        <v>0</v>
      </c>
      <c r="IB15" s="541">
        <f t="shared" si="187"/>
        <v>0</v>
      </c>
      <c r="IC15" s="539"/>
      <c r="ID15" s="540">
        <f t="shared" si="77"/>
        <v>0</v>
      </c>
      <c r="IE15" s="541">
        <f t="shared" si="188"/>
        <v>0</v>
      </c>
      <c r="IF15" s="539"/>
      <c r="IG15" s="540">
        <f t="shared" si="78"/>
        <v>0</v>
      </c>
      <c r="IH15" s="541">
        <f t="shared" si="189"/>
        <v>0</v>
      </c>
      <c r="II15" s="539"/>
      <c r="IJ15" s="540">
        <f t="shared" si="79"/>
        <v>0</v>
      </c>
      <c r="IK15" s="541">
        <f t="shared" si="190"/>
        <v>0</v>
      </c>
      <c r="IL15" s="539"/>
      <c r="IM15" s="540">
        <f t="shared" si="80"/>
        <v>0</v>
      </c>
      <c r="IN15" s="541">
        <f t="shared" si="191"/>
        <v>0</v>
      </c>
      <c r="IO15" s="539"/>
      <c r="IP15" s="540">
        <f t="shared" si="81"/>
        <v>0</v>
      </c>
      <c r="IQ15" s="541">
        <f t="shared" si="192"/>
        <v>0</v>
      </c>
      <c r="IR15" s="539"/>
      <c r="IS15" s="540">
        <f t="shared" si="82"/>
        <v>0</v>
      </c>
      <c r="IT15" s="541">
        <f t="shared" si="193"/>
        <v>0</v>
      </c>
      <c r="IU15" s="539"/>
      <c r="IV15" s="540">
        <f t="shared" si="83"/>
        <v>0</v>
      </c>
      <c r="IW15" s="541">
        <f t="shared" si="194"/>
        <v>0</v>
      </c>
      <c r="IX15" s="539"/>
      <c r="IY15" s="540">
        <f t="shared" si="84"/>
        <v>0</v>
      </c>
      <c r="IZ15" s="541">
        <f t="shared" si="195"/>
        <v>0</v>
      </c>
      <c r="JA15" s="539"/>
      <c r="JB15" s="540">
        <f t="shared" si="85"/>
        <v>0</v>
      </c>
      <c r="JC15" s="541">
        <f t="shared" si="196"/>
        <v>0</v>
      </c>
      <c r="JD15" s="539"/>
      <c r="JE15" s="540">
        <f t="shared" si="86"/>
        <v>0</v>
      </c>
      <c r="JF15" s="541">
        <f t="shared" si="197"/>
        <v>0</v>
      </c>
      <c r="JG15" s="539"/>
      <c r="JH15" s="540">
        <f t="shared" si="87"/>
        <v>0</v>
      </c>
      <c r="JI15" s="541">
        <f t="shared" si="198"/>
        <v>0</v>
      </c>
      <c r="JJ15" s="539"/>
      <c r="JK15" s="541" t="str">
        <f t="shared" si="88"/>
        <v>0</v>
      </c>
      <c r="JL15" s="541" t="str">
        <f t="shared" si="89"/>
        <v>0</v>
      </c>
      <c r="JM15" s="539"/>
      <c r="JN15" s="541" t="str">
        <f t="shared" si="90"/>
        <v>0</v>
      </c>
      <c r="JO15" s="541" t="str">
        <f t="shared" si="91"/>
        <v>0</v>
      </c>
      <c r="JP15" s="539"/>
      <c r="JQ15" s="541" t="str">
        <f t="shared" si="92"/>
        <v>0</v>
      </c>
      <c r="JR15" s="541" t="str">
        <f t="shared" si="93"/>
        <v>0</v>
      </c>
      <c r="JS15" s="539"/>
      <c r="JT15" s="541" t="str">
        <f t="shared" si="94"/>
        <v>0</v>
      </c>
      <c r="JU15" s="541" t="str">
        <f t="shared" si="95"/>
        <v>0</v>
      </c>
      <c r="JV15" s="539"/>
      <c r="JW15" s="541" t="str">
        <f t="shared" si="96"/>
        <v>0</v>
      </c>
      <c r="JX15" s="541" t="str">
        <f t="shared" si="97"/>
        <v>0</v>
      </c>
      <c r="JY15" s="539"/>
      <c r="JZ15" s="541" t="str">
        <f t="shared" si="98"/>
        <v>0</v>
      </c>
      <c r="KA15" s="541" t="str">
        <f t="shared" si="99"/>
        <v>0</v>
      </c>
      <c r="KB15" s="539"/>
      <c r="KC15" s="541" t="str">
        <f t="shared" si="100"/>
        <v>0</v>
      </c>
      <c r="KD15" s="541" t="str">
        <f t="shared" si="101"/>
        <v>0</v>
      </c>
      <c r="KE15" s="539"/>
      <c r="KF15" s="541" t="str">
        <f t="shared" si="102"/>
        <v>0</v>
      </c>
      <c r="KG15" s="541" t="str">
        <f t="shared" si="103"/>
        <v>0</v>
      </c>
      <c r="KH15" s="539"/>
      <c r="KI15" s="541" t="str">
        <f t="shared" si="104"/>
        <v>0</v>
      </c>
      <c r="KJ15" s="541" t="str">
        <f t="shared" si="105"/>
        <v>0</v>
      </c>
      <c r="KK15" s="539"/>
      <c r="KL15" s="541" t="str">
        <f t="shared" si="106"/>
        <v>0</v>
      </c>
      <c r="KM15" s="541" t="str">
        <f t="shared" si="107"/>
        <v>0</v>
      </c>
      <c r="KN15" s="539"/>
      <c r="KO15" s="541" t="str">
        <f t="shared" si="108"/>
        <v>0</v>
      </c>
      <c r="KP15" s="541" t="str">
        <f t="shared" si="109"/>
        <v>0</v>
      </c>
      <c r="KQ15" s="539"/>
      <c r="KR15" s="541" t="str">
        <f t="shared" si="110"/>
        <v>0</v>
      </c>
      <c r="KS15" s="541" t="str">
        <f t="shared" si="111"/>
        <v>0</v>
      </c>
      <c r="KT15" s="541">
        <f t="shared" si="201"/>
        <v>0</v>
      </c>
      <c r="KU15" s="541">
        <f t="shared" si="202"/>
        <v>0</v>
      </c>
      <c r="KV15" s="275">
        <f t="shared" si="199"/>
        <v>803.49655305770887</v>
      </c>
    </row>
    <row r="16" spans="1:308" ht="15" customHeight="1">
      <c r="A16" s="277">
        <f t="shared" si="200"/>
        <v>45846</v>
      </c>
      <c r="B16" s="278" t="str">
        <f>+Report1!B16</f>
        <v>MG</v>
      </c>
      <c r="C16" s="418" t="str">
        <f>+Report1!C16</f>
        <v>16</v>
      </c>
      <c r="D16" s="279">
        <f>+Report1!P16</f>
        <v>40.311999999999998</v>
      </c>
      <c r="E16" s="280">
        <f>+Report1!R16</f>
        <v>12.112</v>
      </c>
      <c r="F16" s="539"/>
      <c r="G16" s="540">
        <f t="shared" si="0"/>
        <v>0</v>
      </c>
      <c r="H16" s="541">
        <f t="shared" si="112"/>
        <v>0</v>
      </c>
      <c r="I16" s="539">
        <v>569.76744186046494</v>
      </c>
      <c r="J16" s="540">
        <f t="shared" si="1"/>
        <v>47.041565543301267</v>
      </c>
      <c r="K16" s="541">
        <f t="shared" si="113"/>
        <v>0</v>
      </c>
      <c r="L16" s="539"/>
      <c r="M16" s="540">
        <f t="shared" si="2"/>
        <v>0</v>
      </c>
      <c r="N16" s="541">
        <f t="shared" si="114"/>
        <v>0</v>
      </c>
      <c r="O16" s="539">
        <v>6</v>
      </c>
      <c r="P16" s="540">
        <f t="shared" si="3"/>
        <v>0.49537648612945839</v>
      </c>
      <c r="Q16" s="541">
        <f t="shared" si="115"/>
        <v>0</v>
      </c>
      <c r="R16" s="539"/>
      <c r="S16" s="540">
        <f t="shared" si="4"/>
        <v>0</v>
      </c>
      <c r="T16" s="541">
        <f t="shared" si="116"/>
        <v>0</v>
      </c>
      <c r="U16" s="539">
        <v>5.1249999999999716</v>
      </c>
      <c r="V16" s="540">
        <f t="shared" si="5"/>
        <v>0.42313408190224333</v>
      </c>
      <c r="W16" s="541">
        <f t="shared" si="117"/>
        <v>0</v>
      </c>
      <c r="X16" s="539"/>
      <c r="Y16" s="540">
        <f t="shared" si="6"/>
        <v>0</v>
      </c>
      <c r="Z16" s="541">
        <f t="shared" si="118"/>
        <v>0</v>
      </c>
      <c r="AA16" s="539"/>
      <c r="AB16" s="540">
        <f t="shared" si="7"/>
        <v>0</v>
      </c>
      <c r="AC16" s="541">
        <f t="shared" si="119"/>
        <v>0</v>
      </c>
      <c r="AD16" s="539"/>
      <c r="AE16" s="540">
        <f t="shared" si="8"/>
        <v>0</v>
      </c>
      <c r="AF16" s="541">
        <f t="shared" si="120"/>
        <v>0</v>
      </c>
      <c r="AG16" s="539"/>
      <c r="AH16" s="540">
        <f t="shared" si="9"/>
        <v>0</v>
      </c>
      <c r="AI16" s="541">
        <f t="shared" si="121"/>
        <v>0</v>
      </c>
      <c r="AJ16" s="539">
        <v>14.6875</v>
      </c>
      <c r="AK16" s="540">
        <f t="shared" si="10"/>
        <v>1.21264035667107</v>
      </c>
      <c r="AL16" s="541">
        <f t="shared" si="122"/>
        <v>0</v>
      </c>
      <c r="AM16" s="539"/>
      <c r="AN16" s="540">
        <f t="shared" si="11"/>
        <v>0</v>
      </c>
      <c r="AO16" s="541">
        <f t="shared" si="123"/>
        <v>0</v>
      </c>
      <c r="AP16" s="539">
        <v>0</v>
      </c>
      <c r="AQ16" s="540">
        <f t="shared" si="12"/>
        <v>0</v>
      </c>
      <c r="AR16" s="541">
        <f t="shared" si="124"/>
        <v>0</v>
      </c>
      <c r="AS16" s="539"/>
      <c r="AT16" s="540">
        <f t="shared" si="13"/>
        <v>0</v>
      </c>
      <c r="AU16" s="541">
        <f t="shared" si="125"/>
        <v>0</v>
      </c>
      <c r="AV16" s="539">
        <v>8.3249999999999886</v>
      </c>
      <c r="AW16" s="540">
        <f t="shared" si="14"/>
        <v>0.68733487450462261</v>
      </c>
      <c r="AX16" s="541">
        <f t="shared" si="126"/>
        <v>0</v>
      </c>
      <c r="AY16" s="539">
        <v>0</v>
      </c>
      <c r="AZ16" s="540">
        <f t="shared" si="15"/>
        <v>0</v>
      </c>
      <c r="BA16" s="541">
        <f t="shared" si="127"/>
        <v>0</v>
      </c>
      <c r="BB16" s="539">
        <v>58.333333333333314</v>
      </c>
      <c r="BC16" s="540">
        <f t="shared" si="16"/>
        <v>4.8161602818141773</v>
      </c>
      <c r="BD16" s="541">
        <f t="shared" si="128"/>
        <v>0</v>
      </c>
      <c r="BE16" s="539"/>
      <c r="BF16" s="540">
        <f t="shared" si="17"/>
        <v>0</v>
      </c>
      <c r="BG16" s="541">
        <f t="shared" si="129"/>
        <v>0</v>
      </c>
      <c r="BH16" s="539"/>
      <c r="BI16" s="540">
        <f t="shared" si="18"/>
        <v>0</v>
      </c>
      <c r="BJ16" s="541">
        <f t="shared" si="130"/>
        <v>0</v>
      </c>
      <c r="BK16" s="539"/>
      <c r="BL16" s="540">
        <f t="shared" si="19"/>
        <v>0</v>
      </c>
      <c r="BM16" s="541">
        <f t="shared" si="131"/>
        <v>0</v>
      </c>
      <c r="BN16" s="539">
        <v>5.0617283950617207</v>
      </c>
      <c r="BO16" s="540">
        <f t="shared" si="20"/>
        <v>0.41791020434789633</v>
      </c>
      <c r="BP16" s="541">
        <f t="shared" si="132"/>
        <v>0</v>
      </c>
      <c r="BQ16" s="539">
        <v>0</v>
      </c>
      <c r="BR16" s="540">
        <f t="shared" si="21"/>
        <v>0</v>
      </c>
      <c r="BS16" s="541">
        <f t="shared" si="133"/>
        <v>0</v>
      </c>
      <c r="BT16" s="539"/>
      <c r="BU16" s="540">
        <f t="shared" si="22"/>
        <v>0</v>
      </c>
      <c r="BV16" s="541">
        <f t="shared" si="134"/>
        <v>0</v>
      </c>
      <c r="BW16" s="539">
        <v>0.68000000000000682</v>
      </c>
      <c r="BX16" s="540">
        <f t="shared" si="23"/>
        <v>5.6142668428005846E-2</v>
      </c>
      <c r="BY16" s="541">
        <f t="shared" si="135"/>
        <v>0</v>
      </c>
      <c r="BZ16" s="539">
        <v>0</v>
      </c>
      <c r="CA16" s="540">
        <f t="shared" si="24"/>
        <v>0</v>
      </c>
      <c r="CB16" s="541">
        <f t="shared" si="136"/>
        <v>0</v>
      </c>
      <c r="CC16" s="539">
        <v>6.25</v>
      </c>
      <c r="CD16" s="540">
        <f t="shared" si="25"/>
        <v>0.51601717305151917</v>
      </c>
      <c r="CE16" s="541">
        <f t="shared" si="137"/>
        <v>0</v>
      </c>
      <c r="CF16" s="539">
        <v>0.1</v>
      </c>
      <c r="CG16" s="540">
        <f t="shared" si="26"/>
        <v>8.2562747688243072E-3</v>
      </c>
      <c r="CH16" s="541">
        <f t="shared" si="138"/>
        <v>0</v>
      </c>
      <c r="CI16" s="539">
        <v>0</v>
      </c>
      <c r="CJ16" s="540">
        <f t="shared" si="27"/>
        <v>0</v>
      </c>
      <c r="CK16" s="541">
        <f t="shared" si="139"/>
        <v>0</v>
      </c>
      <c r="CL16" s="539"/>
      <c r="CM16" s="540">
        <f t="shared" si="28"/>
        <v>0</v>
      </c>
      <c r="CN16" s="541">
        <f t="shared" si="140"/>
        <v>0</v>
      </c>
      <c r="CO16" s="539"/>
      <c r="CP16" s="540">
        <f t="shared" si="29"/>
        <v>0</v>
      </c>
      <c r="CQ16" s="541">
        <f t="shared" si="141"/>
        <v>0</v>
      </c>
      <c r="CR16" s="539"/>
      <c r="CS16" s="540">
        <f t="shared" si="30"/>
        <v>0</v>
      </c>
      <c r="CT16" s="541">
        <f t="shared" si="142"/>
        <v>0</v>
      </c>
      <c r="CU16" s="539"/>
      <c r="CV16" s="540">
        <f t="shared" si="31"/>
        <v>0</v>
      </c>
      <c r="CW16" s="541">
        <f t="shared" si="143"/>
        <v>0</v>
      </c>
      <c r="CX16" s="539"/>
      <c r="CY16" s="540">
        <f t="shared" si="32"/>
        <v>0</v>
      </c>
      <c r="CZ16" s="541">
        <f t="shared" si="144"/>
        <v>0</v>
      </c>
      <c r="DA16" s="539"/>
      <c r="DB16" s="540">
        <f t="shared" si="33"/>
        <v>0</v>
      </c>
      <c r="DC16" s="541">
        <f t="shared" si="145"/>
        <v>0</v>
      </c>
      <c r="DD16" s="539"/>
      <c r="DE16" s="540">
        <f t="shared" si="34"/>
        <v>0</v>
      </c>
      <c r="DF16" s="541">
        <f t="shared" si="146"/>
        <v>0</v>
      </c>
      <c r="DG16" s="539">
        <v>4.7249999999999996</v>
      </c>
      <c r="DH16" s="540">
        <f t="shared" si="35"/>
        <v>0.39010898282694845</v>
      </c>
      <c r="DI16" s="541">
        <f t="shared" si="203"/>
        <v>0</v>
      </c>
      <c r="DJ16" s="539"/>
      <c r="DK16" s="540">
        <f t="shared" si="36"/>
        <v>0</v>
      </c>
      <c r="DL16" s="541">
        <f t="shared" si="147"/>
        <v>0</v>
      </c>
      <c r="DM16" s="539"/>
      <c r="DN16" s="540">
        <f t="shared" si="37"/>
        <v>0</v>
      </c>
      <c r="DO16" s="541">
        <f t="shared" si="148"/>
        <v>0</v>
      </c>
      <c r="DP16" s="539"/>
      <c r="DQ16" s="540">
        <f t="shared" si="38"/>
        <v>0</v>
      </c>
      <c r="DR16" s="541">
        <f t="shared" si="149"/>
        <v>0</v>
      </c>
      <c r="DS16" s="539"/>
      <c r="DT16" s="540">
        <f t="shared" si="39"/>
        <v>0</v>
      </c>
      <c r="DU16" s="541">
        <f t="shared" si="150"/>
        <v>0</v>
      </c>
      <c r="DV16" s="539"/>
      <c r="DW16" s="540">
        <f t="shared" si="40"/>
        <v>0</v>
      </c>
      <c r="DX16" s="541">
        <f t="shared" si="151"/>
        <v>0</v>
      </c>
      <c r="DY16" s="539"/>
      <c r="DZ16" s="540">
        <f t="shared" si="41"/>
        <v>0</v>
      </c>
      <c r="EA16" s="541">
        <f t="shared" si="152"/>
        <v>0</v>
      </c>
      <c r="EB16" s="539">
        <v>29.069767441860677</v>
      </c>
      <c r="EC16" s="540">
        <f t="shared" si="42"/>
        <v>2.4000798746582461</v>
      </c>
      <c r="ED16" s="541">
        <f t="shared" si="153"/>
        <v>0</v>
      </c>
      <c r="EE16" s="539">
        <v>3</v>
      </c>
      <c r="EF16" s="540">
        <f t="shared" si="43"/>
        <v>0.2476882430647292</v>
      </c>
      <c r="EG16" s="541">
        <f t="shared" si="154"/>
        <v>0</v>
      </c>
      <c r="EH16" s="539"/>
      <c r="EI16" s="540">
        <f t="shared" si="44"/>
        <v>0</v>
      </c>
      <c r="EJ16" s="541">
        <f t="shared" si="155"/>
        <v>0</v>
      </c>
      <c r="EK16" s="539"/>
      <c r="EL16" s="540">
        <f t="shared" si="45"/>
        <v>0</v>
      </c>
      <c r="EM16" s="541">
        <f t="shared" si="156"/>
        <v>0</v>
      </c>
      <c r="EN16" s="539"/>
      <c r="EO16" s="540">
        <f t="shared" si="46"/>
        <v>0</v>
      </c>
      <c r="EP16" s="541">
        <f t="shared" si="157"/>
        <v>0</v>
      </c>
      <c r="EQ16" s="539"/>
      <c r="ER16" s="540">
        <f t="shared" si="47"/>
        <v>0</v>
      </c>
      <c r="ES16" s="541">
        <f t="shared" si="158"/>
        <v>0</v>
      </c>
      <c r="ET16" s="539"/>
      <c r="EU16" s="540">
        <f t="shared" si="48"/>
        <v>0</v>
      </c>
      <c r="EV16" s="541">
        <f t="shared" si="159"/>
        <v>0</v>
      </c>
      <c r="EW16" s="539"/>
      <c r="EX16" s="540">
        <f t="shared" si="49"/>
        <v>0</v>
      </c>
      <c r="EY16" s="541">
        <f t="shared" si="160"/>
        <v>0</v>
      </c>
      <c r="EZ16" s="539"/>
      <c r="FA16" s="540">
        <f t="shared" si="50"/>
        <v>0</v>
      </c>
      <c r="FB16" s="541">
        <f t="shared" si="161"/>
        <v>0</v>
      </c>
      <c r="FC16" s="539"/>
      <c r="FD16" s="540">
        <f t="shared" si="51"/>
        <v>0</v>
      </c>
      <c r="FE16" s="541">
        <f t="shared" si="162"/>
        <v>0</v>
      </c>
      <c r="FF16" s="539"/>
      <c r="FG16" s="540">
        <f t="shared" si="52"/>
        <v>0</v>
      </c>
      <c r="FH16" s="541">
        <f t="shared" si="163"/>
        <v>0</v>
      </c>
      <c r="FI16" s="539"/>
      <c r="FJ16" s="540">
        <f t="shared" si="53"/>
        <v>0</v>
      </c>
      <c r="FK16" s="541">
        <f t="shared" si="164"/>
        <v>0</v>
      </c>
      <c r="FL16" s="539"/>
      <c r="FM16" s="540">
        <f t="shared" si="54"/>
        <v>0</v>
      </c>
      <c r="FN16" s="541">
        <f t="shared" si="165"/>
        <v>0</v>
      </c>
      <c r="FO16" s="539"/>
      <c r="FP16" s="540">
        <f t="shared" si="55"/>
        <v>0</v>
      </c>
      <c r="FQ16" s="541">
        <f t="shared" si="166"/>
        <v>0</v>
      </c>
      <c r="FR16" s="539"/>
      <c r="FS16" s="540">
        <f t="shared" si="56"/>
        <v>0</v>
      </c>
      <c r="FT16" s="541">
        <f t="shared" si="167"/>
        <v>0</v>
      </c>
      <c r="FU16" s="539"/>
      <c r="FV16" s="540">
        <f t="shared" si="57"/>
        <v>0</v>
      </c>
      <c r="FW16" s="541">
        <f t="shared" si="168"/>
        <v>0</v>
      </c>
      <c r="FX16" s="539"/>
      <c r="FY16" s="540">
        <f t="shared" si="58"/>
        <v>0</v>
      </c>
      <c r="FZ16" s="541">
        <f t="shared" si="169"/>
        <v>0</v>
      </c>
      <c r="GA16" s="539"/>
      <c r="GB16" s="540">
        <f t="shared" si="59"/>
        <v>0</v>
      </c>
      <c r="GC16" s="541">
        <f t="shared" si="170"/>
        <v>0</v>
      </c>
      <c r="GD16" s="539"/>
      <c r="GE16" s="540">
        <f t="shared" si="60"/>
        <v>0</v>
      </c>
      <c r="GF16" s="541">
        <f t="shared" si="171"/>
        <v>0</v>
      </c>
      <c r="GG16" s="539"/>
      <c r="GH16" s="540">
        <f t="shared" si="61"/>
        <v>0</v>
      </c>
      <c r="GI16" s="541">
        <f t="shared" si="172"/>
        <v>0</v>
      </c>
      <c r="GJ16" s="539"/>
      <c r="GK16" s="540">
        <f t="shared" si="62"/>
        <v>0</v>
      </c>
      <c r="GL16" s="541">
        <f t="shared" si="173"/>
        <v>0</v>
      </c>
      <c r="GM16" s="539"/>
      <c r="GN16" s="540">
        <f t="shared" si="63"/>
        <v>0</v>
      </c>
      <c r="GO16" s="541">
        <f t="shared" si="174"/>
        <v>0</v>
      </c>
      <c r="GP16" s="539"/>
      <c r="GQ16" s="540">
        <f t="shared" si="64"/>
        <v>0</v>
      </c>
      <c r="GR16" s="541">
        <f t="shared" si="175"/>
        <v>0</v>
      </c>
      <c r="GS16" s="539"/>
      <c r="GT16" s="540">
        <f t="shared" si="65"/>
        <v>0</v>
      </c>
      <c r="GU16" s="541">
        <f t="shared" si="176"/>
        <v>0</v>
      </c>
      <c r="GV16" s="539"/>
      <c r="GW16" s="540">
        <f t="shared" si="66"/>
        <v>0</v>
      </c>
      <c r="GX16" s="541">
        <f t="shared" si="177"/>
        <v>0</v>
      </c>
      <c r="GY16" s="539"/>
      <c r="GZ16" s="540">
        <f t="shared" si="67"/>
        <v>0</v>
      </c>
      <c r="HA16" s="541">
        <f t="shared" si="178"/>
        <v>0</v>
      </c>
      <c r="HB16" s="539"/>
      <c r="HC16" s="540">
        <f t="shared" si="68"/>
        <v>0</v>
      </c>
      <c r="HD16" s="541">
        <f t="shared" si="179"/>
        <v>0</v>
      </c>
      <c r="HE16" s="539"/>
      <c r="HF16" s="540">
        <f t="shared" si="69"/>
        <v>0</v>
      </c>
      <c r="HG16" s="541">
        <f t="shared" si="180"/>
        <v>0</v>
      </c>
      <c r="HH16" s="539"/>
      <c r="HI16" s="540">
        <f t="shared" si="70"/>
        <v>0</v>
      </c>
      <c r="HJ16" s="541">
        <f t="shared" si="181"/>
        <v>0</v>
      </c>
      <c r="HK16" s="539"/>
      <c r="HL16" s="540">
        <f t="shared" si="71"/>
        <v>0</v>
      </c>
      <c r="HM16" s="541">
        <f t="shared" si="182"/>
        <v>0</v>
      </c>
      <c r="HN16" s="539"/>
      <c r="HO16" s="540">
        <f t="shared" si="72"/>
        <v>0</v>
      </c>
      <c r="HP16" s="541">
        <f t="shared" si="183"/>
        <v>0</v>
      </c>
      <c r="HQ16" s="539"/>
      <c r="HR16" s="540">
        <f t="shared" si="73"/>
        <v>0</v>
      </c>
      <c r="HS16" s="541">
        <f t="shared" si="184"/>
        <v>0</v>
      </c>
      <c r="HT16" s="539"/>
      <c r="HU16" s="540">
        <f t="shared" si="74"/>
        <v>0</v>
      </c>
      <c r="HV16" s="541">
        <f t="shared" si="185"/>
        <v>0</v>
      </c>
      <c r="HW16" s="539"/>
      <c r="HX16" s="540">
        <f t="shared" si="75"/>
        <v>0</v>
      </c>
      <c r="HY16" s="541">
        <f t="shared" si="186"/>
        <v>0</v>
      </c>
      <c r="HZ16" s="539"/>
      <c r="IA16" s="540">
        <f t="shared" si="76"/>
        <v>0</v>
      </c>
      <c r="IB16" s="541">
        <f t="shared" si="187"/>
        <v>0</v>
      </c>
      <c r="IC16" s="539"/>
      <c r="ID16" s="540">
        <f t="shared" si="77"/>
        <v>0</v>
      </c>
      <c r="IE16" s="541">
        <f t="shared" si="188"/>
        <v>0</v>
      </c>
      <c r="IF16" s="539"/>
      <c r="IG16" s="540">
        <f t="shared" si="78"/>
        <v>0</v>
      </c>
      <c r="IH16" s="541">
        <f t="shared" si="189"/>
        <v>0</v>
      </c>
      <c r="II16" s="539"/>
      <c r="IJ16" s="540">
        <f t="shared" si="79"/>
        <v>0</v>
      </c>
      <c r="IK16" s="541">
        <f t="shared" si="190"/>
        <v>0</v>
      </c>
      <c r="IL16" s="539"/>
      <c r="IM16" s="540">
        <f t="shared" si="80"/>
        <v>0</v>
      </c>
      <c r="IN16" s="541">
        <f t="shared" si="191"/>
        <v>0</v>
      </c>
      <c r="IO16" s="539"/>
      <c r="IP16" s="540">
        <f t="shared" si="81"/>
        <v>0</v>
      </c>
      <c r="IQ16" s="541">
        <f t="shared" si="192"/>
        <v>0</v>
      </c>
      <c r="IR16" s="539"/>
      <c r="IS16" s="540">
        <f t="shared" si="82"/>
        <v>0</v>
      </c>
      <c r="IT16" s="541">
        <f t="shared" si="193"/>
        <v>0</v>
      </c>
      <c r="IU16" s="539"/>
      <c r="IV16" s="540">
        <f t="shared" si="83"/>
        <v>0</v>
      </c>
      <c r="IW16" s="541">
        <f t="shared" si="194"/>
        <v>0</v>
      </c>
      <c r="IX16" s="539"/>
      <c r="IY16" s="540">
        <f t="shared" si="84"/>
        <v>0</v>
      </c>
      <c r="IZ16" s="541">
        <f t="shared" si="195"/>
        <v>0</v>
      </c>
      <c r="JA16" s="539"/>
      <c r="JB16" s="540">
        <f t="shared" si="85"/>
        <v>0</v>
      </c>
      <c r="JC16" s="541">
        <f t="shared" si="196"/>
        <v>0</v>
      </c>
      <c r="JD16" s="539"/>
      <c r="JE16" s="540">
        <f t="shared" si="86"/>
        <v>0</v>
      </c>
      <c r="JF16" s="541">
        <f t="shared" si="197"/>
        <v>0</v>
      </c>
      <c r="JG16" s="539"/>
      <c r="JH16" s="540">
        <f t="shared" si="87"/>
        <v>0</v>
      </c>
      <c r="JI16" s="541">
        <f t="shared" si="198"/>
        <v>0</v>
      </c>
      <c r="JJ16" s="539"/>
      <c r="JK16" s="541" t="str">
        <f t="shared" si="88"/>
        <v>0</v>
      </c>
      <c r="JL16" s="541" t="str">
        <f t="shared" si="89"/>
        <v>0</v>
      </c>
      <c r="JM16" s="539"/>
      <c r="JN16" s="541" t="str">
        <f t="shared" si="90"/>
        <v>0</v>
      </c>
      <c r="JO16" s="541" t="str">
        <f t="shared" si="91"/>
        <v>0</v>
      </c>
      <c r="JP16" s="539"/>
      <c r="JQ16" s="541" t="str">
        <f t="shared" si="92"/>
        <v>0</v>
      </c>
      <c r="JR16" s="541" t="str">
        <f t="shared" si="93"/>
        <v>0</v>
      </c>
      <c r="JS16" s="539"/>
      <c r="JT16" s="541" t="str">
        <f t="shared" si="94"/>
        <v>0</v>
      </c>
      <c r="JU16" s="541" t="str">
        <f t="shared" si="95"/>
        <v>0</v>
      </c>
      <c r="JV16" s="539"/>
      <c r="JW16" s="541" t="str">
        <f t="shared" si="96"/>
        <v>0</v>
      </c>
      <c r="JX16" s="541" t="str">
        <f t="shared" si="97"/>
        <v>0</v>
      </c>
      <c r="JY16" s="539"/>
      <c r="JZ16" s="541" t="str">
        <f t="shared" si="98"/>
        <v>0</v>
      </c>
      <c r="KA16" s="541" t="str">
        <f t="shared" si="99"/>
        <v>0</v>
      </c>
      <c r="KB16" s="539"/>
      <c r="KC16" s="541" t="str">
        <f t="shared" si="100"/>
        <v>0</v>
      </c>
      <c r="KD16" s="541" t="str">
        <f t="shared" si="101"/>
        <v>0</v>
      </c>
      <c r="KE16" s="539"/>
      <c r="KF16" s="541" t="str">
        <f t="shared" si="102"/>
        <v>0</v>
      </c>
      <c r="KG16" s="541" t="str">
        <f t="shared" si="103"/>
        <v>0</v>
      </c>
      <c r="KH16" s="539"/>
      <c r="KI16" s="541" t="str">
        <f t="shared" si="104"/>
        <v>0</v>
      </c>
      <c r="KJ16" s="541" t="str">
        <f t="shared" si="105"/>
        <v>0</v>
      </c>
      <c r="KK16" s="539"/>
      <c r="KL16" s="541" t="str">
        <f t="shared" si="106"/>
        <v>0</v>
      </c>
      <c r="KM16" s="541" t="str">
        <f t="shared" si="107"/>
        <v>0</v>
      </c>
      <c r="KN16" s="539"/>
      <c r="KO16" s="541" t="str">
        <f t="shared" si="108"/>
        <v>0</v>
      </c>
      <c r="KP16" s="541" t="str">
        <f t="shared" si="109"/>
        <v>0</v>
      </c>
      <c r="KQ16" s="539"/>
      <c r="KR16" s="541" t="str">
        <f t="shared" si="110"/>
        <v>0</v>
      </c>
      <c r="KS16" s="541" t="str">
        <f t="shared" si="111"/>
        <v>0</v>
      </c>
      <c r="KT16" s="541">
        <f t="shared" si="201"/>
        <v>0</v>
      </c>
      <c r="KU16" s="541">
        <f t="shared" si="202"/>
        <v>0</v>
      </c>
      <c r="KV16" s="275">
        <f t="shared" si="199"/>
        <v>711.12477103072069</v>
      </c>
    </row>
    <row r="17" spans="1:309" ht="15" customHeight="1">
      <c r="A17" s="277">
        <f t="shared" si="200"/>
        <v>45847</v>
      </c>
      <c r="B17" s="278" t="str">
        <f>+Report1!B17</f>
        <v>MG</v>
      </c>
      <c r="C17" s="418" t="str">
        <f>+Report1!C17</f>
        <v>16</v>
      </c>
      <c r="D17" s="279">
        <f>+Report1!P17</f>
        <v>65.516999999999996</v>
      </c>
      <c r="E17" s="280">
        <f>+Report1!R17</f>
        <v>65.429000000000002</v>
      </c>
      <c r="F17" s="539"/>
      <c r="G17" s="540">
        <f t="shared" si="0"/>
        <v>0</v>
      </c>
      <c r="H17" s="541">
        <f t="shared" si="112"/>
        <v>0</v>
      </c>
      <c r="I17" s="539">
        <v>651.16279069767438</v>
      </c>
      <c r="J17" s="540">
        <f t="shared" si="1"/>
        <v>9.952204537707658</v>
      </c>
      <c r="K17" s="541">
        <f t="shared" si="113"/>
        <v>0</v>
      </c>
      <c r="L17" s="539"/>
      <c r="M17" s="540">
        <f t="shared" si="2"/>
        <v>0</v>
      </c>
      <c r="N17" s="541">
        <f t="shared" si="114"/>
        <v>0</v>
      </c>
      <c r="O17" s="539">
        <v>6</v>
      </c>
      <c r="P17" s="540">
        <f t="shared" si="3"/>
        <v>9.1702456097449134E-2</v>
      </c>
      <c r="Q17" s="541">
        <f t="shared" si="115"/>
        <v>0</v>
      </c>
      <c r="R17" s="539"/>
      <c r="S17" s="540">
        <f t="shared" si="4"/>
        <v>0</v>
      </c>
      <c r="T17" s="541">
        <f t="shared" si="116"/>
        <v>0</v>
      </c>
      <c r="U17" s="539">
        <v>5.1250000000000284</v>
      </c>
      <c r="V17" s="540">
        <f t="shared" si="5"/>
        <v>7.8329181249904914E-2</v>
      </c>
      <c r="W17" s="541">
        <f t="shared" si="117"/>
        <v>0</v>
      </c>
      <c r="X17" s="539"/>
      <c r="Y17" s="540">
        <f t="shared" si="6"/>
        <v>0</v>
      </c>
      <c r="Z17" s="541">
        <f t="shared" si="118"/>
        <v>0</v>
      </c>
      <c r="AA17" s="539"/>
      <c r="AB17" s="540">
        <f t="shared" si="7"/>
        <v>0</v>
      </c>
      <c r="AC17" s="541">
        <f t="shared" si="119"/>
        <v>0</v>
      </c>
      <c r="AD17" s="539"/>
      <c r="AE17" s="540">
        <f t="shared" si="8"/>
        <v>0</v>
      </c>
      <c r="AF17" s="541">
        <f t="shared" si="120"/>
        <v>0</v>
      </c>
      <c r="AG17" s="539"/>
      <c r="AH17" s="540">
        <f t="shared" si="9"/>
        <v>0</v>
      </c>
      <c r="AI17" s="541">
        <f t="shared" si="121"/>
        <v>0</v>
      </c>
      <c r="AJ17" s="539">
        <v>0</v>
      </c>
      <c r="AK17" s="540">
        <f t="shared" si="10"/>
        <v>0</v>
      </c>
      <c r="AL17" s="541">
        <f t="shared" si="122"/>
        <v>0</v>
      </c>
      <c r="AM17" s="539"/>
      <c r="AN17" s="540">
        <f t="shared" si="11"/>
        <v>0</v>
      </c>
      <c r="AO17" s="541">
        <f t="shared" si="123"/>
        <v>0</v>
      </c>
      <c r="AP17" s="539">
        <v>0</v>
      </c>
      <c r="AQ17" s="540">
        <f t="shared" si="12"/>
        <v>0</v>
      </c>
      <c r="AR17" s="541">
        <f t="shared" si="124"/>
        <v>0</v>
      </c>
      <c r="AS17" s="539"/>
      <c r="AT17" s="540">
        <f t="shared" si="13"/>
        <v>0</v>
      </c>
      <c r="AU17" s="541">
        <f t="shared" si="125"/>
        <v>0</v>
      </c>
      <c r="AV17" s="539">
        <v>8.3250000000000028</v>
      </c>
      <c r="AW17" s="540">
        <f t="shared" si="14"/>
        <v>0.12723715783521072</v>
      </c>
      <c r="AX17" s="541">
        <f t="shared" si="126"/>
        <v>0</v>
      </c>
      <c r="AY17" s="539">
        <v>0</v>
      </c>
      <c r="AZ17" s="540">
        <f t="shared" si="15"/>
        <v>0</v>
      </c>
      <c r="BA17" s="541">
        <f t="shared" si="127"/>
        <v>0</v>
      </c>
      <c r="BB17" s="539">
        <v>72.333333333333329</v>
      </c>
      <c r="BC17" s="540">
        <f t="shared" si="16"/>
        <v>1.1055240540636924</v>
      </c>
      <c r="BD17" s="541">
        <f t="shared" si="128"/>
        <v>0</v>
      </c>
      <c r="BE17" s="539"/>
      <c r="BF17" s="540">
        <f t="shared" si="17"/>
        <v>0</v>
      </c>
      <c r="BG17" s="541">
        <f t="shared" si="129"/>
        <v>0</v>
      </c>
      <c r="BH17" s="539"/>
      <c r="BI17" s="540">
        <f t="shared" si="18"/>
        <v>0</v>
      </c>
      <c r="BJ17" s="541">
        <f t="shared" si="130"/>
        <v>0</v>
      </c>
      <c r="BK17" s="539"/>
      <c r="BL17" s="540">
        <f t="shared" si="19"/>
        <v>0</v>
      </c>
      <c r="BM17" s="541">
        <f t="shared" si="131"/>
        <v>0</v>
      </c>
      <c r="BN17" s="539">
        <v>12.65432098765433</v>
      </c>
      <c r="BO17" s="540">
        <f t="shared" si="20"/>
        <v>0.1934053858022334</v>
      </c>
      <c r="BP17" s="541">
        <f t="shared" si="132"/>
        <v>0</v>
      </c>
      <c r="BQ17" s="539">
        <v>0</v>
      </c>
      <c r="BR17" s="540">
        <f t="shared" si="21"/>
        <v>0</v>
      </c>
      <c r="BS17" s="541">
        <f t="shared" si="133"/>
        <v>0</v>
      </c>
      <c r="BT17" s="539"/>
      <c r="BU17" s="540">
        <f t="shared" si="22"/>
        <v>0</v>
      </c>
      <c r="BV17" s="541">
        <f t="shared" si="134"/>
        <v>0</v>
      </c>
      <c r="BW17" s="539">
        <v>0.67999999999999261</v>
      </c>
      <c r="BX17" s="540">
        <f t="shared" si="23"/>
        <v>1.0392945024377456E-2</v>
      </c>
      <c r="BY17" s="541">
        <f t="shared" si="135"/>
        <v>0</v>
      </c>
      <c r="BZ17" s="539">
        <v>0</v>
      </c>
      <c r="CA17" s="540">
        <f t="shared" si="24"/>
        <v>0</v>
      </c>
      <c r="CB17" s="541">
        <f t="shared" si="136"/>
        <v>0</v>
      </c>
      <c r="CC17" s="539">
        <v>6.25</v>
      </c>
      <c r="CD17" s="540">
        <f t="shared" si="25"/>
        <v>9.5523391768176188E-2</v>
      </c>
      <c r="CE17" s="541">
        <f t="shared" si="137"/>
        <v>0</v>
      </c>
      <c r="CF17" s="539">
        <v>0.10000000000000009</v>
      </c>
      <c r="CG17" s="540">
        <f t="shared" si="26"/>
        <v>1.5283742682908204E-3</v>
      </c>
      <c r="CH17" s="541">
        <f t="shared" si="138"/>
        <v>0</v>
      </c>
      <c r="CI17" s="539">
        <v>0</v>
      </c>
      <c r="CJ17" s="540">
        <f t="shared" si="27"/>
        <v>0</v>
      </c>
      <c r="CK17" s="541">
        <f t="shared" si="139"/>
        <v>0</v>
      </c>
      <c r="CL17" s="539"/>
      <c r="CM17" s="540">
        <f t="shared" si="28"/>
        <v>0</v>
      </c>
      <c r="CN17" s="541">
        <f t="shared" si="140"/>
        <v>0</v>
      </c>
      <c r="CO17" s="539"/>
      <c r="CP17" s="540">
        <f t="shared" si="29"/>
        <v>0</v>
      </c>
      <c r="CQ17" s="541">
        <f t="shared" si="141"/>
        <v>0</v>
      </c>
      <c r="CR17" s="539"/>
      <c r="CS17" s="540">
        <f t="shared" si="30"/>
        <v>0</v>
      </c>
      <c r="CT17" s="541">
        <f t="shared" si="142"/>
        <v>0</v>
      </c>
      <c r="CU17" s="539"/>
      <c r="CV17" s="540">
        <f t="shared" si="31"/>
        <v>0</v>
      </c>
      <c r="CW17" s="541">
        <f t="shared" si="143"/>
        <v>0</v>
      </c>
      <c r="CX17" s="539"/>
      <c r="CY17" s="540">
        <f t="shared" si="32"/>
        <v>0</v>
      </c>
      <c r="CZ17" s="541">
        <f t="shared" si="144"/>
        <v>0</v>
      </c>
      <c r="DA17" s="539"/>
      <c r="DB17" s="540">
        <f t="shared" si="33"/>
        <v>0</v>
      </c>
      <c r="DC17" s="541">
        <f t="shared" si="145"/>
        <v>0</v>
      </c>
      <c r="DD17" s="539"/>
      <c r="DE17" s="540">
        <f t="shared" si="34"/>
        <v>0</v>
      </c>
      <c r="DF17" s="541">
        <f t="shared" si="146"/>
        <v>0</v>
      </c>
      <c r="DG17" s="539">
        <v>2.1</v>
      </c>
      <c r="DH17" s="540">
        <f t="shared" si="35"/>
        <v>3.2095859634107202E-2</v>
      </c>
      <c r="DI17" s="541">
        <f t="shared" si="203"/>
        <v>0</v>
      </c>
      <c r="DJ17" s="539"/>
      <c r="DK17" s="540">
        <f t="shared" si="36"/>
        <v>0</v>
      </c>
      <c r="DL17" s="541">
        <f t="shared" si="147"/>
        <v>0</v>
      </c>
      <c r="DM17" s="539"/>
      <c r="DN17" s="540">
        <f t="shared" si="37"/>
        <v>0</v>
      </c>
      <c r="DO17" s="541">
        <f t="shared" si="148"/>
        <v>0</v>
      </c>
      <c r="DP17" s="539"/>
      <c r="DQ17" s="540">
        <f t="shared" si="38"/>
        <v>0</v>
      </c>
      <c r="DR17" s="541">
        <f t="shared" si="149"/>
        <v>0</v>
      </c>
      <c r="DS17" s="539"/>
      <c r="DT17" s="540">
        <f t="shared" si="39"/>
        <v>0</v>
      </c>
      <c r="DU17" s="541">
        <f t="shared" si="150"/>
        <v>0</v>
      </c>
      <c r="DV17" s="539"/>
      <c r="DW17" s="540">
        <f t="shared" si="40"/>
        <v>0</v>
      </c>
      <c r="DX17" s="541">
        <f t="shared" si="151"/>
        <v>0</v>
      </c>
      <c r="DY17" s="539"/>
      <c r="DZ17" s="540">
        <f t="shared" si="41"/>
        <v>0</v>
      </c>
      <c r="EA17" s="541">
        <f t="shared" si="152"/>
        <v>0</v>
      </c>
      <c r="EB17" s="539">
        <v>29.069767441860336</v>
      </c>
      <c r="EC17" s="540">
        <f t="shared" si="42"/>
        <v>0.44429484543337566</v>
      </c>
      <c r="ED17" s="541">
        <f t="shared" si="153"/>
        <v>0</v>
      </c>
      <c r="EE17" s="539">
        <v>3</v>
      </c>
      <c r="EF17" s="540">
        <f t="shared" si="43"/>
        <v>4.5851228048724567E-2</v>
      </c>
      <c r="EG17" s="541">
        <f t="shared" si="154"/>
        <v>0</v>
      </c>
      <c r="EH17" s="539"/>
      <c r="EI17" s="540">
        <f t="shared" si="44"/>
        <v>0</v>
      </c>
      <c r="EJ17" s="541">
        <f t="shared" si="155"/>
        <v>0</v>
      </c>
      <c r="EK17" s="539"/>
      <c r="EL17" s="540">
        <f t="shared" si="45"/>
        <v>0</v>
      </c>
      <c r="EM17" s="541">
        <f t="shared" si="156"/>
        <v>0</v>
      </c>
      <c r="EN17" s="539"/>
      <c r="EO17" s="540">
        <f t="shared" si="46"/>
        <v>0</v>
      </c>
      <c r="EP17" s="541">
        <f t="shared" si="157"/>
        <v>0</v>
      </c>
      <c r="EQ17" s="539"/>
      <c r="ER17" s="540">
        <f t="shared" si="47"/>
        <v>0</v>
      </c>
      <c r="ES17" s="541">
        <f t="shared" si="158"/>
        <v>0</v>
      </c>
      <c r="ET17" s="539"/>
      <c r="EU17" s="540">
        <f t="shared" si="48"/>
        <v>0</v>
      </c>
      <c r="EV17" s="541">
        <f t="shared" si="159"/>
        <v>0</v>
      </c>
      <c r="EW17" s="539"/>
      <c r="EX17" s="540">
        <f t="shared" si="49"/>
        <v>0</v>
      </c>
      <c r="EY17" s="541">
        <f t="shared" si="160"/>
        <v>0</v>
      </c>
      <c r="EZ17" s="539"/>
      <c r="FA17" s="540">
        <f t="shared" si="50"/>
        <v>0</v>
      </c>
      <c r="FB17" s="541">
        <f t="shared" si="161"/>
        <v>0</v>
      </c>
      <c r="FC17" s="539"/>
      <c r="FD17" s="540">
        <f t="shared" si="51"/>
        <v>0</v>
      </c>
      <c r="FE17" s="541">
        <f t="shared" si="162"/>
        <v>0</v>
      </c>
      <c r="FF17" s="539"/>
      <c r="FG17" s="540">
        <f t="shared" si="52"/>
        <v>0</v>
      </c>
      <c r="FH17" s="541">
        <f t="shared" si="163"/>
        <v>0</v>
      </c>
      <c r="FI17" s="539"/>
      <c r="FJ17" s="540">
        <f t="shared" si="53"/>
        <v>0</v>
      </c>
      <c r="FK17" s="541">
        <f t="shared" si="164"/>
        <v>0</v>
      </c>
      <c r="FL17" s="539"/>
      <c r="FM17" s="540">
        <f t="shared" si="54"/>
        <v>0</v>
      </c>
      <c r="FN17" s="541">
        <f t="shared" si="165"/>
        <v>0</v>
      </c>
      <c r="FO17" s="539"/>
      <c r="FP17" s="540">
        <f t="shared" si="55"/>
        <v>0</v>
      </c>
      <c r="FQ17" s="541">
        <f t="shared" si="166"/>
        <v>0</v>
      </c>
      <c r="FR17" s="539"/>
      <c r="FS17" s="540">
        <f t="shared" si="56"/>
        <v>0</v>
      </c>
      <c r="FT17" s="541">
        <f t="shared" si="167"/>
        <v>0</v>
      </c>
      <c r="FU17" s="539"/>
      <c r="FV17" s="540">
        <f t="shared" si="57"/>
        <v>0</v>
      </c>
      <c r="FW17" s="541">
        <f t="shared" si="168"/>
        <v>0</v>
      </c>
      <c r="FX17" s="539"/>
      <c r="FY17" s="540">
        <f t="shared" si="58"/>
        <v>0</v>
      </c>
      <c r="FZ17" s="541">
        <f t="shared" si="169"/>
        <v>0</v>
      </c>
      <c r="GA17" s="539"/>
      <c r="GB17" s="540">
        <f t="shared" si="59"/>
        <v>0</v>
      </c>
      <c r="GC17" s="541">
        <f t="shared" si="170"/>
        <v>0</v>
      </c>
      <c r="GD17" s="539"/>
      <c r="GE17" s="540">
        <f t="shared" si="60"/>
        <v>0</v>
      </c>
      <c r="GF17" s="541">
        <f t="shared" si="171"/>
        <v>0</v>
      </c>
      <c r="GG17" s="539"/>
      <c r="GH17" s="540">
        <f t="shared" si="61"/>
        <v>0</v>
      </c>
      <c r="GI17" s="541">
        <f t="shared" si="172"/>
        <v>0</v>
      </c>
      <c r="GJ17" s="539"/>
      <c r="GK17" s="540">
        <f t="shared" si="62"/>
        <v>0</v>
      </c>
      <c r="GL17" s="541">
        <f t="shared" si="173"/>
        <v>0</v>
      </c>
      <c r="GM17" s="539"/>
      <c r="GN17" s="540">
        <f t="shared" si="63"/>
        <v>0</v>
      </c>
      <c r="GO17" s="541">
        <f t="shared" si="174"/>
        <v>0</v>
      </c>
      <c r="GP17" s="539"/>
      <c r="GQ17" s="540">
        <f t="shared" si="64"/>
        <v>0</v>
      </c>
      <c r="GR17" s="541">
        <f t="shared" si="175"/>
        <v>0</v>
      </c>
      <c r="GS17" s="539"/>
      <c r="GT17" s="540">
        <f t="shared" si="65"/>
        <v>0</v>
      </c>
      <c r="GU17" s="541">
        <f t="shared" si="176"/>
        <v>0</v>
      </c>
      <c r="GV17" s="539"/>
      <c r="GW17" s="540">
        <f t="shared" si="66"/>
        <v>0</v>
      </c>
      <c r="GX17" s="541">
        <f t="shared" si="177"/>
        <v>0</v>
      </c>
      <c r="GY17" s="539"/>
      <c r="GZ17" s="540">
        <f t="shared" si="67"/>
        <v>0</v>
      </c>
      <c r="HA17" s="541">
        <f t="shared" si="178"/>
        <v>0</v>
      </c>
      <c r="HB17" s="539"/>
      <c r="HC17" s="540">
        <f t="shared" si="68"/>
        <v>0</v>
      </c>
      <c r="HD17" s="541">
        <f t="shared" si="179"/>
        <v>0</v>
      </c>
      <c r="HE17" s="539"/>
      <c r="HF17" s="540">
        <f t="shared" si="69"/>
        <v>0</v>
      </c>
      <c r="HG17" s="541">
        <f t="shared" si="180"/>
        <v>0</v>
      </c>
      <c r="HH17" s="539"/>
      <c r="HI17" s="540">
        <f t="shared" si="70"/>
        <v>0</v>
      </c>
      <c r="HJ17" s="541">
        <f t="shared" si="181"/>
        <v>0</v>
      </c>
      <c r="HK17" s="539"/>
      <c r="HL17" s="540">
        <f t="shared" si="71"/>
        <v>0</v>
      </c>
      <c r="HM17" s="541">
        <f t="shared" si="182"/>
        <v>0</v>
      </c>
      <c r="HN17" s="539"/>
      <c r="HO17" s="540">
        <f t="shared" si="72"/>
        <v>0</v>
      </c>
      <c r="HP17" s="541">
        <f t="shared" si="183"/>
        <v>0</v>
      </c>
      <c r="HQ17" s="539"/>
      <c r="HR17" s="540">
        <f t="shared" si="73"/>
        <v>0</v>
      </c>
      <c r="HS17" s="541">
        <f t="shared" si="184"/>
        <v>0</v>
      </c>
      <c r="HT17" s="539"/>
      <c r="HU17" s="540">
        <f t="shared" si="74"/>
        <v>0</v>
      </c>
      <c r="HV17" s="541">
        <f t="shared" si="185"/>
        <v>0</v>
      </c>
      <c r="HW17" s="539"/>
      <c r="HX17" s="540">
        <f t="shared" si="75"/>
        <v>0</v>
      </c>
      <c r="HY17" s="541">
        <f t="shared" si="186"/>
        <v>0</v>
      </c>
      <c r="HZ17" s="539"/>
      <c r="IA17" s="540">
        <f t="shared" si="76"/>
        <v>0</v>
      </c>
      <c r="IB17" s="541">
        <f t="shared" si="187"/>
        <v>0</v>
      </c>
      <c r="IC17" s="539"/>
      <c r="ID17" s="540">
        <f t="shared" si="77"/>
        <v>0</v>
      </c>
      <c r="IE17" s="541">
        <f t="shared" si="188"/>
        <v>0</v>
      </c>
      <c r="IF17" s="539"/>
      <c r="IG17" s="540">
        <f t="shared" si="78"/>
        <v>0</v>
      </c>
      <c r="IH17" s="541">
        <f t="shared" si="189"/>
        <v>0</v>
      </c>
      <c r="II17" s="539"/>
      <c r="IJ17" s="540">
        <f t="shared" si="79"/>
        <v>0</v>
      </c>
      <c r="IK17" s="541">
        <f t="shared" si="190"/>
        <v>0</v>
      </c>
      <c r="IL17" s="539"/>
      <c r="IM17" s="540">
        <f t="shared" si="80"/>
        <v>0</v>
      </c>
      <c r="IN17" s="541">
        <f t="shared" si="191"/>
        <v>0</v>
      </c>
      <c r="IO17" s="539"/>
      <c r="IP17" s="540">
        <f t="shared" si="81"/>
        <v>0</v>
      </c>
      <c r="IQ17" s="541">
        <f t="shared" si="192"/>
        <v>0</v>
      </c>
      <c r="IR17" s="539"/>
      <c r="IS17" s="540">
        <f t="shared" si="82"/>
        <v>0</v>
      </c>
      <c r="IT17" s="541">
        <f t="shared" si="193"/>
        <v>0</v>
      </c>
      <c r="IU17" s="539"/>
      <c r="IV17" s="540">
        <f t="shared" si="83"/>
        <v>0</v>
      </c>
      <c r="IW17" s="541">
        <f t="shared" si="194"/>
        <v>0</v>
      </c>
      <c r="IX17" s="539"/>
      <c r="IY17" s="540">
        <f t="shared" si="84"/>
        <v>0</v>
      </c>
      <c r="IZ17" s="541">
        <f t="shared" si="195"/>
        <v>0</v>
      </c>
      <c r="JA17" s="539"/>
      <c r="JB17" s="540">
        <f t="shared" si="85"/>
        <v>0</v>
      </c>
      <c r="JC17" s="541">
        <f t="shared" si="196"/>
        <v>0</v>
      </c>
      <c r="JD17" s="539"/>
      <c r="JE17" s="540">
        <f t="shared" si="86"/>
        <v>0</v>
      </c>
      <c r="JF17" s="541">
        <f t="shared" si="197"/>
        <v>0</v>
      </c>
      <c r="JG17" s="539"/>
      <c r="JH17" s="540">
        <f t="shared" si="87"/>
        <v>0</v>
      </c>
      <c r="JI17" s="541">
        <f t="shared" si="198"/>
        <v>0</v>
      </c>
      <c r="JJ17" s="539"/>
      <c r="JK17" s="541" t="str">
        <f t="shared" si="88"/>
        <v>0</v>
      </c>
      <c r="JL17" s="541" t="str">
        <f t="shared" si="89"/>
        <v>0</v>
      </c>
      <c r="JM17" s="539"/>
      <c r="JN17" s="541" t="str">
        <f t="shared" si="90"/>
        <v>0</v>
      </c>
      <c r="JO17" s="541" t="str">
        <f t="shared" si="91"/>
        <v>0</v>
      </c>
      <c r="JP17" s="539"/>
      <c r="JQ17" s="541" t="str">
        <f t="shared" si="92"/>
        <v>0</v>
      </c>
      <c r="JR17" s="541" t="str">
        <f t="shared" si="93"/>
        <v>0</v>
      </c>
      <c r="JS17" s="539"/>
      <c r="JT17" s="541" t="str">
        <f t="shared" si="94"/>
        <v>0</v>
      </c>
      <c r="JU17" s="541" t="str">
        <f t="shared" si="95"/>
        <v>0</v>
      </c>
      <c r="JV17" s="539"/>
      <c r="JW17" s="541" t="str">
        <f t="shared" si="96"/>
        <v>0</v>
      </c>
      <c r="JX17" s="541" t="str">
        <f t="shared" si="97"/>
        <v>0</v>
      </c>
      <c r="JY17" s="539"/>
      <c r="JZ17" s="541" t="str">
        <f t="shared" si="98"/>
        <v>0</v>
      </c>
      <c r="KA17" s="541" t="str">
        <f t="shared" si="99"/>
        <v>0</v>
      </c>
      <c r="KB17" s="539"/>
      <c r="KC17" s="541" t="str">
        <f t="shared" si="100"/>
        <v>0</v>
      </c>
      <c r="KD17" s="541" t="str">
        <f t="shared" si="101"/>
        <v>0</v>
      </c>
      <c r="KE17" s="539"/>
      <c r="KF17" s="541" t="str">
        <f t="shared" si="102"/>
        <v>0</v>
      </c>
      <c r="KG17" s="541" t="str">
        <f t="shared" si="103"/>
        <v>0</v>
      </c>
      <c r="KH17" s="539"/>
      <c r="KI17" s="541" t="str">
        <f t="shared" si="104"/>
        <v>0</v>
      </c>
      <c r="KJ17" s="541" t="str">
        <f t="shared" si="105"/>
        <v>0</v>
      </c>
      <c r="KK17" s="539"/>
      <c r="KL17" s="541" t="str">
        <f t="shared" si="106"/>
        <v>0</v>
      </c>
      <c r="KM17" s="541" t="str">
        <f t="shared" si="107"/>
        <v>0</v>
      </c>
      <c r="KN17" s="539"/>
      <c r="KO17" s="541" t="str">
        <f t="shared" si="108"/>
        <v>0</v>
      </c>
      <c r="KP17" s="541" t="str">
        <f t="shared" si="109"/>
        <v>0</v>
      </c>
      <c r="KQ17" s="539"/>
      <c r="KR17" s="541" t="str">
        <f t="shared" si="110"/>
        <v>0</v>
      </c>
      <c r="KS17" s="541" t="str">
        <f t="shared" si="111"/>
        <v>0</v>
      </c>
      <c r="KT17" s="541">
        <f t="shared" si="201"/>
        <v>0</v>
      </c>
      <c r="KU17" s="541">
        <f t="shared" si="202"/>
        <v>0</v>
      </c>
      <c r="KV17" s="275">
        <f t="shared" si="199"/>
        <v>796.80021246052252</v>
      </c>
    </row>
    <row r="18" spans="1:309" ht="15" customHeight="1">
      <c r="A18" s="277">
        <f t="shared" si="200"/>
        <v>45848</v>
      </c>
      <c r="B18" s="278" t="str">
        <f>+Report1!B18</f>
        <v>MG/Facial</v>
      </c>
      <c r="C18" s="418" t="str">
        <f>+Report1!C18</f>
        <v>16/12</v>
      </c>
      <c r="D18" s="279">
        <f>+Report1!P18</f>
        <v>58.376999999999995</v>
      </c>
      <c r="E18" s="280">
        <f>+Report1!R18</f>
        <v>58.366</v>
      </c>
      <c r="F18" s="539"/>
      <c r="G18" s="540">
        <f t="shared" si="0"/>
        <v>0</v>
      </c>
      <c r="H18" s="541">
        <f t="shared" si="112"/>
        <v>0</v>
      </c>
      <c r="I18" s="539">
        <v>337.20930232558146</v>
      </c>
      <c r="J18" s="540">
        <f t="shared" si="1"/>
        <v>5.7774954995302314</v>
      </c>
      <c r="K18" s="541">
        <f t="shared" si="113"/>
        <v>0</v>
      </c>
      <c r="L18" s="539"/>
      <c r="M18" s="540">
        <f t="shared" si="2"/>
        <v>0</v>
      </c>
      <c r="N18" s="541">
        <f t="shared" si="114"/>
        <v>0</v>
      </c>
      <c r="O18" s="539">
        <v>6</v>
      </c>
      <c r="P18" s="540">
        <f t="shared" si="3"/>
        <v>0.10279957509508961</v>
      </c>
      <c r="Q18" s="541">
        <f t="shared" si="115"/>
        <v>0</v>
      </c>
      <c r="R18" s="539"/>
      <c r="S18" s="540">
        <f t="shared" si="4"/>
        <v>0</v>
      </c>
      <c r="T18" s="541">
        <f t="shared" si="116"/>
        <v>0</v>
      </c>
      <c r="U18" s="539">
        <v>5.1249999999999716</v>
      </c>
      <c r="V18" s="540">
        <f t="shared" si="5"/>
        <v>8.7807970393721888E-2</v>
      </c>
      <c r="W18" s="541">
        <f t="shared" si="117"/>
        <v>0</v>
      </c>
      <c r="X18" s="539"/>
      <c r="Y18" s="540">
        <f t="shared" si="6"/>
        <v>0</v>
      </c>
      <c r="Z18" s="541">
        <f t="shared" si="118"/>
        <v>0</v>
      </c>
      <c r="AA18" s="539"/>
      <c r="AB18" s="540">
        <f t="shared" si="7"/>
        <v>0</v>
      </c>
      <c r="AC18" s="541">
        <f t="shared" si="119"/>
        <v>0</v>
      </c>
      <c r="AD18" s="539"/>
      <c r="AE18" s="540">
        <f t="shared" si="8"/>
        <v>0</v>
      </c>
      <c r="AF18" s="541">
        <f t="shared" si="120"/>
        <v>0</v>
      </c>
      <c r="AG18" s="539"/>
      <c r="AH18" s="540">
        <f t="shared" si="9"/>
        <v>0</v>
      </c>
      <c r="AI18" s="541">
        <f t="shared" si="121"/>
        <v>0</v>
      </c>
      <c r="AJ18" s="539">
        <v>8.8124999999999716</v>
      </c>
      <c r="AK18" s="540">
        <f t="shared" si="10"/>
        <v>0.15098687592091237</v>
      </c>
      <c r="AL18" s="541">
        <f t="shared" si="122"/>
        <v>0</v>
      </c>
      <c r="AM18" s="539"/>
      <c r="AN18" s="540">
        <f t="shared" si="11"/>
        <v>0</v>
      </c>
      <c r="AO18" s="541">
        <f t="shared" si="123"/>
        <v>0</v>
      </c>
      <c r="AP18" s="539">
        <v>48.417721518987349</v>
      </c>
      <c r="AQ18" s="540">
        <f t="shared" si="12"/>
        <v>0.82955353320404601</v>
      </c>
      <c r="AR18" s="541">
        <f t="shared" si="124"/>
        <v>0</v>
      </c>
      <c r="AS18" s="539"/>
      <c r="AT18" s="540">
        <f t="shared" si="13"/>
        <v>0</v>
      </c>
      <c r="AU18" s="541">
        <f t="shared" si="125"/>
        <v>0</v>
      </c>
      <c r="AV18" s="539">
        <v>8.3250000000000028</v>
      </c>
      <c r="AW18" s="540">
        <f t="shared" si="14"/>
        <v>0.14263441044443687</v>
      </c>
      <c r="AX18" s="541">
        <f t="shared" si="126"/>
        <v>0</v>
      </c>
      <c r="AY18" s="539">
        <v>44.333333333333314</v>
      </c>
      <c r="AZ18" s="540">
        <f t="shared" si="15"/>
        <v>0.75957463820260618</v>
      </c>
      <c r="BA18" s="541">
        <f t="shared" si="127"/>
        <v>0</v>
      </c>
      <c r="BB18" s="539">
        <v>18.666666666666671</v>
      </c>
      <c r="BC18" s="540">
        <f t="shared" si="16"/>
        <v>0.31982090029583443</v>
      </c>
      <c r="BD18" s="541">
        <f t="shared" si="128"/>
        <v>0</v>
      </c>
      <c r="BE18" s="539"/>
      <c r="BF18" s="540">
        <f t="shared" si="17"/>
        <v>0</v>
      </c>
      <c r="BG18" s="541">
        <f t="shared" si="129"/>
        <v>0</v>
      </c>
      <c r="BH18" s="539"/>
      <c r="BI18" s="540">
        <f t="shared" si="18"/>
        <v>0</v>
      </c>
      <c r="BJ18" s="541">
        <f t="shared" si="130"/>
        <v>0</v>
      </c>
      <c r="BK18" s="539"/>
      <c r="BL18" s="540">
        <f t="shared" si="19"/>
        <v>0</v>
      </c>
      <c r="BM18" s="541">
        <f t="shared" si="131"/>
        <v>0</v>
      </c>
      <c r="BN18" s="539">
        <v>5.0617283950617207</v>
      </c>
      <c r="BO18" s="540">
        <f t="shared" si="20"/>
        <v>8.6723921376515786E-2</v>
      </c>
      <c r="BP18" s="541">
        <f t="shared" si="132"/>
        <v>0</v>
      </c>
      <c r="BQ18" s="539">
        <v>0</v>
      </c>
      <c r="BR18" s="540">
        <f t="shared" si="21"/>
        <v>0</v>
      </c>
      <c r="BS18" s="541">
        <f t="shared" si="133"/>
        <v>0</v>
      </c>
      <c r="BT18" s="539"/>
      <c r="BU18" s="540">
        <f t="shared" si="22"/>
        <v>0</v>
      </c>
      <c r="BV18" s="541">
        <f t="shared" si="134"/>
        <v>0</v>
      </c>
      <c r="BW18" s="539">
        <v>0</v>
      </c>
      <c r="BX18" s="540">
        <f t="shared" si="23"/>
        <v>0</v>
      </c>
      <c r="BY18" s="541">
        <f t="shared" si="135"/>
        <v>0</v>
      </c>
      <c r="BZ18" s="539">
        <v>0</v>
      </c>
      <c r="CA18" s="540">
        <f t="shared" si="24"/>
        <v>0</v>
      </c>
      <c r="CB18" s="541">
        <f t="shared" si="136"/>
        <v>0</v>
      </c>
      <c r="CC18" s="539">
        <v>6.25</v>
      </c>
      <c r="CD18" s="540">
        <f t="shared" si="25"/>
        <v>0.10708289072405168</v>
      </c>
      <c r="CE18" s="541">
        <f t="shared" si="137"/>
        <v>0</v>
      </c>
      <c r="CF18" s="539">
        <v>9.9999999999999978E-2</v>
      </c>
      <c r="CG18" s="540">
        <f t="shared" si="26"/>
        <v>1.7133262515848264E-3</v>
      </c>
      <c r="CH18" s="541">
        <f t="shared" si="138"/>
        <v>0</v>
      </c>
      <c r="CI18" s="539">
        <v>0</v>
      </c>
      <c r="CJ18" s="540">
        <f t="shared" si="27"/>
        <v>0</v>
      </c>
      <c r="CK18" s="541">
        <f t="shared" si="139"/>
        <v>0</v>
      </c>
      <c r="CL18" s="539"/>
      <c r="CM18" s="540">
        <f t="shared" si="28"/>
        <v>0</v>
      </c>
      <c r="CN18" s="541">
        <f t="shared" si="140"/>
        <v>0</v>
      </c>
      <c r="CO18" s="539"/>
      <c r="CP18" s="540">
        <f t="shared" si="29"/>
        <v>0</v>
      </c>
      <c r="CQ18" s="541">
        <f t="shared" si="141"/>
        <v>0</v>
      </c>
      <c r="CR18" s="539"/>
      <c r="CS18" s="540">
        <f t="shared" si="30"/>
        <v>0</v>
      </c>
      <c r="CT18" s="541">
        <f t="shared" si="142"/>
        <v>0</v>
      </c>
      <c r="CU18" s="539"/>
      <c r="CV18" s="540">
        <f t="shared" si="31"/>
        <v>0</v>
      </c>
      <c r="CW18" s="541">
        <f t="shared" si="143"/>
        <v>0</v>
      </c>
      <c r="CX18" s="539"/>
      <c r="CY18" s="540">
        <f t="shared" si="32"/>
        <v>0</v>
      </c>
      <c r="CZ18" s="541">
        <f t="shared" si="144"/>
        <v>0</v>
      </c>
      <c r="DA18" s="539"/>
      <c r="DB18" s="540">
        <f t="shared" si="33"/>
        <v>0</v>
      </c>
      <c r="DC18" s="541">
        <f t="shared" si="145"/>
        <v>0</v>
      </c>
      <c r="DD18" s="539"/>
      <c r="DE18" s="540">
        <f t="shared" si="34"/>
        <v>0</v>
      </c>
      <c r="DF18" s="541">
        <f t="shared" si="146"/>
        <v>0</v>
      </c>
      <c r="DG18" s="539">
        <v>0</v>
      </c>
      <c r="DH18" s="540">
        <f t="shared" si="35"/>
        <v>0</v>
      </c>
      <c r="DI18" s="541">
        <f t="shared" si="203"/>
        <v>0</v>
      </c>
      <c r="DJ18" s="539"/>
      <c r="DK18" s="540">
        <f t="shared" si="36"/>
        <v>0</v>
      </c>
      <c r="DL18" s="541">
        <f t="shared" si="147"/>
        <v>0</v>
      </c>
      <c r="DM18" s="539"/>
      <c r="DN18" s="540">
        <f t="shared" si="37"/>
        <v>0</v>
      </c>
      <c r="DO18" s="541">
        <f t="shared" si="148"/>
        <v>0</v>
      </c>
      <c r="DP18" s="539"/>
      <c r="DQ18" s="540">
        <f t="shared" si="38"/>
        <v>0</v>
      </c>
      <c r="DR18" s="541">
        <f t="shared" si="149"/>
        <v>0</v>
      </c>
      <c r="DS18" s="539"/>
      <c r="DT18" s="540">
        <f t="shared" si="39"/>
        <v>0</v>
      </c>
      <c r="DU18" s="541">
        <f t="shared" si="150"/>
        <v>0</v>
      </c>
      <c r="DV18" s="539"/>
      <c r="DW18" s="540">
        <f t="shared" si="40"/>
        <v>0</v>
      </c>
      <c r="DX18" s="541">
        <f t="shared" si="151"/>
        <v>0</v>
      </c>
      <c r="DY18" s="539"/>
      <c r="DZ18" s="540">
        <f t="shared" si="41"/>
        <v>0</v>
      </c>
      <c r="EA18" s="541">
        <f t="shared" si="152"/>
        <v>0</v>
      </c>
      <c r="EB18" s="539">
        <v>14.534883720930225</v>
      </c>
      <c r="EC18" s="540">
        <f t="shared" si="42"/>
        <v>0.24902997842802702</v>
      </c>
      <c r="ED18" s="541">
        <f t="shared" si="153"/>
        <v>0</v>
      </c>
      <c r="EE18" s="539">
        <v>3</v>
      </c>
      <c r="EF18" s="540">
        <f t="shared" si="43"/>
        <v>5.1399787547544804E-2</v>
      </c>
      <c r="EG18" s="541">
        <f t="shared" si="154"/>
        <v>0</v>
      </c>
      <c r="EH18" s="539"/>
      <c r="EI18" s="540">
        <f t="shared" si="44"/>
        <v>0</v>
      </c>
      <c r="EJ18" s="541">
        <f t="shared" si="155"/>
        <v>0</v>
      </c>
      <c r="EK18" s="539"/>
      <c r="EL18" s="540">
        <f t="shared" si="45"/>
        <v>0</v>
      </c>
      <c r="EM18" s="541">
        <f t="shared" si="156"/>
        <v>0</v>
      </c>
      <c r="EN18" s="539"/>
      <c r="EO18" s="540">
        <f t="shared" si="46"/>
        <v>0</v>
      </c>
      <c r="EP18" s="541">
        <f t="shared" si="157"/>
        <v>0</v>
      </c>
      <c r="EQ18" s="539"/>
      <c r="ER18" s="540">
        <f t="shared" si="47"/>
        <v>0</v>
      </c>
      <c r="ES18" s="541">
        <f t="shared" si="158"/>
        <v>0</v>
      </c>
      <c r="ET18" s="539"/>
      <c r="EU18" s="540">
        <f t="shared" si="48"/>
        <v>0</v>
      </c>
      <c r="EV18" s="541">
        <f t="shared" si="159"/>
        <v>0</v>
      </c>
      <c r="EW18" s="539"/>
      <c r="EX18" s="540">
        <f t="shared" si="49"/>
        <v>0</v>
      </c>
      <c r="EY18" s="541">
        <f t="shared" si="160"/>
        <v>0</v>
      </c>
      <c r="EZ18" s="539"/>
      <c r="FA18" s="540">
        <f t="shared" si="50"/>
        <v>0</v>
      </c>
      <c r="FB18" s="541">
        <f t="shared" si="161"/>
        <v>0</v>
      </c>
      <c r="FC18" s="539"/>
      <c r="FD18" s="540">
        <f t="shared" si="51"/>
        <v>0</v>
      </c>
      <c r="FE18" s="541">
        <f t="shared" si="162"/>
        <v>0</v>
      </c>
      <c r="FF18" s="539"/>
      <c r="FG18" s="540">
        <f t="shared" si="52"/>
        <v>0</v>
      </c>
      <c r="FH18" s="541">
        <f t="shared" si="163"/>
        <v>0</v>
      </c>
      <c r="FI18" s="539"/>
      <c r="FJ18" s="540">
        <f t="shared" si="53"/>
        <v>0</v>
      </c>
      <c r="FK18" s="541">
        <f t="shared" si="164"/>
        <v>0</v>
      </c>
      <c r="FL18" s="539"/>
      <c r="FM18" s="540">
        <f t="shared" si="54"/>
        <v>0</v>
      </c>
      <c r="FN18" s="541">
        <f t="shared" si="165"/>
        <v>0</v>
      </c>
      <c r="FO18" s="539"/>
      <c r="FP18" s="540">
        <f t="shared" si="55"/>
        <v>0</v>
      </c>
      <c r="FQ18" s="541">
        <f t="shared" si="166"/>
        <v>0</v>
      </c>
      <c r="FR18" s="539"/>
      <c r="FS18" s="540">
        <f t="shared" si="56"/>
        <v>0</v>
      </c>
      <c r="FT18" s="541">
        <f t="shared" si="167"/>
        <v>0</v>
      </c>
      <c r="FU18" s="539"/>
      <c r="FV18" s="540">
        <f t="shared" si="57"/>
        <v>0</v>
      </c>
      <c r="FW18" s="541">
        <f t="shared" si="168"/>
        <v>0</v>
      </c>
      <c r="FX18" s="539"/>
      <c r="FY18" s="540">
        <f t="shared" si="58"/>
        <v>0</v>
      </c>
      <c r="FZ18" s="541">
        <f t="shared" si="169"/>
        <v>0</v>
      </c>
      <c r="GA18" s="539"/>
      <c r="GB18" s="540">
        <f t="shared" si="59"/>
        <v>0</v>
      </c>
      <c r="GC18" s="541">
        <f t="shared" si="170"/>
        <v>0</v>
      </c>
      <c r="GD18" s="539"/>
      <c r="GE18" s="540">
        <f t="shared" si="60"/>
        <v>0</v>
      </c>
      <c r="GF18" s="541">
        <f t="shared" si="171"/>
        <v>0</v>
      </c>
      <c r="GG18" s="539"/>
      <c r="GH18" s="540">
        <f t="shared" si="61"/>
        <v>0</v>
      </c>
      <c r="GI18" s="541">
        <f t="shared" si="172"/>
        <v>0</v>
      </c>
      <c r="GJ18" s="539"/>
      <c r="GK18" s="540">
        <f t="shared" si="62"/>
        <v>0</v>
      </c>
      <c r="GL18" s="541">
        <f t="shared" si="173"/>
        <v>0</v>
      </c>
      <c r="GM18" s="539"/>
      <c r="GN18" s="540">
        <f t="shared" si="63"/>
        <v>0</v>
      </c>
      <c r="GO18" s="541">
        <f t="shared" si="174"/>
        <v>0</v>
      </c>
      <c r="GP18" s="539"/>
      <c r="GQ18" s="540">
        <f t="shared" si="64"/>
        <v>0</v>
      </c>
      <c r="GR18" s="541">
        <f t="shared" si="175"/>
        <v>0</v>
      </c>
      <c r="GS18" s="539"/>
      <c r="GT18" s="540">
        <f t="shared" si="65"/>
        <v>0</v>
      </c>
      <c r="GU18" s="541">
        <f t="shared" si="176"/>
        <v>0</v>
      </c>
      <c r="GV18" s="539"/>
      <c r="GW18" s="540">
        <f t="shared" si="66"/>
        <v>0</v>
      </c>
      <c r="GX18" s="541">
        <f t="shared" si="177"/>
        <v>0</v>
      </c>
      <c r="GY18" s="539"/>
      <c r="GZ18" s="540">
        <f t="shared" si="67"/>
        <v>0</v>
      </c>
      <c r="HA18" s="541">
        <f t="shared" si="178"/>
        <v>0</v>
      </c>
      <c r="HB18" s="539"/>
      <c r="HC18" s="540">
        <f t="shared" si="68"/>
        <v>0</v>
      </c>
      <c r="HD18" s="541">
        <f t="shared" si="179"/>
        <v>0</v>
      </c>
      <c r="HE18" s="539"/>
      <c r="HF18" s="540">
        <f t="shared" si="69"/>
        <v>0</v>
      </c>
      <c r="HG18" s="541">
        <f t="shared" si="180"/>
        <v>0</v>
      </c>
      <c r="HH18" s="539"/>
      <c r="HI18" s="540">
        <f t="shared" si="70"/>
        <v>0</v>
      </c>
      <c r="HJ18" s="541">
        <f t="shared" si="181"/>
        <v>0</v>
      </c>
      <c r="HK18" s="539"/>
      <c r="HL18" s="540">
        <f t="shared" si="71"/>
        <v>0</v>
      </c>
      <c r="HM18" s="541">
        <f t="shared" si="182"/>
        <v>0</v>
      </c>
      <c r="HN18" s="539"/>
      <c r="HO18" s="540">
        <f t="shared" si="72"/>
        <v>0</v>
      </c>
      <c r="HP18" s="541">
        <f t="shared" si="183"/>
        <v>0</v>
      </c>
      <c r="HQ18" s="539"/>
      <c r="HR18" s="540">
        <f t="shared" si="73"/>
        <v>0</v>
      </c>
      <c r="HS18" s="541">
        <f t="shared" si="184"/>
        <v>0</v>
      </c>
      <c r="HT18" s="539"/>
      <c r="HU18" s="540">
        <f t="shared" si="74"/>
        <v>0</v>
      </c>
      <c r="HV18" s="541">
        <f t="shared" si="185"/>
        <v>0</v>
      </c>
      <c r="HW18" s="539"/>
      <c r="HX18" s="540">
        <f t="shared" si="75"/>
        <v>0</v>
      </c>
      <c r="HY18" s="541">
        <f t="shared" si="186"/>
        <v>0</v>
      </c>
      <c r="HZ18" s="539"/>
      <c r="IA18" s="540">
        <f t="shared" si="76"/>
        <v>0</v>
      </c>
      <c r="IB18" s="541">
        <f t="shared" si="187"/>
        <v>0</v>
      </c>
      <c r="IC18" s="539"/>
      <c r="ID18" s="540">
        <f t="shared" si="77"/>
        <v>0</v>
      </c>
      <c r="IE18" s="541">
        <f t="shared" si="188"/>
        <v>0</v>
      </c>
      <c r="IF18" s="539"/>
      <c r="IG18" s="540">
        <f t="shared" si="78"/>
        <v>0</v>
      </c>
      <c r="IH18" s="541">
        <f t="shared" si="189"/>
        <v>0</v>
      </c>
      <c r="II18" s="539"/>
      <c r="IJ18" s="540">
        <f t="shared" si="79"/>
        <v>0</v>
      </c>
      <c r="IK18" s="541">
        <f t="shared" si="190"/>
        <v>0</v>
      </c>
      <c r="IL18" s="539"/>
      <c r="IM18" s="540">
        <f t="shared" si="80"/>
        <v>0</v>
      </c>
      <c r="IN18" s="541">
        <f t="shared" si="191"/>
        <v>0</v>
      </c>
      <c r="IO18" s="539"/>
      <c r="IP18" s="540">
        <f t="shared" si="81"/>
        <v>0</v>
      </c>
      <c r="IQ18" s="541">
        <f t="shared" si="192"/>
        <v>0</v>
      </c>
      <c r="IR18" s="539"/>
      <c r="IS18" s="540">
        <f t="shared" si="82"/>
        <v>0</v>
      </c>
      <c r="IT18" s="541">
        <f t="shared" si="193"/>
        <v>0</v>
      </c>
      <c r="IU18" s="539"/>
      <c r="IV18" s="540">
        <f t="shared" si="83"/>
        <v>0</v>
      </c>
      <c r="IW18" s="541">
        <f t="shared" si="194"/>
        <v>0</v>
      </c>
      <c r="IX18" s="539"/>
      <c r="IY18" s="540">
        <f t="shared" si="84"/>
        <v>0</v>
      </c>
      <c r="IZ18" s="541">
        <f t="shared" si="195"/>
        <v>0</v>
      </c>
      <c r="JA18" s="539"/>
      <c r="JB18" s="540">
        <f t="shared" si="85"/>
        <v>0</v>
      </c>
      <c r="JC18" s="541">
        <f t="shared" si="196"/>
        <v>0</v>
      </c>
      <c r="JD18" s="539"/>
      <c r="JE18" s="540">
        <f t="shared" si="86"/>
        <v>0</v>
      </c>
      <c r="JF18" s="541">
        <f t="shared" si="197"/>
        <v>0</v>
      </c>
      <c r="JG18" s="539"/>
      <c r="JH18" s="540">
        <f t="shared" si="87"/>
        <v>0</v>
      </c>
      <c r="JI18" s="541">
        <f t="shared" si="198"/>
        <v>0</v>
      </c>
      <c r="JJ18" s="539"/>
      <c r="JK18" s="541" t="str">
        <f t="shared" si="88"/>
        <v>0</v>
      </c>
      <c r="JL18" s="541" t="str">
        <f t="shared" si="89"/>
        <v>0</v>
      </c>
      <c r="JM18" s="539"/>
      <c r="JN18" s="541" t="str">
        <f t="shared" si="90"/>
        <v>0</v>
      </c>
      <c r="JO18" s="541" t="str">
        <f t="shared" si="91"/>
        <v>0</v>
      </c>
      <c r="JP18" s="539"/>
      <c r="JQ18" s="541" t="str">
        <f t="shared" si="92"/>
        <v>0</v>
      </c>
      <c r="JR18" s="541" t="str">
        <f t="shared" si="93"/>
        <v>0</v>
      </c>
      <c r="JS18" s="539"/>
      <c r="JT18" s="541" t="str">
        <f t="shared" si="94"/>
        <v>0</v>
      </c>
      <c r="JU18" s="541" t="str">
        <f t="shared" si="95"/>
        <v>0</v>
      </c>
      <c r="JV18" s="539"/>
      <c r="JW18" s="541" t="str">
        <f t="shared" si="96"/>
        <v>0</v>
      </c>
      <c r="JX18" s="541" t="str">
        <f t="shared" si="97"/>
        <v>0</v>
      </c>
      <c r="JY18" s="539"/>
      <c r="JZ18" s="541" t="str">
        <f t="shared" si="98"/>
        <v>0</v>
      </c>
      <c r="KA18" s="541" t="str">
        <f t="shared" si="99"/>
        <v>0</v>
      </c>
      <c r="KB18" s="539"/>
      <c r="KC18" s="541" t="str">
        <f t="shared" si="100"/>
        <v>0</v>
      </c>
      <c r="KD18" s="541" t="str">
        <f t="shared" si="101"/>
        <v>0</v>
      </c>
      <c r="KE18" s="539"/>
      <c r="KF18" s="541" t="str">
        <f t="shared" si="102"/>
        <v>0</v>
      </c>
      <c r="KG18" s="541" t="str">
        <f t="shared" si="103"/>
        <v>0</v>
      </c>
      <c r="KH18" s="539"/>
      <c r="KI18" s="541" t="str">
        <f t="shared" si="104"/>
        <v>0</v>
      </c>
      <c r="KJ18" s="541" t="str">
        <f t="shared" si="105"/>
        <v>0</v>
      </c>
      <c r="KK18" s="539"/>
      <c r="KL18" s="541" t="str">
        <f t="shared" si="106"/>
        <v>0</v>
      </c>
      <c r="KM18" s="541" t="str">
        <f t="shared" si="107"/>
        <v>0</v>
      </c>
      <c r="KN18" s="539"/>
      <c r="KO18" s="541" t="str">
        <f t="shared" si="108"/>
        <v>0</v>
      </c>
      <c r="KP18" s="541" t="str">
        <f t="shared" si="109"/>
        <v>0</v>
      </c>
      <c r="KQ18" s="539"/>
      <c r="KR18" s="541" t="str">
        <f t="shared" si="110"/>
        <v>0</v>
      </c>
      <c r="KS18" s="541" t="str">
        <f t="shared" si="111"/>
        <v>0</v>
      </c>
      <c r="KT18" s="541">
        <f t="shared" si="201"/>
        <v>0</v>
      </c>
      <c r="KU18" s="541">
        <f t="shared" si="202"/>
        <v>0</v>
      </c>
      <c r="KV18" s="275">
        <f t="shared" si="199"/>
        <v>505.8361359605608</v>
      </c>
    </row>
    <row r="19" spans="1:309" ht="15" customHeight="1">
      <c r="A19" s="277">
        <f t="shared" si="200"/>
        <v>45849</v>
      </c>
      <c r="B19" s="278" t="str">
        <f>+Report1!B19</f>
        <v>Facial</v>
      </c>
      <c r="C19" s="418" t="str">
        <f>+Report1!C19</f>
        <v>11,5</v>
      </c>
      <c r="D19" s="279">
        <f>+Report1!P19</f>
        <v>54.006</v>
      </c>
      <c r="E19" s="280">
        <f>+Report1!R19</f>
        <v>52.795999999999999</v>
      </c>
      <c r="F19" s="539"/>
      <c r="G19" s="540">
        <f t="shared" si="0"/>
        <v>0</v>
      </c>
      <c r="H19" s="541">
        <f t="shared" si="112"/>
        <v>0</v>
      </c>
      <c r="I19" s="539">
        <v>337.20930232558135</v>
      </c>
      <c r="J19" s="540">
        <f t="shared" si="1"/>
        <v>6.3870236822028437</v>
      </c>
      <c r="K19" s="541">
        <f t="shared" si="113"/>
        <v>0</v>
      </c>
      <c r="L19" s="539"/>
      <c r="M19" s="540">
        <f t="shared" si="2"/>
        <v>0</v>
      </c>
      <c r="N19" s="541">
        <f t="shared" si="114"/>
        <v>0</v>
      </c>
      <c r="O19" s="539">
        <v>6</v>
      </c>
      <c r="P19" s="540">
        <f t="shared" si="3"/>
        <v>0.11364497310402304</v>
      </c>
      <c r="Q19" s="541">
        <f t="shared" si="115"/>
        <v>0</v>
      </c>
      <c r="R19" s="539"/>
      <c r="S19" s="540">
        <f t="shared" si="4"/>
        <v>0</v>
      </c>
      <c r="T19" s="541">
        <f t="shared" si="116"/>
        <v>0</v>
      </c>
      <c r="U19" s="539">
        <v>5.1250000000000284</v>
      </c>
      <c r="V19" s="540">
        <f t="shared" si="5"/>
        <v>9.7071747859686877E-2</v>
      </c>
      <c r="W19" s="541">
        <f t="shared" si="117"/>
        <v>0</v>
      </c>
      <c r="X19" s="539"/>
      <c r="Y19" s="540">
        <f t="shared" si="6"/>
        <v>0</v>
      </c>
      <c r="Z19" s="541">
        <f t="shared" si="118"/>
        <v>0</v>
      </c>
      <c r="AA19" s="539"/>
      <c r="AB19" s="540">
        <f t="shared" si="7"/>
        <v>0</v>
      </c>
      <c r="AC19" s="541">
        <f t="shared" si="119"/>
        <v>0</v>
      </c>
      <c r="AD19" s="539"/>
      <c r="AE19" s="540">
        <f t="shared" si="8"/>
        <v>0</v>
      </c>
      <c r="AF19" s="541">
        <f t="shared" si="120"/>
        <v>0</v>
      </c>
      <c r="AG19" s="539"/>
      <c r="AH19" s="540">
        <f t="shared" si="9"/>
        <v>0</v>
      </c>
      <c r="AI19" s="541">
        <f t="shared" si="121"/>
        <v>0</v>
      </c>
      <c r="AJ19" s="539">
        <v>0</v>
      </c>
      <c r="AK19" s="540">
        <f t="shared" si="10"/>
        <v>0</v>
      </c>
      <c r="AL19" s="541">
        <f t="shared" si="122"/>
        <v>0</v>
      </c>
      <c r="AM19" s="539"/>
      <c r="AN19" s="540">
        <f t="shared" si="11"/>
        <v>0</v>
      </c>
      <c r="AO19" s="541">
        <f t="shared" si="123"/>
        <v>0</v>
      </c>
      <c r="AP19" s="539">
        <v>45.569620253164544</v>
      </c>
      <c r="AQ19" s="540">
        <f t="shared" si="12"/>
        <v>0.86312637800523795</v>
      </c>
      <c r="AR19" s="541">
        <f t="shared" si="124"/>
        <v>0</v>
      </c>
      <c r="AS19" s="539"/>
      <c r="AT19" s="540">
        <f t="shared" si="13"/>
        <v>0</v>
      </c>
      <c r="AU19" s="541">
        <f t="shared" si="125"/>
        <v>0</v>
      </c>
      <c r="AV19" s="539">
        <v>2.7750000000000057</v>
      </c>
      <c r="AW19" s="540">
        <f t="shared" si="14"/>
        <v>5.2560800060610757E-2</v>
      </c>
      <c r="AX19" s="541">
        <f t="shared" si="126"/>
        <v>0</v>
      </c>
      <c r="AY19" s="539">
        <v>60.666666666666686</v>
      </c>
      <c r="AZ19" s="540">
        <f t="shared" si="15"/>
        <v>1.149076950274011</v>
      </c>
      <c r="BA19" s="541">
        <f t="shared" si="127"/>
        <v>0</v>
      </c>
      <c r="BB19" s="539">
        <v>0</v>
      </c>
      <c r="BC19" s="540">
        <f t="shared" si="16"/>
        <v>0</v>
      </c>
      <c r="BD19" s="541">
        <f t="shared" si="128"/>
        <v>0</v>
      </c>
      <c r="BE19" s="539"/>
      <c r="BF19" s="540">
        <f t="shared" si="17"/>
        <v>0</v>
      </c>
      <c r="BG19" s="541">
        <f t="shared" si="129"/>
        <v>0</v>
      </c>
      <c r="BH19" s="539"/>
      <c r="BI19" s="540">
        <f t="shared" si="18"/>
        <v>0</v>
      </c>
      <c r="BJ19" s="541">
        <f t="shared" si="130"/>
        <v>0</v>
      </c>
      <c r="BK19" s="539"/>
      <c r="BL19" s="540">
        <f t="shared" si="19"/>
        <v>0</v>
      </c>
      <c r="BM19" s="541">
        <f t="shared" si="131"/>
        <v>0</v>
      </c>
      <c r="BN19" s="539">
        <v>2.5308641975308888</v>
      </c>
      <c r="BO19" s="540">
        <f t="shared" si="20"/>
        <v>4.7936665609722116E-2</v>
      </c>
      <c r="BP19" s="541">
        <f t="shared" si="132"/>
        <v>0</v>
      </c>
      <c r="BQ19" s="539">
        <v>0</v>
      </c>
      <c r="BR19" s="540">
        <f t="shared" si="21"/>
        <v>0</v>
      </c>
      <c r="BS19" s="541">
        <f t="shared" si="133"/>
        <v>0</v>
      </c>
      <c r="BT19" s="539"/>
      <c r="BU19" s="540">
        <f t="shared" si="22"/>
        <v>0</v>
      </c>
      <c r="BV19" s="541">
        <f t="shared" si="134"/>
        <v>0</v>
      </c>
      <c r="BW19" s="539">
        <v>0</v>
      </c>
      <c r="BX19" s="540">
        <f t="shared" si="23"/>
        <v>0</v>
      </c>
      <c r="BY19" s="541">
        <f t="shared" si="135"/>
        <v>0</v>
      </c>
      <c r="BZ19" s="539">
        <v>0</v>
      </c>
      <c r="CA19" s="540">
        <f t="shared" si="24"/>
        <v>0</v>
      </c>
      <c r="CB19" s="541">
        <f t="shared" si="136"/>
        <v>0</v>
      </c>
      <c r="CC19" s="539">
        <v>0</v>
      </c>
      <c r="CD19" s="540">
        <f t="shared" si="25"/>
        <v>0</v>
      </c>
      <c r="CE19" s="541">
        <f t="shared" si="137"/>
        <v>0</v>
      </c>
      <c r="CF19" s="539">
        <v>9.9999999999999978E-2</v>
      </c>
      <c r="CG19" s="540">
        <f t="shared" si="26"/>
        <v>1.8940828850670501E-3</v>
      </c>
      <c r="CH19" s="541">
        <f t="shared" si="138"/>
        <v>0</v>
      </c>
      <c r="CI19" s="539">
        <v>0</v>
      </c>
      <c r="CJ19" s="540">
        <f t="shared" si="27"/>
        <v>0</v>
      </c>
      <c r="CK19" s="541">
        <f t="shared" si="139"/>
        <v>0</v>
      </c>
      <c r="CL19" s="539"/>
      <c r="CM19" s="540">
        <f t="shared" si="28"/>
        <v>0</v>
      </c>
      <c r="CN19" s="541">
        <f t="shared" si="140"/>
        <v>0</v>
      </c>
      <c r="CO19" s="539"/>
      <c r="CP19" s="540">
        <f t="shared" si="29"/>
        <v>0</v>
      </c>
      <c r="CQ19" s="541">
        <f t="shared" si="141"/>
        <v>0</v>
      </c>
      <c r="CR19" s="539"/>
      <c r="CS19" s="540">
        <f t="shared" si="30"/>
        <v>0</v>
      </c>
      <c r="CT19" s="541">
        <f t="shared" si="142"/>
        <v>0</v>
      </c>
      <c r="CU19" s="539"/>
      <c r="CV19" s="540">
        <f t="shared" si="31"/>
        <v>0</v>
      </c>
      <c r="CW19" s="541">
        <f t="shared" si="143"/>
        <v>0</v>
      </c>
      <c r="CX19" s="539"/>
      <c r="CY19" s="540">
        <f t="shared" si="32"/>
        <v>0</v>
      </c>
      <c r="CZ19" s="541">
        <f t="shared" si="144"/>
        <v>0</v>
      </c>
      <c r="DA19" s="539"/>
      <c r="DB19" s="540">
        <f t="shared" si="33"/>
        <v>0</v>
      </c>
      <c r="DC19" s="541">
        <f t="shared" si="145"/>
        <v>0</v>
      </c>
      <c r="DD19" s="539"/>
      <c r="DE19" s="540">
        <f t="shared" si="34"/>
        <v>0</v>
      </c>
      <c r="DF19" s="541">
        <f t="shared" si="146"/>
        <v>0</v>
      </c>
      <c r="DG19" s="539">
        <v>0</v>
      </c>
      <c r="DH19" s="540">
        <f t="shared" si="35"/>
        <v>0</v>
      </c>
      <c r="DI19" s="541">
        <f t="shared" si="203"/>
        <v>0</v>
      </c>
      <c r="DJ19" s="539"/>
      <c r="DK19" s="540">
        <f t="shared" si="36"/>
        <v>0</v>
      </c>
      <c r="DL19" s="541">
        <f t="shared" si="147"/>
        <v>0</v>
      </c>
      <c r="DM19" s="539"/>
      <c r="DN19" s="540">
        <f t="shared" si="37"/>
        <v>0</v>
      </c>
      <c r="DO19" s="541">
        <f t="shared" si="148"/>
        <v>0</v>
      </c>
      <c r="DP19" s="539"/>
      <c r="DQ19" s="540">
        <f t="shared" si="38"/>
        <v>0</v>
      </c>
      <c r="DR19" s="541">
        <f t="shared" si="149"/>
        <v>0</v>
      </c>
      <c r="DS19" s="539"/>
      <c r="DT19" s="540">
        <f t="shared" si="39"/>
        <v>0</v>
      </c>
      <c r="DU19" s="541">
        <f t="shared" si="150"/>
        <v>0</v>
      </c>
      <c r="DV19" s="539"/>
      <c r="DW19" s="540">
        <f t="shared" si="40"/>
        <v>0</v>
      </c>
      <c r="DX19" s="541">
        <f t="shared" si="151"/>
        <v>0</v>
      </c>
      <c r="DY19" s="539"/>
      <c r="DZ19" s="540">
        <f t="shared" si="41"/>
        <v>0</v>
      </c>
      <c r="EA19" s="541">
        <f t="shared" si="152"/>
        <v>0</v>
      </c>
      <c r="EB19" s="539">
        <v>14.534883720930338</v>
      </c>
      <c r="EC19" s="540">
        <f t="shared" si="42"/>
        <v>0.27530274492253842</v>
      </c>
      <c r="ED19" s="541">
        <f t="shared" si="153"/>
        <v>0</v>
      </c>
      <c r="EE19" s="539">
        <v>3</v>
      </c>
      <c r="EF19" s="540">
        <f t="shared" si="43"/>
        <v>5.6822486552011518E-2</v>
      </c>
      <c r="EG19" s="541">
        <f t="shared" si="154"/>
        <v>0</v>
      </c>
      <c r="EH19" s="539"/>
      <c r="EI19" s="540">
        <f t="shared" si="44"/>
        <v>0</v>
      </c>
      <c r="EJ19" s="541">
        <f t="shared" si="155"/>
        <v>0</v>
      </c>
      <c r="EK19" s="539"/>
      <c r="EL19" s="540">
        <f t="shared" si="45"/>
        <v>0</v>
      </c>
      <c r="EM19" s="541">
        <f t="shared" si="156"/>
        <v>0</v>
      </c>
      <c r="EN19" s="539"/>
      <c r="EO19" s="540">
        <f t="shared" si="46"/>
        <v>0</v>
      </c>
      <c r="EP19" s="541">
        <f t="shared" si="157"/>
        <v>0</v>
      </c>
      <c r="EQ19" s="539"/>
      <c r="ER19" s="540">
        <f t="shared" si="47"/>
        <v>0</v>
      </c>
      <c r="ES19" s="541">
        <f t="shared" si="158"/>
        <v>0</v>
      </c>
      <c r="ET19" s="539"/>
      <c r="EU19" s="540">
        <f t="shared" si="48"/>
        <v>0</v>
      </c>
      <c r="EV19" s="541">
        <f t="shared" si="159"/>
        <v>0</v>
      </c>
      <c r="EW19" s="539"/>
      <c r="EX19" s="540">
        <f t="shared" si="49"/>
        <v>0</v>
      </c>
      <c r="EY19" s="541">
        <f t="shared" si="160"/>
        <v>0</v>
      </c>
      <c r="EZ19" s="539"/>
      <c r="FA19" s="540">
        <f t="shared" si="50"/>
        <v>0</v>
      </c>
      <c r="FB19" s="541">
        <f t="shared" si="161"/>
        <v>0</v>
      </c>
      <c r="FC19" s="539"/>
      <c r="FD19" s="540">
        <f t="shared" si="51"/>
        <v>0</v>
      </c>
      <c r="FE19" s="541">
        <f t="shared" si="162"/>
        <v>0</v>
      </c>
      <c r="FF19" s="539"/>
      <c r="FG19" s="540">
        <f t="shared" si="52"/>
        <v>0</v>
      </c>
      <c r="FH19" s="541">
        <f t="shared" si="163"/>
        <v>0</v>
      </c>
      <c r="FI19" s="539"/>
      <c r="FJ19" s="540">
        <f t="shared" si="53"/>
        <v>0</v>
      </c>
      <c r="FK19" s="541">
        <f t="shared" si="164"/>
        <v>0</v>
      </c>
      <c r="FL19" s="539"/>
      <c r="FM19" s="540">
        <f t="shared" si="54"/>
        <v>0</v>
      </c>
      <c r="FN19" s="541">
        <f t="shared" si="165"/>
        <v>0</v>
      </c>
      <c r="FO19" s="539"/>
      <c r="FP19" s="540">
        <f t="shared" si="55"/>
        <v>0</v>
      </c>
      <c r="FQ19" s="541">
        <f t="shared" si="166"/>
        <v>0</v>
      </c>
      <c r="FR19" s="539"/>
      <c r="FS19" s="540">
        <f t="shared" si="56"/>
        <v>0</v>
      </c>
      <c r="FT19" s="541">
        <f t="shared" si="167"/>
        <v>0</v>
      </c>
      <c r="FU19" s="539"/>
      <c r="FV19" s="540">
        <f t="shared" si="57"/>
        <v>0</v>
      </c>
      <c r="FW19" s="541">
        <f t="shared" si="168"/>
        <v>0</v>
      </c>
      <c r="FX19" s="539"/>
      <c r="FY19" s="540">
        <f t="shared" si="58"/>
        <v>0</v>
      </c>
      <c r="FZ19" s="541">
        <f t="shared" si="169"/>
        <v>0</v>
      </c>
      <c r="GA19" s="539"/>
      <c r="GB19" s="540">
        <f t="shared" si="59"/>
        <v>0</v>
      </c>
      <c r="GC19" s="541">
        <f t="shared" si="170"/>
        <v>0</v>
      </c>
      <c r="GD19" s="539"/>
      <c r="GE19" s="540">
        <f t="shared" si="60"/>
        <v>0</v>
      </c>
      <c r="GF19" s="541">
        <f t="shared" si="171"/>
        <v>0</v>
      </c>
      <c r="GG19" s="539"/>
      <c r="GH19" s="540">
        <f t="shared" si="61"/>
        <v>0</v>
      </c>
      <c r="GI19" s="541">
        <f t="shared" si="172"/>
        <v>0</v>
      </c>
      <c r="GJ19" s="539"/>
      <c r="GK19" s="540">
        <f t="shared" si="62"/>
        <v>0</v>
      </c>
      <c r="GL19" s="541">
        <f t="shared" si="173"/>
        <v>0</v>
      </c>
      <c r="GM19" s="539"/>
      <c r="GN19" s="540">
        <f t="shared" si="63"/>
        <v>0</v>
      </c>
      <c r="GO19" s="541">
        <f t="shared" si="174"/>
        <v>0</v>
      </c>
      <c r="GP19" s="539"/>
      <c r="GQ19" s="540">
        <f t="shared" si="64"/>
        <v>0</v>
      </c>
      <c r="GR19" s="541">
        <f t="shared" si="175"/>
        <v>0</v>
      </c>
      <c r="GS19" s="539"/>
      <c r="GT19" s="540">
        <f t="shared" si="65"/>
        <v>0</v>
      </c>
      <c r="GU19" s="541">
        <f t="shared" si="176"/>
        <v>0</v>
      </c>
      <c r="GV19" s="539"/>
      <c r="GW19" s="540">
        <f t="shared" si="66"/>
        <v>0</v>
      </c>
      <c r="GX19" s="541">
        <f t="shared" si="177"/>
        <v>0</v>
      </c>
      <c r="GY19" s="539"/>
      <c r="GZ19" s="540">
        <f t="shared" si="67"/>
        <v>0</v>
      </c>
      <c r="HA19" s="541">
        <f t="shared" si="178"/>
        <v>0</v>
      </c>
      <c r="HB19" s="539"/>
      <c r="HC19" s="540">
        <f t="shared" si="68"/>
        <v>0</v>
      </c>
      <c r="HD19" s="541">
        <f t="shared" si="179"/>
        <v>0</v>
      </c>
      <c r="HE19" s="539"/>
      <c r="HF19" s="540">
        <f t="shared" si="69"/>
        <v>0</v>
      </c>
      <c r="HG19" s="541">
        <f t="shared" si="180"/>
        <v>0</v>
      </c>
      <c r="HH19" s="539"/>
      <c r="HI19" s="540">
        <f t="shared" si="70"/>
        <v>0</v>
      </c>
      <c r="HJ19" s="541">
        <f t="shared" si="181"/>
        <v>0</v>
      </c>
      <c r="HK19" s="539"/>
      <c r="HL19" s="540">
        <f t="shared" si="71"/>
        <v>0</v>
      </c>
      <c r="HM19" s="541">
        <f t="shared" si="182"/>
        <v>0</v>
      </c>
      <c r="HN19" s="539"/>
      <c r="HO19" s="540">
        <f t="shared" si="72"/>
        <v>0</v>
      </c>
      <c r="HP19" s="541">
        <f t="shared" si="183"/>
        <v>0</v>
      </c>
      <c r="HQ19" s="539"/>
      <c r="HR19" s="540">
        <f t="shared" si="73"/>
        <v>0</v>
      </c>
      <c r="HS19" s="541">
        <f t="shared" si="184"/>
        <v>0</v>
      </c>
      <c r="HT19" s="539"/>
      <c r="HU19" s="540">
        <f t="shared" si="74"/>
        <v>0</v>
      </c>
      <c r="HV19" s="541">
        <f t="shared" si="185"/>
        <v>0</v>
      </c>
      <c r="HW19" s="539"/>
      <c r="HX19" s="540">
        <f t="shared" si="75"/>
        <v>0</v>
      </c>
      <c r="HY19" s="541">
        <f t="shared" si="186"/>
        <v>0</v>
      </c>
      <c r="HZ19" s="539"/>
      <c r="IA19" s="540">
        <f t="shared" si="76"/>
        <v>0</v>
      </c>
      <c r="IB19" s="541">
        <f t="shared" si="187"/>
        <v>0</v>
      </c>
      <c r="IC19" s="539"/>
      <c r="ID19" s="540">
        <f t="shared" si="77"/>
        <v>0</v>
      </c>
      <c r="IE19" s="541">
        <f t="shared" si="188"/>
        <v>0</v>
      </c>
      <c r="IF19" s="539"/>
      <c r="IG19" s="540">
        <f t="shared" si="78"/>
        <v>0</v>
      </c>
      <c r="IH19" s="541">
        <f t="shared" si="189"/>
        <v>0</v>
      </c>
      <c r="II19" s="539"/>
      <c r="IJ19" s="540">
        <f t="shared" si="79"/>
        <v>0</v>
      </c>
      <c r="IK19" s="541">
        <f t="shared" si="190"/>
        <v>0</v>
      </c>
      <c r="IL19" s="539"/>
      <c r="IM19" s="540">
        <f t="shared" si="80"/>
        <v>0</v>
      </c>
      <c r="IN19" s="541">
        <f t="shared" si="191"/>
        <v>0</v>
      </c>
      <c r="IO19" s="539"/>
      <c r="IP19" s="540">
        <f t="shared" si="81"/>
        <v>0</v>
      </c>
      <c r="IQ19" s="541">
        <f t="shared" si="192"/>
        <v>0</v>
      </c>
      <c r="IR19" s="539"/>
      <c r="IS19" s="540">
        <f t="shared" si="82"/>
        <v>0</v>
      </c>
      <c r="IT19" s="541">
        <f t="shared" si="193"/>
        <v>0</v>
      </c>
      <c r="IU19" s="539"/>
      <c r="IV19" s="540">
        <f t="shared" si="83"/>
        <v>0</v>
      </c>
      <c r="IW19" s="541">
        <f t="shared" si="194"/>
        <v>0</v>
      </c>
      <c r="IX19" s="539"/>
      <c r="IY19" s="540">
        <f t="shared" si="84"/>
        <v>0</v>
      </c>
      <c r="IZ19" s="541">
        <f t="shared" si="195"/>
        <v>0</v>
      </c>
      <c r="JA19" s="539"/>
      <c r="JB19" s="540">
        <f t="shared" si="85"/>
        <v>0</v>
      </c>
      <c r="JC19" s="541">
        <f t="shared" si="196"/>
        <v>0</v>
      </c>
      <c r="JD19" s="539"/>
      <c r="JE19" s="540">
        <f t="shared" si="86"/>
        <v>0</v>
      </c>
      <c r="JF19" s="541">
        <f t="shared" si="197"/>
        <v>0</v>
      </c>
      <c r="JG19" s="539"/>
      <c r="JH19" s="540">
        <f t="shared" si="87"/>
        <v>0</v>
      </c>
      <c r="JI19" s="541">
        <f t="shared" si="198"/>
        <v>0</v>
      </c>
      <c r="JJ19" s="539"/>
      <c r="JK19" s="541" t="str">
        <f t="shared" si="88"/>
        <v>0</v>
      </c>
      <c r="JL19" s="541" t="str">
        <f t="shared" si="89"/>
        <v>0</v>
      </c>
      <c r="JM19" s="539"/>
      <c r="JN19" s="541" t="str">
        <f t="shared" si="90"/>
        <v>0</v>
      </c>
      <c r="JO19" s="541" t="str">
        <f t="shared" si="91"/>
        <v>0</v>
      </c>
      <c r="JP19" s="539"/>
      <c r="JQ19" s="541" t="str">
        <f t="shared" si="92"/>
        <v>0</v>
      </c>
      <c r="JR19" s="541" t="str">
        <f t="shared" si="93"/>
        <v>0</v>
      </c>
      <c r="JS19" s="539"/>
      <c r="JT19" s="541" t="str">
        <f t="shared" si="94"/>
        <v>0</v>
      </c>
      <c r="JU19" s="541" t="str">
        <f t="shared" si="95"/>
        <v>0</v>
      </c>
      <c r="JV19" s="539"/>
      <c r="JW19" s="541" t="str">
        <f t="shared" si="96"/>
        <v>0</v>
      </c>
      <c r="JX19" s="541" t="str">
        <f t="shared" si="97"/>
        <v>0</v>
      </c>
      <c r="JY19" s="539"/>
      <c r="JZ19" s="541" t="str">
        <f t="shared" si="98"/>
        <v>0</v>
      </c>
      <c r="KA19" s="541" t="str">
        <f t="shared" si="99"/>
        <v>0</v>
      </c>
      <c r="KB19" s="539"/>
      <c r="KC19" s="541" t="str">
        <f t="shared" si="100"/>
        <v>0</v>
      </c>
      <c r="KD19" s="541" t="str">
        <f t="shared" si="101"/>
        <v>0</v>
      </c>
      <c r="KE19" s="539"/>
      <c r="KF19" s="541" t="str">
        <f t="shared" si="102"/>
        <v>0</v>
      </c>
      <c r="KG19" s="541" t="str">
        <f t="shared" si="103"/>
        <v>0</v>
      </c>
      <c r="KH19" s="539"/>
      <c r="KI19" s="541" t="str">
        <f t="shared" si="104"/>
        <v>0</v>
      </c>
      <c r="KJ19" s="541" t="str">
        <f t="shared" si="105"/>
        <v>0</v>
      </c>
      <c r="KK19" s="539"/>
      <c r="KL19" s="541" t="str">
        <f t="shared" si="106"/>
        <v>0</v>
      </c>
      <c r="KM19" s="541" t="str">
        <f t="shared" si="107"/>
        <v>0</v>
      </c>
      <c r="KN19" s="539"/>
      <c r="KO19" s="541" t="str">
        <f t="shared" si="108"/>
        <v>0</v>
      </c>
      <c r="KP19" s="541" t="str">
        <f t="shared" si="109"/>
        <v>0</v>
      </c>
      <c r="KQ19" s="539"/>
      <c r="KR19" s="541" t="str">
        <f t="shared" si="110"/>
        <v>0</v>
      </c>
      <c r="KS19" s="541" t="str">
        <f t="shared" si="111"/>
        <v>0</v>
      </c>
      <c r="KT19" s="541">
        <f t="shared" si="201"/>
        <v>0</v>
      </c>
      <c r="KU19" s="541">
        <f t="shared" si="202"/>
        <v>0</v>
      </c>
      <c r="KV19" s="275">
        <f t="shared" si="199"/>
        <v>477.5113371638738</v>
      </c>
    </row>
    <row r="20" spans="1:309" ht="15" customHeight="1">
      <c r="A20" s="277">
        <f t="shared" si="200"/>
        <v>45850</v>
      </c>
      <c r="B20" s="278" t="str">
        <f>+Report1!B20</f>
        <v>Facial</v>
      </c>
      <c r="C20" s="418" t="str">
        <f>+Report1!C20</f>
        <v>11,5/10,5/10,3</v>
      </c>
      <c r="D20" s="279">
        <f>+Report1!P20</f>
        <v>55.114000000000004</v>
      </c>
      <c r="E20" s="280">
        <f>+Report1!R20</f>
        <v>46.07</v>
      </c>
      <c r="F20" s="539"/>
      <c r="G20" s="540">
        <f t="shared" si="0"/>
        <v>0</v>
      </c>
      <c r="H20" s="541">
        <f t="shared" si="112"/>
        <v>0</v>
      </c>
      <c r="I20" s="539">
        <v>290.69767441860472</v>
      </c>
      <c r="J20" s="540">
        <f t="shared" si="1"/>
        <v>6.3099126203300351</v>
      </c>
      <c r="K20" s="541">
        <f t="shared" si="113"/>
        <v>0</v>
      </c>
      <c r="L20" s="539"/>
      <c r="M20" s="540">
        <f t="shared" si="2"/>
        <v>0</v>
      </c>
      <c r="N20" s="541">
        <f t="shared" si="114"/>
        <v>0</v>
      </c>
      <c r="O20" s="539">
        <v>7.5000000000000284</v>
      </c>
      <c r="P20" s="540">
        <f t="shared" si="3"/>
        <v>0.16279574560451548</v>
      </c>
      <c r="Q20" s="541">
        <f t="shared" si="115"/>
        <v>0</v>
      </c>
      <c r="R20" s="539"/>
      <c r="S20" s="540">
        <f t="shared" si="4"/>
        <v>0</v>
      </c>
      <c r="T20" s="541">
        <f t="shared" si="116"/>
        <v>0</v>
      </c>
      <c r="U20" s="539">
        <v>5.1249999999999858</v>
      </c>
      <c r="V20" s="540">
        <f t="shared" si="5"/>
        <v>0.11124375949641818</v>
      </c>
      <c r="W20" s="541">
        <f t="shared" si="117"/>
        <v>0</v>
      </c>
      <c r="X20" s="539"/>
      <c r="Y20" s="540">
        <f t="shared" si="6"/>
        <v>0</v>
      </c>
      <c r="Z20" s="541">
        <f t="shared" si="118"/>
        <v>0</v>
      </c>
      <c r="AA20" s="539"/>
      <c r="AB20" s="540">
        <f t="shared" si="7"/>
        <v>0</v>
      </c>
      <c r="AC20" s="541">
        <f t="shared" si="119"/>
        <v>0</v>
      </c>
      <c r="AD20" s="539"/>
      <c r="AE20" s="540">
        <f t="shared" si="8"/>
        <v>0</v>
      </c>
      <c r="AF20" s="541">
        <f t="shared" si="120"/>
        <v>0</v>
      </c>
      <c r="AG20" s="539"/>
      <c r="AH20" s="540">
        <f t="shared" si="9"/>
        <v>0</v>
      </c>
      <c r="AI20" s="541">
        <f t="shared" si="121"/>
        <v>0</v>
      </c>
      <c r="AJ20" s="539">
        <v>0</v>
      </c>
      <c r="AK20" s="540">
        <f t="shared" si="10"/>
        <v>0</v>
      </c>
      <c r="AL20" s="541">
        <f t="shared" si="122"/>
        <v>0</v>
      </c>
      <c r="AM20" s="539"/>
      <c r="AN20" s="540">
        <f t="shared" si="11"/>
        <v>0</v>
      </c>
      <c r="AO20" s="541">
        <f t="shared" si="123"/>
        <v>0</v>
      </c>
      <c r="AP20" s="539">
        <v>29.905063291139243</v>
      </c>
      <c r="AQ20" s="540">
        <f t="shared" si="12"/>
        <v>0.64912227677749601</v>
      </c>
      <c r="AR20" s="541">
        <f t="shared" si="124"/>
        <v>0</v>
      </c>
      <c r="AS20" s="539"/>
      <c r="AT20" s="540">
        <f t="shared" si="13"/>
        <v>0</v>
      </c>
      <c r="AU20" s="541">
        <f t="shared" si="125"/>
        <v>0</v>
      </c>
      <c r="AV20" s="539">
        <v>2.7749999999999915</v>
      </c>
      <c r="AW20" s="540">
        <f t="shared" si="14"/>
        <v>6.0234425873670318E-2</v>
      </c>
      <c r="AX20" s="541">
        <f t="shared" si="126"/>
        <v>0</v>
      </c>
      <c r="AY20" s="539">
        <v>63.666666666666657</v>
      </c>
      <c r="AZ20" s="540">
        <f t="shared" si="15"/>
        <v>1.3819549960205482</v>
      </c>
      <c r="BA20" s="541">
        <f t="shared" si="127"/>
        <v>0</v>
      </c>
      <c r="BB20" s="539">
        <v>0</v>
      </c>
      <c r="BC20" s="540">
        <f t="shared" si="16"/>
        <v>0</v>
      </c>
      <c r="BD20" s="541">
        <f t="shared" si="128"/>
        <v>0</v>
      </c>
      <c r="BE20" s="539"/>
      <c r="BF20" s="540">
        <f t="shared" si="17"/>
        <v>0</v>
      </c>
      <c r="BG20" s="541">
        <f t="shared" si="129"/>
        <v>0</v>
      </c>
      <c r="BH20" s="539"/>
      <c r="BI20" s="540">
        <f t="shared" si="18"/>
        <v>0</v>
      </c>
      <c r="BJ20" s="541">
        <f t="shared" si="130"/>
        <v>0</v>
      </c>
      <c r="BK20" s="539"/>
      <c r="BL20" s="540">
        <f t="shared" si="19"/>
        <v>0</v>
      </c>
      <c r="BM20" s="541">
        <f t="shared" si="131"/>
        <v>0</v>
      </c>
      <c r="BN20" s="539">
        <v>5.0617283950617207</v>
      </c>
      <c r="BO20" s="540">
        <f t="shared" si="20"/>
        <v>0.10987037974954895</v>
      </c>
      <c r="BP20" s="541">
        <f t="shared" si="132"/>
        <v>0</v>
      </c>
      <c r="BQ20" s="539">
        <v>0</v>
      </c>
      <c r="BR20" s="540">
        <f t="shared" si="21"/>
        <v>0</v>
      </c>
      <c r="BS20" s="541">
        <f t="shared" si="133"/>
        <v>0</v>
      </c>
      <c r="BT20" s="539"/>
      <c r="BU20" s="540">
        <f t="shared" si="22"/>
        <v>0</v>
      </c>
      <c r="BV20" s="541">
        <f t="shared" si="134"/>
        <v>0</v>
      </c>
      <c r="BW20" s="539">
        <v>0</v>
      </c>
      <c r="BX20" s="540">
        <f t="shared" si="23"/>
        <v>0</v>
      </c>
      <c r="BY20" s="541">
        <f t="shared" si="135"/>
        <v>0</v>
      </c>
      <c r="BZ20" s="539">
        <v>0</v>
      </c>
      <c r="CA20" s="540">
        <f t="shared" si="24"/>
        <v>0</v>
      </c>
      <c r="CB20" s="541">
        <f t="shared" si="136"/>
        <v>0</v>
      </c>
      <c r="CC20" s="539">
        <v>3.125</v>
      </c>
      <c r="CD20" s="540">
        <f t="shared" si="25"/>
        <v>6.7831560668547855E-2</v>
      </c>
      <c r="CE20" s="541">
        <f t="shared" si="137"/>
        <v>0</v>
      </c>
      <c r="CF20" s="539">
        <v>0.10000000000000003</v>
      </c>
      <c r="CG20" s="540">
        <f t="shared" si="26"/>
        <v>2.1706099413935321E-3</v>
      </c>
      <c r="CH20" s="541">
        <f t="shared" si="138"/>
        <v>0</v>
      </c>
      <c r="CI20" s="539">
        <v>0</v>
      </c>
      <c r="CJ20" s="540">
        <f t="shared" si="27"/>
        <v>0</v>
      </c>
      <c r="CK20" s="541">
        <f t="shared" si="139"/>
        <v>0</v>
      </c>
      <c r="CL20" s="539"/>
      <c r="CM20" s="540">
        <f t="shared" si="28"/>
        <v>0</v>
      </c>
      <c r="CN20" s="541">
        <f t="shared" si="140"/>
        <v>0</v>
      </c>
      <c r="CO20" s="539"/>
      <c r="CP20" s="540">
        <f t="shared" si="29"/>
        <v>0</v>
      </c>
      <c r="CQ20" s="541">
        <f t="shared" si="141"/>
        <v>0</v>
      </c>
      <c r="CR20" s="539"/>
      <c r="CS20" s="540">
        <f t="shared" si="30"/>
        <v>0</v>
      </c>
      <c r="CT20" s="541">
        <f t="shared" si="142"/>
        <v>0</v>
      </c>
      <c r="CU20" s="539"/>
      <c r="CV20" s="540">
        <f t="shared" si="31"/>
        <v>0</v>
      </c>
      <c r="CW20" s="541">
        <f t="shared" si="143"/>
        <v>0</v>
      </c>
      <c r="CX20" s="539"/>
      <c r="CY20" s="540">
        <f t="shared" si="32"/>
        <v>0</v>
      </c>
      <c r="CZ20" s="541">
        <f t="shared" si="144"/>
        <v>0</v>
      </c>
      <c r="DA20" s="539"/>
      <c r="DB20" s="540">
        <f t="shared" si="33"/>
        <v>0</v>
      </c>
      <c r="DC20" s="541">
        <f t="shared" si="145"/>
        <v>0</v>
      </c>
      <c r="DD20" s="539"/>
      <c r="DE20" s="540">
        <f t="shared" si="34"/>
        <v>0</v>
      </c>
      <c r="DF20" s="541">
        <f t="shared" si="146"/>
        <v>0</v>
      </c>
      <c r="DG20" s="539">
        <v>0</v>
      </c>
      <c r="DH20" s="540">
        <f t="shared" si="35"/>
        <v>0</v>
      </c>
      <c r="DI20" s="541">
        <f t="shared" si="203"/>
        <v>0</v>
      </c>
      <c r="DJ20" s="539"/>
      <c r="DK20" s="540">
        <f t="shared" si="36"/>
        <v>0</v>
      </c>
      <c r="DL20" s="541">
        <f t="shared" si="147"/>
        <v>0</v>
      </c>
      <c r="DM20" s="539"/>
      <c r="DN20" s="540">
        <f t="shared" si="37"/>
        <v>0</v>
      </c>
      <c r="DO20" s="541">
        <f t="shared" si="148"/>
        <v>0</v>
      </c>
      <c r="DP20" s="539"/>
      <c r="DQ20" s="540">
        <f t="shared" si="38"/>
        <v>0</v>
      </c>
      <c r="DR20" s="541">
        <f t="shared" si="149"/>
        <v>0</v>
      </c>
      <c r="DS20" s="539"/>
      <c r="DT20" s="540">
        <f t="shared" si="39"/>
        <v>0</v>
      </c>
      <c r="DU20" s="541">
        <f t="shared" si="150"/>
        <v>0</v>
      </c>
      <c r="DV20" s="539"/>
      <c r="DW20" s="540">
        <f t="shared" si="40"/>
        <v>0</v>
      </c>
      <c r="DX20" s="541">
        <f t="shared" si="151"/>
        <v>0</v>
      </c>
      <c r="DY20" s="539"/>
      <c r="DZ20" s="540">
        <f t="shared" si="41"/>
        <v>0</v>
      </c>
      <c r="EA20" s="541">
        <f t="shared" si="152"/>
        <v>0</v>
      </c>
      <c r="EB20" s="539">
        <v>7.2674418604651123</v>
      </c>
      <c r="EC20" s="540">
        <f t="shared" si="42"/>
        <v>0.15774781550825076</v>
      </c>
      <c r="ED20" s="541">
        <f t="shared" si="153"/>
        <v>0</v>
      </c>
      <c r="EE20" s="539">
        <v>2</v>
      </c>
      <c r="EF20" s="540">
        <f t="shared" si="43"/>
        <v>4.3412198827870632E-2</v>
      </c>
      <c r="EG20" s="541">
        <f t="shared" si="154"/>
        <v>0</v>
      </c>
      <c r="EH20" s="539"/>
      <c r="EI20" s="540">
        <f t="shared" si="44"/>
        <v>0</v>
      </c>
      <c r="EJ20" s="541">
        <f t="shared" si="155"/>
        <v>0</v>
      </c>
      <c r="EK20" s="539"/>
      <c r="EL20" s="540">
        <f t="shared" si="45"/>
        <v>0</v>
      </c>
      <c r="EM20" s="541">
        <f t="shared" si="156"/>
        <v>0</v>
      </c>
      <c r="EN20" s="539"/>
      <c r="EO20" s="540">
        <f t="shared" si="46"/>
        <v>0</v>
      </c>
      <c r="EP20" s="541">
        <f t="shared" si="157"/>
        <v>0</v>
      </c>
      <c r="EQ20" s="539"/>
      <c r="ER20" s="540">
        <f t="shared" si="47"/>
        <v>0</v>
      </c>
      <c r="ES20" s="541">
        <f t="shared" si="158"/>
        <v>0</v>
      </c>
      <c r="ET20" s="539"/>
      <c r="EU20" s="540">
        <f t="shared" si="48"/>
        <v>0</v>
      </c>
      <c r="EV20" s="541">
        <f t="shared" si="159"/>
        <v>0</v>
      </c>
      <c r="EW20" s="539"/>
      <c r="EX20" s="540">
        <f t="shared" si="49"/>
        <v>0</v>
      </c>
      <c r="EY20" s="541">
        <f t="shared" si="160"/>
        <v>0</v>
      </c>
      <c r="EZ20" s="539"/>
      <c r="FA20" s="540">
        <f t="shared" si="50"/>
        <v>0</v>
      </c>
      <c r="FB20" s="541">
        <f t="shared" si="161"/>
        <v>0</v>
      </c>
      <c r="FC20" s="539"/>
      <c r="FD20" s="540">
        <f t="shared" si="51"/>
        <v>0</v>
      </c>
      <c r="FE20" s="541">
        <f t="shared" si="162"/>
        <v>0</v>
      </c>
      <c r="FF20" s="539"/>
      <c r="FG20" s="540">
        <f t="shared" si="52"/>
        <v>0</v>
      </c>
      <c r="FH20" s="541">
        <f t="shared" si="163"/>
        <v>0</v>
      </c>
      <c r="FI20" s="539"/>
      <c r="FJ20" s="540">
        <f t="shared" si="53"/>
        <v>0</v>
      </c>
      <c r="FK20" s="541">
        <f t="shared" si="164"/>
        <v>0</v>
      </c>
      <c r="FL20" s="539"/>
      <c r="FM20" s="540">
        <f t="shared" si="54"/>
        <v>0</v>
      </c>
      <c r="FN20" s="541">
        <f t="shared" si="165"/>
        <v>0</v>
      </c>
      <c r="FO20" s="539"/>
      <c r="FP20" s="540">
        <f t="shared" si="55"/>
        <v>0</v>
      </c>
      <c r="FQ20" s="541">
        <f t="shared" si="166"/>
        <v>0</v>
      </c>
      <c r="FR20" s="539"/>
      <c r="FS20" s="540">
        <f t="shared" si="56"/>
        <v>0</v>
      </c>
      <c r="FT20" s="541">
        <f t="shared" si="167"/>
        <v>0</v>
      </c>
      <c r="FU20" s="539"/>
      <c r="FV20" s="540">
        <f t="shared" si="57"/>
        <v>0</v>
      </c>
      <c r="FW20" s="541">
        <f t="shared" si="168"/>
        <v>0</v>
      </c>
      <c r="FX20" s="539"/>
      <c r="FY20" s="540">
        <f t="shared" si="58"/>
        <v>0</v>
      </c>
      <c r="FZ20" s="541">
        <f t="shared" si="169"/>
        <v>0</v>
      </c>
      <c r="GA20" s="539"/>
      <c r="GB20" s="540">
        <f t="shared" si="59"/>
        <v>0</v>
      </c>
      <c r="GC20" s="541">
        <f t="shared" si="170"/>
        <v>0</v>
      </c>
      <c r="GD20" s="539"/>
      <c r="GE20" s="540">
        <f t="shared" si="60"/>
        <v>0</v>
      </c>
      <c r="GF20" s="541">
        <f t="shared" si="171"/>
        <v>0</v>
      </c>
      <c r="GG20" s="539"/>
      <c r="GH20" s="540">
        <f t="shared" si="61"/>
        <v>0</v>
      </c>
      <c r="GI20" s="541">
        <f t="shared" si="172"/>
        <v>0</v>
      </c>
      <c r="GJ20" s="539"/>
      <c r="GK20" s="540">
        <f t="shared" si="62"/>
        <v>0</v>
      </c>
      <c r="GL20" s="541">
        <f t="shared" si="173"/>
        <v>0</v>
      </c>
      <c r="GM20" s="539"/>
      <c r="GN20" s="540">
        <f t="shared" si="63"/>
        <v>0</v>
      </c>
      <c r="GO20" s="541">
        <f t="shared" si="174"/>
        <v>0</v>
      </c>
      <c r="GP20" s="539"/>
      <c r="GQ20" s="540">
        <f t="shared" si="64"/>
        <v>0</v>
      </c>
      <c r="GR20" s="541">
        <f t="shared" si="175"/>
        <v>0</v>
      </c>
      <c r="GS20" s="539"/>
      <c r="GT20" s="540">
        <f t="shared" si="65"/>
        <v>0</v>
      </c>
      <c r="GU20" s="541">
        <f t="shared" si="176"/>
        <v>0</v>
      </c>
      <c r="GV20" s="539"/>
      <c r="GW20" s="540">
        <f t="shared" si="66"/>
        <v>0</v>
      </c>
      <c r="GX20" s="541">
        <f t="shared" si="177"/>
        <v>0</v>
      </c>
      <c r="GY20" s="539"/>
      <c r="GZ20" s="540">
        <f t="shared" si="67"/>
        <v>0</v>
      </c>
      <c r="HA20" s="541">
        <f t="shared" si="178"/>
        <v>0</v>
      </c>
      <c r="HB20" s="539"/>
      <c r="HC20" s="540">
        <f t="shared" si="68"/>
        <v>0</v>
      </c>
      <c r="HD20" s="541">
        <f t="shared" si="179"/>
        <v>0</v>
      </c>
      <c r="HE20" s="539"/>
      <c r="HF20" s="540">
        <f t="shared" si="69"/>
        <v>0</v>
      </c>
      <c r="HG20" s="541">
        <f t="shared" si="180"/>
        <v>0</v>
      </c>
      <c r="HH20" s="539"/>
      <c r="HI20" s="540">
        <f t="shared" si="70"/>
        <v>0</v>
      </c>
      <c r="HJ20" s="541">
        <f t="shared" si="181"/>
        <v>0</v>
      </c>
      <c r="HK20" s="539"/>
      <c r="HL20" s="540">
        <f t="shared" si="71"/>
        <v>0</v>
      </c>
      <c r="HM20" s="541">
        <f t="shared" si="182"/>
        <v>0</v>
      </c>
      <c r="HN20" s="539"/>
      <c r="HO20" s="540">
        <f t="shared" si="72"/>
        <v>0</v>
      </c>
      <c r="HP20" s="541">
        <f t="shared" si="183"/>
        <v>0</v>
      </c>
      <c r="HQ20" s="539"/>
      <c r="HR20" s="540">
        <f t="shared" si="73"/>
        <v>0</v>
      </c>
      <c r="HS20" s="541">
        <f t="shared" si="184"/>
        <v>0</v>
      </c>
      <c r="HT20" s="539"/>
      <c r="HU20" s="540">
        <f t="shared" si="74"/>
        <v>0</v>
      </c>
      <c r="HV20" s="541">
        <f t="shared" si="185"/>
        <v>0</v>
      </c>
      <c r="HW20" s="539"/>
      <c r="HX20" s="540">
        <f t="shared" si="75"/>
        <v>0</v>
      </c>
      <c r="HY20" s="541">
        <f t="shared" si="186"/>
        <v>0</v>
      </c>
      <c r="HZ20" s="539"/>
      <c r="IA20" s="540">
        <f t="shared" si="76"/>
        <v>0</v>
      </c>
      <c r="IB20" s="541">
        <f t="shared" si="187"/>
        <v>0</v>
      </c>
      <c r="IC20" s="539"/>
      <c r="ID20" s="540">
        <f t="shared" si="77"/>
        <v>0</v>
      </c>
      <c r="IE20" s="541">
        <f t="shared" si="188"/>
        <v>0</v>
      </c>
      <c r="IF20" s="539"/>
      <c r="IG20" s="540">
        <f t="shared" si="78"/>
        <v>0</v>
      </c>
      <c r="IH20" s="541">
        <f t="shared" si="189"/>
        <v>0</v>
      </c>
      <c r="II20" s="539"/>
      <c r="IJ20" s="540">
        <f t="shared" si="79"/>
        <v>0</v>
      </c>
      <c r="IK20" s="541">
        <f t="shared" si="190"/>
        <v>0</v>
      </c>
      <c r="IL20" s="539"/>
      <c r="IM20" s="540">
        <f t="shared" si="80"/>
        <v>0</v>
      </c>
      <c r="IN20" s="541">
        <f t="shared" si="191"/>
        <v>0</v>
      </c>
      <c r="IO20" s="539"/>
      <c r="IP20" s="540">
        <f t="shared" si="81"/>
        <v>0</v>
      </c>
      <c r="IQ20" s="541">
        <f t="shared" si="192"/>
        <v>0</v>
      </c>
      <c r="IR20" s="539"/>
      <c r="IS20" s="540">
        <f t="shared" si="82"/>
        <v>0</v>
      </c>
      <c r="IT20" s="541">
        <f t="shared" si="193"/>
        <v>0</v>
      </c>
      <c r="IU20" s="539"/>
      <c r="IV20" s="540">
        <f t="shared" si="83"/>
        <v>0</v>
      </c>
      <c r="IW20" s="541">
        <f t="shared" si="194"/>
        <v>0</v>
      </c>
      <c r="IX20" s="539"/>
      <c r="IY20" s="540">
        <f t="shared" si="84"/>
        <v>0</v>
      </c>
      <c r="IZ20" s="541">
        <f t="shared" si="195"/>
        <v>0</v>
      </c>
      <c r="JA20" s="539"/>
      <c r="JB20" s="540">
        <f t="shared" si="85"/>
        <v>0</v>
      </c>
      <c r="JC20" s="541">
        <f t="shared" si="196"/>
        <v>0</v>
      </c>
      <c r="JD20" s="539"/>
      <c r="JE20" s="540">
        <f t="shared" si="86"/>
        <v>0</v>
      </c>
      <c r="JF20" s="541">
        <f t="shared" si="197"/>
        <v>0</v>
      </c>
      <c r="JG20" s="539"/>
      <c r="JH20" s="540">
        <f t="shared" si="87"/>
        <v>0</v>
      </c>
      <c r="JI20" s="541">
        <f t="shared" si="198"/>
        <v>0</v>
      </c>
      <c r="JJ20" s="539"/>
      <c r="JK20" s="541" t="str">
        <f t="shared" si="88"/>
        <v>0</v>
      </c>
      <c r="JL20" s="541" t="str">
        <f t="shared" si="89"/>
        <v>0</v>
      </c>
      <c r="JM20" s="539"/>
      <c r="JN20" s="541" t="str">
        <f t="shared" si="90"/>
        <v>0</v>
      </c>
      <c r="JO20" s="541" t="str">
        <f t="shared" si="91"/>
        <v>0</v>
      </c>
      <c r="JP20" s="539"/>
      <c r="JQ20" s="541" t="str">
        <f t="shared" si="92"/>
        <v>0</v>
      </c>
      <c r="JR20" s="541" t="str">
        <f t="shared" si="93"/>
        <v>0</v>
      </c>
      <c r="JS20" s="539"/>
      <c r="JT20" s="541" t="str">
        <f t="shared" si="94"/>
        <v>0</v>
      </c>
      <c r="JU20" s="541" t="str">
        <f t="shared" si="95"/>
        <v>0</v>
      </c>
      <c r="JV20" s="539"/>
      <c r="JW20" s="541" t="str">
        <f t="shared" si="96"/>
        <v>0</v>
      </c>
      <c r="JX20" s="541" t="str">
        <f t="shared" si="97"/>
        <v>0</v>
      </c>
      <c r="JY20" s="539"/>
      <c r="JZ20" s="541" t="str">
        <f t="shared" si="98"/>
        <v>0</v>
      </c>
      <c r="KA20" s="541" t="str">
        <f t="shared" si="99"/>
        <v>0</v>
      </c>
      <c r="KB20" s="539"/>
      <c r="KC20" s="541" t="str">
        <f t="shared" si="100"/>
        <v>0</v>
      </c>
      <c r="KD20" s="541" t="str">
        <f t="shared" si="101"/>
        <v>0</v>
      </c>
      <c r="KE20" s="539"/>
      <c r="KF20" s="541" t="str">
        <f t="shared" si="102"/>
        <v>0</v>
      </c>
      <c r="KG20" s="541" t="str">
        <f t="shared" si="103"/>
        <v>0</v>
      </c>
      <c r="KH20" s="539"/>
      <c r="KI20" s="541" t="str">
        <f t="shared" si="104"/>
        <v>0</v>
      </c>
      <c r="KJ20" s="541" t="str">
        <f t="shared" si="105"/>
        <v>0</v>
      </c>
      <c r="KK20" s="539"/>
      <c r="KL20" s="541" t="str">
        <f t="shared" si="106"/>
        <v>0</v>
      </c>
      <c r="KM20" s="541" t="str">
        <f t="shared" si="107"/>
        <v>0</v>
      </c>
      <c r="KN20" s="539"/>
      <c r="KO20" s="541" t="str">
        <f t="shared" si="108"/>
        <v>0</v>
      </c>
      <c r="KP20" s="541" t="str">
        <f t="shared" si="109"/>
        <v>0</v>
      </c>
      <c r="KQ20" s="539"/>
      <c r="KR20" s="541" t="str">
        <f t="shared" si="110"/>
        <v>0</v>
      </c>
      <c r="KS20" s="541" t="str">
        <f t="shared" si="111"/>
        <v>0</v>
      </c>
      <c r="KT20" s="541">
        <f t="shared" si="201"/>
        <v>0</v>
      </c>
      <c r="KU20" s="541">
        <f t="shared" si="202"/>
        <v>0</v>
      </c>
      <c r="KV20" s="275">
        <f t="shared" si="199"/>
        <v>417.22357463193748</v>
      </c>
    </row>
    <row r="21" spans="1:309" ht="15" customHeight="1">
      <c r="A21" s="277">
        <f t="shared" si="200"/>
        <v>45851</v>
      </c>
      <c r="B21" s="278" t="str">
        <f>+Report1!B21</f>
        <v>Facial</v>
      </c>
      <c r="C21" s="418" t="str">
        <f>+Report1!C21</f>
        <v>10,5/12</v>
      </c>
      <c r="D21" s="279">
        <f>+Report1!P21</f>
        <v>55.825000000000003</v>
      </c>
      <c r="E21" s="280">
        <f>+Report1!R21</f>
        <v>36.353999999999999</v>
      </c>
      <c r="F21" s="539"/>
      <c r="G21" s="540">
        <f t="shared" si="0"/>
        <v>0</v>
      </c>
      <c r="H21" s="541">
        <f t="shared" si="112"/>
        <v>0</v>
      </c>
      <c r="I21" s="539">
        <v>290.69767441860472</v>
      </c>
      <c r="J21" s="540">
        <f t="shared" si="1"/>
        <v>7.9963050673544789</v>
      </c>
      <c r="K21" s="541">
        <f t="shared" si="113"/>
        <v>0</v>
      </c>
      <c r="L21" s="539"/>
      <c r="M21" s="540">
        <f t="shared" si="2"/>
        <v>0</v>
      </c>
      <c r="N21" s="541">
        <f t="shared" si="114"/>
        <v>0</v>
      </c>
      <c r="O21" s="539">
        <v>7.5000000000000284</v>
      </c>
      <c r="P21" s="540">
        <f t="shared" si="3"/>
        <v>0.20630467073774628</v>
      </c>
      <c r="Q21" s="541">
        <f t="shared" si="115"/>
        <v>0</v>
      </c>
      <c r="R21" s="539"/>
      <c r="S21" s="540">
        <f t="shared" si="4"/>
        <v>0</v>
      </c>
      <c r="T21" s="541">
        <f t="shared" si="116"/>
        <v>0</v>
      </c>
      <c r="U21" s="539">
        <v>5.1249999999999858</v>
      </c>
      <c r="V21" s="540">
        <f t="shared" si="5"/>
        <v>0.14097485833745904</v>
      </c>
      <c r="W21" s="541">
        <f t="shared" si="117"/>
        <v>0</v>
      </c>
      <c r="X21" s="539"/>
      <c r="Y21" s="540">
        <f t="shared" si="6"/>
        <v>0</v>
      </c>
      <c r="Z21" s="541">
        <f t="shared" si="118"/>
        <v>0</v>
      </c>
      <c r="AA21" s="539"/>
      <c r="AB21" s="540">
        <f t="shared" si="7"/>
        <v>0</v>
      </c>
      <c r="AC21" s="541">
        <f t="shared" si="119"/>
        <v>0</v>
      </c>
      <c r="AD21" s="539"/>
      <c r="AE21" s="540">
        <f t="shared" si="8"/>
        <v>0</v>
      </c>
      <c r="AF21" s="541">
        <f t="shared" si="120"/>
        <v>0</v>
      </c>
      <c r="AG21" s="539"/>
      <c r="AH21" s="540">
        <f t="shared" si="9"/>
        <v>0</v>
      </c>
      <c r="AI21" s="541">
        <f t="shared" si="121"/>
        <v>0</v>
      </c>
      <c r="AJ21" s="539">
        <v>0</v>
      </c>
      <c r="AK21" s="540">
        <f t="shared" si="10"/>
        <v>0</v>
      </c>
      <c r="AL21" s="541">
        <f t="shared" si="122"/>
        <v>0</v>
      </c>
      <c r="AM21" s="539"/>
      <c r="AN21" s="540">
        <f t="shared" si="11"/>
        <v>0</v>
      </c>
      <c r="AO21" s="541">
        <f t="shared" si="123"/>
        <v>0</v>
      </c>
      <c r="AP21" s="539">
        <v>29.905063291139243</v>
      </c>
      <c r="AQ21" s="540">
        <f t="shared" si="12"/>
        <v>0.82260723142265624</v>
      </c>
      <c r="AR21" s="541">
        <f t="shared" si="124"/>
        <v>0</v>
      </c>
      <c r="AS21" s="539"/>
      <c r="AT21" s="540">
        <f t="shared" si="13"/>
        <v>0</v>
      </c>
      <c r="AU21" s="541">
        <f t="shared" si="125"/>
        <v>0</v>
      </c>
      <c r="AV21" s="539">
        <v>2.7749999999999915</v>
      </c>
      <c r="AW21" s="540">
        <f t="shared" si="14"/>
        <v>7.6332728172965603E-2</v>
      </c>
      <c r="AX21" s="541">
        <f t="shared" si="126"/>
        <v>0</v>
      </c>
      <c r="AY21" s="539">
        <v>63.666666666666657</v>
      </c>
      <c r="AZ21" s="540">
        <f t="shared" si="15"/>
        <v>1.7512974271515283</v>
      </c>
      <c r="BA21" s="541">
        <f t="shared" si="127"/>
        <v>0</v>
      </c>
      <c r="BB21" s="539">
        <v>0</v>
      </c>
      <c r="BC21" s="540">
        <f t="shared" si="16"/>
        <v>0</v>
      </c>
      <c r="BD21" s="541">
        <f t="shared" si="128"/>
        <v>0</v>
      </c>
      <c r="BE21" s="539"/>
      <c r="BF21" s="540">
        <f t="shared" si="17"/>
        <v>0</v>
      </c>
      <c r="BG21" s="541">
        <f t="shared" si="129"/>
        <v>0</v>
      </c>
      <c r="BH21" s="539"/>
      <c r="BI21" s="540">
        <f t="shared" si="18"/>
        <v>0</v>
      </c>
      <c r="BJ21" s="541">
        <f t="shared" si="130"/>
        <v>0</v>
      </c>
      <c r="BK21" s="539"/>
      <c r="BL21" s="540">
        <f t="shared" si="19"/>
        <v>0</v>
      </c>
      <c r="BM21" s="541">
        <f t="shared" si="131"/>
        <v>0</v>
      </c>
      <c r="BN21" s="539">
        <v>5.0617283950617207</v>
      </c>
      <c r="BO21" s="540">
        <f t="shared" si="20"/>
        <v>0.13923442798761404</v>
      </c>
      <c r="BP21" s="541">
        <f t="shared" si="132"/>
        <v>0</v>
      </c>
      <c r="BQ21" s="539">
        <v>0</v>
      </c>
      <c r="BR21" s="540">
        <f t="shared" si="21"/>
        <v>0</v>
      </c>
      <c r="BS21" s="541">
        <f t="shared" si="133"/>
        <v>0</v>
      </c>
      <c r="BT21" s="539"/>
      <c r="BU21" s="540">
        <f t="shared" si="22"/>
        <v>0</v>
      </c>
      <c r="BV21" s="541">
        <f t="shared" si="134"/>
        <v>0</v>
      </c>
      <c r="BW21" s="539">
        <v>0</v>
      </c>
      <c r="BX21" s="540">
        <f t="shared" si="23"/>
        <v>0</v>
      </c>
      <c r="BY21" s="541">
        <f t="shared" si="135"/>
        <v>0</v>
      </c>
      <c r="BZ21" s="539">
        <v>0</v>
      </c>
      <c r="CA21" s="540">
        <f t="shared" si="24"/>
        <v>0</v>
      </c>
      <c r="CB21" s="541">
        <f t="shared" si="136"/>
        <v>0</v>
      </c>
      <c r="CC21" s="539">
        <v>3.125</v>
      </c>
      <c r="CD21" s="540">
        <f t="shared" si="25"/>
        <v>8.5960279474060625E-2</v>
      </c>
      <c r="CE21" s="541">
        <f t="shared" si="137"/>
        <v>0</v>
      </c>
      <c r="CF21" s="539">
        <v>0.1</v>
      </c>
      <c r="CG21" s="540">
        <f t="shared" si="26"/>
        <v>2.7507289431699402E-3</v>
      </c>
      <c r="CH21" s="541">
        <f t="shared" si="138"/>
        <v>0</v>
      </c>
      <c r="CI21" s="539">
        <v>0</v>
      </c>
      <c r="CJ21" s="540">
        <f t="shared" si="27"/>
        <v>0</v>
      </c>
      <c r="CK21" s="541">
        <f t="shared" si="139"/>
        <v>0</v>
      </c>
      <c r="CL21" s="539"/>
      <c r="CM21" s="540">
        <f t="shared" si="28"/>
        <v>0</v>
      </c>
      <c r="CN21" s="541">
        <f t="shared" si="140"/>
        <v>0</v>
      </c>
      <c r="CO21" s="539"/>
      <c r="CP21" s="540">
        <f t="shared" si="29"/>
        <v>0</v>
      </c>
      <c r="CQ21" s="541">
        <f t="shared" si="141"/>
        <v>0</v>
      </c>
      <c r="CR21" s="539"/>
      <c r="CS21" s="540">
        <f t="shared" si="30"/>
        <v>0</v>
      </c>
      <c r="CT21" s="541">
        <f t="shared" si="142"/>
        <v>0</v>
      </c>
      <c r="CU21" s="539"/>
      <c r="CV21" s="540">
        <f t="shared" si="31"/>
        <v>0</v>
      </c>
      <c r="CW21" s="541">
        <f t="shared" si="143"/>
        <v>0</v>
      </c>
      <c r="CX21" s="539"/>
      <c r="CY21" s="540">
        <f t="shared" si="32"/>
        <v>0</v>
      </c>
      <c r="CZ21" s="541">
        <f t="shared" si="144"/>
        <v>0</v>
      </c>
      <c r="DA21" s="539"/>
      <c r="DB21" s="540">
        <f t="shared" si="33"/>
        <v>0</v>
      </c>
      <c r="DC21" s="541">
        <f t="shared" si="145"/>
        <v>0</v>
      </c>
      <c r="DD21" s="539"/>
      <c r="DE21" s="540">
        <f t="shared" si="34"/>
        <v>0</v>
      </c>
      <c r="DF21" s="541">
        <f t="shared" si="146"/>
        <v>0</v>
      </c>
      <c r="DG21" s="539">
        <v>0</v>
      </c>
      <c r="DH21" s="540">
        <f t="shared" si="35"/>
        <v>0</v>
      </c>
      <c r="DI21" s="541">
        <f t="shared" si="203"/>
        <v>0</v>
      </c>
      <c r="DJ21" s="539"/>
      <c r="DK21" s="540">
        <f t="shared" si="36"/>
        <v>0</v>
      </c>
      <c r="DL21" s="541">
        <f t="shared" si="147"/>
        <v>0</v>
      </c>
      <c r="DM21" s="539"/>
      <c r="DN21" s="540">
        <f t="shared" si="37"/>
        <v>0</v>
      </c>
      <c r="DO21" s="541">
        <f t="shared" si="148"/>
        <v>0</v>
      </c>
      <c r="DP21" s="539"/>
      <c r="DQ21" s="540">
        <f t="shared" si="38"/>
        <v>0</v>
      </c>
      <c r="DR21" s="541">
        <f t="shared" si="149"/>
        <v>0</v>
      </c>
      <c r="DS21" s="539"/>
      <c r="DT21" s="540">
        <f t="shared" si="39"/>
        <v>0</v>
      </c>
      <c r="DU21" s="541">
        <f t="shared" si="150"/>
        <v>0</v>
      </c>
      <c r="DV21" s="539"/>
      <c r="DW21" s="540">
        <f t="shared" si="40"/>
        <v>0</v>
      </c>
      <c r="DX21" s="541">
        <f t="shared" si="151"/>
        <v>0</v>
      </c>
      <c r="DY21" s="539"/>
      <c r="DZ21" s="540">
        <f t="shared" si="41"/>
        <v>0</v>
      </c>
      <c r="EA21" s="541">
        <f t="shared" si="152"/>
        <v>0</v>
      </c>
      <c r="EB21" s="539">
        <v>7.2674418604651123</v>
      </c>
      <c r="EC21" s="540">
        <f t="shared" si="42"/>
        <v>0.19990762668386181</v>
      </c>
      <c r="ED21" s="541">
        <f t="shared" si="153"/>
        <v>0</v>
      </c>
      <c r="EE21" s="539">
        <v>2</v>
      </c>
      <c r="EF21" s="540">
        <f t="shared" si="43"/>
        <v>5.5014578863398805E-2</v>
      </c>
      <c r="EG21" s="541">
        <f t="shared" si="154"/>
        <v>0</v>
      </c>
      <c r="EH21" s="539"/>
      <c r="EI21" s="540">
        <f t="shared" si="44"/>
        <v>0</v>
      </c>
      <c r="EJ21" s="541">
        <f t="shared" si="155"/>
        <v>0</v>
      </c>
      <c r="EK21" s="539"/>
      <c r="EL21" s="540">
        <f t="shared" si="45"/>
        <v>0</v>
      </c>
      <c r="EM21" s="541">
        <f t="shared" si="156"/>
        <v>0</v>
      </c>
      <c r="EN21" s="539"/>
      <c r="EO21" s="540">
        <f t="shared" si="46"/>
        <v>0</v>
      </c>
      <c r="EP21" s="541">
        <f t="shared" si="157"/>
        <v>0</v>
      </c>
      <c r="EQ21" s="539"/>
      <c r="ER21" s="540">
        <f t="shared" si="47"/>
        <v>0</v>
      </c>
      <c r="ES21" s="541">
        <f t="shared" si="158"/>
        <v>0</v>
      </c>
      <c r="ET21" s="539"/>
      <c r="EU21" s="540">
        <f t="shared" si="48"/>
        <v>0</v>
      </c>
      <c r="EV21" s="541">
        <f t="shared" si="159"/>
        <v>0</v>
      </c>
      <c r="EW21" s="539"/>
      <c r="EX21" s="540">
        <f t="shared" si="49"/>
        <v>0</v>
      </c>
      <c r="EY21" s="541">
        <f t="shared" si="160"/>
        <v>0</v>
      </c>
      <c r="EZ21" s="539"/>
      <c r="FA21" s="540">
        <f t="shared" si="50"/>
        <v>0</v>
      </c>
      <c r="FB21" s="541">
        <f t="shared" si="161"/>
        <v>0</v>
      </c>
      <c r="FC21" s="539"/>
      <c r="FD21" s="540">
        <f t="shared" si="51"/>
        <v>0</v>
      </c>
      <c r="FE21" s="541">
        <f t="shared" si="162"/>
        <v>0</v>
      </c>
      <c r="FF21" s="539"/>
      <c r="FG21" s="540">
        <f t="shared" si="52"/>
        <v>0</v>
      </c>
      <c r="FH21" s="541">
        <f t="shared" si="163"/>
        <v>0</v>
      </c>
      <c r="FI21" s="539"/>
      <c r="FJ21" s="540">
        <f t="shared" si="53"/>
        <v>0</v>
      </c>
      <c r="FK21" s="541">
        <f t="shared" si="164"/>
        <v>0</v>
      </c>
      <c r="FL21" s="539"/>
      <c r="FM21" s="540">
        <f t="shared" si="54"/>
        <v>0</v>
      </c>
      <c r="FN21" s="541">
        <f t="shared" si="165"/>
        <v>0</v>
      </c>
      <c r="FO21" s="539"/>
      <c r="FP21" s="540">
        <f t="shared" si="55"/>
        <v>0</v>
      </c>
      <c r="FQ21" s="541">
        <f t="shared" si="166"/>
        <v>0</v>
      </c>
      <c r="FR21" s="539"/>
      <c r="FS21" s="540">
        <f t="shared" si="56"/>
        <v>0</v>
      </c>
      <c r="FT21" s="541">
        <f t="shared" si="167"/>
        <v>0</v>
      </c>
      <c r="FU21" s="539"/>
      <c r="FV21" s="540">
        <f t="shared" si="57"/>
        <v>0</v>
      </c>
      <c r="FW21" s="541">
        <f t="shared" si="168"/>
        <v>0</v>
      </c>
      <c r="FX21" s="539"/>
      <c r="FY21" s="540">
        <f t="shared" si="58"/>
        <v>0</v>
      </c>
      <c r="FZ21" s="541">
        <f t="shared" si="169"/>
        <v>0</v>
      </c>
      <c r="GA21" s="539"/>
      <c r="GB21" s="540">
        <f t="shared" si="59"/>
        <v>0</v>
      </c>
      <c r="GC21" s="541">
        <f t="shared" si="170"/>
        <v>0</v>
      </c>
      <c r="GD21" s="539"/>
      <c r="GE21" s="540">
        <f t="shared" si="60"/>
        <v>0</v>
      </c>
      <c r="GF21" s="541">
        <f t="shared" si="171"/>
        <v>0</v>
      </c>
      <c r="GG21" s="539"/>
      <c r="GH21" s="540">
        <f t="shared" si="61"/>
        <v>0</v>
      </c>
      <c r="GI21" s="541">
        <f t="shared" si="172"/>
        <v>0</v>
      </c>
      <c r="GJ21" s="539"/>
      <c r="GK21" s="540">
        <f t="shared" si="62"/>
        <v>0</v>
      </c>
      <c r="GL21" s="541">
        <f t="shared" si="173"/>
        <v>0</v>
      </c>
      <c r="GM21" s="539"/>
      <c r="GN21" s="540">
        <f t="shared" si="63"/>
        <v>0</v>
      </c>
      <c r="GO21" s="541">
        <f t="shared" si="174"/>
        <v>0</v>
      </c>
      <c r="GP21" s="539"/>
      <c r="GQ21" s="540">
        <f t="shared" si="64"/>
        <v>0</v>
      </c>
      <c r="GR21" s="541">
        <f t="shared" si="175"/>
        <v>0</v>
      </c>
      <c r="GS21" s="539"/>
      <c r="GT21" s="540">
        <f t="shared" si="65"/>
        <v>0</v>
      </c>
      <c r="GU21" s="541">
        <f t="shared" si="176"/>
        <v>0</v>
      </c>
      <c r="GV21" s="539"/>
      <c r="GW21" s="540">
        <f t="shared" si="66"/>
        <v>0</v>
      </c>
      <c r="GX21" s="541">
        <f t="shared" si="177"/>
        <v>0</v>
      </c>
      <c r="GY21" s="539"/>
      <c r="GZ21" s="540">
        <f t="shared" si="67"/>
        <v>0</v>
      </c>
      <c r="HA21" s="541">
        <f t="shared" si="178"/>
        <v>0</v>
      </c>
      <c r="HB21" s="539"/>
      <c r="HC21" s="540">
        <f t="shared" si="68"/>
        <v>0</v>
      </c>
      <c r="HD21" s="541">
        <f t="shared" si="179"/>
        <v>0</v>
      </c>
      <c r="HE21" s="539"/>
      <c r="HF21" s="540">
        <f t="shared" si="69"/>
        <v>0</v>
      </c>
      <c r="HG21" s="541">
        <f t="shared" si="180"/>
        <v>0</v>
      </c>
      <c r="HH21" s="539"/>
      <c r="HI21" s="540">
        <f t="shared" si="70"/>
        <v>0</v>
      </c>
      <c r="HJ21" s="541">
        <f t="shared" si="181"/>
        <v>0</v>
      </c>
      <c r="HK21" s="539"/>
      <c r="HL21" s="540">
        <f t="shared" si="71"/>
        <v>0</v>
      </c>
      <c r="HM21" s="541">
        <f t="shared" si="182"/>
        <v>0</v>
      </c>
      <c r="HN21" s="539"/>
      <c r="HO21" s="540">
        <f t="shared" si="72"/>
        <v>0</v>
      </c>
      <c r="HP21" s="541">
        <f t="shared" si="183"/>
        <v>0</v>
      </c>
      <c r="HQ21" s="539"/>
      <c r="HR21" s="540">
        <f t="shared" si="73"/>
        <v>0</v>
      </c>
      <c r="HS21" s="541">
        <f t="shared" si="184"/>
        <v>0</v>
      </c>
      <c r="HT21" s="539"/>
      <c r="HU21" s="540">
        <f t="shared" si="74"/>
        <v>0</v>
      </c>
      <c r="HV21" s="541">
        <f t="shared" si="185"/>
        <v>0</v>
      </c>
      <c r="HW21" s="539"/>
      <c r="HX21" s="540">
        <f t="shared" si="75"/>
        <v>0</v>
      </c>
      <c r="HY21" s="541">
        <f t="shared" si="186"/>
        <v>0</v>
      </c>
      <c r="HZ21" s="539"/>
      <c r="IA21" s="540">
        <f t="shared" si="76"/>
        <v>0</v>
      </c>
      <c r="IB21" s="541">
        <f t="shared" si="187"/>
        <v>0</v>
      </c>
      <c r="IC21" s="539"/>
      <c r="ID21" s="540">
        <f t="shared" si="77"/>
        <v>0</v>
      </c>
      <c r="IE21" s="541">
        <f t="shared" si="188"/>
        <v>0</v>
      </c>
      <c r="IF21" s="539"/>
      <c r="IG21" s="540">
        <f t="shared" si="78"/>
        <v>0</v>
      </c>
      <c r="IH21" s="541">
        <f t="shared" si="189"/>
        <v>0</v>
      </c>
      <c r="II21" s="539"/>
      <c r="IJ21" s="540">
        <f t="shared" si="79"/>
        <v>0</v>
      </c>
      <c r="IK21" s="541">
        <f t="shared" si="190"/>
        <v>0</v>
      </c>
      <c r="IL21" s="539"/>
      <c r="IM21" s="540">
        <f t="shared" si="80"/>
        <v>0</v>
      </c>
      <c r="IN21" s="541">
        <f t="shared" si="191"/>
        <v>0</v>
      </c>
      <c r="IO21" s="539"/>
      <c r="IP21" s="540">
        <f t="shared" si="81"/>
        <v>0</v>
      </c>
      <c r="IQ21" s="541">
        <f t="shared" si="192"/>
        <v>0</v>
      </c>
      <c r="IR21" s="539"/>
      <c r="IS21" s="540">
        <f t="shared" si="82"/>
        <v>0</v>
      </c>
      <c r="IT21" s="541">
        <f t="shared" si="193"/>
        <v>0</v>
      </c>
      <c r="IU21" s="539"/>
      <c r="IV21" s="540">
        <f t="shared" si="83"/>
        <v>0</v>
      </c>
      <c r="IW21" s="541">
        <f t="shared" si="194"/>
        <v>0</v>
      </c>
      <c r="IX21" s="539"/>
      <c r="IY21" s="540">
        <f t="shared" si="84"/>
        <v>0</v>
      </c>
      <c r="IZ21" s="541">
        <f t="shared" si="195"/>
        <v>0</v>
      </c>
      <c r="JA21" s="539"/>
      <c r="JB21" s="540">
        <f t="shared" si="85"/>
        <v>0</v>
      </c>
      <c r="JC21" s="541">
        <f t="shared" si="196"/>
        <v>0</v>
      </c>
      <c r="JD21" s="539"/>
      <c r="JE21" s="540">
        <f t="shared" si="86"/>
        <v>0</v>
      </c>
      <c r="JF21" s="541">
        <f t="shared" si="197"/>
        <v>0</v>
      </c>
      <c r="JG21" s="539"/>
      <c r="JH21" s="540">
        <f t="shared" si="87"/>
        <v>0</v>
      </c>
      <c r="JI21" s="541">
        <f t="shared" si="198"/>
        <v>0</v>
      </c>
      <c r="JJ21" s="539"/>
      <c r="JK21" s="541" t="str">
        <f t="shared" si="88"/>
        <v>0</v>
      </c>
      <c r="JL21" s="541" t="str">
        <f t="shared" si="89"/>
        <v>0</v>
      </c>
      <c r="JM21" s="539"/>
      <c r="JN21" s="541" t="str">
        <f t="shared" si="90"/>
        <v>0</v>
      </c>
      <c r="JO21" s="541" t="str">
        <f t="shared" si="91"/>
        <v>0</v>
      </c>
      <c r="JP21" s="539"/>
      <c r="JQ21" s="541" t="str">
        <f t="shared" si="92"/>
        <v>0</v>
      </c>
      <c r="JR21" s="541" t="str">
        <f t="shared" si="93"/>
        <v>0</v>
      </c>
      <c r="JS21" s="539"/>
      <c r="JT21" s="541" t="str">
        <f t="shared" si="94"/>
        <v>0</v>
      </c>
      <c r="JU21" s="541" t="str">
        <f t="shared" si="95"/>
        <v>0</v>
      </c>
      <c r="JV21" s="539"/>
      <c r="JW21" s="541" t="str">
        <f t="shared" si="96"/>
        <v>0</v>
      </c>
      <c r="JX21" s="541" t="str">
        <f t="shared" si="97"/>
        <v>0</v>
      </c>
      <c r="JY21" s="539"/>
      <c r="JZ21" s="541" t="str">
        <f t="shared" si="98"/>
        <v>0</v>
      </c>
      <c r="KA21" s="541" t="str">
        <f t="shared" si="99"/>
        <v>0</v>
      </c>
      <c r="KB21" s="539"/>
      <c r="KC21" s="541" t="str">
        <f t="shared" si="100"/>
        <v>0</v>
      </c>
      <c r="KD21" s="541" t="str">
        <f t="shared" si="101"/>
        <v>0</v>
      </c>
      <c r="KE21" s="539"/>
      <c r="KF21" s="541" t="str">
        <f t="shared" si="102"/>
        <v>0</v>
      </c>
      <c r="KG21" s="541" t="str">
        <f t="shared" si="103"/>
        <v>0</v>
      </c>
      <c r="KH21" s="539"/>
      <c r="KI21" s="541" t="str">
        <f t="shared" si="104"/>
        <v>0</v>
      </c>
      <c r="KJ21" s="541" t="str">
        <f t="shared" si="105"/>
        <v>0</v>
      </c>
      <c r="KK21" s="539"/>
      <c r="KL21" s="541" t="str">
        <f t="shared" si="106"/>
        <v>0</v>
      </c>
      <c r="KM21" s="541" t="str">
        <f t="shared" si="107"/>
        <v>0</v>
      </c>
      <c r="KN21" s="539"/>
      <c r="KO21" s="541" t="str">
        <f t="shared" si="108"/>
        <v>0</v>
      </c>
      <c r="KP21" s="541" t="str">
        <f t="shared" si="109"/>
        <v>0</v>
      </c>
      <c r="KQ21" s="539"/>
      <c r="KR21" s="541" t="str">
        <f t="shared" si="110"/>
        <v>0</v>
      </c>
      <c r="KS21" s="541" t="str">
        <f t="shared" si="111"/>
        <v>0</v>
      </c>
      <c r="KT21" s="541">
        <f t="shared" si="201"/>
        <v>0</v>
      </c>
      <c r="KU21" s="541">
        <f t="shared" si="202"/>
        <v>0</v>
      </c>
      <c r="KV21" s="275">
        <f t="shared" si="199"/>
        <v>417.22357463193748</v>
      </c>
    </row>
    <row r="22" spans="1:309" ht="15" customHeight="1">
      <c r="A22" s="277">
        <f t="shared" si="200"/>
        <v>45852</v>
      </c>
      <c r="B22" s="278" t="str">
        <f>+Report1!B22</f>
        <v>Facial</v>
      </c>
      <c r="C22" s="418" t="str">
        <f>+Report1!C22</f>
        <v>10,5</v>
      </c>
      <c r="D22" s="279">
        <f>+Report1!P22</f>
        <v>50.575000000000003</v>
      </c>
      <c r="E22" s="280">
        <f>+Report1!R22</f>
        <v>45.256999999999998</v>
      </c>
      <c r="F22" s="539"/>
      <c r="G22" s="540">
        <f t="shared" si="0"/>
        <v>0</v>
      </c>
      <c r="H22" s="541">
        <f t="shared" si="112"/>
        <v>0</v>
      </c>
      <c r="I22" s="539">
        <v>302.32558139534876</v>
      </c>
      <c r="J22" s="540">
        <f t="shared" si="1"/>
        <v>6.6801949178104776</v>
      </c>
      <c r="K22" s="541">
        <f t="shared" si="113"/>
        <v>0</v>
      </c>
      <c r="L22" s="539"/>
      <c r="M22" s="540">
        <f t="shared" si="2"/>
        <v>0</v>
      </c>
      <c r="N22" s="541">
        <f t="shared" si="114"/>
        <v>0</v>
      </c>
      <c r="O22" s="539">
        <v>5.9999999999999432</v>
      </c>
      <c r="P22" s="540">
        <f t="shared" si="3"/>
        <v>0.13257617606116057</v>
      </c>
      <c r="Q22" s="541">
        <f t="shared" si="115"/>
        <v>0</v>
      </c>
      <c r="R22" s="539"/>
      <c r="S22" s="540">
        <f t="shared" si="4"/>
        <v>0</v>
      </c>
      <c r="T22" s="541">
        <f t="shared" si="116"/>
        <v>0</v>
      </c>
      <c r="U22" s="539">
        <v>5.1250000000000284</v>
      </c>
      <c r="V22" s="540">
        <f t="shared" si="5"/>
        <v>0.11324215038557635</v>
      </c>
      <c r="W22" s="541">
        <f t="shared" si="117"/>
        <v>0</v>
      </c>
      <c r="X22" s="539"/>
      <c r="Y22" s="540">
        <f t="shared" si="6"/>
        <v>0</v>
      </c>
      <c r="Z22" s="541">
        <f t="shared" si="118"/>
        <v>0</v>
      </c>
      <c r="AA22" s="539"/>
      <c r="AB22" s="540">
        <f t="shared" si="7"/>
        <v>0</v>
      </c>
      <c r="AC22" s="541">
        <f t="shared" si="119"/>
        <v>0</v>
      </c>
      <c r="AD22" s="539"/>
      <c r="AE22" s="540">
        <f t="shared" si="8"/>
        <v>0</v>
      </c>
      <c r="AF22" s="541">
        <f t="shared" si="120"/>
        <v>0</v>
      </c>
      <c r="AG22" s="539"/>
      <c r="AH22" s="540">
        <f t="shared" si="9"/>
        <v>0</v>
      </c>
      <c r="AI22" s="541">
        <f t="shared" si="121"/>
        <v>0</v>
      </c>
      <c r="AJ22" s="539">
        <v>0</v>
      </c>
      <c r="AK22" s="540">
        <f t="shared" si="10"/>
        <v>0</v>
      </c>
      <c r="AL22" s="541">
        <f t="shared" si="122"/>
        <v>0</v>
      </c>
      <c r="AM22" s="539"/>
      <c r="AN22" s="540">
        <f t="shared" si="11"/>
        <v>0</v>
      </c>
      <c r="AO22" s="541">
        <f t="shared" si="123"/>
        <v>0</v>
      </c>
      <c r="AP22" s="539">
        <v>51.265822784810155</v>
      </c>
      <c r="AQ22" s="540">
        <f t="shared" si="12"/>
        <v>1.1327711245732186</v>
      </c>
      <c r="AR22" s="541">
        <f t="shared" si="124"/>
        <v>0</v>
      </c>
      <c r="AS22" s="539"/>
      <c r="AT22" s="540">
        <f t="shared" si="13"/>
        <v>0</v>
      </c>
      <c r="AU22" s="541">
        <f t="shared" si="125"/>
        <v>0</v>
      </c>
      <c r="AV22" s="539">
        <v>2.7750000000000057</v>
      </c>
      <c r="AW22" s="540">
        <f t="shared" si="14"/>
        <v>6.1316481428287467E-2</v>
      </c>
      <c r="AX22" s="541">
        <f t="shared" si="126"/>
        <v>0</v>
      </c>
      <c r="AY22" s="539">
        <v>60.666666666666629</v>
      </c>
      <c r="AZ22" s="540">
        <f t="shared" si="15"/>
        <v>1.3404924468406354</v>
      </c>
      <c r="BA22" s="541">
        <f t="shared" si="127"/>
        <v>0</v>
      </c>
      <c r="BB22" s="539">
        <v>0</v>
      </c>
      <c r="BC22" s="540">
        <f t="shared" si="16"/>
        <v>0</v>
      </c>
      <c r="BD22" s="541">
        <f t="shared" si="128"/>
        <v>0</v>
      </c>
      <c r="BE22" s="539"/>
      <c r="BF22" s="540">
        <f t="shared" si="17"/>
        <v>0</v>
      </c>
      <c r="BG22" s="541">
        <f t="shared" si="129"/>
        <v>0</v>
      </c>
      <c r="BH22" s="539"/>
      <c r="BI22" s="540">
        <f t="shared" si="18"/>
        <v>0</v>
      </c>
      <c r="BJ22" s="541">
        <f t="shared" si="130"/>
        <v>0</v>
      </c>
      <c r="BK22" s="539"/>
      <c r="BL22" s="540">
        <f t="shared" si="19"/>
        <v>0</v>
      </c>
      <c r="BM22" s="541">
        <f t="shared" si="131"/>
        <v>0</v>
      </c>
      <c r="BN22" s="539">
        <v>2.5308641975308888</v>
      </c>
      <c r="BO22" s="540">
        <f t="shared" si="20"/>
        <v>5.5922049573124355E-2</v>
      </c>
      <c r="BP22" s="541">
        <f t="shared" si="132"/>
        <v>0</v>
      </c>
      <c r="BQ22" s="539">
        <v>0</v>
      </c>
      <c r="BR22" s="540">
        <f t="shared" si="21"/>
        <v>0</v>
      </c>
      <c r="BS22" s="541">
        <f t="shared" si="133"/>
        <v>0</v>
      </c>
      <c r="BT22" s="539"/>
      <c r="BU22" s="540">
        <f t="shared" si="22"/>
        <v>0</v>
      </c>
      <c r="BV22" s="541">
        <f t="shared" si="134"/>
        <v>0</v>
      </c>
      <c r="BW22" s="539">
        <v>0</v>
      </c>
      <c r="BX22" s="540">
        <f t="shared" si="23"/>
        <v>0</v>
      </c>
      <c r="BY22" s="541">
        <f t="shared" si="135"/>
        <v>0</v>
      </c>
      <c r="BZ22" s="539">
        <v>0</v>
      </c>
      <c r="CA22" s="540">
        <f t="shared" si="24"/>
        <v>0</v>
      </c>
      <c r="CB22" s="541">
        <f t="shared" si="136"/>
        <v>0</v>
      </c>
      <c r="CC22" s="539">
        <v>0</v>
      </c>
      <c r="CD22" s="540">
        <f t="shared" si="25"/>
        <v>0</v>
      </c>
      <c r="CE22" s="541">
        <f t="shared" si="137"/>
        <v>0</v>
      </c>
      <c r="CF22" s="539">
        <v>9.9999999999999978E-2</v>
      </c>
      <c r="CG22" s="540">
        <f t="shared" si="26"/>
        <v>2.2096029343526965E-3</v>
      </c>
      <c r="CH22" s="541">
        <f t="shared" si="138"/>
        <v>0</v>
      </c>
      <c r="CI22" s="539">
        <v>0</v>
      </c>
      <c r="CJ22" s="540">
        <f t="shared" si="27"/>
        <v>0</v>
      </c>
      <c r="CK22" s="541">
        <f t="shared" si="139"/>
        <v>0</v>
      </c>
      <c r="CL22" s="539"/>
      <c r="CM22" s="540">
        <f t="shared" si="28"/>
        <v>0</v>
      </c>
      <c r="CN22" s="541">
        <f t="shared" si="140"/>
        <v>0</v>
      </c>
      <c r="CO22" s="539"/>
      <c r="CP22" s="540">
        <f t="shared" si="29"/>
        <v>0</v>
      </c>
      <c r="CQ22" s="541">
        <f t="shared" si="141"/>
        <v>0</v>
      </c>
      <c r="CR22" s="539"/>
      <c r="CS22" s="540">
        <f t="shared" si="30"/>
        <v>0</v>
      </c>
      <c r="CT22" s="541">
        <f t="shared" si="142"/>
        <v>0</v>
      </c>
      <c r="CU22" s="539"/>
      <c r="CV22" s="540">
        <f t="shared" si="31"/>
        <v>0</v>
      </c>
      <c r="CW22" s="541">
        <f t="shared" si="143"/>
        <v>0</v>
      </c>
      <c r="CX22" s="539"/>
      <c r="CY22" s="540">
        <f t="shared" si="32"/>
        <v>0</v>
      </c>
      <c r="CZ22" s="541">
        <f t="shared" si="144"/>
        <v>0</v>
      </c>
      <c r="DA22" s="539"/>
      <c r="DB22" s="540">
        <f t="shared" si="33"/>
        <v>0</v>
      </c>
      <c r="DC22" s="541">
        <f t="shared" si="145"/>
        <v>0</v>
      </c>
      <c r="DD22" s="539"/>
      <c r="DE22" s="540">
        <f t="shared" si="34"/>
        <v>0</v>
      </c>
      <c r="DF22" s="541">
        <f t="shared" si="146"/>
        <v>0</v>
      </c>
      <c r="DG22" s="539">
        <v>0</v>
      </c>
      <c r="DH22" s="540">
        <f t="shared" si="35"/>
        <v>0</v>
      </c>
      <c r="DI22" s="541">
        <f t="shared" si="203"/>
        <v>0</v>
      </c>
      <c r="DJ22" s="539"/>
      <c r="DK22" s="540">
        <f t="shared" si="36"/>
        <v>0</v>
      </c>
      <c r="DL22" s="541">
        <f t="shared" si="147"/>
        <v>0</v>
      </c>
      <c r="DM22" s="539"/>
      <c r="DN22" s="540">
        <f t="shared" si="37"/>
        <v>0</v>
      </c>
      <c r="DO22" s="541">
        <f t="shared" si="148"/>
        <v>0</v>
      </c>
      <c r="DP22" s="539"/>
      <c r="DQ22" s="540">
        <f t="shared" si="38"/>
        <v>0</v>
      </c>
      <c r="DR22" s="541">
        <f t="shared" si="149"/>
        <v>0</v>
      </c>
      <c r="DS22" s="539"/>
      <c r="DT22" s="540">
        <f t="shared" si="39"/>
        <v>0</v>
      </c>
      <c r="DU22" s="541">
        <f t="shared" si="150"/>
        <v>0</v>
      </c>
      <c r="DV22" s="539"/>
      <c r="DW22" s="540">
        <f t="shared" si="40"/>
        <v>0</v>
      </c>
      <c r="DX22" s="541">
        <f t="shared" si="151"/>
        <v>0</v>
      </c>
      <c r="DY22" s="539"/>
      <c r="DZ22" s="540">
        <f t="shared" si="41"/>
        <v>0</v>
      </c>
      <c r="EA22" s="541">
        <f t="shared" si="152"/>
        <v>0</v>
      </c>
      <c r="EB22" s="539">
        <v>14.534883720930225</v>
      </c>
      <c r="EC22" s="540">
        <f t="shared" si="42"/>
        <v>0.32116321720242669</v>
      </c>
      <c r="ED22" s="541">
        <f t="shared" si="153"/>
        <v>0</v>
      </c>
      <c r="EE22" s="539">
        <v>3</v>
      </c>
      <c r="EF22" s="540">
        <f t="shared" si="43"/>
        <v>6.6288088030580908E-2</v>
      </c>
      <c r="EG22" s="541">
        <f t="shared" si="154"/>
        <v>0</v>
      </c>
      <c r="EH22" s="539"/>
      <c r="EI22" s="540">
        <f t="shared" si="44"/>
        <v>0</v>
      </c>
      <c r="EJ22" s="541">
        <f t="shared" si="155"/>
        <v>0</v>
      </c>
      <c r="EK22" s="539"/>
      <c r="EL22" s="540">
        <f t="shared" si="45"/>
        <v>0</v>
      </c>
      <c r="EM22" s="541">
        <f t="shared" si="156"/>
        <v>0</v>
      </c>
      <c r="EN22" s="539"/>
      <c r="EO22" s="540">
        <f t="shared" si="46"/>
        <v>0</v>
      </c>
      <c r="EP22" s="541">
        <f t="shared" si="157"/>
        <v>0</v>
      </c>
      <c r="EQ22" s="539"/>
      <c r="ER22" s="540">
        <f t="shared" si="47"/>
        <v>0</v>
      </c>
      <c r="ES22" s="541">
        <f t="shared" si="158"/>
        <v>0</v>
      </c>
      <c r="ET22" s="539"/>
      <c r="EU22" s="540">
        <f t="shared" si="48"/>
        <v>0</v>
      </c>
      <c r="EV22" s="541">
        <f t="shared" si="159"/>
        <v>0</v>
      </c>
      <c r="EW22" s="539"/>
      <c r="EX22" s="540">
        <f t="shared" si="49"/>
        <v>0</v>
      </c>
      <c r="EY22" s="541">
        <f t="shared" si="160"/>
        <v>0</v>
      </c>
      <c r="EZ22" s="539"/>
      <c r="FA22" s="540">
        <f t="shared" si="50"/>
        <v>0</v>
      </c>
      <c r="FB22" s="541">
        <f t="shared" si="161"/>
        <v>0</v>
      </c>
      <c r="FC22" s="539"/>
      <c r="FD22" s="540">
        <f t="shared" si="51"/>
        <v>0</v>
      </c>
      <c r="FE22" s="541">
        <f t="shared" si="162"/>
        <v>0</v>
      </c>
      <c r="FF22" s="539"/>
      <c r="FG22" s="540">
        <f t="shared" si="52"/>
        <v>0</v>
      </c>
      <c r="FH22" s="541">
        <f t="shared" si="163"/>
        <v>0</v>
      </c>
      <c r="FI22" s="539"/>
      <c r="FJ22" s="540">
        <f t="shared" si="53"/>
        <v>0</v>
      </c>
      <c r="FK22" s="541">
        <f t="shared" si="164"/>
        <v>0</v>
      </c>
      <c r="FL22" s="539"/>
      <c r="FM22" s="540">
        <f t="shared" si="54"/>
        <v>0</v>
      </c>
      <c r="FN22" s="541">
        <f t="shared" si="165"/>
        <v>0</v>
      </c>
      <c r="FO22" s="539"/>
      <c r="FP22" s="540">
        <f t="shared" si="55"/>
        <v>0</v>
      </c>
      <c r="FQ22" s="541">
        <f t="shared" si="166"/>
        <v>0</v>
      </c>
      <c r="FR22" s="539"/>
      <c r="FS22" s="540">
        <f t="shared" si="56"/>
        <v>0</v>
      </c>
      <c r="FT22" s="541">
        <f t="shared" si="167"/>
        <v>0</v>
      </c>
      <c r="FU22" s="539"/>
      <c r="FV22" s="540">
        <f t="shared" si="57"/>
        <v>0</v>
      </c>
      <c r="FW22" s="541">
        <f t="shared" si="168"/>
        <v>0</v>
      </c>
      <c r="FX22" s="539"/>
      <c r="FY22" s="540">
        <f t="shared" si="58"/>
        <v>0</v>
      </c>
      <c r="FZ22" s="541">
        <f t="shared" si="169"/>
        <v>0</v>
      </c>
      <c r="GA22" s="539"/>
      <c r="GB22" s="540">
        <f t="shared" si="59"/>
        <v>0</v>
      </c>
      <c r="GC22" s="541">
        <f t="shared" si="170"/>
        <v>0</v>
      </c>
      <c r="GD22" s="539"/>
      <c r="GE22" s="540">
        <f t="shared" si="60"/>
        <v>0</v>
      </c>
      <c r="GF22" s="541">
        <f t="shared" si="171"/>
        <v>0</v>
      </c>
      <c r="GG22" s="539"/>
      <c r="GH22" s="540">
        <f t="shared" si="61"/>
        <v>0</v>
      </c>
      <c r="GI22" s="541">
        <f t="shared" si="172"/>
        <v>0</v>
      </c>
      <c r="GJ22" s="539"/>
      <c r="GK22" s="540">
        <f t="shared" si="62"/>
        <v>0</v>
      </c>
      <c r="GL22" s="541">
        <f t="shared" si="173"/>
        <v>0</v>
      </c>
      <c r="GM22" s="539"/>
      <c r="GN22" s="540">
        <f t="shared" si="63"/>
        <v>0</v>
      </c>
      <c r="GO22" s="541">
        <f t="shared" si="174"/>
        <v>0</v>
      </c>
      <c r="GP22" s="539"/>
      <c r="GQ22" s="540">
        <f t="shared" si="64"/>
        <v>0</v>
      </c>
      <c r="GR22" s="541">
        <f t="shared" si="175"/>
        <v>0</v>
      </c>
      <c r="GS22" s="539"/>
      <c r="GT22" s="540">
        <f t="shared" si="65"/>
        <v>0</v>
      </c>
      <c r="GU22" s="541">
        <f t="shared" si="176"/>
        <v>0</v>
      </c>
      <c r="GV22" s="539"/>
      <c r="GW22" s="540">
        <f t="shared" si="66"/>
        <v>0</v>
      </c>
      <c r="GX22" s="541">
        <f t="shared" si="177"/>
        <v>0</v>
      </c>
      <c r="GY22" s="539"/>
      <c r="GZ22" s="540">
        <f t="shared" si="67"/>
        <v>0</v>
      </c>
      <c r="HA22" s="541">
        <f t="shared" si="178"/>
        <v>0</v>
      </c>
      <c r="HB22" s="539"/>
      <c r="HC22" s="540">
        <f t="shared" si="68"/>
        <v>0</v>
      </c>
      <c r="HD22" s="541">
        <f t="shared" si="179"/>
        <v>0</v>
      </c>
      <c r="HE22" s="539"/>
      <c r="HF22" s="540">
        <f t="shared" si="69"/>
        <v>0</v>
      </c>
      <c r="HG22" s="541">
        <f t="shared" si="180"/>
        <v>0</v>
      </c>
      <c r="HH22" s="539"/>
      <c r="HI22" s="540">
        <f t="shared" si="70"/>
        <v>0</v>
      </c>
      <c r="HJ22" s="541">
        <f t="shared" si="181"/>
        <v>0</v>
      </c>
      <c r="HK22" s="539"/>
      <c r="HL22" s="540">
        <f t="shared" si="71"/>
        <v>0</v>
      </c>
      <c r="HM22" s="541">
        <f t="shared" si="182"/>
        <v>0</v>
      </c>
      <c r="HN22" s="539"/>
      <c r="HO22" s="540">
        <f t="shared" si="72"/>
        <v>0</v>
      </c>
      <c r="HP22" s="541">
        <f t="shared" si="183"/>
        <v>0</v>
      </c>
      <c r="HQ22" s="539"/>
      <c r="HR22" s="540">
        <f t="shared" si="73"/>
        <v>0</v>
      </c>
      <c r="HS22" s="541">
        <f t="shared" si="184"/>
        <v>0</v>
      </c>
      <c r="HT22" s="539"/>
      <c r="HU22" s="540">
        <f t="shared" si="74"/>
        <v>0</v>
      </c>
      <c r="HV22" s="541">
        <f t="shared" si="185"/>
        <v>0</v>
      </c>
      <c r="HW22" s="539"/>
      <c r="HX22" s="540">
        <f t="shared" si="75"/>
        <v>0</v>
      </c>
      <c r="HY22" s="541">
        <f t="shared" si="186"/>
        <v>0</v>
      </c>
      <c r="HZ22" s="539"/>
      <c r="IA22" s="540">
        <f t="shared" si="76"/>
        <v>0</v>
      </c>
      <c r="IB22" s="541">
        <f t="shared" si="187"/>
        <v>0</v>
      </c>
      <c r="IC22" s="539"/>
      <c r="ID22" s="540">
        <f t="shared" si="77"/>
        <v>0</v>
      </c>
      <c r="IE22" s="541">
        <f t="shared" si="188"/>
        <v>0</v>
      </c>
      <c r="IF22" s="539"/>
      <c r="IG22" s="540">
        <f t="shared" si="78"/>
        <v>0</v>
      </c>
      <c r="IH22" s="541">
        <f t="shared" si="189"/>
        <v>0</v>
      </c>
      <c r="II22" s="539"/>
      <c r="IJ22" s="540">
        <f t="shared" si="79"/>
        <v>0</v>
      </c>
      <c r="IK22" s="541">
        <f t="shared" si="190"/>
        <v>0</v>
      </c>
      <c r="IL22" s="539"/>
      <c r="IM22" s="540">
        <f t="shared" si="80"/>
        <v>0</v>
      </c>
      <c r="IN22" s="541">
        <f t="shared" si="191"/>
        <v>0</v>
      </c>
      <c r="IO22" s="539"/>
      <c r="IP22" s="540">
        <f t="shared" si="81"/>
        <v>0</v>
      </c>
      <c r="IQ22" s="541">
        <f t="shared" si="192"/>
        <v>0</v>
      </c>
      <c r="IR22" s="539"/>
      <c r="IS22" s="540">
        <f t="shared" si="82"/>
        <v>0</v>
      </c>
      <c r="IT22" s="541">
        <f t="shared" si="193"/>
        <v>0</v>
      </c>
      <c r="IU22" s="539"/>
      <c r="IV22" s="540">
        <f t="shared" si="83"/>
        <v>0</v>
      </c>
      <c r="IW22" s="541">
        <f t="shared" si="194"/>
        <v>0</v>
      </c>
      <c r="IX22" s="539"/>
      <c r="IY22" s="540">
        <f t="shared" si="84"/>
        <v>0</v>
      </c>
      <c r="IZ22" s="541">
        <f t="shared" si="195"/>
        <v>0</v>
      </c>
      <c r="JA22" s="539"/>
      <c r="JB22" s="540">
        <f t="shared" si="85"/>
        <v>0</v>
      </c>
      <c r="JC22" s="541">
        <f t="shared" si="196"/>
        <v>0</v>
      </c>
      <c r="JD22" s="539"/>
      <c r="JE22" s="540">
        <f t="shared" si="86"/>
        <v>0</v>
      </c>
      <c r="JF22" s="541">
        <f t="shared" si="197"/>
        <v>0</v>
      </c>
      <c r="JG22" s="539"/>
      <c r="JH22" s="540">
        <f t="shared" si="87"/>
        <v>0</v>
      </c>
      <c r="JI22" s="541">
        <f t="shared" si="198"/>
        <v>0</v>
      </c>
      <c r="JJ22" s="539"/>
      <c r="JK22" s="541" t="str">
        <f t="shared" si="88"/>
        <v>0</v>
      </c>
      <c r="JL22" s="541" t="str">
        <f t="shared" si="89"/>
        <v>0</v>
      </c>
      <c r="JM22" s="539"/>
      <c r="JN22" s="541" t="str">
        <f t="shared" si="90"/>
        <v>0</v>
      </c>
      <c r="JO22" s="541" t="str">
        <f t="shared" si="91"/>
        <v>0</v>
      </c>
      <c r="JP22" s="539"/>
      <c r="JQ22" s="541" t="str">
        <f t="shared" si="92"/>
        <v>0</v>
      </c>
      <c r="JR22" s="541" t="str">
        <f t="shared" si="93"/>
        <v>0</v>
      </c>
      <c r="JS22" s="539"/>
      <c r="JT22" s="541" t="str">
        <f t="shared" si="94"/>
        <v>0</v>
      </c>
      <c r="JU22" s="541" t="str">
        <f t="shared" si="95"/>
        <v>0</v>
      </c>
      <c r="JV22" s="539"/>
      <c r="JW22" s="541" t="str">
        <f t="shared" si="96"/>
        <v>0</v>
      </c>
      <c r="JX22" s="541" t="str">
        <f t="shared" si="97"/>
        <v>0</v>
      </c>
      <c r="JY22" s="539"/>
      <c r="JZ22" s="541" t="str">
        <f t="shared" si="98"/>
        <v>0</v>
      </c>
      <c r="KA22" s="541" t="str">
        <f t="shared" si="99"/>
        <v>0</v>
      </c>
      <c r="KB22" s="539"/>
      <c r="KC22" s="541" t="str">
        <f t="shared" si="100"/>
        <v>0</v>
      </c>
      <c r="KD22" s="541" t="str">
        <f t="shared" si="101"/>
        <v>0</v>
      </c>
      <c r="KE22" s="539"/>
      <c r="KF22" s="541" t="str">
        <f t="shared" si="102"/>
        <v>0</v>
      </c>
      <c r="KG22" s="541" t="str">
        <f t="shared" si="103"/>
        <v>0</v>
      </c>
      <c r="KH22" s="539"/>
      <c r="KI22" s="541" t="str">
        <f t="shared" si="104"/>
        <v>0</v>
      </c>
      <c r="KJ22" s="541" t="str">
        <f t="shared" si="105"/>
        <v>0</v>
      </c>
      <c r="KK22" s="539"/>
      <c r="KL22" s="541" t="str">
        <f t="shared" si="106"/>
        <v>0</v>
      </c>
      <c r="KM22" s="541" t="str">
        <f t="shared" si="107"/>
        <v>0</v>
      </c>
      <c r="KN22" s="539"/>
      <c r="KO22" s="541" t="str">
        <f t="shared" si="108"/>
        <v>0</v>
      </c>
      <c r="KP22" s="541" t="str">
        <f t="shared" si="109"/>
        <v>0</v>
      </c>
      <c r="KQ22" s="539"/>
      <c r="KR22" s="541" t="str">
        <f t="shared" si="110"/>
        <v>0</v>
      </c>
      <c r="KS22" s="541" t="str">
        <f t="shared" si="111"/>
        <v>0</v>
      </c>
      <c r="KT22" s="541">
        <f t="shared" si="201"/>
        <v>0</v>
      </c>
      <c r="KU22" s="541">
        <f t="shared" si="202"/>
        <v>0</v>
      </c>
      <c r="KV22" s="275">
        <f t="shared" si="199"/>
        <v>448.32381876528672</v>
      </c>
    </row>
    <row r="23" spans="1:309" ht="15" customHeight="1">
      <c r="A23" s="277">
        <f t="shared" si="200"/>
        <v>45853</v>
      </c>
      <c r="B23" s="278" t="str">
        <f>+Report1!B23</f>
        <v>Facial</v>
      </c>
      <c r="C23" s="418" t="str">
        <f>+Report1!C23</f>
        <v>10,5</v>
      </c>
      <c r="D23" s="279">
        <f>+Report1!P23</f>
        <v>52.656999999999996</v>
      </c>
      <c r="E23" s="280">
        <f>+Report1!R23</f>
        <v>50.311</v>
      </c>
      <c r="F23" s="539"/>
      <c r="G23" s="540">
        <f t="shared" si="0"/>
        <v>0</v>
      </c>
      <c r="H23" s="541">
        <f t="shared" si="112"/>
        <v>0</v>
      </c>
      <c r="I23" s="539">
        <v>220.93023255813955</v>
      </c>
      <c r="J23" s="540">
        <f t="shared" si="1"/>
        <v>4.3912908222484059</v>
      </c>
      <c r="K23" s="541">
        <f t="shared" si="113"/>
        <v>0</v>
      </c>
      <c r="L23" s="539"/>
      <c r="M23" s="540">
        <f t="shared" si="2"/>
        <v>0</v>
      </c>
      <c r="N23" s="541">
        <f t="shared" si="114"/>
        <v>0</v>
      </c>
      <c r="O23" s="539">
        <v>6</v>
      </c>
      <c r="P23" s="540">
        <f t="shared" si="3"/>
        <v>0.11925821390948302</v>
      </c>
      <c r="Q23" s="541">
        <f t="shared" si="115"/>
        <v>0</v>
      </c>
      <c r="R23" s="539"/>
      <c r="S23" s="540">
        <f t="shared" si="4"/>
        <v>0</v>
      </c>
      <c r="T23" s="541">
        <f t="shared" si="116"/>
        <v>0</v>
      </c>
      <c r="U23" s="539">
        <v>5.1249999999999716</v>
      </c>
      <c r="V23" s="540">
        <f t="shared" si="5"/>
        <v>0.10186639104768284</v>
      </c>
      <c r="W23" s="541">
        <f t="shared" si="117"/>
        <v>0</v>
      </c>
      <c r="X23" s="539"/>
      <c r="Y23" s="540">
        <f t="shared" si="6"/>
        <v>0</v>
      </c>
      <c r="Z23" s="541">
        <f t="shared" si="118"/>
        <v>0</v>
      </c>
      <c r="AA23" s="539"/>
      <c r="AB23" s="540">
        <f t="shared" si="7"/>
        <v>0</v>
      </c>
      <c r="AC23" s="541">
        <f t="shared" si="119"/>
        <v>0</v>
      </c>
      <c r="AD23" s="539"/>
      <c r="AE23" s="540">
        <f t="shared" si="8"/>
        <v>0</v>
      </c>
      <c r="AF23" s="541">
        <f t="shared" si="120"/>
        <v>0</v>
      </c>
      <c r="AG23" s="539"/>
      <c r="AH23" s="540">
        <f t="shared" si="9"/>
        <v>0</v>
      </c>
      <c r="AI23" s="541">
        <f t="shared" si="121"/>
        <v>0</v>
      </c>
      <c r="AJ23" s="539">
        <v>0</v>
      </c>
      <c r="AK23" s="540">
        <f t="shared" si="10"/>
        <v>0</v>
      </c>
      <c r="AL23" s="541">
        <f t="shared" si="122"/>
        <v>0</v>
      </c>
      <c r="AM23" s="539"/>
      <c r="AN23" s="540">
        <f t="shared" si="11"/>
        <v>0</v>
      </c>
      <c r="AO23" s="541">
        <f t="shared" si="123"/>
        <v>0</v>
      </c>
      <c r="AP23" s="539">
        <v>51.265822784810098</v>
      </c>
      <c r="AQ23" s="540">
        <f t="shared" si="12"/>
        <v>1.0189784099860886</v>
      </c>
      <c r="AR23" s="541">
        <f t="shared" si="124"/>
        <v>0</v>
      </c>
      <c r="AS23" s="539"/>
      <c r="AT23" s="540">
        <f t="shared" si="13"/>
        <v>0</v>
      </c>
      <c r="AU23" s="541">
        <f t="shared" si="125"/>
        <v>0</v>
      </c>
      <c r="AV23" s="539">
        <v>2.7750000000000057</v>
      </c>
      <c r="AW23" s="540">
        <f t="shared" si="14"/>
        <v>5.5156923933136009E-2</v>
      </c>
      <c r="AX23" s="541">
        <f t="shared" si="126"/>
        <v>0</v>
      </c>
      <c r="AY23" s="539">
        <v>60.666666666666686</v>
      </c>
      <c r="AZ23" s="540">
        <f t="shared" si="15"/>
        <v>1.2058330517514397</v>
      </c>
      <c r="BA23" s="541">
        <f t="shared" si="127"/>
        <v>0</v>
      </c>
      <c r="BB23" s="539">
        <v>0</v>
      </c>
      <c r="BC23" s="540">
        <f t="shared" si="16"/>
        <v>0</v>
      </c>
      <c r="BD23" s="541">
        <f t="shared" si="128"/>
        <v>0</v>
      </c>
      <c r="BE23" s="539"/>
      <c r="BF23" s="540">
        <f t="shared" si="17"/>
        <v>0</v>
      </c>
      <c r="BG23" s="541">
        <f t="shared" si="129"/>
        <v>0</v>
      </c>
      <c r="BH23" s="539"/>
      <c r="BI23" s="540">
        <f t="shared" si="18"/>
        <v>0</v>
      </c>
      <c r="BJ23" s="541">
        <f t="shared" si="130"/>
        <v>0</v>
      </c>
      <c r="BK23" s="539"/>
      <c r="BL23" s="540">
        <f t="shared" si="19"/>
        <v>0</v>
      </c>
      <c r="BM23" s="541">
        <f t="shared" si="131"/>
        <v>0</v>
      </c>
      <c r="BN23" s="539">
        <v>2.5308641975308319</v>
      </c>
      <c r="BO23" s="540">
        <f t="shared" si="20"/>
        <v>5.0304390640830671E-2</v>
      </c>
      <c r="BP23" s="541">
        <f t="shared" si="132"/>
        <v>0</v>
      </c>
      <c r="BQ23" s="539">
        <v>0</v>
      </c>
      <c r="BR23" s="540">
        <f t="shared" si="21"/>
        <v>0</v>
      </c>
      <c r="BS23" s="541">
        <f t="shared" si="133"/>
        <v>0</v>
      </c>
      <c r="BT23" s="539"/>
      <c r="BU23" s="540">
        <f t="shared" si="22"/>
        <v>0</v>
      </c>
      <c r="BV23" s="541">
        <f t="shared" si="134"/>
        <v>0</v>
      </c>
      <c r="BW23" s="539">
        <v>0</v>
      </c>
      <c r="BX23" s="540">
        <f t="shared" si="23"/>
        <v>0</v>
      </c>
      <c r="BY23" s="541">
        <f t="shared" si="135"/>
        <v>0</v>
      </c>
      <c r="BZ23" s="539">
        <v>0</v>
      </c>
      <c r="CA23" s="540">
        <f t="shared" si="24"/>
        <v>0</v>
      </c>
      <c r="CB23" s="541">
        <f t="shared" si="136"/>
        <v>0</v>
      </c>
      <c r="CC23" s="539">
        <v>0</v>
      </c>
      <c r="CD23" s="540">
        <f t="shared" si="25"/>
        <v>0</v>
      </c>
      <c r="CE23" s="541">
        <f t="shared" si="137"/>
        <v>0</v>
      </c>
      <c r="CF23" s="539">
        <v>9.9999999999999978E-2</v>
      </c>
      <c r="CG23" s="540">
        <f t="shared" si="26"/>
        <v>1.9876368984913829E-3</v>
      </c>
      <c r="CH23" s="541">
        <f t="shared" si="138"/>
        <v>0</v>
      </c>
      <c r="CI23" s="539">
        <v>0</v>
      </c>
      <c r="CJ23" s="540">
        <f t="shared" si="27"/>
        <v>0</v>
      </c>
      <c r="CK23" s="541">
        <f t="shared" si="139"/>
        <v>0</v>
      </c>
      <c r="CL23" s="539"/>
      <c r="CM23" s="540">
        <f t="shared" si="28"/>
        <v>0</v>
      </c>
      <c r="CN23" s="541">
        <f t="shared" si="140"/>
        <v>0</v>
      </c>
      <c r="CO23" s="539"/>
      <c r="CP23" s="540">
        <f t="shared" si="29"/>
        <v>0</v>
      </c>
      <c r="CQ23" s="541">
        <f t="shared" si="141"/>
        <v>0</v>
      </c>
      <c r="CR23" s="539"/>
      <c r="CS23" s="540">
        <f t="shared" si="30"/>
        <v>0</v>
      </c>
      <c r="CT23" s="541">
        <f t="shared" si="142"/>
        <v>0</v>
      </c>
      <c r="CU23" s="539"/>
      <c r="CV23" s="540">
        <f t="shared" si="31"/>
        <v>0</v>
      </c>
      <c r="CW23" s="541">
        <f t="shared" si="143"/>
        <v>0</v>
      </c>
      <c r="CX23" s="539"/>
      <c r="CY23" s="540">
        <f t="shared" si="32"/>
        <v>0</v>
      </c>
      <c r="CZ23" s="541">
        <f t="shared" si="144"/>
        <v>0</v>
      </c>
      <c r="DA23" s="539"/>
      <c r="DB23" s="540">
        <f t="shared" si="33"/>
        <v>0</v>
      </c>
      <c r="DC23" s="541">
        <f t="shared" si="145"/>
        <v>0</v>
      </c>
      <c r="DD23" s="539"/>
      <c r="DE23" s="540">
        <f t="shared" si="34"/>
        <v>0</v>
      </c>
      <c r="DF23" s="541">
        <f t="shared" si="146"/>
        <v>0</v>
      </c>
      <c r="DG23" s="539">
        <v>0</v>
      </c>
      <c r="DH23" s="540">
        <f t="shared" si="35"/>
        <v>0</v>
      </c>
      <c r="DI23" s="541">
        <f t="shared" si="203"/>
        <v>0</v>
      </c>
      <c r="DJ23" s="539"/>
      <c r="DK23" s="540">
        <f t="shared" si="36"/>
        <v>0</v>
      </c>
      <c r="DL23" s="541">
        <f t="shared" si="147"/>
        <v>0</v>
      </c>
      <c r="DM23" s="539"/>
      <c r="DN23" s="540">
        <f t="shared" si="37"/>
        <v>0</v>
      </c>
      <c r="DO23" s="541">
        <f t="shared" si="148"/>
        <v>0</v>
      </c>
      <c r="DP23" s="539"/>
      <c r="DQ23" s="540">
        <f t="shared" si="38"/>
        <v>0</v>
      </c>
      <c r="DR23" s="541">
        <f t="shared" si="149"/>
        <v>0</v>
      </c>
      <c r="DS23" s="539"/>
      <c r="DT23" s="540">
        <f t="shared" si="39"/>
        <v>0</v>
      </c>
      <c r="DU23" s="541">
        <f t="shared" si="150"/>
        <v>0</v>
      </c>
      <c r="DV23" s="539"/>
      <c r="DW23" s="540">
        <f t="shared" si="40"/>
        <v>0</v>
      </c>
      <c r="DX23" s="541">
        <f t="shared" si="151"/>
        <v>0</v>
      </c>
      <c r="DY23" s="539"/>
      <c r="DZ23" s="540">
        <f t="shared" si="41"/>
        <v>0</v>
      </c>
      <c r="EA23" s="541">
        <f t="shared" si="152"/>
        <v>0</v>
      </c>
      <c r="EB23" s="539">
        <v>14.534883720930225</v>
      </c>
      <c r="EC23" s="540">
        <f t="shared" si="42"/>
        <v>0.28890071199002654</v>
      </c>
      <c r="ED23" s="541">
        <f t="shared" si="153"/>
        <v>0</v>
      </c>
      <c r="EE23" s="539">
        <v>2</v>
      </c>
      <c r="EF23" s="540">
        <f t="shared" si="43"/>
        <v>3.9752737969827673E-2</v>
      </c>
      <c r="EG23" s="541">
        <f t="shared" si="154"/>
        <v>0</v>
      </c>
      <c r="EH23" s="539"/>
      <c r="EI23" s="540">
        <f t="shared" si="44"/>
        <v>0</v>
      </c>
      <c r="EJ23" s="541">
        <f t="shared" si="155"/>
        <v>0</v>
      </c>
      <c r="EK23" s="539"/>
      <c r="EL23" s="540">
        <f t="shared" si="45"/>
        <v>0</v>
      </c>
      <c r="EM23" s="541">
        <f t="shared" si="156"/>
        <v>0</v>
      </c>
      <c r="EN23" s="539"/>
      <c r="EO23" s="540">
        <f t="shared" si="46"/>
        <v>0</v>
      </c>
      <c r="EP23" s="541">
        <f t="shared" si="157"/>
        <v>0</v>
      </c>
      <c r="EQ23" s="539"/>
      <c r="ER23" s="540">
        <f t="shared" si="47"/>
        <v>0</v>
      </c>
      <c r="ES23" s="541">
        <f t="shared" si="158"/>
        <v>0</v>
      </c>
      <c r="ET23" s="539"/>
      <c r="EU23" s="540">
        <f t="shared" si="48"/>
        <v>0</v>
      </c>
      <c r="EV23" s="541">
        <f t="shared" si="159"/>
        <v>0</v>
      </c>
      <c r="EW23" s="539"/>
      <c r="EX23" s="540">
        <f t="shared" si="49"/>
        <v>0</v>
      </c>
      <c r="EY23" s="541">
        <f t="shared" si="160"/>
        <v>0</v>
      </c>
      <c r="EZ23" s="539"/>
      <c r="FA23" s="540">
        <f t="shared" si="50"/>
        <v>0</v>
      </c>
      <c r="FB23" s="541">
        <f t="shared" si="161"/>
        <v>0</v>
      </c>
      <c r="FC23" s="539"/>
      <c r="FD23" s="540">
        <f t="shared" si="51"/>
        <v>0</v>
      </c>
      <c r="FE23" s="541">
        <f t="shared" si="162"/>
        <v>0</v>
      </c>
      <c r="FF23" s="539"/>
      <c r="FG23" s="540">
        <f t="shared" si="52"/>
        <v>0</v>
      </c>
      <c r="FH23" s="541">
        <f t="shared" si="163"/>
        <v>0</v>
      </c>
      <c r="FI23" s="539"/>
      <c r="FJ23" s="540">
        <f t="shared" si="53"/>
        <v>0</v>
      </c>
      <c r="FK23" s="541">
        <f t="shared" si="164"/>
        <v>0</v>
      </c>
      <c r="FL23" s="539"/>
      <c r="FM23" s="540">
        <f t="shared" si="54"/>
        <v>0</v>
      </c>
      <c r="FN23" s="541">
        <f t="shared" si="165"/>
        <v>0</v>
      </c>
      <c r="FO23" s="539"/>
      <c r="FP23" s="540">
        <f t="shared" si="55"/>
        <v>0</v>
      </c>
      <c r="FQ23" s="541">
        <f t="shared" si="166"/>
        <v>0</v>
      </c>
      <c r="FR23" s="539"/>
      <c r="FS23" s="540">
        <f t="shared" si="56"/>
        <v>0</v>
      </c>
      <c r="FT23" s="541">
        <f t="shared" si="167"/>
        <v>0</v>
      </c>
      <c r="FU23" s="539"/>
      <c r="FV23" s="540">
        <f t="shared" si="57"/>
        <v>0</v>
      </c>
      <c r="FW23" s="541">
        <f t="shared" si="168"/>
        <v>0</v>
      </c>
      <c r="FX23" s="539"/>
      <c r="FY23" s="540">
        <f t="shared" si="58"/>
        <v>0</v>
      </c>
      <c r="FZ23" s="541">
        <f t="shared" si="169"/>
        <v>0</v>
      </c>
      <c r="GA23" s="539"/>
      <c r="GB23" s="540">
        <f t="shared" si="59"/>
        <v>0</v>
      </c>
      <c r="GC23" s="541">
        <f t="shared" si="170"/>
        <v>0</v>
      </c>
      <c r="GD23" s="539"/>
      <c r="GE23" s="540">
        <f t="shared" si="60"/>
        <v>0</v>
      </c>
      <c r="GF23" s="541">
        <f t="shared" si="171"/>
        <v>0</v>
      </c>
      <c r="GG23" s="539"/>
      <c r="GH23" s="540">
        <f t="shared" si="61"/>
        <v>0</v>
      </c>
      <c r="GI23" s="541">
        <f t="shared" si="172"/>
        <v>0</v>
      </c>
      <c r="GJ23" s="539"/>
      <c r="GK23" s="540">
        <f t="shared" si="62"/>
        <v>0</v>
      </c>
      <c r="GL23" s="541">
        <f t="shared" si="173"/>
        <v>0</v>
      </c>
      <c r="GM23" s="539"/>
      <c r="GN23" s="540">
        <f t="shared" si="63"/>
        <v>0</v>
      </c>
      <c r="GO23" s="541">
        <f t="shared" si="174"/>
        <v>0</v>
      </c>
      <c r="GP23" s="539"/>
      <c r="GQ23" s="540">
        <f t="shared" si="64"/>
        <v>0</v>
      </c>
      <c r="GR23" s="541">
        <f t="shared" si="175"/>
        <v>0</v>
      </c>
      <c r="GS23" s="539"/>
      <c r="GT23" s="540">
        <f t="shared" si="65"/>
        <v>0</v>
      </c>
      <c r="GU23" s="541">
        <f t="shared" si="176"/>
        <v>0</v>
      </c>
      <c r="GV23" s="539"/>
      <c r="GW23" s="540">
        <f t="shared" si="66"/>
        <v>0</v>
      </c>
      <c r="GX23" s="541">
        <f t="shared" si="177"/>
        <v>0</v>
      </c>
      <c r="GY23" s="539"/>
      <c r="GZ23" s="540">
        <f t="shared" si="67"/>
        <v>0</v>
      </c>
      <c r="HA23" s="541">
        <f t="shared" si="178"/>
        <v>0</v>
      </c>
      <c r="HB23" s="539"/>
      <c r="HC23" s="540">
        <f t="shared" si="68"/>
        <v>0</v>
      </c>
      <c r="HD23" s="541">
        <f t="shared" si="179"/>
        <v>0</v>
      </c>
      <c r="HE23" s="539"/>
      <c r="HF23" s="540">
        <f t="shared" si="69"/>
        <v>0</v>
      </c>
      <c r="HG23" s="541">
        <f t="shared" si="180"/>
        <v>0</v>
      </c>
      <c r="HH23" s="539"/>
      <c r="HI23" s="540">
        <f t="shared" si="70"/>
        <v>0</v>
      </c>
      <c r="HJ23" s="541">
        <f t="shared" si="181"/>
        <v>0</v>
      </c>
      <c r="HK23" s="539"/>
      <c r="HL23" s="540">
        <f t="shared" si="71"/>
        <v>0</v>
      </c>
      <c r="HM23" s="541">
        <f t="shared" si="182"/>
        <v>0</v>
      </c>
      <c r="HN23" s="539"/>
      <c r="HO23" s="540">
        <f t="shared" si="72"/>
        <v>0</v>
      </c>
      <c r="HP23" s="541">
        <f t="shared" si="183"/>
        <v>0</v>
      </c>
      <c r="HQ23" s="539"/>
      <c r="HR23" s="540">
        <f t="shared" si="73"/>
        <v>0</v>
      </c>
      <c r="HS23" s="541">
        <f t="shared" si="184"/>
        <v>0</v>
      </c>
      <c r="HT23" s="539"/>
      <c r="HU23" s="540">
        <f t="shared" si="74"/>
        <v>0</v>
      </c>
      <c r="HV23" s="541">
        <f t="shared" si="185"/>
        <v>0</v>
      </c>
      <c r="HW23" s="539"/>
      <c r="HX23" s="540">
        <f t="shared" si="75"/>
        <v>0</v>
      </c>
      <c r="HY23" s="541">
        <f t="shared" si="186"/>
        <v>0</v>
      </c>
      <c r="HZ23" s="539"/>
      <c r="IA23" s="540">
        <f t="shared" si="76"/>
        <v>0</v>
      </c>
      <c r="IB23" s="541">
        <f t="shared" si="187"/>
        <v>0</v>
      </c>
      <c r="IC23" s="539"/>
      <c r="ID23" s="540">
        <f t="shared" si="77"/>
        <v>0</v>
      </c>
      <c r="IE23" s="541">
        <f t="shared" si="188"/>
        <v>0</v>
      </c>
      <c r="IF23" s="539"/>
      <c r="IG23" s="540">
        <f t="shared" si="78"/>
        <v>0</v>
      </c>
      <c r="IH23" s="541">
        <f t="shared" si="189"/>
        <v>0</v>
      </c>
      <c r="II23" s="539"/>
      <c r="IJ23" s="540">
        <f t="shared" si="79"/>
        <v>0</v>
      </c>
      <c r="IK23" s="541">
        <f t="shared" si="190"/>
        <v>0</v>
      </c>
      <c r="IL23" s="539"/>
      <c r="IM23" s="540">
        <f t="shared" si="80"/>
        <v>0</v>
      </c>
      <c r="IN23" s="541">
        <f t="shared" si="191"/>
        <v>0</v>
      </c>
      <c r="IO23" s="539"/>
      <c r="IP23" s="540">
        <f t="shared" si="81"/>
        <v>0</v>
      </c>
      <c r="IQ23" s="541">
        <f t="shared" si="192"/>
        <v>0</v>
      </c>
      <c r="IR23" s="539"/>
      <c r="IS23" s="540">
        <f t="shared" si="82"/>
        <v>0</v>
      </c>
      <c r="IT23" s="541">
        <f t="shared" si="193"/>
        <v>0</v>
      </c>
      <c r="IU23" s="539"/>
      <c r="IV23" s="540">
        <f t="shared" si="83"/>
        <v>0</v>
      </c>
      <c r="IW23" s="541">
        <f t="shared" si="194"/>
        <v>0</v>
      </c>
      <c r="IX23" s="539"/>
      <c r="IY23" s="540">
        <f t="shared" si="84"/>
        <v>0</v>
      </c>
      <c r="IZ23" s="541">
        <f t="shared" si="195"/>
        <v>0</v>
      </c>
      <c r="JA23" s="539"/>
      <c r="JB23" s="540">
        <f t="shared" si="85"/>
        <v>0</v>
      </c>
      <c r="JC23" s="541">
        <f t="shared" si="196"/>
        <v>0</v>
      </c>
      <c r="JD23" s="539"/>
      <c r="JE23" s="540">
        <f t="shared" si="86"/>
        <v>0</v>
      </c>
      <c r="JF23" s="541">
        <f t="shared" si="197"/>
        <v>0</v>
      </c>
      <c r="JG23" s="539"/>
      <c r="JH23" s="540">
        <f t="shared" si="87"/>
        <v>0</v>
      </c>
      <c r="JI23" s="541">
        <f t="shared" si="198"/>
        <v>0</v>
      </c>
      <c r="JJ23" s="539"/>
      <c r="JK23" s="541" t="str">
        <f t="shared" si="88"/>
        <v>0</v>
      </c>
      <c r="JL23" s="541" t="str">
        <f t="shared" si="89"/>
        <v>0</v>
      </c>
      <c r="JM23" s="539"/>
      <c r="JN23" s="541" t="str">
        <f t="shared" si="90"/>
        <v>0</v>
      </c>
      <c r="JO23" s="541" t="str">
        <f t="shared" si="91"/>
        <v>0</v>
      </c>
      <c r="JP23" s="539"/>
      <c r="JQ23" s="541" t="str">
        <f t="shared" si="92"/>
        <v>0</v>
      </c>
      <c r="JR23" s="541" t="str">
        <f t="shared" si="93"/>
        <v>0</v>
      </c>
      <c r="JS23" s="539"/>
      <c r="JT23" s="541" t="str">
        <f t="shared" si="94"/>
        <v>0</v>
      </c>
      <c r="JU23" s="541" t="str">
        <f t="shared" si="95"/>
        <v>0</v>
      </c>
      <c r="JV23" s="539"/>
      <c r="JW23" s="541" t="str">
        <f t="shared" si="96"/>
        <v>0</v>
      </c>
      <c r="JX23" s="541" t="str">
        <f t="shared" si="97"/>
        <v>0</v>
      </c>
      <c r="JY23" s="539"/>
      <c r="JZ23" s="541" t="str">
        <f t="shared" si="98"/>
        <v>0</v>
      </c>
      <c r="KA23" s="541" t="str">
        <f t="shared" si="99"/>
        <v>0</v>
      </c>
      <c r="KB23" s="539"/>
      <c r="KC23" s="541" t="str">
        <f t="shared" si="100"/>
        <v>0</v>
      </c>
      <c r="KD23" s="541" t="str">
        <f t="shared" si="101"/>
        <v>0</v>
      </c>
      <c r="KE23" s="539"/>
      <c r="KF23" s="541" t="str">
        <f t="shared" si="102"/>
        <v>0</v>
      </c>
      <c r="KG23" s="541" t="str">
        <f t="shared" si="103"/>
        <v>0</v>
      </c>
      <c r="KH23" s="539"/>
      <c r="KI23" s="541" t="str">
        <f t="shared" si="104"/>
        <v>0</v>
      </c>
      <c r="KJ23" s="541" t="str">
        <f t="shared" si="105"/>
        <v>0</v>
      </c>
      <c r="KK23" s="539"/>
      <c r="KL23" s="541" t="str">
        <f t="shared" si="106"/>
        <v>0</v>
      </c>
      <c r="KM23" s="541" t="str">
        <f t="shared" si="107"/>
        <v>0</v>
      </c>
      <c r="KN23" s="539"/>
      <c r="KO23" s="541" t="str">
        <f t="shared" si="108"/>
        <v>0</v>
      </c>
      <c r="KP23" s="541" t="str">
        <f t="shared" si="109"/>
        <v>0</v>
      </c>
      <c r="KQ23" s="539"/>
      <c r="KR23" s="541" t="str">
        <f t="shared" si="110"/>
        <v>0</v>
      </c>
      <c r="KS23" s="541" t="str">
        <f t="shared" si="111"/>
        <v>0</v>
      </c>
      <c r="KT23" s="541">
        <f t="shared" si="201"/>
        <v>0</v>
      </c>
      <c r="KU23" s="541">
        <f t="shared" si="202"/>
        <v>0</v>
      </c>
      <c r="KV23" s="275">
        <f t="shared" si="199"/>
        <v>365.92846992807739</v>
      </c>
      <c r="KW23" s="275"/>
    </row>
    <row r="24" spans="1:309" ht="15" customHeight="1">
      <c r="A24" s="277">
        <f t="shared" si="200"/>
        <v>45854</v>
      </c>
      <c r="B24" s="278" t="str">
        <f>+Report1!B24</f>
        <v>Facial</v>
      </c>
      <c r="C24" s="418" t="str">
        <f>+Report1!C24</f>
        <v>10,3</v>
      </c>
      <c r="D24" s="279">
        <f>+Report1!P24</f>
        <v>53.582999999999998</v>
      </c>
      <c r="E24" s="280">
        <f>+Report1!R24</f>
        <v>53.802999999999997</v>
      </c>
      <c r="F24" s="539"/>
      <c r="G24" s="540">
        <f t="shared" si="0"/>
        <v>0</v>
      </c>
      <c r="H24" s="541">
        <f t="shared" si="112"/>
        <v>0</v>
      </c>
      <c r="I24" s="539">
        <v>325.58139534883708</v>
      </c>
      <c r="J24" s="540">
        <f t="shared" si="1"/>
        <v>6.0513613617983584</v>
      </c>
      <c r="K24" s="541">
        <f t="shared" si="113"/>
        <v>0</v>
      </c>
      <c r="L24" s="539"/>
      <c r="M24" s="540">
        <f t="shared" si="2"/>
        <v>0</v>
      </c>
      <c r="N24" s="541">
        <f t="shared" si="114"/>
        <v>0</v>
      </c>
      <c r="O24" s="539">
        <v>6</v>
      </c>
      <c r="P24" s="540">
        <f t="shared" si="3"/>
        <v>0.11151794509599837</v>
      </c>
      <c r="Q24" s="541">
        <f t="shared" si="115"/>
        <v>0</v>
      </c>
      <c r="R24" s="539"/>
      <c r="S24" s="540">
        <f t="shared" si="4"/>
        <v>0</v>
      </c>
      <c r="T24" s="541">
        <f t="shared" si="116"/>
        <v>0</v>
      </c>
      <c r="U24" s="539">
        <v>5.1250000000000284</v>
      </c>
      <c r="V24" s="540">
        <f t="shared" si="5"/>
        <v>9.5254911436165809E-2</v>
      </c>
      <c r="W24" s="541">
        <f t="shared" si="117"/>
        <v>0</v>
      </c>
      <c r="X24" s="539"/>
      <c r="Y24" s="540">
        <f t="shared" si="6"/>
        <v>0</v>
      </c>
      <c r="Z24" s="541">
        <f t="shared" si="118"/>
        <v>0</v>
      </c>
      <c r="AA24" s="539"/>
      <c r="AB24" s="540">
        <f t="shared" si="7"/>
        <v>0</v>
      </c>
      <c r="AC24" s="541">
        <f t="shared" si="119"/>
        <v>0</v>
      </c>
      <c r="AD24" s="539"/>
      <c r="AE24" s="540">
        <f t="shared" si="8"/>
        <v>0</v>
      </c>
      <c r="AF24" s="541">
        <f t="shared" si="120"/>
        <v>0</v>
      </c>
      <c r="AG24" s="539"/>
      <c r="AH24" s="540">
        <f t="shared" si="9"/>
        <v>0</v>
      </c>
      <c r="AI24" s="541">
        <f t="shared" si="121"/>
        <v>0</v>
      </c>
      <c r="AJ24" s="539">
        <v>29.375</v>
      </c>
      <c r="AK24" s="540">
        <f t="shared" si="10"/>
        <v>0.54597327286582531</v>
      </c>
      <c r="AL24" s="541">
        <f t="shared" si="122"/>
        <v>0</v>
      </c>
      <c r="AM24" s="539"/>
      <c r="AN24" s="540">
        <f t="shared" si="11"/>
        <v>0</v>
      </c>
      <c r="AO24" s="541">
        <f t="shared" si="123"/>
        <v>0</v>
      </c>
      <c r="AP24" s="539">
        <v>48.417721518987378</v>
      </c>
      <c r="AQ24" s="540">
        <f t="shared" si="12"/>
        <v>0.8999074683379622</v>
      </c>
      <c r="AR24" s="541">
        <f t="shared" si="124"/>
        <v>0</v>
      </c>
      <c r="AS24" s="539"/>
      <c r="AT24" s="540">
        <f t="shared" si="13"/>
        <v>0</v>
      </c>
      <c r="AU24" s="541">
        <f t="shared" si="125"/>
        <v>0</v>
      </c>
      <c r="AV24" s="539">
        <v>2.7749999999999915</v>
      </c>
      <c r="AW24" s="540">
        <f t="shared" si="14"/>
        <v>5.1577049606899086E-2</v>
      </c>
      <c r="AX24" s="541">
        <f t="shared" si="126"/>
        <v>0</v>
      </c>
      <c r="AY24" s="539">
        <v>58.333333333333343</v>
      </c>
      <c r="AZ24" s="540">
        <f t="shared" si="15"/>
        <v>1.0842022439888732</v>
      </c>
      <c r="BA24" s="541">
        <f t="shared" si="127"/>
        <v>0</v>
      </c>
      <c r="BB24" s="539">
        <v>0</v>
      </c>
      <c r="BC24" s="540">
        <f t="shared" si="16"/>
        <v>0</v>
      </c>
      <c r="BD24" s="541">
        <f t="shared" si="128"/>
        <v>0</v>
      </c>
      <c r="BE24" s="539"/>
      <c r="BF24" s="540">
        <f t="shared" si="17"/>
        <v>0</v>
      </c>
      <c r="BG24" s="541">
        <f t="shared" si="129"/>
        <v>0</v>
      </c>
      <c r="BH24" s="539"/>
      <c r="BI24" s="540">
        <f t="shared" si="18"/>
        <v>0</v>
      </c>
      <c r="BJ24" s="541">
        <f t="shared" si="130"/>
        <v>0</v>
      </c>
      <c r="BK24" s="539"/>
      <c r="BL24" s="540">
        <f t="shared" si="19"/>
        <v>0</v>
      </c>
      <c r="BM24" s="541">
        <f t="shared" si="131"/>
        <v>0</v>
      </c>
      <c r="BN24" s="539">
        <v>2.5308641975308888</v>
      </c>
      <c r="BO24" s="540">
        <f t="shared" si="20"/>
        <v>4.7039462437612936E-2</v>
      </c>
      <c r="BP24" s="541">
        <f t="shared" si="132"/>
        <v>0</v>
      </c>
      <c r="BQ24" s="539">
        <v>0</v>
      </c>
      <c r="BR24" s="540">
        <f t="shared" si="21"/>
        <v>0</v>
      </c>
      <c r="BS24" s="541">
        <f t="shared" si="133"/>
        <v>0</v>
      </c>
      <c r="BT24" s="539"/>
      <c r="BU24" s="540">
        <f t="shared" si="22"/>
        <v>0</v>
      </c>
      <c r="BV24" s="541">
        <f t="shared" si="134"/>
        <v>0</v>
      </c>
      <c r="BW24" s="539">
        <v>0</v>
      </c>
      <c r="BX24" s="540">
        <f t="shared" si="23"/>
        <v>0</v>
      </c>
      <c r="BY24" s="541">
        <f t="shared" si="135"/>
        <v>0</v>
      </c>
      <c r="BZ24" s="539">
        <v>0</v>
      </c>
      <c r="CA24" s="540">
        <f t="shared" si="24"/>
        <v>0</v>
      </c>
      <c r="CB24" s="541">
        <f t="shared" si="136"/>
        <v>0</v>
      </c>
      <c r="CC24" s="539">
        <v>0</v>
      </c>
      <c r="CD24" s="540">
        <f t="shared" si="25"/>
        <v>0</v>
      </c>
      <c r="CE24" s="541">
        <f t="shared" si="137"/>
        <v>0</v>
      </c>
      <c r="CF24" s="539">
        <v>0.10000000000000003</v>
      </c>
      <c r="CG24" s="540">
        <f t="shared" si="26"/>
        <v>1.8586324182666401E-3</v>
      </c>
      <c r="CH24" s="541">
        <f t="shared" si="138"/>
        <v>0</v>
      </c>
      <c r="CI24" s="539">
        <v>0</v>
      </c>
      <c r="CJ24" s="540">
        <f t="shared" si="27"/>
        <v>0</v>
      </c>
      <c r="CK24" s="541">
        <f t="shared" si="139"/>
        <v>0</v>
      </c>
      <c r="CL24" s="539"/>
      <c r="CM24" s="540">
        <f t="shared" si="28"/>
        <v>0</v>
      </c>
      <c r="CN24" s="541">
        <f t="shared" si="140"/>
        <v>0</v>
      </c>
      <c r="CO24" s="539"/>
      <c r="CP24" s="540">
        <f t="shared" si="29"/>
        <v>0</v>
      </c>
      <c r="CQ24" s="541">
        <f t="shared" si="141"/>
        <v>0</v>
      </c>
      <c r="CR24" s="539"/>
      <c r="CS24" s="540">
        <f t="shared" si="30"/>
        <v>0</v>
      </c>
      <c r="CT24" s="541">
        <f t="shared" si="142"/>
        <v>0</v>
      </c>
      <c r="CU24" s="539"/>
      <c r="CV24" s="540">
        <f t="shared" si="31"/>
        <v>0</v>
      </c>
      <c r="CW24" s="541">
        <f t="shared" si="143"/>
        <v>0</v>
      </c>
      <c r="CX24" s="539"/>
      <c r="CY24" s="540">
        <f t="shared" si="32"/>
        <v>0</v>
      </c>
      <c r="CZ24" s="541">
        <f t="shared" si="144"/>
        <v>0</v>
      </c>
      <c r="DA24" s="539"/>
      <c r="DB24" s="540">
        <f t="shared" si="33"/>
        <v>0</v>
      </c>
      <c r="DC24" s="541">
        <f t="shared" si="145"/>
        <v>0</v>
      </c>
      <c r="DD24" s="539"/>
      <c r="DE24" s="540">
        <f t="shared" si="34"/>
        <v>0</v>
      </c>
      <c r="DF24" s="541">
        <f t="shared" si="146"/>
        <v>0</v>
      </c>
      <c r="DG24" s="539">
        <v>0</v>
      </c>
      <c r="DH24" s="540">
        <f t="shared" si="35"/>
        <v>0</v>
      </c>
      <c r="DI24" s="541">
        <f t="shared" si="203"/>
        <v>0</v>
      </c>
      <c r="DJ24" s="539"/>
      <c r="DK24" s="540">
        <f t="shared" si="36"/>
        <v>0</v>
      </c>
      <c r="DL24" s="541">
        <f t="shared" si="147"/>
        <v>0</v>
      </c>
      <c r="DM24" s="539"/>
      <c r="DN24" s="540">
        <f t="shared" si="37"/>
        <v>0</v>
      </c>
      <c r="DO24" s="541">
        <f t="shared" si="148"/>
        <v>0</v>
      </c>
      <c r="DP24" s="539"/>
      <c r="DQ24" s="540">
        <f t="shared" si="38"/>
        <v>0</v>
      </c>
      <c r="DR24" s="541">
        <f t="shared" si="149"/>
        <v>0</v>
      </c>
      <c r="DS24" s="539"/>
      <c r="DT24" s="540">
        <f t="shared" si="39"/>
        <v>0</v>
      </c>
      <c r="DU24" s="541">
        <f t="shared" si="150"/>
        <v>0</v>
      </c>
      <c r="DV24" s="539"/>
      <c r="DW24" s="540">
        <f t="shared" si="40"/>
        <v>0</v>
      </c>
      <c r="DX24" s="541">
        <f t="shared" si="151"/>
        <v>0</v>
      </c>
      <c r="DY24" s="539"/>
      <c r="DZ24" s="540">
        <f t="shared" si="41"/>
        <v>0</v>
      </c>
      <c r="EA24" s="541">
        <f t="shared" si="152"/>
        <v>0</v>
      </c>
      <c r="EB24" s="539">
        <v>29.069767441860449</v>
      </c>
      <c r="EC24" s="540">
        <f t="shared" si="42"/>
        <v>0.54030012158913909</v>
      </c>
      <c r="ED24" s="541">
        <f t="shared" si="153"/>
        <v>0</v>
      </c>
      <c r="EE24" s="539">
        <v>2</v>
      </c>
      <c r="EF24" s="540">
        <f t="shared" si="43"/>
        <v>3.7172648365332787E-2</v>
      </c>
      <c r="EG24" s="541">
        <f t="shared" si="154"/>
        <v>0</v>
      </c>
      <c r="EH24" s="539"/>
      <c r="EI24" s="540">
        <f t="shared" si="44"/>
        <v>0</v>
      </c>
      <c r="EJ24" s="541">
        <f t="shared" si="155"/>
        <v>0</v>
      </c>
      <c r="EK24" s="539"/>
      <c r="EL24" s="540">
        <f t="shared" si="45"/>
        <v>0</v>
      </c>
      <c r="EM24" s="541">
        <f t="shared" si="156"/>
        <v>0</v>
      </c>
      <c r="EN24" s="539"/>
      <c r="EO24" s="540">
        <f t="shared" si="46"/>
        <v>0</v>
      </c>
      <c r="EP24" s="541">
        <f t="shared" si="157"/>
        <v>0</v>
      </c>
      <c r="EQ24" s="539"/>
      <c r="ER24" s="540">
        <f t="shared" si="47"/>
        <v>0</v>
      </c>
      <c r="ES24" s="541">
        <f t="shared" si="158"/>
        <v>0</v>
      </c>
      <c r="ET24" s="539"/>
      <c r="EU24" s="540">
        <f t="shared" si="48"/>
        <v>0</v>
      </c>
      <c r="EV24" s="541">
        <f t="shared" si="159"/>
        <v>0</v>
      </c>
      <c r="EW24" s="539"/>
      <c r="EX24" s="540">
        <f t="shared" si="49"/>
        <v>0</v>
      </c>
      <c r="EY24" s="541">
        <f t="shared" si="160"/>
        <v>0</v>
      </c>
      <c r="EZ24" s="539"/>
      <c r="FA24" s="540">
        <f t="shared" si="50"/>
        <v>0</v>
      </c>
      <c r="FB24" s="541">
        <f t="shared" si="161"/>
        <v>0</v>
      </c>
      <c r="FC24" s="539"/>
      <c r="FD24" s="540">
        <f t="shared" si="51"/>
        <v>0</v>
      </c>
      <c r="FE24" s="541">
        <f t="shared" si="162"/>
        <v>0</v>
      </c>
      <c r="FF24" s="539"/>
      <c r="FG24" s="540">
        <f t="shared" si="52"/>
        <v>0</v>
      </c>
      <c r="FH24" s="541">
        <f t="shared" si="163"/>
        <v>0</v>
      </c>
      <c r="FI24" s="539"/>
      <c r="FJ24" s="540">
        <f t="shared" si="53"/>
        <v>0</v>
      </c>
      <c r="FK24" s="541">
        <f t="shared" si="164"/>
        <v>0</v>
      </c>
      <c r="FL24" s="539"/>
      <c r="FM24" s="540">
        <f t="shared" si="54"/>
        <v>0</v>
      </c>
      <c r="FN24" s="541">
        <f t="shared" si="165"/>
        <v>0</v>
      </c>
      <c r="FO24" s="539"/>
      <c r="FP24" s="540">
        <f t="shared" si="55"/>
        <v>0</v>
      </c>
      <c r="FQ24" s="541">
        <f t="shared" si="166"/>
        <v>0</v>
      </c>
      <c r="FR24" s="539"/>
      <c r="FS24" s="540">
        <f t="shared" si="56"/>
        <v>0</v>
      </c>
      <c r="FT24" s="541">
        <f t="shared" si="167"/>
        <v>0</v>
      </c>
      <c r="FU24" s="539"/>
      <c r="FV24" s="540">
        <f t="shared" si="57"/>
        <v>0</v>
      </c>
      <c r="FW24" s="541">
        <f t="shared" si="168"/>
        <v>0</v>
      </c>
      <c r="FX24" s="539"/>
      <c r="FY24" s="540">
        <f t="shared" si="58"/>
        <v>0</v>
      </c>
      <c r="FZ24" s="541">
        <f t="shared" si="169"/>
        <v>0</v>
      </c>
      <c r="GA24" s="539"/>
      <c r="GB24" s="540">
        <f t="shared" si="59"/>
        <v>0</v>
      </c>
      <c r="GC24" s="541">
        <f t="shared" si="170"/>
        <v>0</v>
      </c>
      <c r="GD24" s="539"/>
      <c r="GE24" s="540">
        <f t="shared" si="60"/>
        <v>0</v>
      </c>
      <c r="GF24" s="541">
        <f t="shared" si="171"/>
        <v>0</v>
      </c>
      <c r="GG24" s="539"/>
      <c r="GH24" s="540">
        <f t="shared" si="61"/>
        <v>0</v>
      </c>
      <c r="GI24" s="541">
        <f t="shared" si="172"/>
        <v>0</v>
      </c>
      <c r="GJ24" s="539"/>
      <c r="GK24" s="540">
        <f t="shared" si="62"/>
        <v>0</v>
      </c>
      <c r="GL24" s="541">
        <f t="shared" si="173"/>
        <v>0</v>
      </c>
      <c r="GM24" s="539"/>
      <c r="GN24" s="540">
        <f t="shared" si="63"/>
        <v>0</v>
      </c>
      <c r="GO24" s="541">
        <f t="shared" si="174"/>
        <v>0</v>
      </c>
      <c r="GP24" s="539"/>
      <c r="GQ24" s="540">
        <f t="shared" si="64"/>
        <v>0</v>
      </c>
      <c r="GR24" s="541">
        <f t="shared" si="175"/>
        <v>0</v>
      </c>
      <c r="GS24" s="539"/>
      <c r="GT24" s="540">
        <f t="shared" si="65"/>
        <v>0</v>
      </c>
      <c r="GU24" s="541">
        <f t="shared" si="176"/>
        <v>0</v>
      </c>
      <c r="GV24" s="539"/>
      <c r="GW24" s="540">
        <f t="shared" si="66"/>
        <v>0</v>
      </c>
      <c r="GX24" s="541">
        <f t="shared" si="177"/>
        <v>0</v>
      </c>
      <c r="GY24" s="539"/>
      <c r="GZ24" s="540">
        <f t="shared" si="67"/>
        <v>0</v>
      </c>
      <c r="HA24" s="541">
        <f t="shared" si="178"/>
        <v>0</v>
      </c>
      <c r="HB24" s="539"/>
      <c r="HC24" s="540">
        <f t="shared" si="68"/>
        <v>0</v>
      </c>
      <c r="HD24" s="541">
        <f t="shared" si="179"/>
        <v>0</v>
      </c>
      <c r="HE24" s="539"/>
      <c r="HF24" s="540">
        <f t="shared" si="69"/>
        <v>0</v>
      </c>
      <c r="HG24" s="541">
        <f t="shared" si="180"/>
        <v>0</v>
      </c>
      <c r="HH24" s="539"/>
      <c r="HI24" s="540">
        <f t="shared" si="70"/>
        <v>0</v>
      </c>
      <c r="HJ24" s="541">
        <f t="shared" si="181"/>
        <v>0</v>
      </c>
      <c r="HK24" s="539"/>
      <c r="HL24" s="540">
        <f t="shared" si="71"/>
        <v>0</v>
      </c>
      <c r="HM24" s="541">
        <f t="shared" si="182"/>
        <v>0</v>
      </c>
      <c r="HN24" s="539"/>
      <c r="HO24" s="540">
        <f t="shared" si="72"/>
        <v>0</v>
      </c>
      <c r="HP24" s="541">
        <f t="shared" si="183"/>
        <v>0</v>
      </c>
      <c r="HQ24" s="539"/>
      <c r="HR24" s="540">
        <f t="shared" si="73"/>
        <v>0</v>
      </c>
      <c r="HS24" s="541">
        <f t="shared" si="184"/>
        <v>0</v>
      </c>
      <c r="HT24" s="539"/>
      <c r="HU24" s="540">
        <f t="shared" si="74"/>
        <v>0</v>
      </c>
      <c r="HV24" s="541">
        <f t="shared" si="185"/>
        <v>0</v>
      </c>
      <c r="HW24" s="539"/>
      <c r="HX24" s="540">
        <f t="shared" si="75"/>
        <v>0</v>
      </c>
      <c r="HY24" s="541">
        <f t="shared" si="186"/>
        <v>0</v>
      </c>
      <c r="HZ24" s="539"/>
      <c r="IA24" s="540">
        <f t="shared" si="76"/>
        <v>0</v>
      </c>
      <c r="IB24" s="541">
        <f t="shared" si="187"/>
        <v>0</v>
      </c>
      <c r="IC24" s="539"/>
      <c r="ID24" s="540">
        <f t="shared" si="77"/>
        <v>0</v>
      </c>
      <c r="IE24" s="541">
        <f t="shared" si="188"/>
        <v>0</v>
      </c>
      <c r="IF24" s="539"/>
      <c r="IG24" s="540">
        <f t="shared" si="78"/>
        <v>0</v>
      </c>
      <c r="IH24" s="541">
        <f t="shared" si="189"/>
        <v>0</v>
      </c>
      <c r="II24" s="539"/>
      <c r="IJ24" s="540">
        <f t="shared" si="79"/>
        <v>0</v>
      </c>
      <c r="IK24" s="541">
        <f t="shared" si="190"/>
        <v>0</v>
      </c>
      <c r="IL24" s="539"/>
      <c r="IM24" s="540">
        <f t="shared" si="80"/>
        <v>0</v>
      </c>
      <c r="IN24" s="541">
        <f t="shared" si="191"/>
        <v>0</v>
      </c>
      <c r="IO24" s="539"/>
      <c r="IP24" s="540">
        <f t="shared" si="81"/>
        <v>0</v>
      </c>
      <c r="IQ24" s="541">
        <f t="shared" si="192"/>
        <v>0</v>
      </c>
      <c r="IR24" s="539"/>
      <c r="IS24" s="540">
        <f t="shared" si="82"/>
        <v>0</v>
      </c>
      <c r="IT24" s="541">
        <f t="shared" si="193"/>
        <v>0</v>
      </c>
      <c r="IU24" s="539"/>
      <c r="IV24" s="540">
        <f t="shared" si="83"/>
        <v>0</v>
      </c>
      <c r="IW24" s="541">
        <f t="shared" si="194"/>
        <v>0</v>
      </c>
      <c r="IX24" s="539"/>
      <c r="IY24" s="540">
        <f t="shared" si="84"/>
        <v>0</v>
      </c>
      <c r="IZ24" s="541">
        <f t="shared" si="195"/>
        <v>0</v>
      </c>
      <c r="JA24" s="539"/>
      <c r="JB24" s="540">
        <f t="shared" si="85"/>
        <v>0</v>
      </c>
      <c r="JC24" s="541">
        <f t="shared" si="196"/>
        <v>0</v>
      </c>
      <c r="JD24" s="539"/>
      <c r="JE24" s="540">
        <f t="shared" si="86"/>
        <v>0</v>
      </c>
      <c r="JF24" s="541">
        <f t="shared" si="197"/>
        <v>0</v>
      </c>
      <c r="JG24" s="539"/>
      <c r="JH24" s="540">
        <f t="shared" si="87"/>
        <v>0</v>
      </c>
      <c r="JI24" s="541">
        <f t="shared" si="198"/>
        <v>0</v>
      </c>
      <c r="JJ24" s="539"/>
      <c r="JK24" s="541" t="str">
        <f t="shared" si="88"/>
        <v>0</v>
      </c>
      <c r="JL24" s="541" t="str">
        <f t="shared" si="89"/>
        <v>0</v>
      </c>
      <c r="JM24" s="539"/>
      <c r="JN24" s="541" t="str">
        <f t="shared" si="90"/>
        <v>0</v>
      </c>
      <c r="JO24" s="541" t="str">
        <f t="shared" si="91"/>
        <v>0</v>
      </c>
      <c r="JP24" s="539"/>
      <c r="JQ24" s="541" t="str">
        <f t="shared" si="92"/>
        <v>0</v>
      </c>
      <c r="JR24" s="541" t="str">
        <f t="shared" si="93"/>
        <v>0</v>
      </c>
      <c r="JS24" s="539"/>
      <c r="JT24" s="541" t="str">
        <f t="shared" si="94"/>
        <v>0</v>
      </c>
      <c r="JU24" s="541" t="str">
        <f t="shared" si="95"/>
        <v>0</v>
      </c>
      <c r="JV24" s="539"/>
      <c r="JW24" s="541" t="str">
        <f t="shared" si="96"/>
        <v>0</v>
      </c>
      <c r="JX24" s="541" t="str">
        <f t="shared" si="97"/>
        <v>0</v>
      </c>
      <c r="JY24" s="539"/>
      <c r="JZ24" s="541" t="str">
        <f t="shared" si="98"/>
        <v>0</v>
      </c>
      <c r="KA24" s="541" t="str">
        <f t="shared" si="99"/>
        <v>0</v>
      </c>
      <c r="KB24" s="539"/>
      <c r="KC24" s="541" t="str">
        <f t="shared" si="100"/>
        <v>0</v>
      </c>
      <c r="KD24" s="541" t="str">
        <f t="shared" si="101"/>
        <v>0</v>
      </c>
      <c r="KE24" s="539"/>
      <c r="KF24" s="541" t="str">
        <f t="shared" si="102"/>
        <v>0</v>
      </c>
      <c r="KG24" s="541" t="str">
        <f t="shared" si="103"/>
        <v>0</v>
      </c>
      <c r="KH24" s="539"/>
      <c r="KI24" s="541" t="str">
        <f t="shared" si="104"/>
        <v>0</v>
      </c>
      <c r="KJ24" s="541" t="str">
        <f t="shared" si="105"/>
        <v>0</v>
      </c>
      <c r="KK24" s="539"/>
      <c r="KL24" s="541" t="str">
        <f t="shared" si="106"/>
        <v>0</v>
      </c>
      <c r="KM24" s="541" t="str">
        <f t="shared" si="107"/>
        <v>0</v>
      </c>
      <c r="KN24" s="539"/>
      <c r="KO24" s="541" t="str">
        <f t="shared" si="108"/>
        <v>0</v>
      </c>
      <c r="KP24" s="541" t="str">
        <f t="shared" si="109"/>
        <v>0</v>
      </c>
      <c r="KQ24" s="539"/>
      <c r="KR24" s="541" t="str">
        <f t="shared" si="110"/>
        <v>0</v>
      </c>
      <c r="KS24" s="541" t="str">
        <f t="shared" si="111"/>
        <v>0</v>
      </c>
      <c r="KT24" s="541">
        <f t="shared" si="201"/>
        <v>0</v>
      </c>
      <c r="KU24" s="541">
        <f t="shared" si="202"/>
        <v>0</v>
      </c>
      <c r="KV24" s="275">
        <f t="shared" si="199"/>
        <v>509.30808184054916</v>
      </c>
    </row>
    <row r="25" spans="1:309" ht="15" customHeight="1">
      <c r="A25" s="277">
        <f t="shared" si="200"/>
        <v>45855</v>
      </c>
      <c r="B25" s="278" t="str">
        <f>+Report1!B25</f>
        <v>Facial</v>
      </c>
      <c r="C25" s="418" t="str">
        <f>+Report1!C25</f>
        <v>10,3/11,5</v>
      </c>
      <c r="D25" s="279">
        <f>+Report1!P25</f>
        <v>54.313000000000002</v>
      </c>
      <c r="E25" s="280">
        <f>+Report1!R25</f>
        <v>54.225999999999999</v>
      </c>
      <c r="F25" s="539"/>
      <c r="G25" s="540">
        <f t="shared" si="0"/>
        <v>0</v>
      </c>
      <c r="H25" s="541">
        <f t="shared" si="112"/>
        <v>0</v>
      </c>
      <c r="I25" s="539">
        <v>395.34883720930259</v>
      </c>
      <c r="J25" s="540">
        <f t="shared" si="1"/>
        <v>7.2907615757994799</v>
      </c>
      <c r="K25" s="541">
        <f t="shared" si="113"/>
        <v>0</v>
      </c>
      <c r="L25" s="539"/>
      <c r="M25" s="540">
        <f t="shared" si="2"/>
        <v>0</v>
      </c>
      <c r="N25" s="541">
        <f t="shared" si="114"/>
        <v>0</v>
      </c>
      <c r="O25" s="539">
        <v>6</v>
      </c>
      <c r="P25" s="540">
        <f t="shared" si="3"/>
        <v>0.11064802862095674</v>
      </c>
      <c r="Q25" s="541">
        <f t="shared" si="115"/>
        <v>0</v>
      </c>
      <c r="R25" s="539"/>
      <c r="S25" s="540">
        <f t="shared" si="4"/>
        <v>0</v>
      </c>
      <c r="T25" s="541">
        <f t="shared" si="116"/>
        <v>0</v>
      </c>
      <c r="U25" s="539">
        <v>5.1249999999999716</v>
      </c>
      <c r="V25" s="540">
        <f t="shared" si="5"/>
        <v>9.4511857780400027E-2</v>
      </c>
      <c r="W25" s="541">
        <f t="shared" si="117"/>
        <v>0</v>
      </c>
      <c r="X25" s="539"/>
      <c r="Y25" s="540">
        <f t="shared" si="6"/>
        <v>0</v>
      </c>
      <c r="Z25" s="541">
        <f t="shared" si="118"/>
        <v>0</v>
      </c>
      <c r="AA25" s="539"/>
      <c r="AB25" s="540">
        <f t="shared" si="7"/>
        <v>0</v>
      </c>
      <c r="AC25" s="541">
        <f t="shared" si="119"/>
        <v>0</v>
      </c>
      <c r="AD25" s="539"/>
      <c r="AE25" s="540">
        <f t="shared" si="8"/>
        <v>0</v>
      </c>
      <c r="AF25" s="541">
        <f t="shared" si="120"/>
        <v>0</v>
      </c>
      <c r="AG25" s="539"/>
      <c r="AH25" s="540">
        <f t="shared" si="9"/>
        <v>0</v>
      </c>
      <c r="AI25" s="541">
        <f t="shared" si="121"/>
        <v>0</v>
      </c>
      <c r="AJ25" s="539">
        <v>20.5625</v>
      </c>
      <c r="AK25" s="540">
        <f t="shared" si="10"/>
        <v>0.37920001475307047</v>
      </c>
      <c r="AL25" s="541">
        <f t="shared" si="122"/>
        <v>0</v>
      </c>
      <c r="AM25" s="539"/>
      <c r="AN25" s="540">
        <f t="shared" si="11"/>
        <v>0</v>
      </c>
      <c r="AO25" s="541">
        <f t="shared" si="123"/>
        <v>0</v>
      </c>
      <c r="AP25" s="539">
        <v>34.17721518987338</v>
      </c>
      <c r="AQ25" s="540">
        <f t="shared" si="12"/>
        <v>0.63027358075228457</v>
      </c>
      <c r="AR25" s="541">
        <f t="shared" si="124"/>
        <v>0</v>
      </c>
      <c r="AS25" s="539"/>
      <c r="AT25" s="540">
        <f t="shared" si="13"/>
        <v>0</v>
      </c>
      <c r="AU25" s="541">
        <f t="shared" si="125"/>
        <v>0</v>
      </c>
      <c r="AV25" s="539">
        <v>2.7750000000000057</v>
      </c>
      <c r="AW25" s="540">
        <f t="shared" si="14"/>
        <v>5.1174713237192596E-2</v>
      </c>
      <c r="AX25" s="541">
        <f t="shared" si="126"/>
        <v>0</v>
      </c>
      <c r="AY25" s="539">
        <v>60.666666666666671</v>
      </c>
      <c r="AZ25" s="540">
        <f t="shared" si="15"/>
        <v>1.1187745116118959</v>
      </c>
      <c r="BA25" s="541">
        <f t="shared" si="127"/>
        <v>0</v>
      </c>
      <c r="BB25" s="539">
        <v>0</v>
      </c>
      <c r="BC25" s="540">
        <f t="shared" si="16"/>
        <v>0</v>
      </c>
      <c r="BD25" s="541">
        <f t="shared" si="128"/>
        <v>0</v>
      </c>
      <c r="BE25" s="539"/>
      <c r="BF25" s="540">
        <f t="shared" si="17"/>
        <v>0</v>
      </c>
      <c r="BG25" s="541">
        <f t="shared" si="129"/>
        <v>0</v>
      </c>
      <c r="BH25" s="539"/>
      <c r="BI25" s="540">
        <f t="shared" si="18"/>
        <v>0</v>
      </c>
      <c r="BJ25" s="541">
        <f t="shared" si="130"/>
        <v>0</v>
      </c>
      <c r="BK25" s="539"/>
      <c r="BL25" s="540">
        <f t="shared" si="19"/>
        <v>0</v>
      </c>
      <c r="BM25" s="541">
        <f t="shared" si="131"/>
        <v>0</v>
      </c>
      <c r="BN25" s="539">
        <v>7.592592592592581</v>
      </c>
      <c r="BO25" s="540">
        <f t="shared" si="20"/>
        <v>0.14001756708207466</v>
      </c>
      <c r="BP25" s="541">
        <f t="shared" si="132"/>
        <v>0</v>
      </c>
      <c r="BQ25" s="539">
        <v>0</v>
      </c>
      <c r="BR25" s="540">
        <f t="shared" si="21"/>
        <v>0</v>
      </c>
      <c r="BS25" s="541">
        <f t="shared" si="133"/>
        <v>0</v>
      </c>
      <c r="BT25" s="539"/>
      <c r="BU25" s="540">
        <f t="shared" si="22"/>
        <v>0</v>
      </c>
      <c r="BV25" s="541">
        <f t="shared" si="134"/>
        <v>0</v>
      </c>
      <c r="BW25" s="539">
        <v>0</v>
      </c>
      <c r="BX25" s="540">
        <f t="shared" si="23"/>
        <v>0</v>
      </c>
      <c r="BY25" s="541">
        <f t="shared" si="135"/>
        <v>0</v>
      </c>
      <c r="BZ25" s="539">
        <v>0</v>
      </c>
      <c r="CA25" s="540">
        <f t="shared" si="24"/>
        <v>0</v>
      </c>
      <c r="CB25" s="541">
        <f t="shared" si="136"/>
        <v>0</v>
      </c>
      <c r="CC25" s="539">
        <v>0</v>
      </c>
      <c r="CD25" s="540">
        <f t="shared" si="25"/>
        <v>0</v>
      </c>
      <c r="CE25" s="541">
        <f t="shared" si="137"/>
        <v>0</v>
      </c>
      <c r="CF25" s="539">
        <v>9.9999999999999978E-2</v>
      </c>
      <c r="CG25" s="540">
        <f t="shared" si="26"/>
        <v>1.8441338103492785E-3</v>
      </c>
      <c r="CH25" s="541">
        <f t="shared" si="138"/>
        <v>0</v>
      </c>
      <c r="CI25" s="539">
        <v>0</v>
      </c>
      <c r="CJ25" s="540">
        <f t="shared" si="27"/>
        <v>0</v>
      </c>
      <c r="CK25" s="541">
        <f t="shared" si="139"/>
        <v>0</v>
      </c>
      <c r="CL25" s="539"/>
      <c r="CM25" s="540">
        <f t="shared" si="28"/>
        <v>0</v>
      </c>
      <c r="CN25" s="541">
        <f t="shared" si="140"/>
        <v>0</v>
      </c>
      <c r="CO25" s="539"/>
      <c r="CP25" s="540">
        <f t="shared" si="29"/>
        <v>0</v>
      </c>
      <c r="CQ25" s="541">
        <f t="shared" si="141"/>
        <v>0</v>
      </c>
      <c r="CR25" s="539"/>
      <c r="CS25" s="540">
        <f t="shared" si="30"/>
        <v>0</v>
      </c>
      <c r="CT25" s="541">
        <f t="shared" si="142"/>
        <v>0</v>
      </c>
      <c r="CU25" s="539"/>
      <c r="CV25" s="540">
        <f t="shared" si="31"/>
        <v>0</v>
      </c>
      <c r="CW25" s="541">
        <f t="shared" si="143"/>
        <v>0</v>
      </c>
      <c r="CX25" s="539"/>
      <c r="CY25" s="540">
        <f t="shared" si="32"/>
        <v>0</v>
      </c>
      <c r="CZ25" s="541">
        <f t="shared" si="144"/>
        <v>0</v>
      </c>
      <c r="DA25" s="539"/>
      <c r="DB25" s="540">
        <f t="shared" si="33"/>
        <v>0</v>
      </c>
      <c r="DC25" s="541">
        <f t="shared" si="145"/>
        <v>0</v>
      </c>
      <c r="DD25" s="539"/>
      <c r="DE25" s="540">
        <f t="shared" si="34"/>
        <v>0</v>
      </c>
      <c r="DF25" s="541">
        <f t="shared" si="146"/>
        <v>0</v>
      </c>
      <c r="DG25" s="539">
        <v>0</v>
      </c>
      <c r="DH25" s="540">
        <f t="shared" si="35"/>
        <v>0</v>
      </c>
      <c r="DI25" s="541">
        <f t="shared" si="203"/>
        <v>0</v>
      </c>
      <c r="DJ25" s="539"/>
      <c r="DK25" s="540">
        <f t="shared" si="36"/>
        <v>0</v>
      </c>
      <c r="DL25" s="541">
        <f t="shared" si="147"/>
        <v>0</v>
      </c>
      <c r="DM25" s="539"/>
      <c r="DN25" s="540">
        <f t="shared" si="37"/>
        <v>0</v>
      </c>
      <c r="DO25" s="541">
        <f t="shared" si="148"/>
        <v>0</v>
      </c>
      <c r="DP25" s="539"/>
      <c r="DQ25" s="540">
        <f t="shared" si="38"/>
        <v>0</v>
      </c>
      <c r="DR25" s="541">
        <f t="shared" si="149"/>
        <v>0</v>
      </c>
      <c r="DS25" s="539"/>
      <c r="DT25" s="540">
        <f t="shared" si="39"/>
        <v>0</v>
      </c>
      <c r="DU25" s="541">
        <f t="shared" si="150"/>
        <v>0</v>
      </c>
      <c r="DV25" s="539"/>
      <c r="DW25" s="540">
        <f t="shared" si="40"/>
        <v>0</v>
      </c>
      <c r="DX25" s="541">
        <f t="shared" si="151"/>
        <v>0</v>
      </c>
      <c r="DY25" s="539"/>
      <c r="DZ25" s="540">
        <f t="shared" si="41"/>
        <v>0</v>
      </c>
      <c r="EA25" s="541">
        <f t="shared" si="152"/>
        <v>0</v>
      </c>
      <c r="EB25" s="539">
        <v>29.069767441860449</v>
      </c>
      <c r="EC25" s="540">
        <f t="shared" si="42"/>
        <v>0.53608540998525522</v>
      </c>
      <c r="ED25" s="541">
        <f t="shared" si="153"/>
        <v>0</v>
      </c>
      <c r="EE25" s="539">
        <v>2</v>
      </c>
      <c r="EF25" s="540">
        <f t="shared" si="43"/>
        <v>3.6882676206985578E-2</v>
      </c>
      <c r="EG25" s="541">
        <f t="shared" si="154"/>
        <v>0</v>
      </c>
      <c r="EH25" s="539"/>
      <c r="EI25" s="540">
        <f t="shared" si="44"/>
        <v>0</v>
      </c>
      <c r="EJ25" s="541">
        <f t="shared" si="155"/>
        <v>0</v>
      </c>
      <c r="EK25" s="539"/>
      <c r="EL25" s="540">
        <f t="shared" si="45"/>
        <v>0</v>
      </c>
      <c r="EM25" s="541">
        <f t="shared" si="156"/>
        <v>0</v>
      </c>
      <c r="EN25" s="539"/>
      <c r="EO25" s="540">
        <f t="shared" si="46"/>
        <v>0</v>
      </c>
      <c r="EP25" s="541">
        <f t="shared" si="157"/>
        <v>0</v>
      </c>
      <c r="EQ25" s="539"/>
      <c r="ER25" s="540">
        <f t="shared" si="47"/>
        <v>0</v>
      </c>
      <c r="ES25" s="541">
        <f t="shared" si="158"/>
        <v>0</v>
      </c>
      <c r="ET25" s="539"/>
      <c r="EU25" s="540">
        <f t="shared" si="48"/>
        <v>0</v>
      </c>
      <c r="EV25" s="541">
        <f t="shared" si="159"/>
        <v>0</v>
      </c>
      <c r="EW25" s="539"/>
      <c r="EX25" s="540">
        <f t="shared" si="49"/>
        <v>0</v>
      </c>
      <c r="EY25" s="541">
        <f t="shared" si="160"/>
        <v>0</v>
      </c>
      <c r="EZ25" s="539"/>
      <c r="FA25" s="540">
        <f t="shared" si="50"/>
        <v>0</v>
      </c>
      <c r="FB25" s="541">
        <f t="shared" si="161"/>
        <v>0</v>
      </c>
      <c r="FC25" s="539"/>
      <c r="FD25" s="540">
        <f t="shared" si="51"/>
        <v>0</v>
      </c>
      <c r="FE25" s="541">
        <f t="shared" si="162"/>
        <v>0</v>
      </c>
      <c r="FF25" s="539"/>
      <c r="FG25" s="540">
        <f t="shared" si="52"/>
        <v>0</v>
      </c>
      <c r="FH25" s="541">
        <f t="shared" si="163"/>
        <v>0</v>
      </c>
      <c r="FI25" s="539"/>
      <c r="FJ25" s="540">
        <f t="shared" si="53"/>
        <v>0</v>
      </c>
      <c r="FK25" s="541">
        <f t="shared" si="164"/>
        <v>0</v>
      </c>
      <c r="FL25" s="539"/>
      <c r="FM25" s="540">
        <f t="shared" si="54"/>
        <v>0</v>
      </c>
      <c r="FN25" s="541">
        <f t="shared" si="165"/>
        <v>0</v>
      </c>
      <c r="FO25" s="539"/>
      <c r="FP25" s="540">
        <f t="shared" si="55"/>
        <v>0</v>
      </c>
      <c r="FQ25" s="541">
        <f t="shared" si="166"/>
        <v>0</v>
      </c>
      <c r="FR25" s="539"/>
      <c r="FS25" s="540">
        <f t="shared" si="56"/>
        <v>0</v>
      </c>
      <c r="FT25" s="541">
        <f t="shared" si="167"/>
        <v>0</v>
      </c>
      <c r="FU25" s="539"/>
      <c r="FV25" s="540">
        <f t="shared" si="57"/>
        <v>0</v>
      </c>
      <c r="FW25" s="541">
        <f t="shared" si="168"/>
        <v>0</v>
      </c>
      <c r="FX25" s="539"/>
      <c r="FY25" s="540">
        <f t="shared" si="58"/>
        <v>0</v>
      </c>
      <c r="FZ25" s="541">
        <f t="shared" si="169"/>
        <v>0</v>
      </c>
      <c r="GA25" s="539"/>
      <c r="GB25" s="540">
        <f t="shared" si="59"/>
        <v>0</v>
      </c>
      <c r="GC25" s="541">
        <f t="shared" si="170"/>
        <v>0</v>
      </c>
      <c r="GD25" s="539"/>
      <c r="GE25" s="540">
        <f t="shared" si="60"/>
        <v>0</v>
      </c>
      <c r="GF25" s="541">
        <f t="shared" si="171"/>
        <v>0</v>
      </c>
      <c r="GG25" s="539"/>
      <c r="GH25" s="540">
        <f t="shared" si="61"/>
        <v>0</v>
      </c>
      <c r="GI25" s="541">
        <f t="shared" si="172"/>
        <v>0</v>
      </c>
      <c r="GJ25" s="539"/>
      <c r="GK25" s="540">
        <f t="shared" si="62"/>
        <v>0</v>
      </c>
      <c r="GL25" s="541">
        <f t="shared" si="173"/>
        <v>0</v>
      </c>
      <c r="GM25" s="539"/>
      <c r="GN25" s="540">
        <f t="shared" si="63"/>
        <v>0</v>
      </c>
      <c r="GO25" s="541">
        <f t="shared" si="174"/>
        <v>0</v>
      </c>
      <c r="GP25" s="539"/>
      <c r="GQ25" s="540">
        <f t="shared" si="64"/>
        <v>0</v>
      </c>
      <c r="GR25" s="541">
        <f t="shared" si="175"/>
        <v>0</v>
      </c>
      <c r="GS25" s="539"/>
      <c r="GT25" s="540">
        <f t="shared" si="65"/>
        <v>0</v>
      </c>
      <c r="GU25" s="541">
        <f t="shared" si="176"/>
        <v>0</v>
      </c>
      <c r="GV25" s="539"/>
      <c r="GW25" s="540">
        <f t="shared" si="66"/>
        <v>0</v>
      </c>
      <c r="GX25" s="541">
        <f t="shared" si="177"/>
        <v>0</v>
      </c>
      <c r="GY25" s="539"/>
      <c r="GZ25" s="540">
        <f t="shared" si="67"/>
        <v>0</v>
      </c>
      <c r="HA25" s="541">
        <f t="shared" si="178"/>
        <v>0</v>
      </c>
      <c r="HB25" s="539"/>
      <c r="HC25" s="540">
        <f t="shared" si="68"/>
        <v>0</v>
      </c>
      <c r="HD25" s="541">
        <f t="shared" si="179"/>
        <v>0</v>
      </c>
      <c r="HE25" s="539"/>
      <c r="HF25" s="540">
        <f t="shared" si="69"/>
        <v>0</v>
      </c>
      <c r="HG25" s="541">
        <f t="shared" si="180"/>
        <v>0</v>
      </c>
      <c r="HH25" s="539"/>
      <c r="HI25" s="540">
        <f t="shared" si="70"/>
        <v>0</v>
      </c>
      <c r="HJ25" s="541">
        <f t="shared" si="181"/>
        <v>0</v>
      </c>
      <c r="HK25" s="539"/>
      <c r="HL25" s="540">
        <f t="shared" si="71"/>
        <v>0</v>
      </c>
      <c r="HM25" s="541">
        <f t="shared" si="182"/>
        <v>0</v>
      </c>
      <c r="HN25" s="539"/>
      <c r="HO25" s="540">
        <f t="shared" si="72"/>
        <v>0</v>
      </c>
      <c r="HP25" s="541">
        <f t="shared" si="183"/>
        <v>0</v>
      </c>
      <c r="HQ25" s="539"/>
      <c r="HR25" s="540">
        <f t="shared" si="73"/>
        <v>0</v>
      </c>
      <c r="HS25" s="541">
        <f t="shared" si="184"/>
        <v>0</v>
      </c>
      <c r="HT25" s="539"/>
      <c r="HU25" s="540">
        <f t="shared" si="74"/>
        <v>0</v>
      </c>
      <c r="HV25" s="541">
        <f t="shared" si="185"/>
        <v>0</v>
      </c>
      <c r="HW25" s="539"/>
      <c r="HX25" s="540">
        <f t="shared" si="75"/>
        <v>0</v>
      </c>
      <c r="HY25" s="541">
        <f t="shared" si="186"/>
        <v>0</v>
      </c>
      <c r="HZ25" s="539"/>
      <c r="IA25" s="540">
        <f t="shared" si="76"/>
        <v>0</v>
      </c>
      <c r="IB25" s="541">
        <f t="shared" si="187"/>
        <v>0</v>
      </c>
      <c r="IC25" s="539"/>
      <c r="ID25" s="540">
        <f t="shared" si="77"/>
        <v>0</v>
      </c>
      <c r="IE25" s="541">
        <f t="shared" si="188"/>
        <v>0</v>
      </c>
      <c r="IF25" s="539"/>
      <c r="IG25" s="540">
        <f t="shared" si="78"/>
        <v>0</v>
      </c>
      <c r="IH25" s="541">
        <f t="shared" si="189"/>
        <v>0</v>
      </c>
      <c r="II25" s="539"/>
      <c r="IJ25" s="540">
        <f t="shared" si="79"/>
        <v>0</v>
      </c>
      <c r="IK25" s="541">
        <f t="shared" si="190"/>
        <v>0</v>
      </c>
      <c r="IL25" s="539"/>
      <c r="IM25" s="540">
        <f t="shared" si="80"/>
        <v>0</v>
      </c>
      <c r="IN25" s="541">
        <f t="shared" si="191"/>
        <v>0</v>
      </c>
      <c r="IO25" s="539"/>
      <c r="IP25" s="540">
        <f t="shared" si="81"/>
        <v>0</v>
      </c>
      <c r="IQ25" s="541">
        <f t="shared" si="192"/>
        <v>0</v>
      </c>
      <c r="IR25" s="539"/>
      <c r="IS25" s="540">
        <f t="shared" si="82"/>
        <v>0</v>
      </c>
      <c r="IT25" s="541">
        <f t="shared" si="193"/>
        <v>0</v>
      </c>
      <c r="IU25" s="539"/>
      <c r="IV25" s="540">
        <f t="shared" si="83"/>
        <v>0</v>
      </c>
      <c r="IW25" s="541">
        <f t="shared" si="194"/>
        <v>0</v>
      </c>
      <c r="IX25" s="539"/>
      <c r="IY25" s="540">
        <f t="shared" si="84"/>
        <v>0</v>
      </c>
      <c r="IZ25" s="541">
        <f t="shared" si="195"/>
        <v>0</v>
      </c>
      <c r="JA25" s="539"/>
      <c r="JB25" s="540">
        <f t="shared" si="85"/>
        <v>0</v>
      </c>
      <c r="JC25" s="541">
        <f t="shared" si="196"/>
        <v>0</v>
      </c>
      <c r="JD25" s="539"/>
      <c r="JE25" s="540">
        <f t="shared" si="86"/>
        <v>0</v>
      </c>
      <c r="JF25" s="541">
        <f t="shared" si="197"/>
        <v>0</v>
      </c>
      <c r="JG25" s="539"/>
      <c r="JH25" s="540">
        <f t="shared" si="87"/>
        <v>0</v>
      </c>
      <c r="JI25" s="541">
        <f t="shared" si="198"/>
        <v>0</v>
      </c>
      <c r="JJ25" s="539"/>
      <c r="JK25" s="541" t="str">
        <f t="shared" si="88"/>
        <v>0</v>
      </c>
      <c r="JL25" s="541" t="str">
        <f t="shared" si="89"/>
        <v>0</v>
      </c>
      <c r="JM25" s="539"/>
      <c r="JN25" s="541" t="str">
        <f t="shared" si="90"/>
        <v>0</v>
      </c>
      <c r="JO25" s="541" t="str">
        <f t="shared" si="91"/>
        <v>0</v>
      </c>
      <c r="JP25" s="539"/>
      <c r="JQ25" s="541" t="str">
        <f t="shared" si="92"/>
        <v>0</v>
      </c>
      <c r="JR25" s="541" t="str">
        <f t="shared" si="93"/>
        <v>0</v>
      </c>
      <c r="JS25" s="539"/>
      <c r="JT25" s="541" t="str">
        <f t="shared" si="94"/>
        <v>0</v>
      </c>
      <c r="JU25" s="541" t="str">
        <f t="shared" si="95"/>
        <v>0</v>
      </c>
      <c r="JV25" s="539"/>
      <c r="JW25" s="541" t="str">
        <f t="shared" si="96"/>
        <v>0</v>
      </c>
      <c r="JX25" s="541" t="str">
        <f t="shared" si="97"/>
        <v>0</v>
      </c>
      <c r="JY25" s="539"/>
      <c r="JZ25" s="541" t="str">
        <f t="shared" si="98"/>
        <v>0</v>
      </c>
      <c r="KA25" s="541" t="str">
        <f t="shared" si="99"/>
        <v>0</v>
      </c>
      <c r="KB25" s="539"/>
      <c r="KC25" s="541" t="str">
        <f t="shared" si="100"/>
        <v>0</v>
      </c>
      <c r="KD25" s="541" t="str">
        <f t="shared" si="101"/>
        <v>0</v>
      </c>
      <c r="KE25" s="539"/>
      <c r="KF25" s="541" t="str">
        <f t="shared" si="102"/>
        <v>0</v>
      </c>
      <c r="KG25" s="541" t="str">
        <f t="shared" si="103"/>
        <v>0</v>
      </c>
      <c r="KH25" s="539"/>
      <c r="KI25" s="541" t="str">
        <f t="shared" si="104"/>
        <v>0</v>
      </c>
      <c r="KJ25" s="541" t="str">
        <f t="shared" si="105"/>
        <v>0</v>
      </c>
      <c r="KK25" s="539"/>
      <c r="KL25" s="541" t="str">
        <f t="shared" si="106"/>
        <v>0</v>
      </c>
      <c r="KM25" s="541" t="str">
        <f t="shared" si="107"/>
        <v>0</v>
      </c>
      <c r="KN25" s="539"/>
      <c r="KO25" s="541" t="str">
        <f t="shared" si="108"/>
        <v>0</v>
      </c>
      <c r="KP25" s="541" t="str">
        <f t="shared" si="109"/>
        <v>0</v>
      </c>
      <c r="KQ25" s="539"/>
      <c r="KR25" s="541" t="str">
        <f t="shared" si="110"/>
        <v>0</v>
      </c>
      <c r="KS25" s="541" t="str">
        <f t="shared" si="111"/>
        <v>0</v>
      </c>
      <c r="KT25" s="541">
        <f t="shared" si="201"/>
        <v>0</v>
      </c>
      <c r="KU25" s="541">
        <f t="shared" si="202"/>
        <v>0</v>
      </c>
      <c r="KV25" s="275">
        <f t="shared" si="199"/>
        <v>563.41757910029571</v>
      </c>
    </row>
    <row r="26" spans="1:309" ht="15" customHeight="1">
      <c r="A26" s="277">
        <f t="shared" si="200"/>
        <v>45856</v>
      </c>
      <c r="B26" s="278" t="str">
        <f>+Report1!B26</f>
        <v>Facial</v>
      </c>
      <c r="C26" s="418" t="str">
        <f>+Report1!C26</f>
        <v>11,5</v>
      </c>
      <c r="D26" s="279">
        <f>+Report1!P26</f>
        <v>53.427999999999997</v>
      </c>
      <c r="E26" s="280">
        <f>+Report1!R26</f>
        <v>53.707000000000001</v>
      </c>
      <c r="F26" s="539"/>
      <c r="G26" s="540">
        <f t="shared" si="0"/>
        <v>0</v>
      </c>
      <c r="H26" s="541">
        <f t="shared" si="112"/>
        <v>0</v>
      </c>
      <c r="I26" s="539">
        <v>383.72093023255798</v>
      </c>
      <c r="J26" s="540">
        <f t="shared" si="1"/>
        <v>7.1447098186932427</v>
      </c>
      <c r="K26" s="541">
        <f t="shared" si="113"/>
        <v>0</v>
      </c>
      <c r="L26" s="539"/>
      <c r="M26" s="540">
        <f t="shared" si="2"/>
        <v>0</v>
      </c>
      <c r="N26" s="541">
        <f t="shared" si="114"/>
        <v>0</v>
      </c>
      <c r="O26" s="539">
        <v>6</v>
      </c>
      <c r="P26" s="540">
        <f t="shared" si="3"/>
        <v>0.11171728080138529</v>
      </c>
      <c r="Q26" s="541">
        <f t="shared" si="115"/>
        <v>0</v>
      </c>
      <c r="R26" s="539"/>
      <c r="S26" s="540">
        <f t="shared" si="4"/>
        <v>0</v>
      </c>
      <c r="T26" s="541">
        <f t="shared" si="116"/>
        <v>0</v>
      </c>
      <c r="U26" s="539">
        <v>5.125</v>
      </c>
      <c r="V26" s="540">
        <f t="shared" si="5"/>
        <v>9.5425177351183277E-2</v>
      </c>
      <c r="W26" s="541">
        <f t="shared" si="117"/>
        <v>0</v>
      </c>
      <c r="X26" s="539"/>
      <c r="Y26" s="540">
        <f t="shared" si="6"/>
        <v>0</v>
      </c>
      <c r="Z26" s="541">
        <f t="shared" si="118"/>
        <v>0</v>
      </c>
      <c r="AA26" s="539"/>
      <c r="AB26" s="540">
        <f t="shared" si="7"/>
        <v>0</v>
      </c>
      <c r="AC26" s="541">
        <f t="shared" si="119"/>
        <v>0</v>
      </c>
      <c r="AD26" s="539"/>
      <c r="AE26" s="540">
        <f t="shared" si="8"/>
        <v>0</v>
      </c>
      <c r="AF26" s="541">
        <f t="shared" si="120"/>
        <v>0</v>
      </c>
      <c r="AG26" s="539"/>
      <c r="AH26" s="540">
        <f t="shared" si="9"/>
        <v>0</v>
      </c>
      <c r="AI26" s="541">
        <f t="shared" si="121"/>
        <v>0</v>
      </c>
      <c r="AJ26" s="539">
        <v>0</v>
      </c>
      <c r="AK26" s="540">
        <f t="shared" si="10"/>
        <v>0</v>
      </c>
      <c r="AL26" s="541">
        <f t="shared" si="122"/>
        <v>0</v>
      </c>
      <c r="AM26" s="539"/>
      <c r="AN26" s="540">
        <f t="shared" si="11"/>
        <v>0</v>
      </c>
      <c r="AO26" s="541">
        <f t="shared" si="123"/>
        <v>0</v>
      </c>
      <c r="AP26" s="539">
        <v>54.113924050632932</v>
      </c>
      <c r="AQ26" s="540">
        <f t="shared" si="12"/>
        <v>1.0075767414048993</v>
      </c>
      <c r="AR26" s="541">
        <f t="shared" si="124"/>
        <v>0</v>
      </c>
      <c r="AS26" s="539"/>
      <c r="AT26" s="540">
        <f t="shared" si="13"/>
        <v>0</v>
      </c>
      <c r="AU26" s="541">
        <f t="shared" si="125"/>
        <v>0</v>
      </c>
      <c r="AV26" s="539">
        <v>2.7750000000000057</v>
      </c>
      <c r="AW26" s="540">
        <f t="shared" si="14"/>
        <v>5.1669242370640807E-2</v>
      </c>
      <c r="AX26" s="541">
        <f t="shared" si="126"/>
        <v>0</v>
      </c>
      <c r="AY26" s="539">
        <v>42</v>
      </c>
      <c r="AZ26" s="540">
        <f t="shared" si="15"/>
        <v>0.78202096560969703</v>
      </c>
      <c r="BA26" s="541">
        <f t="shared" si="127"/>
        <v>0</v>
      </c>
      <c r="BB26" s="539">
        <v>0</v>
      </c>
      <c r="BC26" s="540">
        <f t="shared" si="16"/>
        <v>0</v>
      </c>
      <c r="BD26" s="541">
        <f t="shared" si="128"/>
        <v>0</v>
      </c>
      <c r="BE26" s="539"/>
      <c r="BF26" s="540">
        <f t="shared" si="17"/>
        <v>0</v>
      </c>
      <c r="BG26" s="541">
        <f t="shared" si="129"/>
        <v>0</v>
      </c>
      <c r="BH26" s="539"/>
      <c r="BI26" s="540">
        <f t="shared" si="18"/>
        <v>0</v>
      </c>
      <c r="BJ26" s="541">
        <f t="shared" si="130"/>
        <v>0</v>
      </c>
      <c r="BK26" s="539"/>
      <c r="BL26" s="540">
        <f t="shared" si="19"/>
        <v>0</v>
      </c>
      <c r="BM26" s="541">
        <f t="shared" si="131"/>
        <v>0</v>
      </c>
      <c r="BN26" s="539">
        <v>2.5308641975308603</v>
      </c>
      <c r="BO26" s="540">
        <f t="shared" si="20"/>
        <v>4.7123544370954631E-2</v>
      </c>
      <c r="BP26" s="541">
        <f t="shared" si="132"/>
        <v>0</v>
      </c>
      <c r="BQ26" s="539">
        <v>0</v>
      </c>
      <c r="BR26" s="540">
        <f t="shared" si="21"/>
        <v>0</v>
      </c>
      <c r="BS26" s="541">
        <f t="shared" si="133"/>
        <v>0</v>
      </c>
      <c r="BT26" s="539"/>
      <c r="BU26" s="540">
        <f t="shared" si="22"/>
        <v>0</v>
      </c>
      <c r="BV26" s="541">
        <f t="shared" si="134"/>
        <v>0</v>
      </c>
      <c r="BW26" s="539">
        <v>0</v>
      </c>
      <c r="BX26" s="540">
        <f t="shared" si="23"/>
        <v>0</v>
      </c>
      <c r="BY26" s="541">
        <f t="shared" si="135"/>
        <v>0</v>
      </c>
      <c r="BZ26" s="539">
        <v>0</v>
      </c>
      <c r="CA26" s="540">
        <f t="shared" si="24"/>
        <v>0</v>
      </c>
      <c r="CB26" s="541">
        <f t="shared" si="136"/>
        <v>0</v>
      </c>
      <c r="CC26" s="539">
        <v>0</v>
      </c>
      <c r="CD26" s="540">
        <f t="shared" si="25"/>
        <v>0</v>
      </c>
      <c r="CE26" s="541">
        <f t="shared" si="137"/>
        <v>0</v>
      </c>
      <c r="CF26" s="539">
        <v>0.1</v>
      </c>
      <c r="CG26" s="540">
        <f t="shared" si="26"/>
        <v>1.8619546800230883E-3</v>
      </c>
      <c r="CH26" s="541">
        <f t="shared" si="138"/>
        <v>0</v>
      </c>
      <c r="CI26" s="539">
        <v>0</v>
      </c>
      <c r="CJ26" s="540">
        <f t="shared" si="27"/>
        <v>0</v>
      </c>
      <c r="CK26" s="541">
        <f t="shared" si="139"/>
        <v>0</v>
      </c>
      <c r="CL26" s="539"/>
      <c r="CM26" s="540">
        <f t="shared" si="28"/>
        <v>0</v>
      </c>
      <c r="CN26" s="541">
        <f t="shared" si="140"/>
        <v>0</v>
      </c>
      <c r="CO26" s="539"/>
      <c r="CP26" s="540">
        <f t="shared" si="29"/>
        <v>0</v>
      </c>
      <c r="CQ26" s="541">
        <f t="shared" si="141"/>
        <v>0</v>
      </c>
      <c r="CR26" s="539"/>
      <c r="CS26" s="540">
        <f t="shared" si="30"/>
        <v>0</v>
      </c>
      <c r="CT26" s="541">
        <f t="shared" si="142"/>
        <v>0</v>
      </c>
      <c r="CU26" s="539"/>
      <c r="CV26" s="540">
        <f t="shared" si="31"/>
        <v>0</v>
      </c>
      <c r="CW26" s="541">
        <f t="shared" si="143"/>
        <v>0</v>
      </c>
      <c r="CX26" s="539"/>
      <c r="CY26" s="540">
        <f t="shared" si="32"/>
        <v>0</v>
      </c>
      <c r="CZ26" s="541">
        <f t="shared" si="144"/>
        <v>0</v>
      </c>
      <c r="DA26" s="539"/>
      <c r="DB26" s="540">
        <f t="shared" si="33"/>
        <v>0</v>
      </c>
      <c r="DC26" s="541">
        <f t="shared" si="145"/>
        <v>0</v>
      </c>
      <c r="DD26" s="539"/>
      <c r="DE26" s="540">
        <f t="shared" si="34"/>
        <v>0</v>
      </c>
      <c r="DF26" s="541">
        <f t="shared" si="146"/>
        <v>0</v>
      </c>
      <c r="DG26" s="539">
        <v>0</v>
      </c>
      <c r="DH26" s="540">
        <f t="shared" si="35"/>
        <v>0</v>
      </c>
      <c r="DI26" s="541">
        <f t="shared" si="203"/>
        <v>0</v>
      </c>
      <c r="DJ26" s="539"/>
      <c r="DK26" s="540">
        <f t="shared" si="36"/>
        <v>0</v>
      </c>
      <c r="DL26" s="541">
        <f t="shared" si="147"/>
        <v>0</v>
      </c>
      <c r="DM26" s="539"/>
      <c r="DN26" s="540">
        <f t="shared" si="37"/>
        <v>0</v>
      </c>
      <c r="DO26" s="541">
        <f t="shared" si="148"/>
        <v>0</v>
      </c>
      <c r="DP26" s="539"/>
      <c r="DQ26" s="540">
        <f t="shared" si="38"/>
        <v>0</v>
      </c>
      <c r="DR26" s="541">
        <f t="shared" si="149"/>
        <v>0</v>
      </c>
      <c r="DS26" s="539"/>
      <c r="DT26" s="540">
        <f t="shared" si="39"/>
        <v>0</v>
      </c>
      <c r="DU26" s="541">
        <f t="shared" si="150"/>
        <v>0</v>
      </c>
      <c r="DV26" s="539"/>
      <c r="DW26" s="540">
        <f t="shared" si="40"/>
        <v>0</v>
      </c>
      <c r="DX26" s="541">
        <f t="shared" si="151"/>
        <v>0</v>
      </c>
      <c r="DY26" s="539"/>
      <c r="DZ26" s="540">
        <f t="shared" si="41"/>
        <v>0</v>
      </c>
      <c r="EA26" s="541">
        <f t="shared" si="152"/>
        <v>0</v>
      </c>
      <c r="EB26" s="539">
        <v>14.534883720930225</v>
      </c>
      <c r="EC26" s="540">
        <f t="shared" si="42"/>
        <v>0.27063294767777429</v>
      </c>
      <c r="ED26" s="541">
        <f t="shared" si="153"/>
        <v>0</v>
      </c>
      <c r="EE26" s="539">
        <v>1</v>
      </c>
      <c r="EF26" s="540">
        <f t="shared" si="43"/>
        <v>1.8619546800230882E-2</v>
      </c>
      <c r="EG26" s="541">
        <f t="shared" si="154"/>
        <v>0</v>
      </c>
      <c r="EH26" s="539"/>
      <c r="EI26" s="540">
        <f t="shared" si="44"/>
        <v>0</v>
      </c>
      <c r="EJ26" s="541">
        <f t="shared" si="155"/>
        <v>0</v>
      </c>
      <c r="EK26" s="539"/>
      <c r="EL26" s="540">
        <f t="shared" si="45"/>
        <v>0</v>
      </c>
      <c r="EM26" s="541">
        <f t="shared" si="156"/>
        <v>0</v>
      </c>
      <c r="EN26" s="539"/>
      <c r="EO26" s="540">
        <f t="shared" si="46"/>
        <v>0</v>
      </c>
      <c r="EP26" s="541">
        <f t="shared" si="157"/>
        <v>0</v>
      </c>
      <c r="EQ26" s="539"/>
      <c r="ER26" s="540">
        <f t="shared" si="47"/>
        <v>0</v>
      </c>
      <c r="ES26" s="541">
        <f t="shared" si="158"/>
        <v>0</v>
      </c>
      <c r="ET26" s="539"/>
      <c r="EU26" s="540">
        <f t="shared" si="48"/>
        <v>0</v>
      </c>
      <c r="EV26" s="541">
        <f t="shared" si="159"/>
        <v>0</v>
      </c>
      <c r="EW26" s="539"/>
      <c r="EX26" s="540">
        <f t="shared" si="49"/>
        <v>0</v>
      </c>
      <c r="EY26" s="541">
        <f t="shared" si="160"/>
        <v>0</v>
      </c>
      <c r="EZ26" s="539"/>
      <c r="FA26" s="540">
        <f t="shared" si="50"/>
        <v>0</v>
      </c>
      <c r="FB26" s="541">
        <f t="shared" si="161"/>
        <v>0</v>
      </c>
      <c r="FC26" s="539"/>
      <c r="FD26" s="540">
        <f t="shared" si="51"/>
        <v>0</v>
      </c>
      <c r="FE26" s="541">
        <f t="shared" si="162"/>
        <v>0</v>
      </c>
      <c r="FF26" s="539"/>
      <c r="FG26" s="540">
        <f t="shared" si="52"/>
        <v>0</v>
      </c>
      <c r="FH26" s="541">
        <f t="shared" si="163"/>
        <v>0</v>
      </c>
      <c r="FI26" s="539"/>
      <c r="FJ26" s="540">
        <f t="shared" si="53"/>
        <v>0</v>
      </c>
      <c r="FK26" s="541">
        <f t="shared" si="164"/>
        <v>0</v>
      </c>
      <c r="FL26" s="539"/>
      <c r="FM26" s="540">
        <f t="shared" si="54"/>
        <v>0</v>
      </c>
      <c r="FN26" s="541">
        <f t="shared" si="165"/>
        <v>0</v>
      </c>
      <c r="FO26" s="539"/>
      <c r="FP26" s="540">
        <f t="shared" si="55"/>
        <v>0</v>
      </c>
      <c r="FQ26" s="541">
        <f t="shared" si="166"/>
        <v>0</v>
      </c>
      <c r="FR26" s="539"/>
      <c r="FS26" s="540">
        <f t="shared" si="56"/>
        <v>0</v>
      </c>
      <c r="FT26" s="541">
        <f t="shared" si="167"/>
        <v>0</v>
      </c>
      <c r="FU26" s="539"/>
      <c r="FV26" s="540">
        <f t="shared" si="57"/>
        <v>0</v>
      </c>
      <c r="FW26" s="541">
        <f t="shared" si="168"/>
        <v>0</v>
      </c>
      <c r="FX26" s="539"/>
      <c r="FY26" s="540">
        <f t="shared" si="58"/>
        <v>0</v>
      </c>
      <c r="FZ26" s="541">
        <f t="shared" si="169"/>
        <v>0</v>
      </c>
      <c r="GA26" s="539"/>
      <c r="GB26" s="540">
        <f t="shared" si="59"/>
        <v>0</v>
      </c>
      <c r="GC26" s="541">
        <f t="shared" si="170"/>
        <v>0</v>
      </c>
      <c r="GD26" s="539"/>
      <c r="GE26" s="540">
        <f t="shared" si="60"/>
        <v>0</v>
      </c>
      <c r="GF26" s="541">
        <f t="shared" si="171"/>
        <v>0</v>
      </c>
      <c r="GG26" s="539"/>
      <c r="GH26" s="540">
        <f t="shared" si="61"/>
        <v>0</v>
      </c>
      <c r="GI26" s="541">
        <f t="shared" si="172"/>
        <v>0</v>
      </c>
      <c r="GJ26" s="539"/>
      <c r="GK26" s="540">
        <f t="shared" si="62"/>
        <v>0</v>
      </c>
      <c r="GL26" s="541">
        <f t="shared" si="173"/>
        <v>0</v>
      </c>
      <c r="GM26" s="539"/>
      <c r="GN26" s="540">
        <f t="shared" si="63"/>
        <v>0</v>
      </c>
      <c r="GO26" s="541">
        <f t="shared" si="174"/>
        <v>0</v>
      </c>
      <c r="GP26" s="539"/>
      <c r="GQ26" s="540">
        <f t="shared" si="64"/>
        <v>0</v>
      </c>
      <c r="GR26" s="541">
        <f t="shared" si="175"/>
        <v>0</v>
      </c>
      <c r="GS26" s="539"/>
      <c r="GT26" s="540">
        <f t="shared" si="65"/>
        <v>0</v>
      </c>
      <c r="GU26" s="541">
        <f t="shared" si="176"/>
        <v>0</v>
      </c>
      <c r="GV26" s="539"/>
      <c r="GW26" s="540">
        <f t="shared" si="66"/>
        <v>0</v>
      </c>
      <c r="GX26" s="541">
        <f t="shared" si="177"/>
        <v>0</v>
      </c>
      <c r="GY26" s="539"/>
      <c r="GZ26" s="540">
        <f t="shared" si="67"/>
        <v>0</v>
      </c>
      <c r="HA26" s="541">
        <f t="shared" si="178"/>
        <v>0</v>
      </c>
      <c r="HB26" s="539"/>
      <c r="HC26" s="540">
        <f t="shared" si="68"/>
        <v>0</v>
      </c>
      <c r="HD26" s="541">
        <f t="shared" si="179"/>
        <v>0</v>
      </c>
      <c r="HE26" s="539"/>
      <c r="HF26" s="540">
        <f t="shared" si="69"/>
        <v>0</v>
      </c>
      <c r="HG26" s="541">
        <f t="shared" si="180"/>
        <v>0</v>
      </c>
      <c r="HH26" s="539"/>
      <c r="HI26" s="540">
        <f t="shared" si="70"/>
        <v>0</v>
      </c>
      <c r="HJ26" s="541">
        <f t="shared" si="181"/>
        <v>0</v>
      </c>
      <c r="HK26" s="539"/>
      <c r="HL26" s="540">
        <f t="shared" si="71"/>
        <v>0</v>
      </c>
      <c r="HM26" s="541">
        <f t="shared" si="182"/>
        <v>0</v>
      </c>
      <c r="HN26" s="539"/>
      <c r="HO26" s="540">
        <f t="shared" si="72"/>
        <v>0</v>
      </c>
      <c r="HP26" s="541">
        <f t="shared" si="183"/>
        <v>0</v>
      </c>
      <c r="HQ26" s="539"/>
      <c r="HR26" s="540">
        <f t="shared" si="73"/>
        <v>0</v>
      </c>
      <c r="HS26" s="541">
        <f t="shared" si="184"/>
        <v>0</v>
      </c>
      <c r="HT26" s="539"/>
      <c r="HU26" s="540">
        <f t="shared" si="74"/>
        <v>0</v>
      </c>
      <c r="HV26" s="541">
        <f t="shared" si="185"/>
        <v>0</v>
      </c>
      <c r="HW26" s="539"/>
      <c r="HX26" s="540">
        <f t="shared" si="75"/>
        <v>0</v>
      </c>
      <c r="HY26" s="541">
        <f t="shared" si="186"/>
        <v>0</v>
      </c>
      <c r="HZ26" s="539"/>
      <c r="IA26" s="540">
        <f t="shared" si="76"/>
        <v>0</v>
      </c>
      <c r="IB26" s="541">
        <f t="shared" si="187"/>
        <v>0</v>
      </c>
      <c r="IC26" s="539"/>
      <c r="ID26" s="540">
        <f t="shared" si="77"/>
        <v>0</v>
      </c>
      <c r="IE26" s="541">
        <f t="shared" si="188"/>
        <v>0</v>
      </c>
      <c r="IF26" s="539"/>
      <c r="IG26" s="540">
        <f t="shared" si="78"/>
        <v>0</v>
      </c>
      <c r="IH26" s="541">
        <f t="shared" si="189"/>
        <v>0</v>
      </c>
      <c r="II26" s="539"/>
      <c r="IJ26" s="540">
        <f t="shared" si="79"/>
        <v>0</v>
      </c>
      <c r="IK26" s="541">
        <f t="shared" si="190"/>
        <v>0</v>
      </c>
      <c r="IL26" s="539"/>
      <c r="IM26" s="540">
        <f t="shared" si="80"/>
        <v>0</v>
      </c>
      <c r="IN26" s="541">
        <f t="shared" si="191"/>
        <v>0</v>
      </c>
      <c r="IO26" s="539"/>
      <c r="IP26" s="540">
        <f t="shared" si="81"/>
        <v>0</v>
      </c>
      <c r="IQ26" s="541">
        <f t="shared" si="192"/>
        <v>0</v>
      </c>
      <c r="IR26" s="539"/>
      <c r="IS26" s="540">
        <f t="shared" si="82"/>
        <v>0</v>
      </c>
      <c r="IT26" s="541">
        <f t="shared" si="193"/>
        <v>0</v>
      </c>
      <c r="IU26" s="539"/>
      <c r="IV26" s="540">
        <f t="shared" si="83"/>
        <v>0</v>
      </c>
      <c r="IW26" s="541">
        <f t="shared" si="194"/>
        <v>0</v>
      </c>
      <c r="IX26" s="539"/>
      <c r="IY26" s="540">
        <f t="shared" si="84"/>
        <v>0</v>
      </c>
      <c r="IZ26" s="541">
        <f t="shared" si="195"/>
        <v>0</v>
      </c>
      <c r="JA26" s="539"/>
      <c r="JB26" s="540">
        <f t="shared" si="85"/>
        <v>0</v>
      </c>
      <c r="JC26" s="541">
        <f t="shared" si="196"/>
        <v>0</v>
      </c>
      <c r="JD26" s="539"/>
      <c r="JE26" s="540">
        <f t="shared" si="86"/>
        <v>0</v>
      </c>
      <c r="JF26" s="541">
        <f t="shared" si="197"/>
        <v>0</v>
      </c>
      <c r="JG26" s="539"/>
      <c r="JH26" s="540">
        <f t="shared" si="87"/>
        <v>0</v>
      </c>
      <c r="JI26" s="541">
        <f t="shared" si="198"/>
        <v>0</v>
      </c>
      <c r="JJ26" s="539"/>
      <c r="JK26" s="541" t="str">
        <f t="shared" si="88"/>
        <v>0</v>
      </c>
      <c r="JL26" s="541" t="str">
        <f t="shared" si="89"/>
        <v>0</v>
      </c>
      <c r="JM26" s="539"/>
      <c r="JN26" s="541" t="str">
        <f t="shared" si="90"/>
        <v>0</v>
      </c>
      <c r="JO26" s="541" t="str">
        <f t="shared" si="91"/>
        <v>0</v>
      </c>
      <c r="JP26" s="539"/>
      <c r="JQ26" s="541" t="str">
        <f t="shared" si="92"/>
        <v>0</v>
      </c>
      <c r="JR26" s="541" t="str">
        <f t="shared" si="93"/>
        <v>0</v>
      </c>
      <c r="JS26" s="539"/>
      <c r="JT26" s="541" t="str">
        <f t="shared" si="94"/>
        <v>0</v>
      </c>
      <c r="JU26" s="541" t="str">
        <f t="shared" si="95"/>
        <v>0</v>
      </c>
      <c r="JV26" s="539"/>
      <c r="JW26" s="541" t="str">
        <f t="shared" si="96"/>
        <v>0</v>
      </c>
      <c r="JX26" s="541" t="str">
        <f t="shared" si="97"/>
        <v>0</v>
      </c>
      <c r="JY26" s="539"/>
      <c r="JZ26" s="541" t="str">
        <f t="shared" si="98"/>
        <v>0</v>
      </c>
      <c r="KA26" s="541" t="str">
        <f t="shared" si="99"/>
        <v>0</v>
      </c>
      <c r="KB26" s="539"/>
      <c r="KC26" s="541" t="str">
        <f t="shared" si="100"/>
        <v>0</v>
      </c>
      <c r="KD26" s="541" t="str">
        <f t="shared" si="101"/>
        <v>0</v>
      </c>
      <c r="KE26" s="539"/>
      <c r="KF26" s="541" t="str">
        <f t="shared" si="102"/>
        <v>0</v>
      </c>
      <c r="KG26" s="541" t="str">
        <f t="shared" si="103"/>
        <v>0</v>
      </c>
      <c r="KH26" s="539"/>
      <c r="KI26" s="541" t="str">
        <f t="shared" si="104"/>
        <v>0</v>
      </c>
      <c r="KJ26" s="541" t="str">
        <f t="shared" si="105"/>
        <v>0</v>
      </c>
      <c r="KK26" s="539"/>
      <c r="KL26" s="541" t="str">
        <f t="shared" si="106"/>
        <v>0</v>
      </c>
      <c r="KM26" s="541" t="str">
        <f t="shared" si="107"/>
        <v>0</v>
      </c>
      <c r="KN26" s="539"/>
      <c r="KO26" s="541" t="str">
        <f t="shared" si="108"/>
        <v>0</v>
      </c>
      <c r="KP26" s="541" t="str">
        <f t="shared" si="109"/>
        <v>0</v>
      </c>
      <c r="KQ26" s="539"/>
      <c r="KR26" s="541" t="str">
        <f t="shared" si="110"/>
        <v>0</v>
      </c>
      <c r="KS26" s="541" t="str">
        <f t="shared" si="111"/>
        <v>0</v>
      </c>
      <c r="KT26" s="541">
        <f t="shared" si="201"/>
        <v>0</v>
      </c>
      <c r="KU26" s="541">
        <f t="shared" si="202"/>
        <v>0</v>
      </c>
      <c r="KV26" s="275">
        <f t="shared" si="199"/>
        <v>511.90060220165196</v>
      </c>
    </row>
    <row r="27" spans="1:309" ht="15" customHeight="1">
      <c r="A27" s="277">
        <f t="shared" si="200"/>
        <v>45857</v>
      </c>
      <c r="B27" s="278" t="str">
        <f>+Report1!B27</f>
        <v>Facial</v>
      </c>
      <c r="C27" s="418" t="str">
        <f>+Report1!C27</f>
        <v>11,5/10,3</v>
      </c>
      <c r="D27" s="279">
        <f>+Report1!P27</f>
        <v>49.811999999999998</v>
      </c>
      <c r="E27" s="280">
        <f>+Report1!R27</f>
        <v>50.598999999999997</v>
      </c>
      <c r="F27" s="539"/>
      <c r="G27" s="540">
        <f t="shared" si="0"/>
        <v>0</v>
      </c>
      <c r="H27" s="541">
        <f t="shared" si="112"/>
        <v>0</v>
      </c>
      <c r="I27" s="539">
        <v>315.14806511627944</v>
      </c>
      <c r="J27" s="540">
        <f t="shared" si="1"/>
        <v>6.2283457205928867</v>
      </c>
      <c r="K27" s="541">
        <f t="shared" si="113"/>
        <v>0</v>
      </c>
      <c r="L27" s="539"/>
      <c r="M27" s="540">
        <f t="shared" si="2"/>
        <v>0</v>
      </c>
      <c r="N27" s="541">
        <f t="shared" si="114"/>
        <v>0</v>
      </c>
      <c r="O27" s="539">
        <v>7.6680000000000632</v>
      </c>
      <c r="P27" s="540">
        <f t="shared" si="3"/>
        <v>0.15154449692681798</v>
      </c>
      <c r="Q27" s="541">
        <f t="shared" si="115"/>
        <v>0</v>
      </c>
      <c r="R27" s="539"/>
      <c r="S27" s="540">
        <f t="shared" si="4"/>
        <v>0</v>
      </c>
      <c r="T27" s="541">
        <f t="shared" si="116"/>
        <v>0</v>
      </c>
      <c r="U27" s="539">
        <v>6.5521000000000242</v>
      </c>
      <c r="V27" s="540">
        <f t="shared" si="5"/>
        <v>0.12949070139726129</v>
      </c>
      <c r="W27" s="541">
        <f t="shared" si="117"/>
        <v>0</v>
      </c>
      <c r="X27" s="539"/>
      <c r="Y27" s="540">
        <f t="shared" si="6"/>
        <v>0</v>
      </c>
      <c r="Z27" s="541">
        <f t="shared" si="118"/>
        <v>0</v>
      </c>
      <c r="AA27" s="539"/>
      <c r="AB27" s="540">
        <f t="shared" si="7"/>
        <v>0</v>
      </c>
      <c r="AC27" s="541">
        <f t="shared" si="119"/>
        <v>0</v>
      </c>
      <c r="AD27" s="539"/>
      <c r="AE27" s="540">
        <f t="shared" si="8"/>
        <v>0</v>
      </c>
      <c r="AF27" s="541">
        <f t="shared" si="120"/>
        <v>0</v>
      </c>
      <c r="AG27" s="539"/>
      <c r="AH27" s="540">
        <f t="shared" si="9"/>
        <v>0</v>
      </c>
      <c r="AI27" s="541">
        <f t="shared" si="121"/>
        <v>0</v>
      </c>
      <c r="AJ27" s="539">
        <v>0</v>
      </c>
      <c r="AK27" s="540">
        <f t="shared" si="10"/>
        <v>0</v>
      </c>
      <c r="AL27" s="541">
        <f t="shared" si="122"/>
        <v>0</v>
      </c>
      <c r="AM27" s="539"/>
      <c r="AN27" s="540">
        <f t="shared" si="11"/>
        <v>0</v>
      </c>
      <c r="AO27" s="541">
        <f t="shared" si="123"/>
        <v>0</v>
      </c>
      <c r="AP27" s="539">
        <v>50.972283544303764</v>
      </c>
      <c r="AQ27" s="540">
        <f t="shared" si="12"/>
        <v>1.0073772909406069</v>
      </c>
      <c r="AR27" s="541">
        <f t="shared" si="124"/>
        <v>0</v>
      </c>
      <c r="AS27" s="539"/>
      <c r="AT27" s="540">
        <f t="shared" si="13"/>
        <v>0</v>
      </c>
      <c r="AU27" s="541">
        <f t="shared" si="125"/>
        <v>0</v>
      </c>
      <c r="AV27" s="539">
        <v>2.8330000000000126</v>
      </c>
      <c r="AW27" s="540">
        <f t="shared" si="14"/>
        <v>5.5989248799383641E-2</v>
      </c>
      <c r="AX27" s="541">
        <f t="shared" si="126"/>
        <v>0</v>
      </c>
      <c r="AY27" s="539">
        <v>46.533999999999992</v>
      </c>
      <c r="AZ27" s="540">
        <f t="shared" si="15"/>
        <v>0.91966244392181651</v>
      </c>
      <c r="BA27" s="541">
        <f t="shared" si="127"/>
        <v>0</v>
      </c>
      <c r="BB27" s="539">
        <v>0</v>
      </c>
      <c r="BC27" s="540">
        <f t="shared" si="16"/>
        <v>0</v>
      </c>
      <c r="BD27" s="541">
        <f t="shared" si="128"/>
        <v>0</v>
      </c>
      <c r="BE27" s="539"/>
      <c r="BF27" s="540">
        <f t="shared" si="17"/>
        <v>0</v>
      </c>
      <c r="BG27" s="541">
        <f t="shared" si="129"/>
        <v>0</v>
      </c>
      <c r="BH27" s="539"/>
      <c r="BI27" s="540">
        <f t="shared" si="18"/>
        <v>0</v>
      </c>
      <c r="BJ27" s="541">
        <f t="shared" si="130"/>
        <v>0</v>
      </c>
      <c r="BK27" s="539"/>
      <c r="BL27" s="540">
        <f t="shared" si="19"/>
        <v>0</v>
      </c>
      <c r="BM27" s="541">
        <f t="shared" si="131"/>
        <v>0</v>
      </c>
      <c r="BN27" s="539">
        <v>5.1721592592592458</v>
      </c>
      <c r="BO27" s="540">
        <f t="shared" si="20"/>
        <v>0.10221860628192743</v>
      </c>
      <c r="BP27" s="541">
        <f t="shared" si="132"/>
        <v>0</v>
      </c>
      <c r="BQ27" s="539">
        <v>6.553036923076931</v>
      </c>
      <c r="BR27" s="540">
        <f t="shared" si="21"/>
        <v>0.12950921802954468</v>
      </c>
      <c r="BS27" s="541">
        <f t="shared" si="133"/>
        <v>0</v>
      </c>
      <c r="BT27" s="539"/>
      <c r="BU27" s="540">
        <f t="shared" si="22"/>
        <v>0</v>
      </c>
      <c r="BV27" s="541">
        <f t="shared" si="134"/>
        <v>0</v>
      </c>
      <c r="BW27" s="539">
        <v>0</v>
      </c>
      <c r="BX27" s="540">
        <f t="shared" si="23"/>
        <v>0</v>
      </c>
      <c r="BY27" s="541">
        <f t="shared" si="135"/>
        <v>0</v>
      </c>
      <c r="BZ27" s="539">
        <v>0</v>
      </c>
      <c r="CA27" s="540">
        <f t="shared" si="24"/>
        <v>0</v>
      </c>
      <c r="CB27" s="541">
        <f t="shared" si="136"/>
        <v>0</v>
      </c>
      <c r="CC27" s="539">
        <v>12.5</v>
      </c>
      <c r="CD27" s="540">
        <f t="shared" si="25"/>
        <v>0.2470404553449673</v>
      </c>
      <c r="CE27" s="541">
        <f t="shared" si="137"/>
        <v>0</v>
      </c>
      <c r="CF27" s="539">
        <v>0.10000000000000003</v>
      </c>
      <c r="CG27" s="540">
        <f t="shared" si="26"/>
        <v>1.976323642759739E-3</v>
      </c>
      <c r="CH27" s="541">
        <f t="shared" si="138"/>
        <v>0</v>
      </c>
      <c r="CI27" s="539">
        <v>0</v>
      </c>
      <c r="CJ27" s="540">
        <f t="shared" si="27"/>
        <v>0</v>
      </c>
      <c r="CK27" s="541">
        <f t="shared" si="139"/>
        <v>0</v>
      </c>
      <c r="CL27" s="539"/>
      <c r="CM27" s="540">
        <f t="shared" si="28"/>
        <v>0</v>
      </c>
      <c r="CN27" s="541">
        <f t="shared" si="140"/>
        <v>0</v>
      </c>
      <c r="CO27" s="539"/>
      <c r="CP27" s="540">
        <f t="shared" si="29"/>
        <v>0</v>
      </c>
      <c r="CQ27" s="541">
        <f t="shared" si="141"/>
        <v>0</v>
      </c>
      <c r="CR27" s="539"/>
      <c r="CS27" s="540">
        <f t="shared" si="30"/>
        <v>0</v>
      </c>
      <c r="CT27" s="541">
        <f t="shared" si="142"/>
        <v>0</v>
      </c>
      <c r="CU27" s="539"/>
      <c r="CV27" s="540">
        <f t="shared" si="31"/>
        <v>0</v>
      </c>
      <c r="CW27" s="541">
        <f t="shared" si="143"/>
        <v>0</v>
      </c>
      <c r="CX27" s="539"/>
      <c r="CY27" s="540">
        <f t="shared" si="32"/>
        <v>0</v>
      </c>
      <c r="CZ27" s="541">
        <f t="shared" si="144"/>
        <v>0</v>
      </c>
      <c r="DA27" s="539"/>
      <c r="DB27" s="540">
        <f t="shared" si="33"/>
        <v>0</v>
      </c>
      <c r="DC27" s="541">
        <f t="shared" si="145"/>
        <v>0</v>
      </c>
      <c r="DD27" s="539"/>
      <c r="DE27" s="540">
        <f t="shared" si="34"/>
        <v>0</v>
      </c>
      <c r="DF27" s="541">
        <f t="shared" si="146"/>
        <v>0</v>
      </c>
      <c r="DG27" s="539">
        <v>0</v>
      </c>
      <c r="DH27" s="540">
        <f t="shared" si="35"/>
        <v>0</v>
      </c>
      <c r="DI27" s="541">
        <f t="shared" si="203"/>
        <v>0</v>
      </c>
      <c r="DJ27" s="539"/>
      <c r="DK27" s="540">
        <f t="shared" si="36"/>
        <v>0</v>
      </c>
      <c r="DL27" s="541">
        <f t="shared" si="147"/>
        <v>0</v>
      </c>
      <c r="DM27" s="539"/>
      <c r="DN27" s="540">
        <f t="shared" si="37"/>
        <v>0</v>
      </c>
      <c r="DO27" s="541">
        <f t="shared" si="148"/>
        <v>0</v>
      </c>
      <c r="DP27" s="539"/>
      <c r="DQ27" s="540">
        <f t="shared" si="38"/>
        <v>0</v>
      </c>
      <c r="DR27" s="541">
        <f t="shared" si="149"/>
        <v>0</v>
      </c>
      <c r="DS27" s="539"/>
      <c r="DT27" s="540">
        <f t="shared" si="39"/>
        <v>0</v>
      </c>
      <c r="DU27" s="541">
        <f t="shared" si="150"/>
        <v>0</v>
      </c>
      <c r="DV27" s="539"/>
      <c r="DW27" s="540">
        <f t="shared" si="40"/>
        <v>0</v>
      </c>
      <c r="DX27" s="541">
        <f t="shared" si="151"/>
        <v>0</v>
      </c>
      <c r="DY27" s="539"/>
      <c r="DZ27" s="540">
        <f t="shared" si="41"/>
        <v>0</v>
      </c>
      <c r="EA27" s="541">
        <f t="shared" si="152"/>
        <v>0</v>
      </c>
      <c r="EB27" s="539">
        <v>14.866539534883827</v>
      </c>
      <c r="EC27" s="540">
        <f t="shared" si="42"/>
        <v>0.29381093568813271</v>
      </c>
      <c r="ED27" s="541">
        <f t="shared" si="153"/>
        <v>0</v>
      </c>
      <c r="EE27" s="539">
        <v>1.5</v>
      </c>
      <c r="EF27" s="540">
        <f t="shared" si="43"/>
        <v>2.9644854641396077E-2</v>
      </c>
      <c r="EG27" s="541">
        <f t="shared" si="154"/>
        <v>0</v>
      </c>
      <c r="EH27" s="539"/>
      <c r="EI27" s="540">
        <f t="shared" si="44"/>
        <v>0</v>
      </c>
      <c r="EJ27" s="541">
        <f t="shared" si="155"/>
        <v>0</v>
      </c>
      <c r="EK27" s="539"/>
      <c r="EL27" s="540">
        <f t="shared" si="45"/>
        <v>0</v>
      </c>
      <c r="EM27" s="541">
        <f t="shared" si="156"/>
        <v>0</v>
      </c>
      <c r="EN27" s="539"/>
      <c r="EO27" s="540">
        <f t="shared" si="46"/>
        <v>0</v>
      </c>
      <c r="EP27" s="541">
        <f t="shared" si="157"/>
        <v>0</v>
      </c>
      <c r="EQ27" s="539"/>
      <c r="ER27" s="540">
        <f t="shared" si="47"/>
        <v>0</v>
      </c>
      <c r="ES27" s="541">
        <f t="shared" si="158"/>
        <v>0</v>
      </c>
      <c r="ET27" s="539"/>
      <c r="EU27" s="540">
        <f t="shared" si="48"/>
        <v>0</v>
      </c>
      <c r="EV27" s="541">
        <f t="shared" si="159"/>
        <v>0</v>
      </c>
      <c r="EW27" s="539"/>
      <c r="EX27" s="540">
        <f t="shared" si="49"/>
        <v>0</v>
      </c>
      <c r="EY27" s="541">
        <f t="shared" si="160"/>
        <v>0</v>
      </c>
      <c r="EZ27" s="539"/>
      <c r="FA27" s="540">
        <f t="shared" si="50"/>
        <v>0</v>
      </c>
      <c r="FB27" s="541">
        <f t="shared" si="161"/>
        <v>0</v>
      </c>
      <c r="FC27" s="539"/>
      <c r="FD27" s="540">
        <f t="shared" si="51"/>
        <v>0</v>
      </c>
      <c r="FE27" s="541">
        <f t="shared" si="162"/>
        <v>0</v>
      </c>
      <c r="FF27" s="539"/>
      <c r="FG27" s="540">
        <f t="shared" si="52"/>
        <v>0</v>
      </c>
      <c r="FH27" s="541">
        <f t="shared" si="163"/>
        <v>0</v>
      </c>
      <c r="FI27" s="539"/>
      <c r="FJ27" s="540">
        <f t="shared" si="53"/>
        <v>0</v>
      </c>
      <c r="FK27" s="541">
        <f t="shared" si="164"/>
        <v>0</v>
      </c>
      <c r="FL27" s="539"/>
      <c r="FM27" s="540">
        <f t="shared" si="54"/>
        <v>0</v>
      </c>
      <c r="FN27" s="541">
        <f t="shared" si="165"/>
        <v>0</v>
      </c>
      <c r="FO27" s="539"/>
      <c r="FP27" s="540">
        <f t="shared" si="55"/>
        <v>0</v>
      </c>
      <c r="FQ27" s="541">
        <f t="shared" si="166"/>
        <v>0</v>
      </c>
      <c r="FR27" s="539"/>
      <c r="FS27" s="540">
        <f t="shared" si="56"/>
        <v>0</v>
      </c>
      <c r="FT27" s="541">
        <f t="shared" si="167"/>
        <v>0</v>
      </c>
      <c r="FU27" s="539"/>
      <c r="FV27" s="540">
        <f t="shared" si="57"/>
        <v>0</v>
      </c>
      <c r="FW27" s="541">
        <f t="shared" si="168"/>
        <v>0</v>
      </c>
      <c r="FX27" s="539"/>
      <c r="FY27" s="540">
        <f t="shared" si="58"/>
        <v>0</v>
      </c>
      <c r="FZ27" s="541">
        <f t="shared" si="169"/>
        <v>0</v>
      </c>
      <c r="GA27" s="539"/>
      <c r="GB27" s="540">
        <f t="shared" si="59"/>
        <v>0</v>
      </c>
      <c r="GC27" s="541">
        <f t="shared" si="170"/>
        <v>0</v>
      </c>
      <c r="GD27" s="539"/>
      <c r="GE27" s="540">
        <f t="shared" si="60"/>
        <v>0</v>
      </c>
      <c r="GF27" s="541">
        <f t="shared" si="171"/>
        <v>0</v>
      </c>
      <c r="GG27" s="539"/>
      <c r="GH27" s="540">
        <f t="shared" si="61"/>
        <v>0</v>
      </c>
      <c r="GI27" s="541">
        <f t="shared" si="172"/>
        <v>0</v>
      </c>
      <c r="GJ27" s="539"/>
      <c r="GK27" s="540">
        <f t="shared" si="62"/>
        <v>0</v>
      </c>
      <c r="GL27" s="541">
        <f t="shared" si="173"/>
        <v>0</v>
      </c>
      <c r="GM27" s="539"/>
      <c r="GN27" s="540">
        <f t="shared" si="63"/>
        <v>0</v>
      </c>
      <c r="GO27" s="541">
        <f t="shared" si="174"/>
        <v>0</v>
      </c>
      <c r="GP27" s="539"/>
      <c r="GQ27" s="540">
        <f t="shared" si="64"/>
        <v>0</v>
      </c>
      <c r="GR27" s="541">
        <f t="shared" si="175"/>
        <v>0</v>
      </c>
      <c r="GS27" s="539"/>
      <c r="GT27" s="540">
        <f t="shared" si="65"/>
        <v>0</v>
      </c>
      <c r="GU27" s="541">
        <f t="shared" si="176"/>
        <v>0</v>
      </c>
      <c r="GV27" s="539"/>
      <c r="GW27" s="540">
        <f t="shared" si="66"/>
        <v>0</v>
      </c>
      <c r="GX27" s="541">
        <f t="shared" si="177"/>
        <v>0</v>
      </c>
      <c r="GY27" s="539"/>
      <c r="GZ27" s="540">
        <f t="shared" si="67"/>
        <v>0</v>
      </c>
      <c r="HA27" s="541">
        <f t="shared" si="178"/>
        <v>0</v>
      </c>
      <c r="HB27" s="539"/>
      <c r="HC27" s="540">
        <f t="shared" si="68"/>
        <v>0</v>
      </c>
      <c r="HD27" s="541">
        <f t="shared" si="179"/>
        <v>0</v>
      </c>
      <c r="HE27" s="539"/>
      <c r="HF27" s="540">
        <f t="shared" si="69"/>
        <v>0</v>
      </c>
      <c r="HG27" s="541">
        <f t="shared" si="180"/>
        <v>0</v>
      </c>
      <c r="HH27" s="539"/>
      <c r="HI27" s="540">
        <f t="shared" si="70"/>
        <v>0</v>
      </c>
      <c r="HJ27" s="541">
        <f t="shared" si="181"/>
        <v>0</v>
      </c>
      <c r="HK27" s="539"/>
      <c r="HL27" s="540">
        <f t="shared" si="71"/>
        <v>0</v>
      </c>
      <c r="HM27" s="541">
        <f t="shared" si="182"/>
        <v>0</v>
      </c>
      <c r="HN27" s="539"/>
      <c r="HO27" s="540">
        <f t="shared" si="72"/>
        <v>0</v>
      </c>
      <c r="HP27" s="541">
        <f t="shared" si="183"/>
        <v>0</v>
      </c>
      <c r="HQ27" s="539"/>
      <c r="HR27" s="540">
        <f t="shared" si="73"/>
        <v>0</v>
      </c>
      <c r="HS27" s="541">
        <f t="shared" si="184"/>
        <v>0</v>
      </c>
      <c r="HT27" s="539"/>
      <c r="HU27" s="540">
        <f t="shared" si="74"/>
        <v>0</v>
      </c>
      <c r="HV27" s="541">
        <f t="shared" si="185"/>
        <v>0</v>
      </c>
      <c r="HW27" s="539"/>
      <c r="HX27" s="540">
        <f t="shared" si="75"/>
        <v>0</v>
      </c>
      <c r="HY27" s="541">
        <f t="shared" si="186"/>
        <v>0</v>
      </c>
      <c r="HZ27" s="539"/>
      <c r="IA27" s="540">
        <f t="shared" si="76"/>
        <v>0</v>
      </c>
      <c r="IB27" s="541">
        <f t="shared" si="187"/>
        <v>0</v>
      </c>
      <c r="IC27" s="539"/>
      <c r="ID27" s="540">
        <f t="shared" si="77"/>
        <v>0</v>
      </c>
      <c r="IE27" s="541">
        <f t="shared" si="188"/>
        <v>0</v>
      </c>
      <c r="IF27" s="539"/>
      <c r="IG27" s="540">
        <f t="shared" si="78"/>
        <v>0</v>
      </c>
      <c r="IH27" s="541">
        <f t="shared" si="189"/>
        <v>0</v>
      </c>
      <c r="II27" s="539"/>
      <c r="IJ27" s="540">
        <f t="shared" si="79"/>
        <v>0</v>
      </c>
      <c r="IK27" s="541">
        <f t="shared" si="190"/>
        <v>0</v>
      </c>
      <c r="IL27" s="539"/>
      <c r="IM27" s="540">
        <f t="shared" si="80"/>
        <v>0</v>
      </c>
      <c r="IN27" s="541">
        <f t="shared" si="191"/>
        <v>0</v>
      </c>
      <c r="IO27" s="539"/>
      <c r="IP27" s="540">
        <f t="shared" si="81"/>
        <v>0</v>
      </c>
      <c r="IQ27" s="541">
        <f t="shared" si="192"/>
        <v>0</v>
      </c>
      <c r="IR27" s="539"/>
      <c r="IS27" s="540">
        <f t="shared" si="82"/>
        <v>0</v>
      </c>
      <c r="IT27" s="541">
        <f t="shared" si="193"/>
        <v>0</v>
      </c>
      <c r="IU27" s="539"/>
      <c r="IV27" s="540">
        <f t="shared" si="83"/>
        <v>0</v>
      </c>
      <c r="IW27" s="541">
        <f t="shared" si="194"/>
        <v>0</v>
      </c>
      <c r="IX27" s="539"/>
      <c r="IY27" s="540">
        <f t="shared" si="84"/>
        <v>0</v>
      </c>
      <c r="IZ27" s="541">
        <f t="shared" si="195"/>
        <v>0</v>
      </c>
      <c r="JA27" s="539"/>
      <c r="JB27" s="540">
        <f t="shared" si="85"/>
        <v>0</v>
      </c>
      <c r="JC27" s="541">
        <f t="shared" si="196"/>
        <v>0</v>
      </c>
      <c r="JD27" s="539"/>
      <c r="JE27" s="540">
        <f t="shared" si="86"/>
        <v>0</v>
      </c>
      <c r="JF27" s="541">
        <f t="shared" si="197"/>
        <v>0</v>
      </c>
      <c r="JG27" s="539"/>
      <c r="JH27" s="540">
        <f t="shared" si="87"/>
        <v>0</v>
      </c>
      <c r="JI27" s="541">
        <f t="shared" si="198"/>
        <v>0</v>
      </c>
      <c r="JJ27" s="539"/>
      <c r="JK27" s="541" t="str">
        <f t="shared" si="88"/>
        <v>0</v>
      </c>
      <c r="JL27" s="541" t="str">
        <f t="shared" si="89"/>
        <v>0</v>
      </c>
      <c r="JM27" s="539"/>
      <c r="JN27" s="541" t="str">
        <f t="shared" si="90"/>
        <v>0</v>
      </c>
      <c r="JO27" s="541" t="str">
        <f t="shared" si="91"/>
        <v>0</v>
      </c>
      <c r="JP27" s="539"/>
      <c r="JQ27" s="541" t="str">
        <f t="shared" si="92"/>
        <v>0</v>
      </c>
      <c r="JR27" s="541" t="str">
        <f t="shared" si="93"/>
        <v>0</v>
      </c>
      <c r="JS27" s="539"/>
      <c r="JT27" s="541" t="str">
        <f t="shared" si="94"/>
        <v>0</v>
      </c>
      <c r="JU27" s="541" t="str">
        <f t="shared" si="95"/>
        <v>0</v>
      </c>
      <c r="JV27" s="539"/>
      <c r="JW27" s="541" t="str">
        <f t="shared" si="96"/>
        <v>0</v>
      </c>
      <c r="JX27" s="541" t="str">
        <f t="shared" si="97"/>
        <v>0</v>
      </c>
      <c r="JY27" s="539"/>
      <c r="JZ27" s="541" t="str">
        <f t="shared" si="98"/>
        <v>0</v>
      </c>
      <c r="KA27" s="541" t="str">
        <f t="shared" si="99"/>
        <v>0</v>
      </c>
      <c r="KB27" s="539"/>
      <c r="KC27" s="541" t="str">
        <f t="shared" si="100"/>
        <v>0</v>
      </c>
      <c r="KD27" s="541" t="str">
        <f t="shared" si="101"/>
        <v>0</v>
      </c>
      <c r="KE27" s="539"/>
      <c r="KF27" s="541" t="str">
        <f t="shared" si="102"/>
        <v>0</v>
      </c>
      <c r="KG27" s="541" t="str">
        <f t="shared" si="103"/>
        <v>0</v>
      </c>
      <c r="KH27" s="539"/>
      <c r="KI27" s="541" t="str">
        <f t="shared" si="104"/>
        <v>0</v>
      </c>
      <c r="KJ27" s="541" t="str">
        <f t="shared" si="105"/>
        <v>0</v>
      </c>
      <c r="KK27" s="539"/>
      <c r="KL27" s="541" t="str">
        <f t="shared" si="106"/>
        <v>0</v>
      </c>
      <c r="KM27" s="541" t="str">
        <f t="shared" si="107"/>
        <v>0</v>
      </c>
      <c r="KN27" s="539"/>
      <c r="KO27" s="541" t="str">
        <f t="shared" si="108"/>
        <v>0</v>
      </c>
      <c r="KP27" s="541" t="str">
        <f t="shared" si="109"/>
        <v>0</v>
      </c>
      <c r="KQ27" s="539"/>
      <c r="KR27" s="541" t="str">
        <f t="shared" si="110"/>
        <v>0</v>
      </c>
      <c r="KS27" s="541" t="str">
        <f t="shared" si="111"/>
        <v>0</v>
      </c>
      <c r="KT27" s="541">
        <f t="shared" si="201"/>
        <v>0</v>
      </c>
      <c r="KU27" s="541">
        <f t="shared" si="202"/>
        <v>0</v>
      </c>
      <c r="KV27" s="275">
        <f t="shared" si="199"/>
        <v>470.39918437780335</v>
      </c>
    </row>
    <row r="28" spans="1:309" ht="15" customHeight="1">
      <c r="A28" s="277">
        <f t="shared" si="200"/>
        <v>45858</v>
      </c>
      <c r="B28" s="278" t="str">
        <f>+Report1!B28</f>
        <v>Facial</v>
      </c>
      <c r="C28" s="418" t="str">
        <f>+Report1!C28</f>
        <v>11,5</v>
      </c>
      <c r="D28" s="279">
        <f>+Report1!P28</f>
        <v>47.595999999999997</v>
      </c>
      <c r="E28" s="280">
        <f>+Report1!R28</f>
        <v>45.067999999999998</v>
      </c>
      <c r="F28" s="539"/>
      <c r="G28" s="540">
        <f t="shared" si="0"/>
        <v>0</v>
      </c>
      <c r="H28" s="541">
        <f t="shared" si="112"/>
        <v>0</v>
      </c>
      <c r="I28" s="539">
        <v>301.13459999999986</v>
      </c>
      <c r="J28" s="540">
        <f t="shared" si="1"/>
        <v>6.6817830833407266</v>
      </c>
      <c r="K28" s="541">
        <f t="shared" si="113"/>
        <v>0</v>
      </c>
      <c r="L28" s="539"/>
      <c r="M28" s="540">
        <f t="shared" si="2"/>
        <v>0</v>
      </c>
      <c r="N28" s="541">
        <f t="shared" si="114"/>
        <v>0</v>
      </c>
      <c r="O28" s="539">
        <v>7.3311999999999671</v>
      </c>
      <c r="P28" s="540">
        <f t="shared" si="3"/>
        <v>0.16266974349871233</v>
      </c>
      <c r="Q28" s="541">
        <f t="shared" si="115"/>
        <v>0</v>
      </c>
      <c r="R28" s="539"/>
      <c r="S28" s="540">
        <f t="shared" si="4"/>
        <v>0</v>
      </c>
      <c r="T28" s="541">
        <f t="shared" si="116"/>
        <v>0</v>
      </c>
      <c r="U28" s="539">
        <v>6.2624000000000137</v>
      </c>
      <c r="V28" s="540">
        <f t="shared" si="5"/>
        <v>0.13895446880269846</v>
      </c>
      <c r="W28" s="541">
        <f t="shared" si="117"/>
        <v>0</v>
      </c>
      <c r="X28" s="539"/>
      <c r="Y28" s="540">
        <f t="shared" si="6"/>
        <v>0</v>
      </c>
      <c r="Z28" s="541">
        <f t="shared" si="118"/>
        <v>0</v>
      </c>
      <c r="AA28" s="539"/>
      <c r="AB28" s="540">
        <f t="shared" si="7"/>
        <v>0</v>
      </c>
      <c r="AC28" s="541">
        <f t="shared" si="119"/>
        <v>0</v>
      </c>
      <c r="AD28" s="539"/>
      <c r="AE28" s="540">
        <f t="shared" si="8"/>
        <v>0</v>
      </c>
      <c r="AF28" s="541">
        <f t="shared" si="120"/>
        <v>0</v>
      </c>
      <c r="AG28" s="539"/>
      <c r="AH28" s="540">
        <f t="shared" si="9"/>
        <v>0</v>
      </c>
      <c r="AI28" s="541">
        <f t="shared" si="121"/>
        <v>0</v>
      </c>
      <c r="AJ28" s="539">
        <v>0</v>
      </c>
      <c r="AK28" s="540">
        <f t="shared" si="10"/>
        <v>0</v>
      </c>
      <c r="AL28" s="541">
        <f t="shared" si="122"/>
        <v>0</v>
      </c>
      <c r="AM28" s="539"/>
      <c r="AN28" s="540">
        <f t="shared" si="11"/>
        <v>0</v>
      </c>
      <c r="AO28" s="541">
        <f t="shared" si="123"/>
        <v>0</v>
      </c>
      <c r="AP28" s="539">
        <v>48.706399999999974</v>
      </c>
      <c r="AQ28" s="540">
        <f t="shared" si="12"/>
        <v>1.0807313393094873</v>
      </c>
      <c r="AR28" s="541">
        <f t="shared" si="124"/>
        <v>0</v>
      </c>
      <c r="AS28" s="539"/>
      <c r="AT28" s="540">
        <f t="shared" si="13"/>
        <v>0</v>
      </c>
      <c r="AU28" s="541">
        <f t="shared" si="125"/>
        <v>0</v>
      </c>
      <c r="AV28" s="539">
        <v>2.7139999999999986</v>
      </c>
      <c r="AW28" s="540">
        <f t="shared" si="14"/>
        <v>6.0220111831010892E-2</v>
      </c>
      <c r="AX28" s="541">
        <f t="shared" si="126"/>
        <v>0</v>
      </c>
      <c r="AY28" s="539">
        <v>44.463600000000014</v>
      </c>
      <c r="AZ28" s="540">
        <f t="shared" si="15"/>
        <v>0.98658915416703685</v>
      </c>
      <c r="BA28" s="541">
        <f t="shared" si="127"/>
        <v>0</v>
      </c>
      <c r="BB28" s="539">
        <v>0</v>
      </c>
      <c r="BC28" s="540">
        <f t="shared" si="16"/>
        <v>0</v>
      </c>
      <c r="BD28" s="541">
        <f t="shared" si="128"/>
        <v>0</v>
      </c>
      <c r="BE28" s="539"/>
      <c r="BF28" s="540">
        <f t="shared" si="17"/>
        <v>0</v>
      </c>
      <c r="BG28" s="541">
        <f t="shared" si="129"/>
        <v>0</v>
      </c>
      <c r="BH28" s="539"/>
      <c r="BI28" s="540">
        <f t="shared" si="18"/>
        <v>0</v>
      </c>
      <c r="BJ28" s="541">
        <f t="shared" si="130"/>
        <v>0</v>
      </c>
      <c r="BK28" s="539"/>
      <c r="BL28" s="540">
        <f t="shared" si="19"/>
        <v>0</v>
      </c>
      <c r="BM28" s="541">
        <f t="shared" si="131"/>
        <v>0</v>
      </c>
      <c r="BN28" s="539">
        <v>4.9490000000000123</v>
      </c>
      <c r="BO28" s="540">
        <f t="shared" si="20"/>
        <v>0.10981183988639417</v>
      </c>
      <c r="BP28" s="541">
        <f t="shared" si="132"/>
        <v>0</v>
      </c>
      <c r="BQ28" s="539">
        <v>6.2646999999999906</v>
      </c>
      <c r="BR28" s="540">
        <f t="shared" si="21"/>
        <v>0.13900550279577506</v>
      </c>
      <c r="BS28" s="541">
        <f t="shared" si="133"/>
        <v>0</v>
      </c>
      <c r="BT28" s="539"/>
      <c r="BU28" s="540">
        <f t="shared" si="22"/>
        <v>0</v>
      </c>
      <c r="BV28" s="541">
        <f t="shared" si="134"/>
        <v>0</v>
      </c>
      <c r="BW28" s="539">
        <v>0</v>
      </c>
      <c r="BX28" s="540">
        <f t="shared" si="23"/>
        <v>0</v>
      </c>
      <c r="BY28" s="541">
        <f t="shared" si="135"/>
        <v>0</v>
      </c>
      <c r="BZ28" s="539">
        <v>0</v>
      </c>
      <c r="CA28" s="540">
        <f t="shared" si="24"/>
        <v>0</v>
      </c>
      <c r="CB28" s="541">
        <f t="shared" si="136"/>
        <v>0</v>
      </c>
      <c r="CC28" s="539">
        <v>12.5</v>
      </c>
      <c r="CD28" s="540">
        <f t="shared" si="25"/>
        <v>0.27735865802786902</v>
      </c>
      <c r="CE28" s="541">
        <f t="shared" si="137"/>
        <v>0</v>
      </c>
      <c r="CF28" s="539">
        <v>0.10000000000000003</v>
      </c>
      <c r="CG28" s="540">
        <f t="shared" si="26"/>
        <v>2.218869264222953E-3</v>
      </c>
      <c r="CH28" s="541">
        <f t="shared" si="138"/>
        <v>0</v>
      </c>
      <c r="CI28" s="539">
        <v>0</v>
      </c>
      <c r="CJ28" s="540">
        <f t="shared" si="27"/>
        <v>0</v>
      </c>
      <c r="CK28" s="541">
        <f t="shared" si="139"/>
        <v>0</v>
      </c>
      <c r="CL28" s="539"/>
      <c r="CM28" s="540">
        <f t="shared" si="28"/>
        <v>0</v>
      </c>
      <c r="CN28" s="541">
        <f t="shared" si="140"/>
        <v>0</v>
      </c>
      <c r="CO28" s="539"/>
      <c r="CP28" s="540">
        <f t="shared" si="29"/>
        <v>0</v>
      </c>
      <c r="CQ28" s="541">
        <f t="shared" si="141"/>
        <v>0</v>
      </c>
      <c r="CR28" s="539"/>
      <c r="CS28" s="540">
        <f t="shared" si="30"/>
        <v>0</v>
      </c>
      <c r="CT28" s="541">
        <f t="shared" si="142"/>
        <v>0</v>
      </c>
      <c r="CU28" s="539"/>
      <c r="CV28" s="540">
        <f t="shared" si="31"/>
        <v>0</v>
      </c>
      <c r="CW28" s="541">
        <f t="shared" si="143"/>
        <v>0</v>
      </c>
      <c r="CX28" s="539"/>
      <c r="CY28" s="540">
        <f t="shared" si="32"/>
        <v>0</v>
      </c>
      <c r="CZ28" s="541">
        <f t="shared" si="144"/>
        <v>0</v>
      </c>
      <c r="DA28" s="539"/>
      <c r="DB28" s="540">
        <f t="shared" si="33"/>
        <v>0</v>
      </c>
      <c r="DC28" s="541">
        <f t="shared" si="145"/>
        <v>0</v>
      </c>
      <c r="DD28" s="539"/>
      <c r="DE28" s="540">
        <f t="shared" si="34"/>
        <v>0</v>
      </c>
      <c r="DF28" s="541">
        <f t="shared" si="146"/>
        <v>0</v>
      </c>
      <c r="DG28" s="539">
        <v>0</v>
      </c>
      <c r="DH28" s="540">
        <f t="shared" si="35"/>
        <v>0</v>
      </c>
      <c r="DI28" s="541">
        <f t="shared" si="203"/>
        <v>0</v>
      </c>
      <c r="DJ28" s="539"/>
      <c r="DK28" s="540">
        <f t="shared" si="36"/>
        <v>0</v>
      </c>
      <c r="DL28" s="541">
        <f t="shared" si="147"/>
        <v>0</v>
      </c>
      <c r="DM28" s="539"/>
      <c r="DN28" s="540">
        <f t="shared" si="37"/>
        <v>0</v>
      </c>
      <c r="DO28" s="541">
        <f t="shared" si="148"/>
        <v>0</v>
      </c>
      <c r="DP28" s="539"/>
      <c r="DQ28" s="540">
        <f t="shared" si="38"/>
        <v>0</v>
      </c>
      <c r="DR28" s="541">
        <f t="shared" si="149"/>
        <v>0</v>
      </c>
      <c r="DS28" s="539"/>
      <c r="DT28" s="540">
        <f t="shared" si="39"/>
        <v>0</v>
      </c>
      <c r="DU28" s="541">
        <f t="shared" si="150"/>
        <v>0</v>
      </c>
      <c r="DV28" s="539"/>
      <c r="DW28" s="540">
        <f t="shared" si="40"/>
        <v>0</v>
      </c>
      <c r="DX28" s="541">
        <f t="shared" si="151"/>
        <v>0</v>
      </c>
      <c r="DY28" s="539"/>
      <c r="DZ28" s="540">
        <f t="shared" si="41"/>
        <v>0</v>
      </c>
      <c r="EA28" s="541">
        <f t="shared" si="152"/>
        <v>0</v>
      </c>
      <c r="EB28" s="539">
        <v>14.197999999999979</v>
      </c>
      <c r="EC28" s="540">
        <f t="shared" si="42"/>
        <v>0.31503505813437427</v>
      </c>
      <c r="ED28" s="541">
        <f t="shared" si="153"/>
        <v>0</v>
      </c>
      <c r="EE28" s="539">
        <v>1.5</v>
      </c>
      <c r="EF28" s="540">
        <f t="shared" si="43"/>
        <v>3.328303896334428E-2</v>
      </c>
      <c r="EG28" s="541">
        <f t="shared" si="154"/>
        <v>0</v>
      </c>
      <c r="EH28" s="539"/>
      <c r="EI28" s="540">
        <f t="shared" si="44"/>
        <v>0</v>
      </c>
      <c r="EJ28" s="541">
        <f t="shared" si="155"/>
        <v>0</v>
      </c>
      <c r="EK28" s="539"/>
      <c r="EL28" s="540">
        <f t="shared" si="45"/>
        <v>0</v>
      </c>
      <c r="EM28" s="541">
        <f t="shared" si="156"/>
        <v>0</v>
      </c>
      <c r="EN28" s="539"/>
      <c r="EO28" s="540">
        <f t="shared" si="46"/>
        <v>0</v>
      </c>
      <c r="EP28" s="541">
        <f t="shared" si="157"/>
        <v>0</v>
      </c>
      <c r="EQ28" s="539"/>
      <c r="ER28" s="540">
        <f t="shared" si="47"/>
        <v>0</v>
      </c>
      <c r="ES28" s="541">
        <f t="shared" si="158"/>
        <v>0</v>
      </c>
      <c r="ET28" s="539"/>
      <c r="EU28" s="540">
        <f t="shared" si="48"/>
        <v>0</v>
      </c>
      <c r="EV28" s="541">
        <f t="shared" si="159"/>
        <v>0</v>
      </c>
      <c r="EW28" s="539"/>
      <c r="EX28" s="540">
        <f t="shared" si="49"/>
        <v>0</v>
      </c>
      <c r="EY28" s="541">
        <f t="shared" si="160"/>
        <v>0</v>
      </c>
      <c r="EZ28" s="539"/>
      <c r="FA28" s="540">
        <f t="shared" si="50"/>
        <v>0</v>
      </c>
      <c r="FB28" s="541">
        <f t="shared" si="161"/>
        <v>0</v>
      </c>
      <c r="FC28" s="539"/>
      <c r="FD28" s="540">
        <f t="shared" si="51"/>
        <v>0</v>
      </c>
      <c r="FE28" s="541">
        <f t="shared" si="162"/>
        <v>0</v>
      </c>
      <c r="FF28" s="539"/>
      <c r="FG28" s="540">
        <f t="shared" si="52"/>
        <v>0</v>
      </c>
      <c r="FH28" s="541">
        <f t="shared" si="163"/>
        <v>0</v>
      </c>
      <c r="FI28" s="539"/>
      <c r="FJ28" s="540">
        <f t="shared" si="53"/>
        <v>0</v>
      </c>
      <c r="FK28" s="541">
        <f t="shared" si="164"/>
        <v>0</v>
      </c>
      <c r="FL28" s="539"/>
      <c r="FM28" s="540">
        <f t="shared" si="54"/>
        <v>0</v>
      </c>
      <c r="FN28" s="541">
        <f t="shared" si="165"/>
        <v>0</v>
      </c>
      <c r="FO28" s="539"/>
      <c r="FP28" s="540">
        <f t="shared" si="55"/>
        <v>0</v>
      </c>
      <c r="FQ28" s="541">
        <f t="shared" si="166"/>
        <v>0</v>
      </c>
      <c r="FR28" s="539"/>
      <c r="FS28" s="540">
        <f t="shared" si="56"/>
        <v>0</v>
      </c>
      <c r="FT28" s="541">
        <f t="shared" si="167"/>
        <v>0</v>
      </c>
      <c r="FU28" s="539"/>
      <c r="FV28" s="540">
        <f t="shared" si="57"/>
        <v>0</v>
      </c>
      <c r="FW28" s="541">
        <f t="shared" si="168"/>
        <v>0</v>
      </c>
      <c r="FX28" s="539"/>
      <c r="FY28" s="540">
        <f t="shared" si="58"/>
        <v>0</v>
      </c>
      <c r="FZ28" s="541">
        <f t="shared" si="169"/>
        <v>0</v>
      </c>
      <c r="GA28" s="539"/>
      <c r="GB28" s="540">
        <f t="shared" si="59"/>
        <v>0</v>
      </c>
      <c r="GC28" s="541">
        <f t="shared" si="170"/>
        <v>0</v>
      </c>
      <c r="GD28" s="539"/>
      <c r="GE28" s="540">
        <f t="shared" si="60"/>
        <v>0</v>
      </c>
      <c r="GF28" s="541">
        <f t="shared" si="171"/>
        <v>0</v>
      </c>
      <c r="GG28" s="539"/>
      <c r="GH28" s="540">
        <f t="shared" si="61"/>
        <v>0</v>
      </c>
      <c r="GI28" s="541">
        <f t="shared" si="172"/>
        <v>0</v>
      </c>
      <c r="GJ28" s="539"/>
      <c r="GK28" s="540">
        <f t="shared" si="62"/>
        <v>0</v>
      </c>
      <c r="GL28" s="541">
        <f t="shared" si="173"/>
        <v>0</v>
      </c>
      <c r="GM28" s="539"/>
      <c r="GN28" s="540">
        <f t="shared" si="63"/>
        <v>0</v>
      </c>
      <c r="GO28" s="541">
        <f t="shared" si="174"/>
        <v>0</v>
      </c>
      <c r="GP28" s="539"/>
      <c r="GQ28" s="540">
        <f t="shared" si="64"/>
        <v>0</v>
      </c>
      <c r="GR28" s="541">
        <f t="shared" si="175"/>
        <v>0</v>
      </c>
      <c r="GS28" s="539"/>
      <c r="GT28" s="540">
        <f t="shared" si="65"/>
        <v>0</v>
      </c>
      <c r="GU28" s="541">
        <f t="shared" si="176"/>
        <v>0</v>
      </c>
      <c r="GV28" s="539"/>
      <c r="GW28" s="540">
        <f t="shared" si="66"/>
        <v>0</v>
      </c>
      <c r="GX28" s="541">
        <f t="shared" si="177"/>
        <v>0</v>
      </c>
      <c r="GY28" s="539"/>
      <c r="GZ28" s="540">
        <f t="shared" si="67"/>
        <v>0</v>
      </c>
      <c r="HA28" s="541">
        <f t="shared" si="178"/>
        <v>0</v>
      </c>
      <c r="HB28" s="539"/>
      <c r="HC28" s="540">
        <f t="shared" si="68"/>
        <v>0</v>
      </c>
      <c r="HD28" s="541">
        <f t="shared" si="179"/>
        <v>0</v>
      </c>
      <c r="HE28" s="539"/>
      <c r="HF28" s="540">
        <f t="shared" si="69"/>
        <v>0</v>
      </c>
      <c r="HG28" s="541">
        <f t="shared" si="180"/>
        <v>0</v>
      </c>
      <c r="HH28" s="539"/>
      <c r="HI28" s="540">
        <f t="shared" si="70"/>
        <v>0</v>
      </c>
      <c r="HJ28" s="541">
        <f t="shared" si="181"/>
        <v>0</v>
      </c>
      <c r="HK28" s="539"/>
      <c r="HL28" s="540">
        <f t="shared" si="71"/>
        <v>0</v>
      </c>
      <c r="HM28" s="541">
        <f t="shared" si="182"/>
        <v>0</v>
      </c>
      <c r="HN28" s="539"/>
      <c r="HO28" s="540">
        <f t="shared" si="72"/>
        <v>0</v>
      </c>
      <c r="HP28" s="541">
        <f t="shared" si="183"/>
        <v>0</v>
      </c>
      <c r="HQ28" s="539"/>
      <c r="HR28" s="540">
        <f t="shared" si="73"/>
        <v>0</v>
      </c>
      <c r="HS28" s="541">
        <f t="shared" si="184"/>
        <v>0</v>
      </c>
      <c r="HT28" s="539"/>
      <c r="HU28" s="540">
        <f t="shared" si="74"/>
        <v>0</v>
      </c>
      <c r="HV28" s="541">
        <f t="shared" si="185"/>
        <v>0</v>
      </c>
      <c r="HW28" s="539"/>
      <c r="HX28" s="540">
        <f t="shared" si="75"/>
        <v>0</v>
      </c>
      <c r="HY28" s="541">
        <f t="shared" si="186"/>
        <v>0</v>
      </c>
      <c r="HZ28" s="539"/>
      <c r="IA28" s="540">
        <f t="shared" si="76"/>
        <v>0</v>
      </c>
      <c r="IB28" s="541">
        <f t="shared" si="187"/>
        <v>0</v>
      </c>
      <c r="IC28" s="539"/>
      <c r="ID28" s="540">
        <f t="shared" si="77"/>
        <v>0</v>
      </c>
      <c r="IE28" s="541">
        <f t="shared" si="188"/>
        <v>0</v>
      </c>
      <c r="IF28" s="539"/>
      <c r="IG28" s="540">
        <f t="shared" si="78"/>
        <v>0</v>
      </c>
      <c r="IH28" s="541">
        <f t="shared" si="189"/>
        <v>0</v>
      </c>
      <c r="II28" s="539"/>
      <c r="IJ28" s="540">
        <f t="shared" si="79"/>
        <v>0</v>
      </c>
      <c r="IK28" s="541">
        <f t="shared" si="190"/>
        <v>0</v>
      </c>
      <c r="IL28" s="539"/>
      <c r="IM28" s="540">
        <f t="shared" si="80"/>
        <v>0</v>
      </c>
      <c r="IN28" s="541">
        <f t="shared" si="191"/>
        <v>0</v>
      </c>
      <c r="IO28" s="539"/>
      <c r="IP28" s="540">
        <f t="shared" si="81"/>
        <v>0</v>
      </c>
      <c r="IQ28" s="541">
        <f t="shared" si="192"/>
        <v>0</v>
      </c>
      <c r="IR28" s="539"/>
      <c r="IS28" s="540">
        <f t="shared" si="82"/>
        <v>0</v>
      </c>
      <c r="IT28" s="541">
        <f t="shared" si="193"/>
        <v>0</v>
      </c>
      <c r="IU28" s="539"/>
      <c r="IV28" s="540">
        <f t="shared" si="83"/>
        <v>0</v>
      </c>
      <c r="IW28" s="541">
        <f t="shared" si="194"/>
        <v>0</v>
      </c>
      <c r="IX28" s="539"/>
      <c r="IY28" s="540">
        <f t="shared" si="84"/>
        <v>0</v>
      </c>
      <c r="IZ28" s="541">
        <f t="shared" si="195"/>
        <v>0</v>
      </c>
      <c r="JA28" s="539"/>
      <c r="JB28" s="540">
        <f t="shared" si="85"/>
        <v>0</v>
      </c>
      <c r="JC28" s="541">
        <f t="shared" si="196"/>
        <v>0</v>
      </c>
      <c r="JD28" s="539"/>
      <c r="JE28" s="540">
        <f t="shared" si="86"/>
        <v>0</v>
      </c>
      <c r="JF28" s="541">
        <f t="shared" si="197"/>
        <v>0</v>
      </c>
      <c r="JG28" s="539"/>
      <c r="JH28" s="540">
        <f t="shared" si="87"/>
        <v>0</v>
      </c>
      <c r="JI28" s="541">
        <f t="shared" si="198"/>
        <v>0</v>
      </c>
      <c r="JJ28" s="539"/>
      <c r="JK28" s="541" t="str">
        <f t="shared" si="88"/>
        <v>0</v>
      </c>
      <c r="JL28" s="541" t="str">
        <f t="shared" si="89"/>
        <v>0</v>
      </c>
      <c r="JM28" s="539"/>
      <c r="JN28" s="541" t="str">
        <f t="shared" si="90"/>
        <v>0</v>
      </c>
      <c r="JO28" s="541" t="str">
        <f t="shared" si="91"/>
        <v>0</v>
      </c>
      <c r="JP28" s="539"/>
      <c r="JQ28" s="541" t="str">
        <f t="shared" si="92"/>
        <v>0</v>
      </c>
      <c r="JR28" s="541" t="str">
        <f t="shared" si="93"/>
        <v>0</v>
      </c>
      <c r="JS28" s="539"/>
      <c r="JT28" s="541" t="str">
        <f t="shared" si="94"/>
        <v>0</v>
      </c>
      <c r="JU28" s="541" t="str">
        <f t="shared" si="95"/>
        <v>0</v>
      </c>
      <c r="JV28" s="539"/>
      <c r="JW28" s="541" t="str">
        <f t="shared" si="96"/>
        <v>0</v>
      </c>
      <c r="JX28" s="541" t="str">
        <f t="shared" si="97"/>
        <v>0</v>
      </c>
      <c r="JY28" s="539"/>
      <c r="JZ28" s="541" t="str">
        <f t="shared" si="98"/>
        <v>0</v>
      </c>
      <c r="KA28" s="541" t="str">
        <f t="shared" si="99"/>
        <v>0</v>
      </c>
      <c r="KB28" s="539"/>
      <c r="KC28" s="541" t="str">
        <f t="shared" si="100"/>
        <v>0</v>
      </c>
      <c r="KD28" s="541" t="str">
        <f t="shared" si="101"/>
        <v>0</v>
      </c>
      <c r="KE28" s="539"/>
      <c r="KF28" s="541" t="str">
        <f t="shared" si="102"/>
        <v>0</v>
      </c>
      <c r="KG28" s="541" t="str">
        <f t="shared" si="103"/>
        <v>0</v>
      </c>
      <c r="KH28" s="539"/>
      <c r="KI28" s="541" t="str">
        <f t="shared" si="104"/>
        <v>0</v>
      </c>
      <c r="KJ28" s="541" t="str">
        <f t="shared" si="105"/>
        <v>0</v>
      </c>
      <c r="KK28" s="539"/>
      <c r="KL28" s="541" t="str">
        <f t="shared" si="106"/>
        <v>0</v>
      </c>
      <c r="KM28" s="541" t="str">
        <f t="shared" si="107"/>
        <v>0</v>
      </c>
      <c r="KN28" s="539"/>
      <c r="KO28" s="541" t="str">
        <f t="shared" si="108"/>
        <v>0</v>
      </c>
      <c r="KP28" s="541" t="str">
        <f t="shared" si="109"/>
        <v>0</v>
      </c>
      <c r="KQ28" s="539"/>
      <c r="KR28" s="541" t="str">
        <f t="shared" si="110"/>
        <v>0</v>
      </c>
      <c r="KS28" s="541" t="str">
        <f t="shared" si="111"/>
        <v>0</v>
      </c>
      <c r="KT28" s="541">
        <f t="shared" si="201"/>
        <v>0</v>
      </c>
      <c r="KU28" s="541">
        <f t="shared" si="202"/>
        <v>0</v>
      </c>
      <c r="KV28" s="275">
        <f t="shared" si="199"/>
        <v>450.12389999999982</v>
      </c>
    </row>
    <row r="29" spans="1:309" ht="15" customHeight="1">
      <c r="A29" s="277">
        <f t="shared" si="200"/>
        <v>45859</v>
      </c>
      <c r="B29" s="278" t="str">
        <f>+Report1!B29</f>
        <v>Facial</v>
      </c>
      <c r="C29" s="418" t="str">
        <f>+Report1!C29</f>
        <v>11,5</v>
      </c>
      <c r="D29" s="279">
        <f>+Report1!P29</f>
        <v>50.287999999999997</v>
      </c>
      <c r="E29" s="280">
        <f>+Report1!R29</f>
        <v>44.09</v>
      </c>
      <c r="F29" s="539"/>
      <c r="G29" s="540">
        <f t="shared" si="0"/>
        <v>0</v>
      </c>
      <c r="H29" s="541">
        <f t="shared" si="112"/>
        <v>0</v>
      </c>
      <c r="I29" s="539">
        <v>302.32198604651148</v>
      </c>
      <c r="J29" s="540">
        <f t="shared" si="1"/>
        <v>6.8569286923681441</v>
      </c>
      <c r="K29" s="541">
        <f t="shared" si="113"/>
        <v>0</v>
      </c>
      <c r="L29" s="539"/>
      <c r="M29" s="540">
        <f t="shared" si="2"/>
        <v>0</v>
      </c>
      <c r="N29" s="541">
        <f t="shared" si="114"/>
        <v>0</v>
      </c>
      <c r="O29" s="539">
        <v>9.0007999999999697</v>
      </c>
      <c r="P29" s="540">
        <f t="shared" si="3"/>
        <v>0.20414606486731615</v>
      </c>
      <c r="Q29" s="541">
        <f t="shared" si="115"/>
        <v>0</v>
      </c>
      <c r="R29" s="539"/>
      <c r="S29" s="540">
        <f t="shared" si="4"/>
        <v>0</v>
      </c>
      <c r="T29" s="541">
        <f t="shared" si="116"/>
        <v>0</v>
      </c>
      <c r="U29" s="539">
        <v>7.685499999999962</v>
      </c>
      <c r="V29" s="540">
        <f t="shared" si="5"/>
        <v>0.17431390337945024</v>
      </c>
      <c r="W29" s="541">
        <f t="shared" si="117"/>
        <v>0</v>
      </c>
      <c r="X29" s="539"/>
      <c r="Y29" s="540">
        <f t="shared" si="6"/>
        <v>0</v>
      </c>
      <c r="Z29" s="541">
        <f t="shared" si="118"/>
        <v>0</v>
      </c>
      <c r="AA29" s="539"/>
      <c r="AB29" s="540">
        <f t="shared" si="7"/>
        <v>0</v>
      </c>
      <c r="AC29" s="541">
        <f t="shared" si="119"/>
        <v>0</v>
      </c>
      <c r="AD29" s="539"/>
      <c r="AE29" s="540">
        <f t="shared" si="8"/>
        <v>0</v>
      </c>
      <c r="AF29" s="541">
        <f t="shared" si="120"/>
        <v>0</v>
      </c>
      <c r="AG29" s="539"/>
      <c r="AH29" s="540">
        <f t="shared" si="9"/>
        <v>0</v>
      </c>
      <c r="AI29" s="541">
        <f t="shared" si="121"/>
        <v>0</v>
      </c>
      <c r="AJ29" s="539">
        <v>0</v>
      </c>
      <c r="AK29" s="540">
        <f t="shared" si="10"/>
        <v>0</v>
      </c>
      <c r="AL29" s="541">
        <f t="shared" si="122"/>
        <v>0</v>
      </c>
      <c r="AM29" s="539"/>
      <c r="AN29" s="540">
        <f t="shared" si="11"/>
        <v>0</v>
      </c>
      <c r="AO29" s="541">
        <f t="shared" si="123"/>
        <v>0</v>
      </c>
      <c r="AP29" s="539">
        <v>48.422582278481059</v>
      </c>
      <c r="AQ29" s="540">
        <f t="shared" si="12"/>
        <v>1.0982667788269689</v>
      </c>
      <c r="AR29" s="541">
        <f t="shared" si="124"/>
        <v>0</v>
      </c>
      <c r="AS29" s="539"/>
      <c r="AT29" s="540">
        <f t="shared" si="13"/>
        <v>0</v>
      </c>
      <c r="AU29" s="541">
        <f t="shared" si="125"/>
        <v>0</v>
      </c>
      <c r="AV29" s="539">
        <v>2.7779999999999916</v>
      </c>
      <c r="AW29" s="540">
        <f t="shared" si="14"/>
        <v>6.3007484690405791E-2</v>
      </c>
      <c r="AX29" s="541">
        <f t="shared" si="126"/>
        <v>0</v>
      </c>
      <c r="AY29" s="539">
        <v>58.335733333333337</v>
      </c>
      <c r="AZ29" s="540">
        <f t="shared" si="15"/>
        <v>1.3231057685038179</v>
      </c>
      <c r="BA29" s="541">
        <f t="shared" si="127"/>
        <v>0</v>
      </c>
      <c r="BB29" s="539">
        <v>0</v>
      </c>
      <c r="BC29" s="540">
        <f t="shared" si="16"/>
        <v>0</v>
      </c>
      <c r="BD29" s="541">
        <f t="shared" si="128"/>
        <v>0</v>
      </c>
      <c r="BE29" s="539"/>
      <c r="BF29" s="540">
        <f t="shared" si="17"/>
        <v>0</v>
      </c>
      <c r="BG29" s="541">
        <f t="shared" si="129"/>
        <v>0</v>
      </c>
      <c r="BH29" s="539"/>
      <c r="BI29" s="540">
        <f t="shared" si="18"/>
        <v>0</v>
      </c>
      <c r="BJ29" s="541">
        <f t="shared" si="130"/>
        <v>0</v>
      </c>
      <c r="BK29" s="539"/>
      <c r="BL29" s="540">
        <f t="shared" si="19"/>
        <v>0</v>
      </c>
      <c r="BM29" s="541">
        <f t="shared" si="131"/>
        <v>0</v>
      </c>
      <c r="BN29" s="539">
        <v>5.0640259259259324</v>
      </c>
      <c r="BO29" s="540">
        <f t="shared" si="20"/>
        <v>0.1148565644347002</v>
      </c>
      <c r="BP29" s="541">
        <f t="shared" si="132"/>
        <v>0</v>
      </c>
      <c r="BQ29" s="539">
        <v>0</v>
      </c>
      <c r="BR29" s="540">
        <f t="shared" si="21"/>
        <v>0</v>
      </c>
      <c r="BS29" s="541">
        <f t="shared" si="133"/>
        <v>0</v>
      </c>
      <c r="BT29" s="539"/>
      <c r="BU29" s="540">
        <f t="shared" si="22"/>
        <v>0</v>
      </c>
      <c r="BV29" s="541">
        <f t="shared" si="134"/>
        <v>0</v>
      </c>
      <c r="BW29" s="539">
        <v>0</v>
      </c>
      <c r="BX29" s="540">
        <f t="shared" si="23"/>
        <v>0</v>
      </c>
      <c r="BY29" s="541">
        <f t="shared" si="135"/>
        <v>0</v>
      </c>
      <c r="BZ29" s="539">
        <v>0</v>
      </c>
      <c r="CA29" s="540">
        <f t="shared" si="24"/>
        <v>0</v>
      </c>
      <c r="CB29" s="541">
        <f t="shared" si="136"/>
        <v>0</v>
      </c>
      <c r="CC29" s="539">
        <v>0</v>
      </c>
      <c r="CD29" s="540">
        <f t="shared" si="25"/>
        <v>0</v>
      </c>
      <c r="CE29" s="541">
        <f t="shared" si="137"/>
        <v>0</v>
      </c>
      <c r="CF29" s="539">
        <v>9.9999999999999978E-2</v>
      </c>
      <c r="CG29" s="540">
        <f t="shared" si="26"/>
        <v>2.2680880018144697E-3</v>
      </c>
      <c r="CH29" s="541">
        <f t="shared" si="138"/>
        <v>0</v>
      </c>
      <c r="CI29" s="539">
        <v>0</v>
      </c>
      <c r="CJ29" s="540">
        <f t="shared" si="27"/>
        <v>0</v>
      </c>
      <c r="CK29" s="541">
        <f t="shared" si="139"/>
        <v>0</v>
      </c>
      <c r="CL29" s="539"/>
      <c r="CM29" s="540">
        <f t="shared" si="28"/>
        <v>0</v>
      </c>
      <c r="CN29" s="541">
        <f t="shared" si="140"/>
        <v>0</v>
      </c>
      <c r="CO29" s="539"/>
      <c r="CP29" s="540">
        <f t="shared" si="29"/>
        <v>0</v>
      </c>
      <c r="CQ29" s="541">
        <f t="shared" si="141"/>
        <v>0</v>
      </c>
      <c r="CR29" s="539"/>
      <c r="CS29" s="540">
        <f t="shared" si="30"/>
        <v>0</v>
      </c>
      <c r="CT29" s="541">
        <f t="shared" si="142"/>
        <v>0</v>
      </c>
      <c r="CU29" s="539"/>
      <c r="CV29" s="540">
        <f t="shared" si="31"/>
        <v>0</v>
      </c>
      <c r="CW29" s="541">
        <f t="shared" si="143"/>
        <v>0</v>
      </c>
      <c r="CX29" s="539"/>
      <c r="CY29" s="540">
        <f t="shared" si="32"/>
        <v>0</v>
      </c>
      <c r="CZ29" s="541">
        <f t="shared" si="144"/>
        <v>0</v>
      </c>
      <c r="DA29" s="539"/>
      <c r="DB29" s="540">
        <f t="shared" si="33"/>
        <v>0</v>
      </c>
      <c r="DC29" s="541">
        <f t="shared" si="145"/>
        <v>0</v>
      </c>
      <c r="DD29" s="539"/>
      <c r="DE29" s="540">
        <f t="shared" si="34"/>
        <v>0</v>
      </c>
      <c r="DF29" s="541">
        <f t="shared" si="146"/>
        <v>0</v>
      </c>
      <c r="DG29" s="539">
        <v>0</v>
      </c>
      <c r="DH29" s="540">
        <f t="shared" si="35"/>
        <v>0</v>
      </c>
      <c r="DI29" s="541">
        <f t="shared" si="203"/>
        <v>0</v>
      </c>
      <c r="DJ29" s="539"/>
      <c r="DK29" s="540">
        <f t="shared" si="36"/>
        <v>0</v>
      </c>
      <c r="DL29" s="541">
        <f t="shared" si="147"/>
        <v>0</v>
      </c>
      <c r="DM29" s="539"/>
      <c r="DN29" s="540">
        <f t="shared" si="37"/>
        <v>0</v>
      </c>
      <c r="DO29" s="541">
        <f t="shared" si="148"/>
        <v>0</v>
      </c>
      <c r="DP29" s="539"/>
      <c r="DQ29" s="540">
        <f t="shared" si="38"/>
        <v>0</v>
      </c>
      <c r="DR29" s="541">
        <f t="shared" si="149"/>
        <v>0</v>
      </c>
      <c r="DS29" s="539"/>
      <c r="DT29" s="540">
        <f t="shared" si="39"/>
        <v>0</v>
      </c>
      <c r="DU29" s="541">
        <f t="shared" si="150"/>
        <v>0</v>
      </c>
      <c r="DV29" s="539"/>
      <c r="DW29" s="540">
        <f t="shared" si="40"/>
        <v>0</v>
      </c>
      <c r="DX29" s="541">
        <f t="shared" si="151"/>
        <v>0</v>
      </c>
      <c r="DY29" s="539"/>
      <c r="DZ29" s="540">
        <f t="shared" si="41"/>
        <v>0</v>
      </c>
      <c r="EA29" s="541">
        <f t="shared" si="152"/>
        <v>0</v>
      </c>
      <c r="EB29" s="539">
        <v>14.540111627906981</v>
      </c>
      <c r="EC29" s="540">
        <f t="shared" si="42"/>
        <v>0.3297825272829889</v>
      </c>
      <c r="ED29" s="541">
        <f t="shared" si="153"/>
        <v>0</v>
      </c>
      <c r="EE29" s="539">
        <v>2</v>
      </c>
      <c r="EF29" s="540">
        <f t="shared" si="43"/>
        <v>4.5361760036289403E-2</v>
      </c>
      <c r="EG29" s="541">
        <f t="shared" si="154"/>
        <v>0</v>
      </c>
      <c r="EH29" s="539"/>
      <c r="EI29" s="540">
        <f t="shared" si="44"/>
        <v>0</v>
      </c>
      <c r="EJ29" s="541">
        <f t="shared" si="155"/>
        <v>0</v>
      </c>
      <c r="EK29" s="539"/>
      <c r="EL29" s="540">
        <f t="shared" si="45"/>
        <v>0</v>
      </c>
      <c r="EM29" s="541">
        <f t="shared" si="156"/>
        <v>0</v>
      </c>
      <c r="EN29" s="539"/>
      <c r="EO29" s="540">
        <f t="shared" si="46"/>
        <v>0</v>
      </c>
      <c r="EP29" s="541">
        <f t="shared" si="157"/>
        <v>0</v>
      </c>
      <c r="EQ29" s="539"/>
      <c r="ER29" s="540">
        <f t="shared" si="47"/>
        <v>0</v>
      </c>
      <c r="ES29" s="541">
        <f t="shared" si="158"/>
        <v>0</v>
      </c>
      <c r="ET29" s="539"/>
      <c r="EU29" s="540">
        <f t="shared" si="48"/>
        <v>0</v>
      </c>
      <c r="EV29" s="541">
        <f t="shared" si="159"/>
        <v>0</v>
      </c>
      <c r="EW29" s="539"/>
      <c r="EX29" s="540">
        <f t="shared" si="49"/>
        <v>0</v>
      </c>
      <c r="EY29" s="541">
        <f t="shared" si="160"/>
        <v>0</v>
      </c>
      <c r="EZ29" s="539"/>
      <c r="FA29" s="540">
        <f t="shared" si="50"/>
        <v>0</v>
      </c>
      <c r="FB29" s="541">
        <f t="shared" si="161"/>
        <v>0</v>
      </c>
      <c r="FC29" s="539"/>
      <c r="FD29" s="540">
        <f t="shared" si="51"/>
        <v>0</v>
      </c>
      <c r="FE29" s="541">
        <f t="shared" si="162"/>
        <v>0</v>
      </c>
      <c r="FF29" s="539"/>
      <c r="FG29" s="540">
        <f t="shared" si="52"/>
        <v>0</v>
      </c>
      <c r="FH29" s="541">
        <f t="shared" si="163"/>
        <v>0</v>
      </c>
      <c r="FI29" s="539"/>
      <c r="FJ29" s="540">
        <f t="shared" si="53"/>
        <v>0</v>
      </c>
      <c r="FK29" s="541">
        <f t="shared" si="164"/>
        <v>0</v>
      </c>
      <c r="FL29" s="539"/>
      <c r="FM29" s="540">
        <f t="shared" si="54"/>
        <v>0</v>
      </c>
      <c r="FN29" s="541">
        <f t="shared" si="165"/>
        <v>0</v>
      </c>
      <c r="FO29" s="539"/>
      <c r="FP29" s="540">
        <f t="shared" si="55"/>
        <v>0</v>
      </c>
      <c r="FQ29" s="541">
        <f t="shared" si="166"/>
        <v>0</v>
      </c>
      <c r="FR29" s="539"/>
      <c r="FS29" s="540">
        <f t="shared" si="56"/>
        <v>0</v>
      </c>
      <c r="FT29" s="541">
        <f t="shared" si="167"/>
        <v>0</v>
      </c>
      <c r="FU29" s="539"/>
      <c r="FV29" s="540">
        <f t="shared" si="57"/>
        <v>0</v>
      </c>
      <c r="FW29" s="541">
        <f t="shared" si="168"/>
        <v>0</v>
      </c>
      <c r="FX29" s="539"/>
      <c r="FY29" s="540">
        <f t="shared" si="58"/>
        <v>0</v>
      </c>
      <c r="FZ29" s="541">
        <f t="shared" si="169"/>
        <v>0</v>
      </c>
      <c r="GA29" s="539"/>
      <c r="GB29" s="540">
        <f t="shared" si="59"/>
        <v>0</v>
      </c>
      <c r="GC29" s="541">
        <f t="shared" si="170"/>
        <v>0</v>
      </c>
      <c r="GD29" s="539"/>
      <c r="GE29" s="540">
        <f t="shared" si="60"/>
        <v>0</v>
      </c>
      <c r="GF29" s="541">
        <f t="shared" si="171"/>
        <v>0</v>
      </c>
      <c r="GG29" s="539"/>
      <c r="GH29" s="540">
        <f t="shared" si="61"/>
        <v>0</v>
      </c>
      <c r="GI29" s="541">
        <f t="shared" si="172"/>
        <v>0</v>
      </c>
      <c r="GJ29" s="539"/>
      <c r="GK29" s="540">
        <f t="shared" si="62"/>
        <v>0</v>
      </c>
      <c r="GL29" s="541">
        <f t="shared" si="173"/>
        <v>0</v>
      </c>
      <c r="GM29" s="539"/>
      <c r="GN29" s="540">
        <f t="shared" si="63"/>
        <v>0</v>
      </c>
      <c r="GO29" s="541">
        <f t="shared" si="174"/>
        <v>0</v>
      </c>
      <c r="GP29" s="539"/>
      <c r="GQ29" s="540">
        <f t="shared" si="64"/>
        <v>0</v>
      </c>
      <c r="GR29" s="541">
        <f t="shared" si="175"/>
        <v>0</v>
      </c>
      <c r="GS29" s="539"/>
      <c r="GT29" s="540">
        <f t="shared" si="65"/>
        <v>0</v>
      </c>
      <c r="GU29" s="541">
        <f t="shared" si="176"/>
        <v>0</v>
      </c>
      <c r="GV29" s="539"/>
      <c r="GW29" s="540">
        <f t="shared" si="66"/>
        <v>0</v>
      </c>
      <c r="GX29" s="541">
        <f t="shared" si="177"/>
        <v>0</v>
      </c>
      <c r="GY29" s="539"/>
      <c r="GZ29" s="540">
        <f t="shared" si="67"/>
        <v>0</v>
      </c>
      <c r="HA29" s="541">
        <f t="shared" si="178"/>
        <v>0</v>
      </c>
      <c r="HB29" s="539"/>
      <c r="HC29" s="540">
        <f t="shared" si="68"/>
        <v>0</v>
      </c>
      <c r="HD29" s="541">
        <f t="shared" si="179"/>
        <v>0</v>
      </c>
      <c r="HE29" s="539"/>
      <c r="HF29" s="540">
        <f t="shared" si="69"/>
        <v>0</v>
      </c>
      <c r="HG29" s="541">
        <f t="shared" si="180"/>
        <v>0</v>
      </c>
      <c r="HH29" s="539"/>
      <c r="HI29" s="540">
        <f t="shared" si="70"/>
        <v>0</v>
      </c>
      <c r="HJ29" s="541">
        <f t="shared" si="181"/>
        <v>0</v>
      </c>
      <c r="HK29" s="539"/>
      <c r="HL29" s="540">
        <f t="shared" si="71"/>
        <v>0</v>
      </c>
      <c r="HM29" s="541">
        <f t="shared" si="182"/>
        <v>0</v>
      </c>
      <c r="HN29" s="539"/>
      <c r="HO29" s="540">
        <f t="shared" si="72"/>
        <v>0</v>
      </c>
      <c r="HP29" s="541">
        <f t="shared" si="183"/>
        <v>0</v>
      </c>
      <c r="HQ29" s="539"/>
      <c r="HR29" s="540">
        <f t="shared" si="73"/>
        <v>0</v>
      </c>
      <c r="HS29" s="541">
        <f t="shared" si="184"/>
        <v>0</v>
      </c>
      <c r="HT29" s="539"/>
      <c r="HU29" s="540">
        <f t="shared" si="74"/>
        <v>0</v>
      </c>
      <c r="HV29" s="541">
        <f t="shared" si="185"/>
        <v>0</v>
      </c>
      <c r="HW29" s="539"/>
      <c r="HX29" s="540">
        <f t="shared" si="75"/>
        <v>0</v>
      </c>
      <c r="HY29" s="541">
        <f t="shared" si="186"/>
        <v>0</v>
      </c>
      <c r="HZ29" s="539"/>
      <c r="IA29" s="540">
        <f t="shared" si="76"/>
        <v>0</v>
      </c>
      <c r="IB29" s="541">
        <f t="shared" si="187"/>
        <v>0</v>
      </c>
      <c r="IC29" s="539"/>
      <c r="ID29" s="540">
        <f t="shared" si="77"/>
        <v>0</v>
      </c>
      <c r="IE29" s="541">
        <f t="shared" si="188"/>
        <v>0</v>
      </c>
      <c r="IF29" s="539"/>
      <c r="IG29" s="540">
        <f t="shared" si="78"/>
        <v>0</v>
      </c>
      <c r="IH29" s="541">
        <f t="shared" si="189"/>
        <v>0</v>
      </c>
      <c r="II29" s="539"/>
      <c r="IJ29" s="540">
        <f t="shared" si="79"/>
        <v>0</v>
      </c>
      <c r="IK29" s="541">
        <f t="shared" si="190"/>
        <v>0</v>
      </c>
      <c r="IL29" s="539"/>
      <c r="IM29" s="540">
        <f t="shared" si="80"/>
        <v>0</v>
      </c>
      <c r="IN29" s="541">
        <f t="shared" si="191"/>
        <v>0</v>
      </c>
      <c r="IO29" s="539"/>
      <c r="IP29" s="540">
        <f t="shared" si="81"/>
        <v>0</v>
      </c>
      <c r="IQ29" s="541">
        <f t="shared" si="192"/>
        <v>0</v>
      </c>
      <c r="IR29" s="539"/>
      <c r="IS29" s="540">
        <f t="shared" si="82"/>
        <v>0</v>
      </c>
      <c r="IT29" s="541">
        <f t="shared" si="193"/>
        <v>0</v>
      </c>
      <c r="IU29" s="539"/>
      <c r="IV29" s="540">
        <f t="shared" si="83"/>
        <v>0</v>
      </c>
      <c r="IW29" s="541">
        <f t="shared" si="194"/>
        <v>0</v>
      </c>
      <c r="IX29" s="539"/>
      <c r="IY29" s="540">
        <f t="shared" si="84"/>
        <v>0</v>
      </c>
      <c r="IZ29" s="541">
        <f t="shared" si="195"/>
        <v>0</v>
      </c>
      <c r="JA29" s="539"/>
      <c r="JB29" s="540">
        <f t="shared" si="85"/>
        <v>0</v>
      </c>
      <c r="JC29" s="541">
        <f t="shared" si="196"/>
        <v>0</v>
      </c>
      <c r="JD29" s="539"/>
      <c r="JE29" s="540">
        <f t="shared" si="86"/>
        <v>0</v>
      </c>
      <c r="JF29" s="541">
        <f t="shared" si="197"/>
        <v>0</v>
      </c>
      <c r="JG29" s="539"/>
      <c r="JH29" s="540">
        <f t="shared" si="87"/>
        <v>0</v>
      </c>
      <c r="JI29" s="541">
        <f t="shared" si="198"/>
        <v>0</v>
      </c>
      <c r="JJ29" s="539"/>
      <c r="JK29" s="541" t="str">
        <f t="shared" si="88"/>
        <v>0</v>
      </c>
      <c r="JL29" s="541" t="str">
        <f t="shared" si="89"/>
        <v>0</v>
      </c>
      <c r="JM29" s="539"/>
      <c r="JN29" s="541" t="str">
        <f t="shared" si="90"/>
        <v>0</v>
      </c>
      <c r="JO29" s="541" t="str">
        <f t="shared" si="91"/>
        <v>0</v>
      </c>
      <c r="JP29" s="539"/>
      <c r="JQ29" s="541" t="str">
        <f t="shared" si="92"/>
        <v>0</v>
      </c>
      <c r="JR29" s="541" t="str">
        <f t="shared" si="93"/>
        <v>0</v>
      </c>
      <c r="JS29" s="539"/>
      <c r="JT29" s="541" t="str">
        <f t="shared" si="94"/>
        <v>0</v>
      </c>
      <c r="JU29" s="541" t="str">
        <f t="shared" si="95"/>
        <v>0</v>
      </c>
      <c r="JV29" s="539"/>
      <c r="JW29" s="541" t="str">
        <f t="shared" si="96"/>
        <v>0</v>
      </c>
      <c r="JX29" s="541" t="str">
        <f t="shared" si="97"/>
        <v>0</v>
      </c>
      <c r="JY29" s="539"/>
      <c r="JZ29" s="541" t="str">
        <f t="shared" si="98"/>
        <v>0</v>
      </c>
      <c r="KA29" s="541" t="str">
        <f t="shared" si="99"/>
        <v>0</v>
      </c>
      <c r="KB29" s="539"/>
      <c r="KC29" s="541" t="str">
        <f t="shared" si="100"/>
        <v>0</v>
      </c>
      <c r="KD29" s="541" t="str">
        <f t="shared" si="101"/>
        <v>0</v>
      </c>
      <c r="KE29" s="539"/>
      <c r="KF29" s="541" t="str">
        <f t="shared" si="102"/>
        <v>0</v>
      </c>
      <c r="KG29" s="541" t="str">
        <f t="shared" si="103"/>
        <v>0</v>
      </c>
      <c r="KH29" s="539"/>
      <c r="KI29" s="541" t="str">
        <f t="shared" si="104"/>
        <v>0</v>
      </c>
      <c r="KJ29" s="541" t="str">
        <f t="shared" si="105"/>
        <v>0</v>
      </c>
      <c r="KK29" s="539"/>
      <c r="KL29" s="541" t="str">
        <f t="shared" si="106"/>
        <v>0</v>
      </c>
      <c r="KM29" s="541" t="str">
        <f t="shared" si="107"/>
        <v>0</v>
      </c>
      <c r="KN29" s="539"/>
      <c r="KO29" s="541" t="str">
        <f t="shared" si="108"/>
        <v>0</v>
      </c>
      <c r="KP29" s="541" t="str">
        <f t="shared" si="109"/>
        <v>0</v>
      </c>
      <c r="KQ29" s="539"/>
      <c r="KR29" s="541" t="str">
        <f t="shared" si="110"/>
        <v>0</v>
      </c>
      <c r="KS29" s="541" t="str">
        <f t="shared" si="111"/>
        <v>0</v>
      </c>
      <c r="KT29" s="541">
        <f t="shared" si="201"/>
        <v>0</v>
      </c>
      <c r="KU29" s="541">
        <f t="shared" si="202"/>
        <v>0</v>
      </c>
      <c r="KV29" s="275">
        <f t="shared" si="199"/>
        <v>450.2487392121588</v>
      </c>
    </row>
    <row r="30" spans="1:309" ht="15" customHeight="1">
      <c r="A30" s="277">
        <f t="shared" si="200"/>
        <v>45860</v>
      </c>
      <c r="B30" s="278" t="str">
        <f>+Report1!B30</f>
        <v>Facial</v>
      </c>
      <c r="C30" s="418" t="str">
        <f>+Report1!C30</f>
        <v>11,5/12</v>
      </c>
      <c r="D30" s="279">
        <f>+Report1!P30</f>
        <v>53.364999999999995</v>
      </c>
      <c r="E30" s="280">
        <f>+Report1!R30</f>
        <v>47.679000000000002</v>
      </c>
      <c r="F30" s="539"/>
      <c r="G30" s="540">
        <f t="shared" si="0"/>
        <v>0</v>
      </c>
      <c r="H30" s="541">
        <f t="shared" si="112"/>
        <v>0</v>
      </c>
      <c r="I30" s="539">
        <v>279.06976744186045</v>
      </c>
      <c r="J30" s="540">
        <f t="shared" si="1"/>
        <v>5.8530960683290427</v>
      </c>
      <c r="K30" s="541">
        <f t="shared" si="113"/>
        <v>0</v>
      </c>
      <c r="L30" s="539"/>
      <c r="M30" s="540">
        <f t="shared" si="2"/>
        <v>0</v>
      </c>
      <c r="N30" s="541">
        <f t="shared" si="114"/>
        <v>0</v>
      </c>
      <c r="O30" s="539">
        <v>9</v>
      </c>
      <c r="P30" s="540">
        <f t="shared" si="3"/>
        <v>0.18876234820361165</v>
      </c>
      <c r="Q30" s="541">
        <f t="shared" si="115"/>
        <v>0</v>
      </c>
      <c r="R30" s="539"/>
      <c r="S30" s="540">
        <f t="shared" si="4"/>
        <v>0</v>
      </c>
      <c r="T30" s="541">
        <f t="shared" si="116"/>
        <v>0</v>
      </c>
      <c r="U30" s="539">
        <v>7.6875</v>
      </c>
      <c r="V30" s="540">
        <f t="shared" si="5"/>
        <v>0.16123450575725162</v>
      </c>
      <c r="W30" s="541">
        <f t="shared" si="117"/>
        <v>0</v>
      </c>
      <c r="X30" s="539"/>
      <c r="Y30" s="540">
        <f t="shared" si="6"/>
        <v>0</v>
      </c>
      <c r="Z30" s="541">
        <f t="shared" si="118"/>
        <v>0</v>
      </c>
      <c r="AA30" s="539"/>
      <c r="AB30" s="540">
        <f t="shared" si="7"/>
        <v>0</v>
      </c>
      <c r="AC30" s="541">
        <f t="shared" si="119"/>
        <v>0</v>
      </c>
      <c r="AD30" s="539"/>
      <c r="AE30" s="540">
        <f t="shared" si="8"/>
        <v>0</v>
      </c>
      <c r="AF30" s="541">
        <f t="shared" si="120"/>
        <v>0</v>
      </c>
      <c r="AG30" s="539"/>
      <c r="AH30" s="540">
        <f t="shared" si="9"/>
        <v>0</v>
      </c>
      <c r="AI30" s="541">
        <f t="shared" si="121"/>
        <v>0</v>
      </c>
      <c r="AJ30" s="539">
        <v>0</v>
      </c>
      <c r="AK30" s="540">
        <f t="shared" si="10"/>
        <v>0</v>
      </c>
      <c r="AL30" s="541">
        <f t="shared" si="122"/>
        <v>0</v>
      </c>
      <c r="AM30" s="539"/>
      <c r="AN30" s="540">
        <f t="shared" si="11"/>
        <v>0</v>
      </c>
      <c r="AO30" s="541">
        <f t="shared" si="123"/>
        <v>0</v>
      </c>
      <c r="AP30" s="539">
        <v>45.569620253164572</v>
      </c>
      <c r="AQ30" s="540">
        <f t="shared" si="12"/>
        <v>0.95575872508157822</v>
      </c>
      <c r="AR30" s="541">
        <f t="shared" si="124"/>
        <v>0</v>
      </c>
      <c r="AS30" s="539"/>
      <c r="AT30" s="540">
        <f t="shared" si="13"/>
        <v>0</v>
      </c>
      <c r="AU30" s="541">
        <f t="shared" si="125"/>
        <v>0</v>
      </c>
      <c r="AV30" s="539">
        <v>2.7749999999999915</v>
      </c>
      <c r="AW30" s="540">
        <f t="shared" si="14"/>
        <v>5.8201724029446747E-2</v>
      </c>
      <c r="AX30" s="541">
        <f t="shared" si="126"/>
        <v>0</v>
      </c>
      <c r="AY30" s="539">
        <v>56</v>
      </c>
      <c r="AZ30" s="540">
        <f t="shared" si="15"/>
        <v>1.1745212777113614</v>
      </c>
      <c r="BA30" s="541">
        <f t="shared" si="127"/>
        <v>0</v>
      </c>
      <c r="BB30" s="539">
        <v>0</v>
      </c>
      <c r="BC30" s="540">
        <f t="shared" si="16"/>
        <v>0</v>
      </c>
      <c r="BD30" s="541">
        <f t="shared" si="128"/>
        <v>0</v>
      </c>
      <c r="BE30" s="539"/>
      <c r="BF30" s="540">
        <f t="shared" si="17"/>
        <v>0</v>
      </c>
      <c r="BG30" s="541">
        <f t="shared" si="129"/>
        <v>0</v>
      </c>
      <c r="BH30" s="539"/>
      <c r="BI30" s="540">
        <f t="shared" si="18"/>
        <v>0</v>
      </c>
      <c r="BJ30" s="541">
        <f t="shared" si="130"/>
        <v>0</v>
      </c>
      <c r="BK30" s="539"/>
      <c r="BL30" s="540">
        <f t="shared" si="19"/>
        <v>0</v>
      </c>
      <c r="BM30" s="541">
        <f t="shared" si="131"/>
        <v>0</v>
      </c>
      <c r="BN30" s="539">
        <v>5.0617283950617207</v>
      </c>
      <c r="BO30" s="540">
        <f t="shared" si="20"/>
        <v>0.10616263753563876</v>
      </c>
      <c r="BP30" s="541">
        <f t="shared" si="132"/>
        <v>0</v>
      </c>
      <c r="BQ30" s="539">
        <v>0</v>
      </c>
      <c r="BR30" s="540">
        <f t="shared" si="21"/>
        <v>0</v>
      </c>
      <c r="BS30" s="541">
        <f t="shared" si="133"/>
        <v>0</v>
      </c>
      <c r="BT30" s="539"/>
      <c r="BU30" s="540">
        <f t="shared" si="22"/>
        <v>0</v>
      </c>
      <c r="BV30" s="541">
        <f t="shared" si="134"/>
        <v>0</v>
      </c>
      <c r="BW30" s="539">
        <v>0</v>
      </c>
      <c r="BX30" s="540">
        <f t="shared" si="23"/>
        <v>0</v>
      </c>
      <c r="BY30" s="541">
        <f t="shared" si="135"/>
        <v>0</v>
      </c>
      <c r="BZ30" s="539">
        <v>0</v>
      </c>
      <c r="CA30" s="540">
        <f t="shared" si="24"/>
        <v>0</v>
      </c>
      <c r="CB30" s="541">
        <f t="shared" si="136"/>
        <v>0</v>
      </c>
      <c r="CC30" s="539">
        <v>0</v>
      </c>
      <c r="CD30" s="540">
        <f t="shared" si="25"/>
        <v>0</v>
      </c>
      <c r="CE30" s="541">
        <f t="shared" si="137"/>
        <v>0</v>
      </c>
      <c r="CF30" s="539">
        <v>0.10000000000000009</v>
      </c>
      <c r="CG30" s="540">
        <f t="shared" si="26"/>
        <v>2.0973594244845756E-3</v>
      </c>
      <c r="CH30" s="541">
        <f t="shared" si="138"/>
        <v>0</v>
      </c>
      <c r="CI30" s="539">
        <v>0</v>
      </c>
      <c r="CJ30" s="540">
        <f t="shared" si="27"/>
        <v>0</v>
      </c>
      <c r="CK30" s="541">
        <f t="shared" si="139"/>
        <v>0</v>
      </c>
      <c r="CL30" s="539"/>
      <c r="CM30" s="540">
        <f t="shared" si="28"/>
        <v>0</v>
      </c>
      <c r="CN30" s="541">
        <f t="shared" si="140"/>
        <v>0</v>
      </c>
      <c r="CO30" s="539"/>
      <c r="CP30" s="540">
        <f t="shared" si="29"/>
        <v>0</v>
      </c>
      <c r="CQ30" s="541">
        <f t="shared" si="141"/>
        <v>0</v>
      </c>
      <c r="CR30" s="539"/>
      <c r="CS30" s="540">
        <f t="shared" si="30"/>
        <v>0</v>
      </c>
      <c r="CT30" s="541">
        <f t="shared" si="142"/>
        <v>0</v>
      </c>
      <c r="CU30" s="539"/>
      <c r="CV30" s="540">
        <f t="shared" si="31"/>
        <v>0</v>
      </c>
      <c r="CW30" s="541">
        <f t="shared" si="143"/>
        <v>0</v>
      </c>
      <c r="CX30" s="539"/>
      <c r="CY30" s="540">
        <f t="shared" si="32"/>
        <v>0</v>
      </c>
      <c r="CZ30" s="541">
        <f t="shared" si="144"/>
        <v>0</v>
      </c>
      <c r="DA30" s="539"/>
      <c r="DB30" s="540">
        <f t="shared" si="33"/>
        <v>0</v>
      </c>
      <c r="DC30" s="541">
        <f t="shared" si="145"/>
        <v>0</v>
      </c>
      <c r="DD30" s="539"/>
      <c r="DE30" s="540">
        <f t="shared" si="34"/>
        <v>0</v>
      </c>
      <c r="DF30" s="541">
        <f t="shared" si="146"/>
        <v>0</v>
      </c>
      <c r="DG30" s="539">
        <v>0</v>
      </c>
      <c r="DH30" s="540">
        <f t="shared" si="35"/>
        <v>0</v>
      </c>
      <c r="DI30" s="541">
        <f t="shared" si="203"/>
        <v>0</v>
      </c>
      <c r="DJ30" s="539"/>
      <c r="DK30" s="540">
        <f t="shared" si="36"/>
        <v>0</v>
      </c>
      <c r="DL30" s="541">
        <f t="shared" si="147"/>
        <v>0</v>
      </c>
      <c r="DM30" s="539"/>
      <c r="DN30" s="540">
        <f t="shared" si="37"/>
        <v>0</v>
      </c>
      <c r="DO30" s="541">
        <f t="shared" si="148"/>
        <v>0</v>
      </c>
      <c r="DP30" s="539"/>
      <c r="DQ30" s="540">
        <f t="shared" si="38"/>
        <v>0</v>
      </c>
      <c r="DR30" s="541">
        <f t="shared" si="149"/>
        <v>0</v>
      </c>
      <c r="DS30" s="539"/>
      <c r="DT30" s="540">
        <f t="shared" si="39"/>
        <v>0</v>
      </c>
      <c r="DU30" s="541">
        <f t="shared" si="150"/>
        <v>0</v>
      </c>
      <c r="DV30" s="539"/>
      <c r="DW30" s="540">
        <f t="shared" si="40"/>
        <v>0</v>
      </c>
      <c r="DX30" s="541">
        <f t="shared" si="151"/>
        <v>0</v>
      </c>
      <c r="DY30" s="539"/>
      <c r="DZ30" s="540">
        <f t="shared" si="41"/>
        <v>0</v>
      </c>
      <c r="EA30" s="541">
        <f t="shared" si="152"/>
        <v>0</v>
      </c>
      <c r="EB30" s="539">
        <v>14.534883720930225</v>
      </c>
      <c r="EC30" s="540">
        <f t="shared" si="42"/>
        <v>0.30484875355880414</v>
      </c>
      <c r="ED30" s="541">
        <f t="shared" si="153"/>
        <v>0</v>
      </c>
      <c r="EE30" s="539">
        <v>1</v>
      </c>
      <c r="EF30" s="540">
        <f t="shared" si="43"/>
        <v>2.0973594244845739E-2</v>
      </c>
      <c r="EG30" s="541">
        <f t="shared" si="154"/>
        <v>0</v>
      </c>
      <c r="EH30" s="539"/>
      <c r="EI30" s="540">
        <f t="shared" si="44"/>
        <v>0</v>
      </c>
      <c r="EJ30" s="541">
        <f t="shared" si="155"/>
        <v>0</v>
      </c>
      <c r="EK30" s="539"/>
      <c r="EL30" s="540">
        <f t="shared" si="45"/>
        <v>0</v>
      </c>
      <c r="EM30" s="541">
        <f t="shared" si="156"/>
        <v>0</v>
      </c>
      <c r="EN30" s="539"/>
      <c r="EO30" s="540">
        <f t="shared" si="46"/>
        <v>0</v>
      </c>
      <c r="EP30" s="541">
        <f t="shared" si="157"/>
        <v>0</v>
      </c>
      <c r="EQ30" s="539"/>
      <c r="ER30" s="540">
        <f t="shared" si="47"/>
        <v>0</v>
      </c>
      <c r="ES30" s="541">
        <f t="shared" si="158"/>
        <v>0</v>
      </c>
      <c r="ET30" s="539"/>
      <c r="EU30" s="540">
        <f t="shared" si="48"/>
        <v>0</v>
      </c>
      <c r="EV30" s="541">
        <f t="shared" si="159"/>
        <v>0</v>
      </c>
      <c r="EW30" s="539"/>
      <c r="EX30" s="540">
        <f t="shared" si="49"/>
        <v>0</v>
      </c>
      <c r="EY30" s="541">
        <f t="shared" si="160"/>
        <v>0</v>
      </c>
      <c r="EZ30" s="539"/>
      <c r="FA30" s="540">
        <f t="shared" si="50"/>
        <v>0</v>
      </c>
      <c r="FB30" s="541">
        <f t="shared" si="161"/>
        <v>0</v>
      </c>
      <c r="FC30" s="539"/>
      <c r="FD30" s="540">
        <f t="shared" si="51"/>
        <v>0</v>
      </c>
      <c r="FE30" s="541">
        <f t="shared" si="162"/>
        <v>0</v>
      </c>
      <c r="FF30" s="539"/>
      <c r="FG30" s="540">
        <f t="shared" si="52"/>
        <v>0</v>
      </c>
      <c r="FH30" s="541">
        <f t="shared" si="163"/>
        <v>0</v>
      </c>
      <c r="FI30" s="539"/>
      <c r="FJ30" s="540">
        <f t="shared" si="53"/>
        <v>0</v>
      </c>
      <c r="FK30" s="541">
        <f t="shared" si="164"/>
        <v>0</v>
      </c>
      <c r="FL30" s="539"/>
      <c r="FM30" s="540">
        <f t="shared" si="54"/>
        <v>0</v>
      </c>
      <c r="FN30" s="541">
        <f t="shared" si="165"/>
        <v>0</v>
      </c>
      <c r="FO30" s="539"/>
      <c r="FP30" s="540">
        <f t="shared" si="55"/>
        <v>0</v>
      </c>
      <c r="FQ30" s="541">
        <f t="shared" si="166"/>
        <v>0</v>
      </c>
      <c r="FR30" s="539"/>
      <c r="FS30" s="540">
        <f t="shared" si="56"/>
        <v>0</v>
      </c>
      <c r="FT30" s="541">
        <f t="shared" si="167"/>
        <v>0</v>
      </c>
      <c r="FU30" s="539"/>
      <c r="FV30" s="540">
        <f t="shared" si="57"/>
        <v>0</v>
      </c>
      <c r="FW30" s="541">
        <f t="shared" si="168"/>
        <v>0</v>
      </c>
      <c r="FX30" s="539"/>
      <c r="FY30" s="540">
        <f t="shared" si="58"/>
        <v>0</v>
      </c>
      <c r="FZ30" s="541">
        <f t="shared" si="169"/>
        <v>0</v>
      </c>
      <c r="GA30" s="539"/>
      <c r="GB30" s="540">
        <f t="shared" si="59"/>
        <v>0</v>
      </c>
      <c r="GC30" s="541">
        <f t="shared" si="170"/>
        <v>0</v>
      </c>
      <c r="GD30" s="539"/>
      <c r="GE30" s="540">
        <f t="shared" si="60"/>
        <v>0</v>
      </c>
      <c r="GF30" s="541">
        <f t="shared" si="171"/>
        <v>0</v>
      </c>
      <c r="GG30" s="539"/>
      <c r="GH30" s="540">
        <f t="shared" si="61"/>
        <v>0</v>
      </c>
      <c r="GI30" s="541">
        <f t="shared" si="172"/>
        <v>0</v>
      </c>
      <c r="GJ30" s="539"/>
      <c r="GK30" s="540">
        <f t="shared" si="62"/>
        <v>0</v>
      </c>
      <c r="GL30" s="541">
        <f t="shared" si="173"/>
        <v>0</v>
      </c>
      <c r="GM30" s="539"/>
      <c r="GN30" s="540">
        <f t="shared" si="63"/>
        <v>0</v>
      </c>
      <c r="GO30" s="541">
        <f t="shared" si="174"/>
        <v>0</v>
      </c>
      <c r="GP30" s="539"/>
      <c r="GQ30" s="540">
        <f t="shared" si="64"/>
        <v>0</v>
      </c>
      <c r="GR30" s="541">
        <f t="shared" si="175"/>
        <v>0</v>
      </c>
      <c r="GS30" s="539"/>
      <c r="GT30" s="540">
        <f t="shared" si="65"/>
        <v>0</v>
      </c>
      <c r="GU30" s="541">
        <f t="shared" si="176"/>
        <v>0</v>
      </c>
      <c r="GV30" s="539"/>
      <c r="GW30" s="540">
        <f t="shared" si="66"/>
        <v>0</v>
      </c>
      <c r="GX30" s="541">
        <f t="shared" si="177"/>
        <v>0</v>
      </c>
      <c r="GY30" s="539"/>
      <c r="GZ30" s="540">
        <f t="shared" si="67"/>
        <v>0</v>
      </c>
      <c r="HA30" s="541">
        <f t="shared" si="178"/>
        <v>0</v>
      </c>
      <c r="HB30" s="539"/>
      <c r="HC30" s="540">
        <f t="shared" si="68"/>
        <v>0</v>
      </c>
      <c r="HD30" s="541">
        <f t="shared" si="179"/>
        <v>0</v>
      </c>
      <c r="HE30" s="539"/>
      <c r="HF30" s="540">
        <f t="shared" si="69"/>
        <v>0</v>
      </c>
      <c r="HG30" s="541">
        <f t="shared" si="180"/>
        <v>0</v>
      </c>
      <c r="HH30" s="539"/>
      <c r="HI30" s="540">
        <f t="shared" si="70"/>
        <v>0</v>
      </c>
      <c r="HJ30" s="541">
        <f t="shared" si="181"/>
        <v>0</v>
      </c>
      <c r="HK30" s="539"/>
      <c r="HL30" s="540">
        <f t="shared" si="71"/>
        <v>0</v>
      </c>
      <c r="HM30" s="541">
        <f t="shared" si="182"/>
        <v>0</v>
      </c>
      <c r="HN30" s="539"/>
      <c r="HO30" s="540">
        <f t="shared" si="72"/>
        <v>0</v>
      </c>
      <c r="HP30" s="541">
        <f t="shared" si="183"/>
        <v>0</v>
      </c>
      <c r="HQ30" s="539"/>
      <c r="HR30" s="540">
        <f t="shared" si="73"/>
        <v>0</v>
      </c>
      <c r="HS30" s="541">
        <f t="shared" si="184"/>
        <v>0</v>
      </c>
      <c r="HT30" s="539"/>
      <c r="HU30" s="540">
        <f t="shared" si="74"/>
        <v>0</v>
      </c>
      <c r="HV30" s="541">
        <f t="shared" si="185"/>
        <v>0</v>
      </c>
      <c r="HW30" s="539"/>
      <c r="HX30" s="540">
        <f t="shared" si="75"/>
        <v>0</v>
      </c>
      <c r="HY30" s="541">
        <f t="shared" si="186"/>
        <v>0</v>
      </c>
      <c r="HZ30" s="539"/>
      <c r="IA30" s="540">
        <f t="shared" si="76"/>
        <v>0</v>
      </c>
      <c r="IB30" s="541">
        <f t="shared" si="187"/>
        <v>0</v>
      </c>
      <c r="IC30" s="539"/>
      <c r="ID30" s="540">
        <f t="shared" si="77"/>
        <v>0</v>
      </c>
      <c r="IE30" s="541">
        <f t="shared" si="188"/>
        <v>0</v>
      </c>
      <c r="IF30" s="539"/>
      <c r="IG30" s="540">
        <f t="shared" si="78"/>
        <v>0</v>
      </c>
      <c r="IH30" s="541">
        <f t="shared" si="189"/>
        <v>0</v>
      </c>
      <c r="II30" s="539"/>
      <c r="IJ30" s="540">
        <f t="shared" si="79"/>
        <v>0</v>
      </c>
      <c r="IK30" s="541">
        <f t="shared" si="190"/>
        <v>0</v>
      </c>
      <c r="IL30" s="539"/>
      <c r="IM30" s="540">
        <f t="shared" si="80"/>
        <v>0</v>
      </c>
      <c r="IN30" s="541">
        <f t="shared" si="191"/>
        <v>0</v>
      </c>
      <c r="IO30" s="539"/>
      <c r="IP30" s="540">
        <f t="shared" si="81"/>
        <v>0</v>
      </c>
      <c r="IQ30" s="541">
        <f t="shared" si="192"/>
        <v>0</v>
      </c>
      <c r="IR30" s="539"/>
      <c r="IS30" s="540">
        <f t="shared" si="82"/>
        <v>0</v>
      </c>
      <c r="IT30" s="541">
        <f t="shared" si="193"/>
        <v>0</v>
      </c>
      <c r="IU30" s="539"/>
      <c r="IV30" s="540">
        <f t="shared" si="83"/>
        <v>0</v>
      </c>
      <c r="IW30" s="541">
        <f t="shared" si="194"/>
        <v>0</v>
      </c>
      <c r="IX30" s="539"/>
      <c r="IY30" s="540">
        <f t="shared" si="84"/>
        <v>0</v>
      </c>
      <c r="IZ30" s="541">
        <f t="shared" si="195"/>
        <v>0</v>
      </c>
      <c r="JA30" s="539"/>
      <c r="JB30" s="540">
        <f t="shared" si="85"/>
        <v>0</v>
      </c>
      <c r="JC30" s="541">
        <f t="shared" si="196"/>
        <v>0</v>
      </c>
      <c r="JD30" s="539"/>
      <c r="JE30" s="540">
        <f t="shared" si="86"/>
        <v>0</v>
      </c>
      <c r="JF30" s="541">
        <f t="shared" si="197"/>
        <v>0</v>
      </c>
      <c r="JG30" s="539"/>
      <c r="JH30" s="540">
        <f t="shared" si="87"/>
        <v>0</v>
      </c>
      <c r="JI30" s="541">
        <f t="shared" si="198"/>
        <v>0</v>
      </c>
      <c r="JJ30" s="539"/>
      <c r="JK30" s="541" t="str">
        <f t="shared" si="88"/>
        <v>0</v>
      </c>
      <c r="JL30" s="541" t="str">
        <f t="shared" si="89"/>
        <v>0</v>
      </c>
      <c r="JM30" s="539"/>
      <c r="JN30" s="541" t="str">
        <f t="shared" si="90"/>
        <v>0</v>
      </c>
      <c r="JO30" s="541" t="str">
        <f t="shared" si="91"/>
        <v>0</v>
      </c>
      <c r="JP30" s="539"/>
      <c r="JQ30" s="541" t="str">
        <f t="shared" si="92"/>
        <v>0</v>
      </c>
      <c r="JR30" s="541" t="str">
        <f t="shared" si="93"/>
        <v>0</v>
      </c>
      <c r="JS30" s="539"/>
      <c r="JT30" s="541" t="str">
        <f t="shared" si="94"/>
        <v>0</v>
      </c>
      <c r="JU30" s="541" t="str">
        <f t="shared" si="95"/>
        <v>0</v>
      </c>
      <c r="JV30" s="539"/>
      <c r="JW30" s="541" t="str">
        <f t="shared" si="96"/>
        <v>0</v>
      </c>
      <c r="JX30" s="541" t="str">
        <f t="shared" si="97"/>
        <v>0</v>
      </c>
      <c r="JY30" s="539"/>
      <c r="JZ30" s="541" t="str">
        <f t="shared" si="98"/>
        <v>0</v>
      </c>
      <c r="KA30" s="541" t="str">
        <f t="shared" si="99"/>
        <v>0</v>
      </c>
      <c r="KB30" s="539"/>
      <c r="KC30" s="541" t="str">
        <f t="shared" si="100"/>
        <v>0</v>
      </c>
      <c r="KD30" s="541" t="str">
        <f t="shared" si="101"/>
        <v>0</v>
      </c>
      <c r="KE30" s="539"/>
      <c r="KF30" s="541" t="str">
        <f t="shared" si="102"/>
        <v>0</v>
      </c>
      <c r="KG30" s="541" t="str">
        <f t="shared" si="103"/>
        <v>0</v>
      </c>
      <c r="KH30" s="539"/>
      <c r="KI30" s="541" t="str">
        <f t="shared" si="104"/>
        <v>0</v>
      </c>
      <c r="KJ30" s="541" t="str">
        <f t="shared" si="105"/>
        <v>0</v>
      </c>
      <c r="KK30" s="539"/>
      <c r="KL30" s="541" t="str">
        <f t="shared" si="106"/>
        <v>0</v>
      </c>
      <c r="KM30" s="541" t="str">
        <f t="shared" si="107"/>
        <v>0</v>
      </c>
      <c r="KN30" s="539"/>
      <c r="KO30" s="541" t="str">
        <f t="shared" si="108"/>
        <v>0</v>
      </c>
      <c r="KP30" s="541" t="str">
        <f t="shared" si="109"/>
        <v>0</v>
      </c>
      <c r="KQ30" s="539"/>
      <c r="KR30" s="541" t="str">
        <f t="shared" si="110"/>
        <v>0</v>
      </c>
      <c r="KS30" s="541" t="str">
        <f t="shared" si="111"/>
        <v>0</v>
      </c>
      <c r="KT30" s="541">
        <f t="shared" si="201"/>
        <v>0</v>
      </c>
      <c r="KU30" s="541">
        <f t="shared" si="202"/>
        <v>0</v>
      </c>
      <c r="KV30" s="275">
        <f t="shared" si="199"/>
        <v>420.79849981101694</v>
      </c>
    </row>
    <row r="31" spans="1:309" ht="15" customHeight="1">
      <c r="A31" s="277">
        <f t="shared" si="200"/>
        <v>45861</v>
      </c>
      <c r="B31" s="278" t="str">
        <f>+Report1!B31</f>
        <v>Facial</v>
      </c>
      <c r="C31" s="418" t="str">
        <f>+Report1!C31</f>
        <v>12</v>
      </c>
      <c r="D31" s="279">
        <f>+Report1!P31</f>
        <v>52.460999999999999</v>
      </c>
      <c r="E31" s="280">
        <f>+Report1!R31</f>
        <v>42.927999999999997</v>
      </c>
      <c r="F31" s="539"/>
      <c r="G31" s="540">
        <f t="shared" si="0"/>
        <v>0</v>
      </c>
      <c r="H31" s="541">
        <f t="shared" si="112"/>
        <v>0</v>
      </c>
      <c r="I31" s="539">
        <v>220.93023255813966</v>
      </c>
      <c r="J31" s="540">
        <f t="shared" si="1"/>
        <v>5.1465298303703797</v>
      </c>
      <c r="K31" s="541">
        <f t="shared" si="113"/>
        <v>0</v>
      </c>
      <c r="L31" s="539"/>
      <c r="M31" s="540">
        <f t="shared" si="2"/>
        <v>0</v>
      </c>
      <c r="N31" s="541">
        <f t="shared" si="114"/>
        <v>0</v>
      </c>
      <c r="O31" s="539">
        <v>9</v>
      </c>
      <c r="P31" s="540">
        <f t="shared" si="3"/>
        <v>0.20965337308982485</v>
      </c>
      <c r="Q31" s="541">
        <f t="shared" si="115"/>
        <v>0</v>
      </c>
      <c r="R31" s="539"/>
      <c r="S31" s="540">
        <f t="shared" si="4"/>
        <v>0</v>
      </c>
      <c r="T31" s="541">
        <f t="shared" si="116"/>
        <v>0</v>
      </c>
      <c r="U31" s="539">
        <v>7.6875</v>
      </c>
      <c r="V31" s="540">
        <f t="shared" si="5"/>
        <v>0.17907892284755872</v>
      </c>
      <c r="W31" s="541">
        <f t="shared" si="117"/>
        <v>0</v>
      </c>
      <c r="X31" s="539"/>
      <c r="Y31" s="540">
        <f t="shared" si="6"/>
        <v>0</v>
      </c>
      <c r="Z31" s="541">
        <f t="shared" si="118"/>
        <v>0</v>
      </c>
      <c r="AA31" s="539"/>
      <c r="AB31" s="540">
        <f t="shared" si="7"/>
        <v>0</v>
      </c>
      <c r="AC31" s="541">
        <f t="shared" si="119"/>
        <v>0</v>
      </c>
      <c r="AD31" s="539"/>
      <c r="AE31" s="540">
        <f t="shared" si="8"/>
        <v>0</v>
      </c>
      <c r="AF31" s="541">
        <f t="shared" si="120"/>
        <v>0</v>
      </c>
      <c r="AG31" s="539"/>
      <c r="AH31" s="540">
        <f t="shared" si="9"/>
        <v>0</v>
      </c>
      <c r="AI31" s="541">
        <f t="shared" si="121"/>
        <v>0</v>
      </c>
      <c r="AJ31" s="539">
        <v>0</v>
      </c>
      <c r="AK31" s="540">
        <f t="shared" si="10"/>
        <v>0</v>
      </c>
      <c r="AL31" s="541">
        <f t="shared" si="122"/>
        <v>0</v>
      </c>
      <c r="AM31" s="539"/>
      <c r="AN31" s="540">
        <f t="shared" si="11"/>
        <v>0</v>
      </c>
      <c r="AO31" s="541">
        <f t="shared" si="123"/>
        <v>0</v>
      </c>
      <c r="AP31" s="539">
        <v>48.417721518987349</v>
      </c>
      <c r="AQ31" s="540">
        <f t="shared" si="12"/>
        <v>1.1278820704199439</v>
      </c>
      <c r="AR31" s="541">
        <f t="shared" si="124"/>
        <v>0</v>
      </c>
      <c r="AS31" s="539"/>
      <c r="AT31" s="540">
        <f t="shared" si="13"/>
        <v>0</v>
      </c>
      <c r="AU31" s="541">
        <f t="shared" si="125"/>
        <v>0</v>
      </c>
      <c r="AV31" s="539">
        <v>2.7750000000000057</v>
      </c>
      <c r="AW31" s="540">
        <f t="shared" si="14"/>
        <v>6.4643123369362787E-2</v>
      </c>
      <c r="AX31" s="541">
        <f t="shared" si="126"/>
        <v>0</v>
      </c>
      <c r="AY31" s="539">
        <v>58.333333333333314</v>
      </c>
      <c r="AZ31" s="540">
        <f t="shared" si="15"/>
        <v>1.3588644552118272</v>
      </c>
      <c r="BA31" s="541">
        <f t="shared" si="127"/>
        <v>0</v>
      </c>
      <c r="BB31" s="539">
        <v>0</v>
      </c>
      <c r="BC31" s="540">
        <f t="shared" si="16"/>
        <v>0</v>
      </c>
      <c r="BD31" s="541">
        <f t="shared" si="128"/>
        <v>0</v>
      </c>
      <c r="BE31" s="539"/>
      <c r="BF31" s="540">
        <f t="shared" si="17"/>
        <v>0</v>
      </c>
      <c r="BG31" s="541">
        <f t="shared" si="129"/>
        <v>0</v>
      </c>
      <c r="BH31" s="539"/>
      <c r="BI31" s="540">
        <f t="shared" si="18"/>
        <v>0</v>
      </c>
      <c r="BJ31" s="541">
        <f t="shared" si="130"/>
        <v>0</v>
      </c>
      <c r="BK31" s="539"/>
      <c r="BL31" s="540">
        <f t="shared" si="19"/>
        <v>0</v>
      </c>
      <c r="BM31" s="541">
        <f t="shared" si="131"/>
        <v>0</v>
      </c>
      <c r="BN31" s="539">
        <v>5.0617283950617349</v>
      </c>
      <c r="BO31" s="540">
        <f t="shared" si="20"/>
        <v>0.1179120479654709</v>
      </c>
      <c r="BP31" s="541">
        <f t="shared" si="132"/>
        <v>0</v>
      </c>
      <c r="BQ31" s="539">
        <v>0</v>
      </c>
      <c r="BR31" s="540">
        <f t="shared" si="21"/>
        <v>0</v>
      </c>
      <c r="BS31" s="541">
        <f t="shared" si="133"/>
        <v>0</v>
      </c>
      <c r="BT31" s="539"/>
      <c r="BU31" s="540">
        <f t="shared" si="22"/>
        <v>0</v>
      </c>
      <c r="BV31" s="541">
        <f t="shared" si="134"/>
        <v>0</v>
      </c>
      <c r="BW31" s="539">
        <v>0</v>
      </c>
      <c r="BX31" s="540">
        <f t="shared" si="23"/>
        <v>0</v>
      </c>
      <c r="BY31" s="541">
        <f t="shared" si="135"/>
        <v>0</v>
      </c>
      <c r="BZ31" s="539">
        <v>356.51162790697674</v>
      </c>
      <c r="CA31" s="540">
        <f t="shared" si="24"/>
        <v>8.3048739262713553</v>
      </c>
      <c r="CB31" s="541">
        <f t="shared" si="136"/>
        <v>0</v>
      </c>
      <c r="CC31" s="539">
        <v>0</v>
      </c>
      <c r="CD31" s="540">
        <f t="shared" si="25"/>
        <v>0</v>
      </c>
      <c r="CE31" s="541">
        <f t="shared" si="137"/>
        <v>0</v>
      </c>
      <c r="CF31" s="539">
        <v>9.9999999999999978E-2</v>
      </c>
      <c r="CG31" s="540">
        <f t="shared" si="26"/>
        <v>2.3294819232202754E-3</v>
      </c>
      <c r="CH31" s="541">
        <f t="shared" si="138"/>
        <v>0</v>
      </c>
      <c r="CI31" s="539">
        <v>0</v>
      </c>
      <c r="CJ31" s="540">
        <f t="shared" si="27"/>
        <v>0</v>
      </c>
      <c r="CK31" s="541">
        <f t="shared" si="139"/>
        <v>0</v>
      </c>
      <c r="CL31" s="539"/>
      <c r="CM31" s="540">
        <f t="shared" si="28"/>
        <v>0</v>
      </c>
      <c r="CN31" s="541">
        <f t="shared" si="140"/>
        <v>0</v>
      </c>
      <c r="CO31" s="539"/>
      <c r="CP31" s="540">
        <f t="shared" si="29"/>
        <v>0</v>
      </c>
      <c r="CQ31" s="541">
        <f t="shared" si="141"/>
        <v>0</v>
      </c>
      <c r="CR31" s="539"/>
      <c r="CS31" s="540">
        <f t="shared" si="30"/>
        <v>0</v>
      </c>
      <c r="CT31" s="541">
        <f t="shared" si="142"/>
        <v>0</v>
      </c>
      <c r="CU31" s="539"/>
      <c r="CV31" s="540">
        <f t="shared" si="31"/>
        <v>0</v>
      </c>
      <c r="CW31" s="541">
        <f t="shared" si="143"/>
        <v>0</v>
      </c>
      <c r="CX31" s="539"/>
      <c r="CY31" s="540">
        <f t="shared" si="32"/>
        <v>0</v>
      </c>
      <c r="CZ31" s="541">
        <f t="shared" si="144"/>
        <v>0</v>
      </c>
      <c r="DA31" s="539"/>
      <c r="DB31" s="540">
        <f t="shared" si="33"/>
        <v>0</v>
      </c>
      <c r="DC31" s="541">
        <f t="shared" si="145"/>
        <v>0</v>
      </c>
      <c r="DD31" s="539"/>
      <c r="DE31" s="540">
        <f t="shared" si="34"/>
        <v>0</v>
      </c>
      <c r="DF31" s="541">
        <f t="shared" si="146"/>
        <v>0</v>
      </c>
      <c r="DG31" s="539">
        <v>0</v>
      </c>
      <c r="DH31" s="540">
        <f t="shared" si="35"/>
        <v>0</v>
      </c>
      <c r="DI31" s="541">
        <f t="shared" si="203"/>
        <v>0</v>
      </c>
      <c r="DJ31" s="539"/>
      <c r="DK31" s="540">
        <f t="shared" si="36"/>
        <v>0</v>
      </c>
      <c r="DL31" s="541">
        <f t="shared" si="147"/>
        <v>0</v>
      </c>
      <c r="DM31" s="539"/>
      <c r="DN31" s="540">
        <f t="shared" si="37"/>
        <v>0</v>
      </c>
      <c r="DO31" s="541">
        <f t="shared" si="148"/>
        <v>0</v>
      </c>
      <c r="DP31" s="539"/>
      <c r="DQ31" s="540">
        <f t="shared" si="38"/>
        <v>0</v>
      </c>
      <c r="DR31" s="541">
        <f t="shared" si="149"/>
        <v>0</v>
      </c>
      <c r="DS31" s="539"/>
      <c r="DT31" s="540">
        <f t="shared" si="39"/>
        <v>0</v>
      </c>
      <c r="DU31" s="541">
        <f t="shared" si="150"/>
        <v>0</v>
      </c>
      <c r="DV31" s="539"/>
      <c r="DW31" s="540">
        <f t="shared" si="40"/>
        <v>0</v>
      </c>
      <c r="DX31" s="541">
        <f t="shared" si="151"/>
        <v>0</v>
      </c>
      <c r="DY31" s="539"/>
      <c r="DZ31" s="540">
        <f t="shared" si="41"/>
        <v>0</v>
      </c>
      <c r="EA31" s="541">
        <f t="shared" si="152"/>
        <v>0</v>
      </c>
      <c r="EB31" s="539">
        <v>14.534883720930225</v>
      </c>
      <c r="EC31" s="540">
        <f t="shared" si="42"/>
        <v>0.33858748884015621</v>
      </c>
      <c r="ED31" s="541">
        <f t="shared" si="153"/>
        <v>0</v>
      </c>
      <c r="EE31" s="539">
        <v>2</v>
      </c>
      <c r="EF31" s="540">
        <f t="shared" si="43"/>
        <v>4.6589638464405517E-2</v>
      </c>
      <c r="EG31" s="541">
        <f t="shared" si="154"/>
        <v>0</v>
      </c>
      <c r="EH31" s="539"/>
      <c r="EI31" s="540">
        <f t="shared" si="44"/>
        <v>0</v>
      </c>
      <c r="EJ31" s="541">
        <f t="shared" si="155"/>
        <v>0</v>
      </c>
      <c r="EK31" s="539"/>
      <c r="EL31" s="540">
        <f t="shared" si="45"/>
        <v>0</v>
      </c>
      <c r="EM31" s="541">
        <f t="shared" si="156"/>
        <v>0</v>
      </c>
      <c r="EN31" s="539"/>
      <c r="EO31" s="540">
        <f t="shared" si="46"/>
        <v>0</v>
      </c>
      <c r="EP31" s="541">
        <f t="shared" si="157"/>
        <v>0</v>
      </c>
      <c r="EQ31" s="539"/>
      <c r="ER31" s="540">
        <f t="shared" si="47"/>
        <v>0</v>
      </c>
      <c r="ES31" s="541">
        <f t="shared" si="158"/>
        <v>0</v>
      </c>
      <c r="ET31" s="539"/>
      <c r="EU31" s="540">
        <f t="shared" si="48"/>
        <v>0</v>
      </c>
      <c r="EV31" s="541">
        <f t="shared" si="159"/>
        <v>0</v>
      </c>
      <c r="EW31" s="539"/>
      <c r="EX31" s="540">
        <f t="shared" si="49"/>
        <v>0</v>
      </c>
      <c r="EY31" s="541">
        <f t="shared" si="160"/>
        <v>0</v>
      </c>
      <c r="EZ31" s="539"/>
      <c r="FA31" s="540">
        <f t="shared" si="50"/>
        <v>0</v>
      </c>
      <c r="FB31" s="541">
        <f t="shared" si="161"/>
        <v>0</v>
      </c>
      <c r="FC31" s="539"/>
      <c r="FD31" s="540">
        <f t="shared" si="51"/>
        <v>0</v>
      </c>
      <c r="FE31" s="541">
        <f t="shared" si="162"/>
        <v>0</v>
      </c>
      <c r="FF31" s="539"/>
      <c r="FG31" s="540">
        <f t="shared" si="52"/>
        <v>0</v>
      </c>
      <c r="FH31" s="541">
        <f t="shared" si="163"/>
        <v>0</v>
      </c>
      <c r="FI31" s="539"/>
      <c r="FJ31" s="540">
        <f t="shared" si="53"/>
        <v>0</v>
      </c>
      <c r="FK31" s="541">
        <f t="shared" si="164"/>
        <v>0</v>
      </c>
      <c r="FL31" s="539"/>
      <c r="FM31" s="540">
        <f t="shared" si="54"/>
        <v>0</v>
      </c>
      <c r="FN31" s="541">
        <f t="shared" si="165"/>
        <v>0</v>
      </c>
      <c r="FO31" s="539"/>
      <c r="FP31" s="540">
        <f t="shared" si="55"/>
        <v>0</v>
      </c>
      <c r="FQ31" s="541">
        <f t="shared" si="166"/>
        <v>0</v>
      </c>
      <c r="FR31" s="539"/>
      <c r="FS31" s="540">
        <f t="shared" si="56"/>
        <v>0</v>
      </c>
      <c r="FT31" s="541">
        <f t="shared" si="167"/>
        <v>0</v>
      </c>
      <c r="FU31" s="539"/>
      <c r="FV31" s="540">
        <f t="shared" si="57"/>
        <v>0</v>
      </c>
      <c r="FW31" s="541">
        <f t="shared" si="168"/>
        <v>0</v>
      </c>
      <c r="FX31" s="539"/>
      <c r="FY31" s="540">
        <f t="shared" si="58"/>
        <v>0</v>
      </c>
      <c r="FZ31" s="541">
        <f t="shared" si="169"/>
        <v>0</v>
      </c>
      <c r="GA31" s="539"/>
      <c r="GB31" s="540">
        <f t="shared" si="59"/>
        <v>0</v>
      </c>
      <c r="GC31" s="541">
        <f t="shared" si="170"/>
        <v>0</v>
      </c>
      <c r="GD31" s="539"/>
      <c r="GE31" s="540">
        <f t="shared" si="60"/>
        <v>0</v>
      </c>
      <c r="GF31" s="541">
        <f t="shared" si="171"/>
        <v>0</v>
      </c>
      <c r="GG31" s="539"/>
      <c r="GH31" s="540">
        <f t="shared" si="61"/>
        <v>0</v>
      </c>
      <c r="GI31" s="541">
        <f t="shared" si="172"/>
        <v>0</v>
      </c>
      <c r="GJ31" s="539"/>
      <c r="GK31" s="540">
        <f t="shared" si="62"/>
        <v>0</v>
      </c>
      <c r="GL31" s="541">
        <f t="shared" si="173"/>
        <v>0</v>
      </c>
      <c r="GM31" s="539"/>
      <c r="GN31" s="540">
        <f t="shared" si="63"/>
        <v>0</v>
      </c>
      <c r="GO31" s="541">
        <f t="shared" si="174"/>
        <v>0</v>
      </c>
      <c r="GP31" s="539"/>
      <c r="GQ31" s="540">
        <f t="shared" si="64"/>
        <v>0</v>
      </c>
      <c r="GR31" s="541">
        <f t="shared" si="175"/>
        <v>0</v>
      </c>
      <c r="GS31" s="539"/>
      <c r="GT31" s="540">
        <f t="shared" si="65"/>
        <v>0</v>
      </c>
      <c r="GU31" s="541">
        <f t="shared" si="176"/>
        <v>0</v>
      </c>
      <c r="GV31" s="539"/>
      <c r="GW31" s="540">
        <f t="shared" si="66"/>
        <v>0</v>
      </c>
      <c r="GX31" s="541">
        <f t="shared" si="177"/>
        <v>0</v>
      </c>
      <c r="GY31" s="539"/>
      <c r="GZ31" s="540">
        <f t="shared" si="67"/>
        <v>0</v>
      </c>
      <c r="HA31" s="541">
        <f t="shared" si="178"/>
        <v>0</v>
      </c>
      <c r="HB31" s="539"/>
      <c r="HC31" s="540">
        <f t="shared" si="68"/>
        <v>0</v>
      </c>
      <c r="HD31" s="541">
        <f t="shared" si="179"/>
        <v>0</v>
      </c>
      <c r="HE31" s="539"/>
      <c r="HF31" s="540">
        <f t="shared" si="69"/>
        <v>0</v>
      </c>
      <c r="HG31" s="541">
        <f t="shared" si="180"/>
        <v>0</v>
      </c>
      <c r="HH31" s="539"/>
      <c r="HI31" s="540">
        <f t="shared" si="70"/>
        <v>0</v>
      </c>
      <c r="HJ31" s="541">
        <f t="shared" si="181"/>
        <v>0</v>
      </c>
      <c r="HK31" s="539"/>
      <c r="HL31" s="540">
        <f t="shared" si="71"/>
        <v>0</v>
      </c>
      <c r="HM31" s="541">
        <f t="shared" si="182"/>
        <v>0</v>
      </c>
      <c r="HN31" s="539"/>
      <c r="HO31" s="540">
        <f t="shared" si="72"/>
        <v>0</v>
      </c>
      <c r="HP31" s="541">
        <f t="shared" si="183"/>
        <v>0</v>
      </c>
      <c r="HQ31" s="539"/>
      <c r="HR31" s="540">
        <f t="shared" si="73"/>
        <v>0</v>
      </c>
      <c r="HS31" s="541">
        <f t="shared" si="184"/>
        <v>0</v>
      </c>
      <c r="HT31" s="539"/>
      <c r="HU31" s="540">
        <f t="shared" si="74"/>
        <v>0</v>
      </c>
      <c r="HV31" s="541">
        <f t="shared" si="185"/>
        <v>0</v>
      </c>
      <c r="HW31" s="539"/>
      <c r="HX31" s="540">
        <f t="shared" si="75"/>
        <v>0</v>
      </c>
      <c r="HY31" s="541">
        <f t="shared" si="186"/>
        <v>0</v>
      </c>
      <c r="HZ31" s="539"/>
      <c r="IA31" s="540">
        <f t="shared" si="76"/>
        <v>0</v>
      </c>
      <c r="IB31" s="541">
        <f t="shared" si="187"/>
        <v>0</v>
      </c>
      <c r="IC31" s="539"/>
      <c r="ID31" s="540">
        <f t="shared" si="77"/>
        <v>0</v>
      </c>
      <c r="IE31" s="541">
        <f t="shared" si="188"/>
        <v>0</v>
      </c>
      <c r="IF31" s="539"/>
      <c r="IG31" s="540">
        <f t="shared" si="78"/>
        <v>0</v>
      </c>
      <c r="IH31" s="541">
        <f t="shared" si="189"/>
        <v>0</v>
      </c>
      <c r="II31" s="539"/>
      <c r="IJ31" s="540">
        <f t="shared" si="79"/>
        <v>0</v>
      </c>
      <c r="IK31" s="541">
        <f t="shared" si="190"/>
        <v>0</v>
      </c>
      <c r="IL31" s="539"/>
      <c r="IM31" s="540">
        <f t="shared" si="80"/>
        <v>0</v>
      </c>
      <c r="IN31" s="541">
        <f t="shared" si="191"/>
        <v>0</v>
      </c>
      <c r="IO31" s="539"/>
      <c r="IP31" s="540">
        <f t="shared" si="81"/>
        <v>0</v>
      </c>
      <c r="IQ31" s="541">
        <f t="shared" si="192"/>
        <v>0</v>
      </c>
      <c r="IR31" s="539"/>
      <c r="IS31" s="540">
        <f t="shared" si="82"/>
        <v>0</v>
      </c>
      <c r="IT31" s="541">
        <f t="shared" si="193"/>
        <v>0</v>
      </c>
      <c r="IU31" s="539"/>
      <c r="IV31" s="540">
        <f t="shared" si="83"/>
        <v>0</v>
      </c>
      <c r="IW31" s="541">
        <f t="shared" si="194"/>
        <v>0</v>
      </c>
      <c r="IX31" s="539"/>
      <c r="IY31" s="540">
        <f t="shared" si="84"/>
        <v>0</v>
      </c>
      <c r="IZ31" s="541">
        <f t="shared" si="195"/>
        <v>0</v>
      </c>
      <c r="JA31" s="539"/>
      <c r="JB31" s="540">
        <f t="shared" si="85"/>
        <v>0</v>
      </c>
      <c r="JC31" s="541">
        <f t="shared" si="196"/>
        <v>0</v>
      </c>
      <c r="JD31" s="539"/>
      <c r="JE31" s="540">
        <f t="shared" si="86"/>
        <v>0</v>
      </c>
      <c r="JF31" s="541">
        <f t="shared" si="197"/>
        <v>0</v>
      </c>
      <c r="JG31" s="539"/>
      <c r="JH31" s="540">
        <f t="shared" si="87"/>
        <v>0</v>
      </c>
      <c r="JI31" s="541">
        <f t="shared" si="198"/>
        <v>0</v>
      </c>
      <c r="JJ31" s="539"/>
      <c r="JK31" s="541" t="str">
        <f t="shared" si="88"/>
        <v>0</v>
      </c>
      <c r="JL31" s="541" t="str">
        <f t="shared" si="89"/>
        <v>0</v>
      </c>
      <c r="JM31" s="539"/>
      <c r="JN31" s="541" t="str">
        <f t="shared" si="90"/>
        <v>0</v>
      </c>
      <c r="JO31" s="541" t="str">
        <f t="shared" si="91"/>
        <v>0</v>
      </c>
      <c r="JP31" s="539"/>
      <c r="JQ31" s="541" t="str">
        <f t="shared" si="92"/>
        <v>0</v>
      </c>
      <c r="JR31" s="541" t="str">
        <f t="shared" si="93"/>
        <v>0</v>
      </c>
      <c r="JS31" s="539"/>
      <c r="JT31" s="541" t="str">
        <f t="shared" si="94"/>
        <v>0</v>
      </c>
      <c r="JU31" s="541" t="str">
        <f t="shared" si="95"/>
        <v>0</v>
      </c>
      <c r="JV31" s="539"/>
      <c r="JW31" s="541" t="str">
        <f t="shared" si="96"/>
        <v>0</v>
      </c>
      <c r="JX31" s="541" t="str">
        <f t="shared" si="97"/>
        <v>0</v>
      </c>
      <c r="JY31" s="539"/>
      <c r="JZ31" s="541" t="str">
        <f t="shared" si="98"/>
        <v>0</v>
      </c>
      <c r="KA31" s="541" t="str">
        <f t="shared" si="99"/>
        <v>0</v>
      </c>
      <c r="KB31" s="539"/>
      <c r="KC31" s="541" t="str">
        <f t="shared" si="100"/>
        <v>0</v>
      </c>
      <c r="KD31" s="541" t="str">
        <f t="shared" si="101"/>
        <v>0</v>
      </c>
      <c r="KE31" s="539"/>
      <c r="KF31" s="541" t="str">
        <f t="shared" si="102"/>
        <v>0</v>
      </c>
      <c r="KG31" s="541" t="str">
        <f t="shared" si="103"/>
        <v>0</v>
      </c>
      <c r="KH31" s="539"/>
      <c r="KI31" s="541" t="str">
        <f t="shared" si="104"/>
        <v>0</v>
      </c>
      <c r="KJ31" s="541" t="str">
        <f t="shared" si="105"/>
        <v>0</v>
      </c>
      <c r="KK31" s="539"/>
      <c r="KL31" s="541" t="str">
        <f t="shared" si="106"/>
        <v>0</v>
      </c>
      <c r="KM31" s="541" t="str">
        <f t="shared" si="107"/>
        <v>0</v>
      </c>
      <c r="KN31" s="539"/>
      <c r="KO31" s="541" t="str">
        <f t="shared" si="108"/>
        <v>0</v>
      </c>
      <c r="KP31" s="541" t="str">
        <f t="shared" si="109"/>
        <v>0</v>
      </c>
      <c r="KQ31" s="539"/>
      <c r="KR31" s="541" t="str">
        <f t="shared" si="110"/>
        <v>0</v>
      </c>
      <c r="KS31" s="541" t="str">
        <f t="shared" si="111"/>
        <v>0</v>
      </c>
      <c r="KT31" s="541">
        <f t="shared" si="201"/>
        <v>0</v>
      </c>
      <c r="KU31" s="541">
        <f t="shared" si="202"/>
        <v>0</v>
      </c>
      <c r="KV31" s="275">
        <f t="shared" si="199"/>
        <v>725.35202743342904</v>
      </c>
    </row>
    <row r="32" spans="1:309" ht="15" customHeight="1">
      <c r="A32" s="277">
        <f t="shared" si="200"/>
        <v>45862</v>
      </c>
      <c r="B32" s="278" t="str">
        <f>+Report1!B32</f>
        <v>Facial</v>
      </c>
      <c r="C32" s="418" t="str">
        <f>+Report1!C32</f>
        <v>12/12,5</v>
      </c>
      <c r="D32" s="279">
        <f>+Report1!P32</f>
        <v>53.373999999999995</v>
      </c>
      <c r="E32" s="280">
        <f>+Report1!R32</f>
        <v>55.439</v>
      </c>
      <c r="F32" s="539"/>
      <c r="G32" s="540">
        <f t="shared" si="0"/>
        <v>0</v>
      </c>
      <c r="H32" s="541">
        <f t="shared" si="112"/>
        <v>0</v>
      </c>
      <c r="I32" s="539">
        <v>383.72093023255809</v>
      </c>
      <c r="J32" s="540">
        <f t="shared" si="1"/>
        <v>6.9214980470888383</v>
      </c>
      <c r="K32" s="541">
        <f t="shared" si="113"/>
        <v>0</v>
      </c>
      <c r="L32" s="539"/>
      <c r="M32" s="540">
        <f t="shared" si="2"/>
        <v>0</v>
      </c>
      <c r="N32" s="541">
        <f t="shared" si="114"/>
        <v>0</v>
      </c>
      <c r="O32" s="539">
        <v>9</v>
      </c>
      <c r="P32" s="540">
        <f t="shared" si="3"/>
        <v>0.16234059055899278</v>
      </c>
      <c r="Q32" s="541">
        <f t="shared" si="115"/>
        <v>0</v>
      </c>
      <c r="R32" s="539"/>
      <c r="S32" s="540">
        <f t="shared" si="4"/>
        <v>0</v>
      </c>
      <c r="T32" s="541">
        <f t="shared" si="116"/>
        <v>0</v>
      </c>
      <c r="U32" s="539">
        <v>7.6875</v>
      </c>
      <c r="V32" s="540">
        <f t="shared" si="5"/>
        <v>0.138665921102473</v>
      </c>
      <c r="W32" s="541">
        <f t="shared" si="117"/>
        <v>0</v>
      </c>
      <c r="X32" s="539"/>
      <c r="Y32" s="540">
        <f t="shared" si="6"/>
        <v>0</v>
      </c>
      <c r="Z32" s="541">
        <f t="shared" si="118"/>
        <v>0</v>
      </c>
      <c r="AA32" s="539"/>
      <c r="AB32" s="540">
        <f t="shared" si="7"/>
        <v>0</v>
      </c>
      <c r="AC32" s="541">
        <f t="shared" si="119"/>
        <v>0</v>
      </c>
      <c r="AD32" s="539"/>
      <c r="AE32" s="540">
        <f t="shared" si="8"/>
        <v>0</v>
      </c>
      <c r="AF32" s="541">
        <f t="shared" si="120"/>
        <v>0</v>
      </c>
      <c r="AG32" s="539"/>
      <c r="AH32" s="540">
        <f t="shared" si="9"/>
        <v>0</v>
      </c>
      <c r="AI32" s="541">
        <f t="shared" si="121"/>
        <v>0</v>
      </c>
      <c r="AJ32" s="539">
        <v>0</v>
      </c>
      <c r="AK32" s="540">
        <f t="shared" si="10"/>
        <v>0</v>
      </c>
      <c r="AL32" s="541">
        <f t="shared" si="122"/>
        <v>0</v>
      </c>
      <c r="AM32" s="539"/>
      <c r="AN32" s="540">
        <f t="shared" si="11"/>
        <v>0</v>
      </c>
      <c r="AO32" s="541">
        <f t="shared" si="123"/>
        <v>0</v>
      </c>
      <c r="AP32" s="539">
        <v>37.025316455696156</v>
      </c>
      <c r="AQ32" s="540">
        <f t="shared" si="12"/>
        <v>0.66785685989458965</v>
      </c>
      <c r="AR32" s="541">
        <f t="shared" si="124"/>
        <v>0</v>
      </c>
      <c r="AS32" s="539"/>
      <c r="AT32" s="540">
        <f t="shared" si="13"/>
        <v>0</v>
      </c>
      <c r="AU32" s="541">
        <f t="shared" si="125"/>
        <v>0</v>
      </c>
      <c r="AV32" s="539">
        <v>2.7750000000000057</v>
      </c>
      <c r="AW32" s="540">
        <f t="shared" si="14"/>
        <v>5.0055015422356207E-2</v>
      </c>
      <c r="AX32" s="541">
        <f t="shared" si="126"/>
        <v>0</v>
      </c>
      <c r="AY32" s="539">
        <v>84</v>
      </c>
      <c r="AZ32" s="540">
        <f t="shared" si="15"/>
        <v>1.5151788452172659</v>
      </c>
      <c r="BA32" s="541">
        <f t="shared" si="127"/>
        <v>0</v>
      </c>
      <c r="BB32" s="539">
        <v>0</v>
      </c>
      <c r="BC32" s="540">
        <f t="shared" si="16"/>
        <v>0</v>
      </c>
      <c r="BD32" s="541">
        <f t="shared" si="128"/>
        <v>0</v>
      </c>
      <c r="BE32" s="539"/>
      <c r="BF32" s="540">
        <f t="shared" si="17"/>
        <v>0</v>
      </c>
      <c r="BG32" s="541">
        <f t="shared" si="129"/>
        <v>0</v>
      </c>
      <c r="BH32" s="539"/>
      <c r="BI32" s="540">
        <f t="shared" si="18"/>
        <v>0</v>
      </c>
      <c r="BJ32" s="541">
        <f t="shared" si="130"/>
        <v>0</v>
      </c>
      <c r="BK32" s="539"/>
      <c r="BL32" s="540">
        <f t="shared" si="19"/>
        <v>0</v>
      </c>
      <c r="BM32" s="541">
        <f t="shared" si="131"/>
        <v>0</v>
      </c>
      <c r="BN32" s="539">
        <v>7.5925925925925952</v>
      </c>
      <c r="BO32" s="540">
        <f t="shared" si="20"/>
        <v>0.13695399615059065</v>
      </c>
      <c r="BP32" s="541">
        <f t="shared" si="132"/>
        <v>0</v>
      </c>
      <c r="BQ32" s="539">
        <v>0</v>
      </c>
      <c r="BR32" s="540">
        <f t="shared" si="21"/>
        <v>0</v>
      </c>
      <c r="BS32" s="541">
        <f t="shared" si="133"/>
        <v>0</v>
      </c>
      <c r="BT32" s="539"/>
      <c r="BU32" s="540">
        <f t="shared" si="22"/>
        <v>0</v>
      </c>
      <c r="BV32" s="541">
        <f t="shared" si="134"/>
        <v>0</v>
      </c>
      <c r="BW32" s="539">
        <v>0</v>
      </c>
      <c r="BX32" s="540">
        <f t="shared" si="23"/>
        <v>0</v>
      </c>
      <c r="BY32" s="541">
        <f t="shared" si="135"/>
        <v>0</v>
      </c>
      <c r="BZ32" s="539">
        <v>0</v>
      </c>
      <c r="CA32" s="540">
        <f t="shared" si="24"/>
        <v>0</v>
      </c>
      <c r="CB32" s="541">
        <f t="shared" si="136"/>
        <v>0</v>
      </c>
      <c r="CC32" s="539">
        <v>0</v>
      </c>
      <c r="CD32" s="540">
        <f t="shared" si="25"/>
        <v>0</v>
      </c>
      <c r="CE32" s="541">
        <f t="shared" si="137"/>
        <v>0</v>
      </c>
      <c r="CF32" s="539">
        <v>9.9999999999999978E-2</v>
      </c>
      <c r="CG32" s="540">
        <f t="shared" si="26"/>
        <v>1.8037843395443637E-3</v>
      </c>
      <c r="CH32" s="541">
        <f t="shared" si="138"/>
        <v>0</v>
      </c>
      <c r="CI32" s="539">
        <v>0</v>
      </c>
      <c r="CJ32" s="540">
        <f t="shared" si="27"/>
        <v>0</v>
      </c>
      <c r="CK32" s="541">
        <f t="shared" si="139"/>
        <v>0</v>
      </c>
      <c r="CL32" s="539"/>
      <c r="CM32" s="540">
        <f t="shared" si="28"/>
        <v>0</v>
      </c>
      <c r="CN32" s="541">
        <f t="shared" si="140"/>
        <v>0</v>
      </c>
      <c r="CO32" s="539"/>
      <c r="CP32" s="540">
        <f t="shared" si="29"/>
        <v>0</v>
      </c>
      <c r="CQ32" s="541">
        <f t="shared" si="141"/>
        <v>0</v>
      </c>
      <c r="CR32" s="539"/>
      <c r="CS32" s="540">
        <f t="shared" si="30"/>
        <v>0</v>
      </c>
      <c r="CT32" s="541">
        <f t="shared" si="142"/>
        <v>0</v>
      </c>
      <c r="CU32" s="539"/>
      <c r="CV32" s="540">
        <f t="shared" si="31"/>
        <v>0</v>
      </c>
      <c r="CW32" s="541">
        <f t="shared" si="143"/>
        <v>0</v>
      </c>
      <c r="CX32" s="539"/>
      <c r="CY32" s="540">
        <f t="shared" si="32"/>
        <v>0</v>
      </c>
      <c r="CZ32" s="541">
        <f t="shared" si="144"/>
        <v>0</v>
      </c>
      <c r="DA32" s="539"/>
      <c r="DB32" s="540">
        <f t="shared" si="33"/>
        <v>0</v>
      </c>
      <c r="DC32" s="541">
        <f t="shared" si="145"/>
        <v>0</v>
      </c>
      <c r="DD32" s="539"/>
      <c r="DE32" s="540">
        <f t="shared" si="34"/>
        <v>0</v>
      </c>
      <c r="DF32" s="541">
        <f t="shared" si="146"/>
        <v>0</v>
      </c>
      <c r="DG32" s="539">
        <v>0</v>
      </c>
      <c r="DH32" s="540">
        <f t="shared" si="35"/>
        <v>0</v>
      </c>
      <c r="DI32" s="541">
        <f t="shared" si="203"/>
        <v>0</v>
      </c>
      <c r="DJ32" s="539"/>
      <c r="DK32" s="540">
        <f t="shared" si="36"/>
        <v>0</v>
      </c>
      <c r="DL32" s="541">
        <f t="shared" si="147"/>
        <v>0</v>
      </c>
      <c r="DM32" s="539"/>
      <c r="DN32" s="540">
        <f t="shared" si="37"/>
        <v>0</v>
      </c>
      <c r="DO32" s="541">
        <f t="shared" si="148"/>
        <v>0</v>
      </c>
      <c r="DP32" s="539"/>
      <c r="DQ32" s="540">
        <f t="shared" si="38"/>
        <v>0</v>
      </c>
      <c r="DR32" s="541">
        <f t="shared" si="149"/>
        <v>0</v>
      </c>
      <c r="DS32" s="539"/>
      <c r="DT32" s="540">
        <f t="shared" si="39"/>
        <v>0</v>
      </c>
      <c r="DU32" s="541">
        <f t="shared" si="150"/>
        <v>0</v>
      </c>
      <c r="DV32" s="539"/>
      <c r="DW32" s="540">
        <f t="shared" si="40"/>
        <v>0</v>
      </c>
      <c r="DX32" s="541">
        <f t="shared" si="151"/>
        <v>0</v>
      </c>
      <c r="DY32" s="539"/>
      <c r="DZ32" s="540">
        <f t="shared" si="41"/>
        <v>0</v>
      </c>
      <c r="EA32" s="541">
        <f t="shared" si="152"/>
        <v>0</v>
      </c>
      <c r="EB32" s="539">
        <v>14.534883720930225</v>
      </c>
      <c r="EC32" s="540">
        <f t="shared" si="42"/>
        <v>0.26217795632912255</v>
      </c>
      <c r="ED32" s="541">
        <f t="shared" si="153"/>
        <v>0</v>
      </c>
      <c r="EE32" s="539">
        <v>1</v>
      </c>
      <c r="EF32" s="540">
        <f t="shared" si="43"/>
        <v>1.8037843395443641E-2</v>
      </c>
      <c r="EG32" s="541">
        <f t="shared" si="154"/>
        <v>0</v>
      </c>
      <c r="EH32" s="539"/>
      <c r="EI32" s="540">
        <f t="shared" si="44"/>
        <v>0</v>
      </c>
      <c r="EJ32" s="541">
        <f t="shared" si="155"/>
        <v>0</v>
      </c>
      <c r="EK32" s="539"/>
      <c r="EL32" s="540">
        <f t="shared" si="45"/>
        <v>0</v>
      </c>
      <c r="EM32" s="541">
        <f t="shared" si="156"/>
        <v>0</v>
      </c>
      <c r="EN32" s="539"/>
      <c r="EO32" s="540">
        <f t="shared" si="46"/>
        <v>0</v>
      </c>
      <c r="EP32" s="541">
        <f t="shared" si="157"/>
        <v>0</v>
      </c>
      <c r="EQ32" s="539"/>
      <c r="ER32" s="540">
        <f t="shared" si="47"/>
        <v>0</v>
      </c>
      <c r="ES32" s="541">
        <f t="shared" si="158"/>
        <v>0</v>
      </c>
      <c r="ET32" s="539"/>
      <c r="EU32" s="540">
        <f t="shared" si="48"/>
        <v>0</v>
      </c>
      <c r="EV32" s="541">
        <f t="shared" si="159"/>
        <v>0</v>
      </c>
      <c r="EW32" s="539"/>
      <c r="EX32" s="540">
        <f t="shared" si="49"/>
        <v>0</v>
      </c>
      <c r="EY32" s="541">
        <f t="shared" si="160"/>
        <v>0</v>
      </c>
      <c r="EZ32" s="539"/>
      <c r="FA32" s="540">
        <f t="shared" si="50"/>
        <v>0</v>
      </c>
      <c r="FB32" s="541">
        <f t="shared" si="161"/>
        <v>0</v>
      </c>
      <c r="FC32" s="539"/>
      <c r="FD32" s="540">
        <f t="shared" si="51"/>
        <v>0</v>
      </c>
      <c r="FE32" s="541">
        <f t="shared" si="162"/>
        <v>0</v>
      </c>
      <c r="FF32" s="539"/>
      <c r="FG32" s="540">
        <f t="shared" si="52"/>
        <v>0</v>
      </c>
      <c r="FH32" s="541">
        <f t="shared" si="163"/>
        <v>0</v>
      </c>
      <c r="FI32" s="539"/>
      <c r="FJ32" s="540">
        <f t="shared" si="53"/>
        <v>0</v>
      </c>
      <c r="FK32" s="541">
        <f t="shared" si="164"/>
        <v>0</v>
      </c>
      <c r="FL32" s="539"/>
      <c r="FM32" s="540">
        <f t="shared" si="54"/>
        <v>0</v>
      </c>
      <c r="FN32" s="541">
        <f t="shared" si="165"/>
        <v>0</v>
      </c>
      <c r="FO32" s="539"/>
      <c r="FP32" s="540">
        <f t="shared" si="55"/>
        <v>0</v>
      </c>
      <c r="FQ32" s="541">
        <f t="shared" si="166"/>
        <v>0</v>
      </c>
      <c r="FR32" s="539"/>
      <c r="FS32" s="540">
        <f t="shared" si="56"/>
        <v>0</v>
      </c>
      <c r="FT32" s="541">
        <f t="shared" si="167"/>
        <v>0</v>
      </c>
      <c r="FU32" s="539"/>
      <c r="FV32" s="540">
        <f t="shared" si="57"/>
        <v>0</v>
      </c>
      <c r="FW32" s="541">
        <f t="shared" si="168"/>
        <v>0</v>
      </c>
      <c r="FX32" s="539"/>
      <c r="FY32" s="540">
        <f t="shared" si="58"/>
        <v>0</v>
      </c>
      <c r="FZ32" s="541">
        <f t="shared" si="169"/>
        <v>0</v>
      </c>
      <c r="GA32" s="539"/>
      <c r="GB32" s="540">
        <f t="shared" si="59"/>
        <v>0</v>
      </c>
      <c r="GC32" s="541">
        <f t="shared" si="170"/>
        <v>0</v>
      </c>
      <c r="GD32" s="539"/>
      <c r="GE32" s="540">
        <f t="shared" si="60"/>
        <v>0</v>
      </c>
      <c r="GF32" s="541">
        <f t="shared" si="171"/>
        <v>0</v>
      </c>
      <c r="GG32" s="539"/>
      <c r="GH32" s="540">
        <f t="shared" si="61"/>
        <v>0</v>
      </c>
      <c r="GI32" s="541">
        <f t="shared" si="172"/>
        <v>0</v>
      </c>
      <c r="GJ32" s="539"/>
      <c r="GK32" s="540">
        <f t="shared" si="62"/>
        <v>0</v>
      </c>
      <c r="GL32" s="541">
        <f t="shared" si="173"/>
        <v>0</v>
      </c>
      <c r="GM32" s="539"/>
      <c r="GN32" s="540">
        <f t="shared" si="63"/>
        <v>0</v>
      </c>
      <c r="GO32" s="541">
        <f t="shared" si="174"/>
        <v>0</v>
      </c>
      <c r="GP32" s="539"/>
      <c r="GQ32" s="540">
        <f t="shared" si="64"/>
        <v>0</v>
      </c>
      <c r="GR32" s="541">
        <f t="shared" si="175"/>
        <v>0</v>
      </c>
      <c r="GS32" s="539"/>
      <c r="GT32" s="540">
        <f t="shared" si="65"/>
        <v>0</v>
      </c>
      <c r="GU32" s="541">
        <f t="shared" si="176"/>
        <v>0</v>
      </c>
      <c r="GV32" s="539"/>
      <c r="GW32" s="540">
        <f t="shared" si="66"/>
        <v>0</v>
      </c>
      <c r="GX32" s="541">
        <f t="shared" si="177"/>
        <v>0</v>
      </c>
      <c r="GY32" s="539"/>
      <c r="GZ32" s="540">
        <f t="shared" si="67"/>
        <v>0</v>
      </c>
      <c r="HA32" s="541">
        <f t="shared" si="178"/>
        <v>0</v>
      </c>
      <c r="HB32" s="539"/>
      <c r="HC32" s="540">
        <f t="shared" si="68"/>
        <v>0</v>
      </c>
      <c r="HD32" s="541">
        <f t="shared" si="179"/>
        <v>0</v>
      </c>
      <c r="HE32" s="539"/>
      <c r="HF32" s="540">
        <f t="shared" si="69"/>
        <v>0</v>
      </c>
      <c r="HG32" s="541">
        <f t="shared" si="180"/>
        <v>0</v>
      </c>
      <c r="HH32" s="539"/>
      <c r="HI32" s="540">
        <f t="shared" si="70"/>
        <v>0</v>
      </c>
      <c r="HJ32" s="541">
        <f t="shared" si="181"/>
        <v>0</v>
      </c>
      <c r="HK32" s="539"/>
      <c r="HL32" s="540">
        <f t="shared" si="71"/>
        <v>0</v>
      </c>
      <c r="HM32" s="541">
        <f t="shared" si="182"/>
        <v>0</v>
      </c>
      <c r="HN32" s="539"/>
      <c r="HO32" s="540">
        <f t="shared" si="72"/>
        <v>0</v>
      </c>
      <c r="HP32" s="541">
        <f t="shared" si="183"/>
        <v>0</v>
      </c>
      <c r="HQ32" s="539"/>
      <c r="HR32" s="540">
        <f t="shared" si="73"/>
        <v>0</v>
      </c>
      <c r="HS32" s="541">
        <f t="shared" si="184"/>
        <v>0</v>
      </c>
      <c r="HT32" s="539"/>
      <c r="HU32" s="540">
        <f t="shared" si="74"/>
        <v>0</v>
      </c>
      <c r="HV32" s="541">
        <f t="shared" si="185"/>
        <v>0</v>
      </c>
      <c r="HW32" s="539"/>
      <c r="HX32" s="540">
        <f t="shared" si="75"/>
        <v>0</v>
      </c>
      <c r="HY32" s="541">
        <f t="shared" si="186"/>
        <v>0</v>
      </c>
      <c r="HZ32" s="539"/>
      <c r="IA32" s="540">
        <f t="shared" si="76"/>
        <v>0</v>
      </c>
      <c r="IB32" s="541">
        <f t="shared" si="187"/>
        <v>0</v>
      </c>
      <c r="IC32" s="539"/>
      <c r="ID32" s="540">
        <f t="shared" si="77"/>
        <v>0</v>
      </c>
      <c r="IE32" s="541">
        <f t="shared" si="188"/>
        <v>0</v>
      </c>
      <c r="IF32" s="539"/>
      <c r="IG32" s="540">
        <f t="shared" si="78"/>
        <v>0</v>
      </c>
      <c r="IH32" s="541">
        <f t="shared" si="189"/>
        <v>0</v>
      </c>
      <c r="II32" s="539"/>
      <c r="IJ32" s="540">
        <f t="shared" si="79"/>
        <v>0</v>
      </c>
      <c r="IK32" s="541">
        <f t="shared" si="190"/>
        <v>0</v>
      </c>
      <c r="IL32" s="539"/>
      <c r="IM32" s="540">
        <f t="shared" si="80"/>
        <v>0</v>
      </c>
      <c r="IN32" s="541">
        <f t="shared" si="191"/>
        <v>0</v>
      </c>
      <c r="IO32" s="539"/>
      <c r="IP32" s="540">
        <f t="shared" si="81"/>
        <v>0</v>
      </c>
      <c r="IQ32" s="541">
        <f t="shared" si="192"/>
        <v>0</v>
      </c>
      <c r="IR32" s="539"/>
      <c r="IS32" s="540">
        <f t="shared" si="82"/>
        <v>0</v>
      </c>
      <c r="IT32" s="541">
        <f t="shared" si="193"/>
        <v>0</v>
      </c>
      <c r="IU32" s="539"/>
      <c r="IV32" s="540">
        <f t="shared" si="83"/>
        <v>0</v>
      </c>
      <c r="IW32" s="541">
        <f t="shared" si="194"/>
        <v>0</v>
      </c>
      <c r="IX32" s="539"/>
      <c r="IY32" s="540">
        <f t="shared" si="84"/>
        <v>0</v>
      </c>
      <c r="IZ32" s="541">
        <f t="shared" si="195"/>
        <v>0</v>
      </c>
      <c r="JA32" s="539"/>
      <c r="JB32" s="540">
        <f t="shared" si="85"/>
        <v>0</v>
      </c>
      <c r="JC32" s="541">
        <f t="shared" si="196"/>
        <v>0</v>
      </c>
      <c r="JD32" s="539"/>
      <c r="JE32" s="540">
        <f t="shared" si="86"/>
        <v>0</v>
      </c>
      <c r="JF32" s="541">
        <f t="shared" si="197"/>
        <v>0</v>
      </c>
      <c r="JG32" s="539"/>
      <c r="JH32" s="540">
        <f t="shared" si="87"/>
        <v>0</v>
      </c>
      <c r="JI32" s="541">
        <f t="shared" si="198"/>
        <v>0</v>
      </c>
      <c r="JJ32" s="539"/>
      <c r="JK32" s="541" t="str">
        <f t="shared" si="88"/>
        <v>0</v>
      </c>
      <c r="JL32" s="541" t="str">
        <f t="shared" si="89"/>
        <v>0</v>
      </c>
      <c r="JM32" s="539"/>
      <c r="JN32" s="541" t="str">
        <f t="shared" si="90"/>
        <v>0</v>
      </c>
      <c r="JO32" s="541" t="str">
        <f t="shared" si="91"/>
        <v>0</v>
      </c>
      <c r="JP32" s="539"/>
      <c r="JQ32" s="541" t="str">
        <f t="shared" si="92"/>
        <v>0</v>
      </c>
      <c r="JR32" s="541" t="str">
        <f t="shared" si="93"/>
        <v>0</v>
      </c>
      <c r="JS32" s="539"/>
      <c r="JT32" s="541" t="str">
        <f t="shared" si="94"/>
        <v>0</v>
      </c>
      <c r="JU32" s="541" t="str">
        <f t="shared" si="95"/>
        <v>0</v>
      </c>
      <c r="JV32" s="539"/>
      <c r="JW32" s="541" t="str">
        <f t="shared" si="96"/>
        <v>0</v>
      </c>
      <c r="JX32" s="541" t="str">
        <f t="shared" si="97"/>
        <v>0</v>
      </c>
      <c r="JY32" s="539"/>
      <c r="JZ32" s="541" t="str">
        <f t="shared" si="98"/>
        <v>0</v>
      </c>
      <c r="KA32" s="541" t="str">
        <f t="shared" si="99"/>
        <v>0</v>
      </c>
      <c r="KB32" s="539"/>
      <c r="KC32" s="541" t="str">
        <f t="shared" si="100"/>
        <v>0</v>
      </c>
      <c r="KD32" s="541" t="str">
        <f t="shared" si="101"/>
        <v>0</v>
      </c>
      <c r="KE32" s="539"/>
      <c r="KF32" s="541" t="str">
        <f t="shared" si="102"/>
        <v>0</v>
      </c>
      <c r="KG32" s="541" t="str">
        <f t="shared" si="103"/>
        <v>0</v>
      </c>
      <c r="KH32" s="539"/>
      <c r="KI32" s="541" t="str">
        <f t="shared" si="104"/>
        <v>0</v>
      </c>
      <c r="KJ32" s="541" t="str">
        <f t="shared" si="105"/>
        <v>0</v>
      </c>
      <c r="KK32" s="539"/>
      <c r="KL32" s="541" t="str">
        <f t="shared" si="106"/>
        <v>0</v>
      </c>
      <c r="KM32" s="541" t="str">
        <f t="shared" si="107"/>
        <v>0</v>
      </c>
      <c r="KN32" s="539"/>
      <c r="KO32" s="541" t="str">
        <f t="shared" si="108"/>
        <v>0</v>
      </c>
      <c r="KP32" s="541" t="str">
        <f t="shared" si="109"/>
        <v>0</v>
      </c>
      <c r="KQ32" s="539"/>
      <c r="KR32" s="541" t="str">
        <f t="shared" si="110"/>
        <v>0</v>
      </c>
      <c r="KS32" s="541" t="str">
        <f t="shared" si="111"/>
        <v>0</v>
      </c>
      <c r="KT32" s="541">
        <f t="shared" si="201"/>
        <v>0</v>
      </c>
      <c r="KU32" s="541">
        <f t="shared" si="202"/>
        <v>0</v>
      </c>
      <c r="KV32" s="275">
        <f t="shared" si="199"/>
        <v>547.43622300177708</v>
      </c>
    </row>
    <row r="33" spans="1:308" ht="15" customHeight="1">
      <c r="A33" s="277">
        <f t="shared" si="200"/>
        <v>45863</v>
      </c>
      <c r="B33" s="278" t="str">
        <f>+Report1!B33</f>
        <v>Facial</v>
      </c>
      <c r="C33" s="418" t="str">
        <f>+Report1!C33</f>
        <v>12,5</v>
      </c>
      <c r="D33" s="279">
        <f>+Report1!P33</f>
        <v>52.269999999999996</v>
      </c>
      <c r="E33" s="280">
        <f>+Report1!R33</f>
        <v>41.302999999999997</v>
      </c>
      <c r="F33" s="539"/>
      <c r="G33" s="540">
        <f t="shared" si="0"/>
        <v>0</v>
      </c>
      <c r="H33" s="541">
        <f t="shared" si="112"/>
        <v>0</v>
      </c>
      <c r="I33" s="539">
        <v>267.44186046511641</v>
      </c>
      <c r="J33" s="540">
        <f t="shared" si="1"/>
        <v>6.4751194941073633</v>
      </c>
      <c r="K33" s="541">
        <f t="shared" si="113"/>
        <v>0</v>
      </c>
      <c r="L33" s="539"/>
      <c r="M33" s="540">
        <f t="shared" si="2"/>
        <v>0</v>
      </c>
      <c r="N33" s="541">
        <f t="shared" si="114"/>
        <v>0</v>
      </c>
      <c r="O33" s="539">
        <v>9</v>
      </c>
      <c r="P33" s="540">
        <f t="shared" si="3"/>
        <v>0.21790184732343898</v>
      </c>
      <c r="Q33" s="541">
        <f t="shared" si="115"/>
        <v>0</v>
      </c>
      <c r="R33" s="539"/>
      <c r="S33" s="540">
        <f t="shared" si="4"/>
        <v>0</v>
      </c>
      <c r="T33" s="541">
        <f t="shared" si="116"/>
        <v>0</v>
      </c>
      <c r="U33" s="539">
        <v>7.6875000000000284</v>
      </c>
      <c r="V33" s="540">
        <f t="shared" si="5"/>
        <v>0.18612449458877151</v>
      </c>
      <c r="W33" s="541">
        <f t="shared" si="117"/>
        <v>0</v>
      </c>
      <c r="X33" s="539"/>
      <c r="Y33" s="540">
        <f t="shared" si="6"/>
        <v>0</v>
      </c>
      <c r="Z33" s="541">
        <f t="shared" si="118"/>
        <v>0</v>
      </c>
      <c r="AA33" s="539"/>
      <c r="AB33" s="540">
        <f t="shared" si="7"/>
        <v>0</v>
      </c>
      <c r="AC33" s="541">
        <f t="shared" si="119"/>
        <v>0</v>
      </c>
      <c r="AD33" s="539"/>
      <c r="AE33" s="540">
        <f t="shared" si="8"/>
        <v>0</v>
      </c>
      <c r="AF33" s="541">
        <f t="shared" si="120"/>
        <v>0</v>
      </c>
      <c r="AG33" s="539"/>
      <c r="AH33" s="540">
        <f t="shared" si="9"/>
        <v>0</v>
      </c>
      <c r="AI33" s="541">
        <f t="shared" si="121"/>
        <v>0</v>
      </c>
      <c r="AJ33" s="539">
        <v>0</v>
      </c>
      <c r="AK33" s="540">
        <f t="shared" si="10"/>
        <v>0</v>
      </c>
      <c r="AL33" s="541">
        <f t="shared" si="122"/>
        <v>0</v>
      </c>
      <c r="AM33" s="539"/>
      <c r="AN33" s="540">
        <f t="shared" si="11"/>
        <v>0</v>
      </c>
      <c r="AO33" s="541">
        <f t="shared" si="123"/>
        <v>0</v>
      </c>
      <c r="AP33" s="539">
        <v>54.113924050632932</v>
      </c>
      <c r="AQ33" s="540">
        <f t="shared" si="12"/>
        <v>1.3101693351725767</v>
      </c>
      <c r="AR33" s="541">
        <f t="shared" si="124"/>
        <v>0</v>
      </c>
      <c r="AS33" s="539"/>
      <c r="AT33" s="540">
        <f t="shared" si="13"/>
        <v>0</v>
      </c>
      <c r="AU33" s="541">
        <f t="shared" si="125"/>
        <v>0</v>
      </c>
      <c r="AV33" s="539">
        <v>0</v>
      </c>
      <c r="AW33" s="540">
        <f t="shared" si="14"/>
        <v>0</v>
      </c>
      <c r="AX33" s="541">
        <f t="shared" si="126"/>
        <v>0</v>
      </c>
      <c r="AY33" s="539">
        <v>63</v>
      </c>
      <c r="AZ33" s="540">
        <f t="shared" si="15"/>
        <v>1.525312931264073</v>
      </c>
      <c r="BA33" s="541">
        <f t="shared" si="127"/>
        <v>0</v>
      </c>
      <c r="BB33" s="539">
        <v>0</v>
      </c>
      <c r="BC33" s="540">
        <f t="shared" si="16"/>
        <v>0</v>
      </c>
      <c r="BD33" s="541">
        <f t="shared" si="128"/>
        <v>0</v>
      </c>
      <c r="BE33" s="539"/>
      <c r="BF33" s="540">
        <f t="shared" si="17"/>
        <v>0</v>
      </c>
      <c r="BG33" s="541">
        <f t="shared" si="129"/>
        <v>0</v>
      </c>
      <c r="BH33" s="539"/>
      <c r="BI33" s="540">
        <f t="shared" si="18"/>
        <v>0</v>
      </c>
      <c r="BJ33" s="541">
        <f t="shared" si="130"/>
        <v>0</v>
      </c>
      <c r="BK33" s="539"/>
      <c r="BL33" s="540">
        <f t="shared" si="19"/>
        <v>0</v>
      </c>
      <c r="BM33" s="541">
        <f t="shared" si="131"/>
        <v>0</v>
      </c>
      <c r="BN33" s="539">
        <v>12.654320987654316</v>
      </c>
      <c r="BO33" s="540">
        <f t="shared" si="20"/>
        <v>0.30637776887040447</v>
      </c>
      <c r="BP33" s="541">
        <f t="shared" si="132"/>
        <v>0</v>
      </c>
      <c r="BQ33" s="539">
        <v>130.7720066666667</v>
      </c>
      <c r="BR33" s="540">
        <f t="shared" si="21"/>
        <v>3.1661624256510836</v>
      </c>
      <c r="BS33" s="541">
        <f t="shared" si="133"/>
        <v>0</v>
      </c>
      <c r="BT33" s="539"/>
      <c r="BU33" s="540">
        <f t="shared" si="22"/>
        <v>0</v>
      </c>
      <c r="BV33" s="541">
        <f t="shared" si="134"/>
        <v>0</v>
      </c>
      <c r="BW33" s="539">
        <v>0</v>
      </c>
      <c r="BX33" s="540">
        <f t="shared" si="23"/>
        <v>0</v>
      </c>
      <c r="BY33" s="541">
        <f t="shared" si="135"/>
        <v>0</v>
      </c>
      <c r="BZ33" s="539">
        <v>0</v>
      </c>
      <c r="CA33" s="540">
        <f t="shared" si="24"/>
        <v>0</v>
      </c>
      <c r="CB33" s="541">
        <f t="shared" si="136"/>
        <v>0</v>
      </c>
      <c r="CC33" s="539">
        <v>0</v>
      </c>
      <c r="CD33" s="540">
        <f t="shared" si="25"/>
        <v>0</v>
      </c>
      <c r="CE33" s="541">
        <f t="shared" si="137"/>
        <v>0</v>
      </c>
      <c r="CF33" s="539">
        <v>9.9999999999999978E-2</v>
      </c>
      <c r="CG33" s="540">
        <f t="shared" si="26"/>
        <v>2.4211316369270991E-3</v>
      </c>
      <c r="CH33" s="541">
        <f t="shared" si="138"/>
        <v>0</v>
      </c>
      <c r="CI33" s="539">
        <v>0</v>
      </c>
      <c r="CJ33" s="540">
        <f t="shared" si="27"/>
        <v>0</v>
      </c>
      <c r="CK33" s="541">
        <f t="shared" si="139"/>
        <v>0</v>
      </c>
      <c r="CL33" s="539"/>
      <c r="CM33" s="540">
        <f t="shared" si="28"/>
        <v>0</v>
      </c>
      <c r="CN33" s="541">
        <f t="shared" si="140"/>
        <v>0</v>
      </c>
      <c r="CO33" s="539"/>
      <c r="CP33" s="540">
        <f t="shared" si="29"/>
        <v>0</v>
      </c>
      <c r="CQ33" s="541">
        <f t="shared" si="141"/>
        <v>0</v>
      </c>
      <c r="CR33" s="539"/>
      <c r="CS33" s="540">
        <f t="shared" si="30"/>
        <v>0</v>
      </c>
      <c r="CT33" s="541">
        <f t="shared" si="142"/>
        <v>0</v>
      </c>
      <c r="CU33" s="539"/>
      <c r="CV33" s="540">
        <f t="shared" si="31"/>
        <v>0</v>
      </c>
      <c r="CW33" s="541">
        <f t="shared" si="143"/>
        <v>0</v>
      </c>
      <c r="CX33" s="539"/>
      <c r="CY33" s="540">
        <f t="shared" si="32"/>
        <v>0</v>
      </c>
      <c r="CZ33" s="541">
        <f t="shared" si="144"/>
        <v>0</v>
      </c>
      <c r="DA33" s="539"/>
      <c r="DB33" s="540">
        <f t="shared" si="33"/>
        <v>0</v>
      </c>
      <c r="DC33" s="541">
        <f t="shared" si="145"/>
        <v>0</v>
      </c>
      <c r="DD33" s="539"/>
      <c r="DE33" s="540">
        <f t="shared" si="34"/>
        <v>0</v>
      </c>
      <c r="DF33" s="541">
        <f t="shared" si="146"/>
        <v>0</v>
      </c>
      <c r="DG33" s="539">
        <v>0</v>
      </c>
      <c r="DH33" s="540">
        <f t="shared" si="35"/>
        <v>0</v>
      </c>
      <c r="DI33" s="541">
        <f t="shared" si="203"/>
        <v>0</v>
      </c>
      <c r="DJ33" s="539"/>
      <c r="DK33" s="540">
        <f t="shared" si="36"/>
        <v>0</v>
      </c>
      <c r="DL33" s="541">
        <f t="shared" si="147"/>
        <v>0</v>
      </c>
      <c r="DM33" s="539"/>
      <c r="DN33" s="540">
        <f t="shared" si="37"/>
        <v>0</v>
      </c>
      <c r="DO33" s="541">
        <f t="shared" si="148"/>
        <v>0</v>
      </c>
      <c r="DP33" s="539"/>
      <c r="DQ33" s="540">
        <f t="shared" si="38"/>
        <v>0</v>
      </c>
      <c r="DR33" s="541">
        <f t="shared" si="149"/>
        <v>0</v>
      </c>
      <c r="DS33" s="539"/>
      <c r="DT33" s="540">
        <f t="shared" si="39"/>
        <v>0</v>
      </c>
      <c r="DU33" s="541">
        <f t="shared" si="150"/>
        <v>0</v>
      </c>
      <c r="DV33" s="539"/>
      <c r="DW33" s="540">
        <f t="shared" si="40"/>
        <v>0</v>
      </c>
      <c r="DX33" s="541">
        <f t="shared" si="151"/>
        <v>0</v>
      </c>
      <c r="DY33" s="539"/>
      <c r="DZ33" s="540">
        <f t="shared" si="41"/>
        <v>0</v>
      </c>
      <c r="EA33" s="541">
        <f t="shared" si="152"/>
        <v>0</v>
      </c>
      <c r="EB33" s="539">
        <v>14.534883720930225</v>
      </c>
      <c r="EC33" s="540">
        <f t="shared" si="42"/>
        <v>0.35190866815800853</v>
      </c>
      <c r="ED33" s="541">
        <f t="shared" si="153"/>
        <v>0</v>
      </c>
      <c r="EE33" s="539">
        <v>1</v>
      </c>
      <c r="EF33" s="540">
        <f t="shared" si="43"/>
        <v>2.4211316369270999E-2</v>
      </c>
      <c r="EG33" s="541">
        <f t="shared" si="154"/>
        <v>0</v>
      </c>
      <c r="EH33" s="539"/>
      <c r="EI33" s="540">
        <f t="shared" si="44"/>
        <v>0</v>
      </c>
      <c r="EJ33" s="541">
        <f t="shared" si="155"/>
        <v>0</v>
      </c>
      <c r="EK33" s="539"/>
      <c r="EL33" s="540">
        <f t="shared" si="45"/>
        <v>0</v>
      </c>
      <c r="EM33" s="541">
        <f t="shared" si="156"/>
        <v>0</v>
      </c>
      <c r="EN33" s="539"/>
      <c r="EO33" s="540">
        <f t="shared" si="46"/>
        <v>0</v>
      </c>
      <c r="EP33" s="541">
        <f t="shared" si="157"/>
        <v>0</v>
      </c>
      <c r="EQ33" s="539"/>
      <c r="ER33" s="540">
        <f t="shared" si="47"/>
        <v>0</v>
      </c>
      <c r="ES33" s="541">
        <f t="shared" si="158"/>
        <v>0</v>
      </c>
      <c r="ET33" s="539"/>
      <c r="EU33" s="540">
        <f t="shared" si="48"/>
        <v>0</v>
      </c>
      <c r="EV33" s="541">
        <f t="shared" si="159"/>
        <v>0</v>
      </c>
      <c r="EW33" s="539"/>
      <c r="EX33" s="540">
        <f t="shared" si="49"/>
        <v>0</v>
      </c>
      <c r="EY33" s="541">
        <f t="shared" si="160"/>
        <v>0</v>
      </c>
      <c r="EZ33" s="539"/>
      <c r="FA33" s="540">
        <f t="shared" si="50"/>
        <v>0</v>
      </c>
      <c r="FB33" s="541">
        <f t="shared" si="161"/>
        <v>0</v>
      </c>
      <c r="FC33" s="539"/>
      <c r="FD33" s="540">
        <f t="shared" si="51"/>
        <v>0</v>
      </c>
      <c r="FE33" s="541">
        <f t="shared" si="162"/>
        <v>0</v>
      </c>
      <c r="FF33" s="539"/>
      <c r="FG33" s="540">
        <f t="shared" si="52"/>
        <v>0</v>
      </c>
      <c r="FH33" s="541">
        <f t="shared" si="163"/>
        <v>0</v>
      </c>
      <c r="FI33" s="539"/>
      <c r="FJ33" s="540">
        <f t="shared" si="53"/>
        <v>0</v>
      </c>
      <c r="FK33" s="541">
        <f t="shared" si="164"/>
        <v>0</v>
      </c>
      <c r="FL33" s="539"/>
      <c r="FM33" s="540">
        <f t="shared" si="54"/>
        <v>0</v>
      </c>
      <c r="FN33" s="541">
        <f t="shared" si="165"/>
        <v>0</v>
      </c>
      <c r="FO33" s="539"/>
      <c r="FP33" s="540">
        <f t="shared" si="55"/>
        <v>0</v>
      </c>
      <c r="FQ33" s="541">
        <f t="shared" si="166"/>
        <v>0</v>
      </c>
      <c r="FR33" s="539"/>
      <c r="FS33" s="540">
        <f t="shared" si="56"/>
        <v>0</v>
      </c>
      <c r="FT33" s="541">
        <f t="shared" si="167"/>
        <v>0</v>
      </c>
      <c r="FU33" s="539"/>
      <c r="FV33" s="540">
        <f t="shared" si="57"/>
        <v>0</v>
      </c>
      <c r="FW33" s="541">
        <f t="shared" si="168"/>
        <v>0</v>
      </c>
      <c r="FX33" s="539"/>
      <c r="FY33" s="540">
        <f t="shared" si="58"/>
        <v>0</v>
      </c>
      <c r="FZ33" s="541">
        <f t="shared" si="169"/>
        <v>0</v>
      </c>
      <c r="GA33" s="539"/>
      <c r="GB33" s="540">
        <f t="shared" si="59"/>
        <v>0</v>
      </c>
      <c r="GC33" s="541">
        <f t="shared" si="170"/>
        <v>0</v>
      </c>
      <c r="GD33" s="539"/>
      <c r="GE33" s="540">
        <f t="shared" si="60"/>
        <v>0</v>
      </c>
      <c r="GF33" s="541">
        <f t="shared" si="171"/>
        <v>0</v>
      </c>
      <c r="GG33" s="539"/>
      <c r="GH33" s="540">
        <f t="shared" si="61"/>
        <v>0</v>
      </c>
      <c r="GI33" s="541">
        <f t="shared" si="172"/>
        <v>0</v>
      </c>
      <c r="GJ33" s="539"/>
      <c r="GK33" s="540">
        <f t="shared" si="62"/>
        <v>0</v>
      </c>
      <c r="GL33" s="541">
        <f t="shared" si="173"/>
        <v>0</v>
      </c>
      <c r="GM33" s="539"/>
      <c r="GN33" s="540">
        <f t="shared" si="63"/>
        <v>0</v>
      </c>
      <c r="GO33" s="541">
        <f t="shared" si="174"/>
        <v>0</v>
      </c>
      <c r="GP33" s="539"/>
      <c r="GQ33" s="540">
        <f t="shared" si="64"/>
        <v>0</v>
      </c>
      <c r="GR33" s="541">
        <f t="shared" si="175"/>
        <v>0</v>
      </c>
      <c r="GS33" s="539"/>
      <c r="GT33" s="540">
        <f t="shared" si="65"/>
        <v>0</v>
      </c>
      <c r="GU33" s="541">
        <f t="shared" si="176"/>
        <v>0</v>
      </c>
      <c r="GV33" s="539"/>
      <c r="GW33" s="540">
        <f t="shared" si="66"/>
        <v>0</v>
      </c>
      <c r="GX33" s="541">
        <f t="shared" si="177"/>
        <v>0</v>
      </c>
      <c r="GY33" s="539"/>
      <c r="GZ33" s="540">
        <f t="shared" si="67"/>
        <v>0</v>
      </c>
      <c r="HA33" s="541">
        <f t="shared" si="178"/>
        <v>0</v>
      </c>
      <c r="HB33" s="539"/>
      <c r="HC33" s="540">
        <f t="shared" si="68"/>
        <v>0</v>
      </c>
      <c r="HD33" s="541">
        <f t="shared" si="179"/>
        <v>0</v>
      </c>
      <c r="HE33" s="539"/>
      <c r="HF33" s="540">
        <f t="shared" si="69"/>
        <v>0</v>
      </c>
      <c r="HG33" s="541">
        <f t="shared" si="180"/>
        <v>0</v>
      </c>
      <c r="HH33" s="539"/>
      <c r="HI33" s="540">
        <f t="shared" si="70"/>
        <v>0</v>
      </c>
      <c r="HJ33" s="541">
        <f t="shared" si="181"/>
        <v>0</v>
      </c>
      <c r="HK33" s="539"/>
      <c r="HL33" s="540">
        <f t="shared" si="71"/>
        <v>0</v>
      </c>
      <c r="HM33" s="541">
        <f t="shared" si="182"/>
        <v>0</v>
      </c>
      <c r="HN33" s="539"/>
      <c r="HO33" s="540">
        <f t="shared" si="72"/>
        <v>0</v>
      </c>
      <c r="HP33" s="541">
        <f t="shared" si="183"/>
        <v>0</v>
      </c>
      <c r="HQ33" s="539"/>
      <c r="HR33" s="540">
        <f t="shared" si="73"/>
        <v>0</v>
      </c>
      <c r="HS33" s="541">
        <f t="shared" si="184"/>
        <v>0</v>
      </c>
      <c r="HT33" s="539"/>
      <c r="HU33" s="540">
        <f t="shared" si="74"/>
        <v>0</v>
      </c>
      <c r="HV33" s="541">
        <f t="shared" si="185"/>
        <v>0</v>
      </c>
      <c r="HW33" s="539"/>
      <c r="HX33" s="540">
        <f t="shared" si="75"/>
        <v>0</v>
      </c>
      <c r="HY33" s="541">
        <f t="shared" si="186"/>
        <v>0</v>
      </c>
      <c r="HZ33" s="539"/>
      <c r="IA33" s="540">
        <f t="shared" si="76"/>
        <v>0</v>
      </c>
      <c r="IB33" s="541">
        <f t="shared" si="187"/>
        <v>0</v>
      </c>
      <c r="IC33" s="539"/>
      <c r="ID33" s="540">
        <f t="shared" si="77"/>
        <v>0</v>
      </c>
      <c r="IE33" s="541">
        <f t="shared" si="188"/>
        <v>0</v>
      </c>
      <c r="IF33" s="539"/>
      <c r="IG33" s="540">
        <f t="shared" si="78"/>
        <v>0</v>
      </c>
      <c r="IH33" s="541">
        <f t="shared" si="189"/>
        <v>0</v>
      </c>
      <c r="II33" s="539"/>
      <c r="IJ33" s="540">
        <f t="shared" si="79"/>
        <v>0</v>
      </c>
      <c r="IK33" s="541">
        <f t="shared" si="190"/>
        <v>0</v>
      </c>
      <c r="IL33" s="539"/>
      <c r="IM33" s="540">
        <f t="shared" si="80"/>
        <v>0</v>
      </c>
      <c r="IN33" s="541">
        <f t="shared" si="191"/>
        <v>0</v>
      </c>
      <c r="IO33" s="539"/>
      <c r="IP33" s="540">
        <f t="shared" si="81"/>
        <v>0</v>
      </c>
      <c r="IQ33" s="541">
        <f t="shared" si="192"/>
        <v>0</v>
      </c>
      <c r="IR33" s="539"/>
      <c r="IS33" s="540">
        <f t="shared" si="82"/>
        <v>0</v>
      </c>
      <c r="IT33" s="541">
        <f t="shared" si="193"/>
        <v>0</v>
      </c>
      <c r="IU33" s="539"/>
      <c r="IV33" s="540">
        <f t="shared" si="83"/>
        <v>0</v>
      </c>
      <c r="IW33" s="541">
        <f t="shared" si="194"/>
        <v>0</v>
      </c>
      <c r="IX33" s="539"/>
      <c r="IY33" s="540">
        <f t="shared" si="84"/>
        <v>0</v>
      </c>
      <c r="IZ33" s="541">
        <f t="shared" si="195"/>
        <v>0</v>
      </c>
      <c r="JA33" s="539"/>
      <c r="JB33" s="540">
        <f t="shared" si="85"/>
        <v>0</v>
      </c>
      <c r="JC33" s="541">
        <f t="shared" si="196"/>
        <v>0</v>
      </c>
      <c r="JD33" s="539"/>
      <c r="JE33" s="540">
        <f t="shared" si="86"/>
        <v>0</v>
      </c>
      <c r="JF33" s="541">
        <f t="shared" si="197"/>
        <v>0</v>
      </c>
      <c r="JG33" s="539"/>
      <c r="JH33" s="540">
        <f t="shared" si="87"/>
        <v>0</v>
      </c>
      <c r="JI33" s="541">
        <f t="shared" si="198"/>
        <v>0</v>
      </c>
      <c r="JJ33" s="539"/>
      <c r="JK33" s="541" t="str">
        <f t="shared" si="88"/>
        <v>0</v>
      </c>
      <c r="JL33" s="541" t="str">
        <f t="shared" si="89"/>
        <v>0</v>
      </c>
      <c r="JM33" s="539"/>
      <c r="JN33" s="541" t="str">
        <f t="shared" si="90"/>
        <v>0</v>
      </c>
      <c r="JO33" s="541" t="str">
        <f t="shared" si="91"/>
        <v>0</v>
      </c>
      <c r="JP33" s="539"/>
      <c r="JQ33" s="541" t="str">
        <f t="shared" si="92"/>
        <v>0</v>
      </c>
      <c r="JR33" s="541" t="str">
        <f t="shared" si="93"/>
        <v>0</v>
      </c>
      <c r="JS33" s="539"/>
      <c r="JT33" s="541" t="str">
        <f t="shared" si="94"/>
        <v>0</v>
      </c>
      <c r="JU33" s="541" t="str">
        <f t="shared" si="95"/>
        <v>0</v>
      </c>
      <c r="JV33" s="539"/>
      <c r="JW33" s="541" t="str">
        <f t="shared" si="96"/>
        <v>0</v>
      </c>
      <c r="JX33" s="541" t="str">
        <f t="shared" si="97"/>
        <v>0</v>
      </c>
      <c r="JY33" s="539"/>
      <c r="JZ33" s="541" t="str">
        <f t="shared" si="98"/>
        <v>0</v>
      </c>
      <c r="KA33" s="541" t="str">
        <f t="shared" si="99"/>
        <v>0</v>
      </c>
      <c r="KB33" s="539"/>
      <c r="KC33" s="541" t="str">
        <f t="shared" si="100"/>
        <v>0</v>
      </c>
      <c r="KD33" s="541" t="str">
        <f t="shared" si="101"/>
        <v>0</v>
      </c>
      <c r="KE33" s="539"/>
      <c r="KF33" s="541" t="str">
        <f t="shared" si="102"/>
        <v>0</v>
      </c>
      <c r="KG33" s="541" t="str">
        <f t="shared" si="103"/>
        <v>0</v>
      </c>
      <c r="KH33" s="539"/>
      <c r="KI33" s="541" t="str">
        <f t="shared" si="104"/>
        <v>0</v>
      </c>
      <c r="KJ33" s="541" t="str">
        <f t="shared" si="105"/>
        <v>0</v>
      </c>
      <c r="KK33" s="539"/>
      <c r="KL33" s="541" t="str">
        <f t="shared" si="106"/>
        <v>0</v>
      </c>
      <c r="KM33" s="541" t="str">
        <f t="shared" si="107"/>
        <v>0</v>
      </c>
      <c r="KN33" s="539"/>
      <c r="KO33" s="541" t="str">
        <f t="shared" si="108"/>
        <v>0</v>
      </c>
      <c r="KP33" s="541" t="str">
        <f t="shared" si="109"/>
        <v>0</v>
      </c>
      <c r="KQ33" s="539"/>
      <c r="KR33" s="541" t="str">
        <f t="shared" si="110"/>
        <v>0</v>
      </c>
      <c r="KS33" s="541" t="str">
        <f t="shared" si="111"/>
        <v>0</v>
      </c>
      <c r="KT33" s="541">
        <f t="shared" si="201"/>
        <v>0</v>
      </c>
      <c r="KU33" s="541">
        <f t="shared" si="202"/>
        <v>0</v>
      </c>
      <c r="KV33" s="275">
        <f t="shared" si="199"/>
        <v>560.30449589100067</v>
      </c>
    </row>
    <row r="34" spans="1:308" ht="15" customHeight="1">
      <c r="A34" s="277">
        <f t="shared" si="200"/>
        <v>45864</v>
      </c>
      <c r="B34" s="278" t="str">
        <f>+Report1!B34</f>
        <v>Facial</v>
      </c>
      <c r="C34" s="418" t="str">
        <f>+Report1!C34</f>
        <v>12,5/12</v>
      </c>
      <c r="D34" s="279">
        <f>+Report1!P34</f>
        <v>52.730000000000004</v>
      </c>
      <c r="E34" s="280">
        <f>+Report1!R34</f>
        <v>59.515000000000001</v>
      </c>
      <c r="F34" s="539"/>
      <c r="G34" s="540">
        <f t="shared" si="0"/>
        <v>0</v>
      </c>
      <c r="H34" s="541">
        <f t="shared" si="112"/>
        <v>0</v>
      </c>
      <c r="I34" s="539">
        <v>348.77802325581388</v>
      </c>
      <c r="J34" s="540">
        <f t="shared" si="1"/>
        <v>5.8603381207395424</v>
      </c>
      <c r="K34" s="541">
        <f t="shared" si="113"/>
        <v>0</v>
      </c>
      <c r="L34" s="539"/>
      <c r="M34" s="540">
        <f t="shared" si="2"/>
        <v>0</v>
      </c>
      <c r="N34" s="541">
        <f t="shared" si="114"/>
        <v>0</v>
      </c>
      <c r="O34" s="539">
        <v>9</v>
      </c>
      <c r="P34" s="540">
        <f t="shared" si="3"/>
        <v>0.15122238091237503</v>
      </c>
      <c r="Q34" s="541">
        <f t="shared" si="115"/>
        <v>0</v>
      </c>
      <c r="R34" s="539"/>
      <c r="S34" s="540">
        <f t="shared" si="4"/>
        <v>0</v>
      </c>
      <c r="T34" s="541">
        <f t="shared" si="116"/>
        <v>0</v>
      </c>
      <c r="U34" s="539">
        <v>7.6875</v>
      </c>
      <c r="V34" s="540">
        <f t="shared" si="5"/>
        <v>0.12916911702932035</v>
      </c>
      <c r="W34" s="541">
        <f t="shared" si="117"/>
        <v>0</v>
      </c>
      <c r="X34" s="539"/>
      <c r="Y34" s="540">
        <f t="shared" si="6"/>
        <v>0</v>
      </c>
      <c r="Z34" s="541">
        <f t="shared" si="118"/>
        <v>0</v>
      </c>
      <c r="AA34" s="539"/>
      <c r="AB34" s="540">
        <f t="shared" si="7"/>
        <v>0</v>
      </c>
      <c r="AC34" s="541">
        <f t="shared" si="119"/>
        <v>0</v>
      </c>
      <c r="AD34" s="539"/>
      <c r="AE34" s="540">
        <f t="shared" si="8"/>
        <v>0</v>
      </c>
      <c r="AF34" s="541">
        <f t="shared" si="120"/>
        <v>0</v>
      </c>
      <c r="AG34" s="539"/>
      <c r="AH34" s="540">
        <f t="shared" si="9"/>
        <v>0</v>
      </c>
      <c r="AI34" s="541">
        <f t="shared" si="121"/>
        <v>0</v>
      </c>
      <c r="AJ34" s="539">
        <v>0</v>
      </c>
      <c r="AK34" s="540">
        <f t="shared" si="10"/>
        <v>0</v>
      </c>
      <c r="AL34" s="541">
        <f t="shared" si="122"/>
        <v>0</v>
      </c>
      <c r="AM34" s="539"/>
      <c r="AN34" s="540">
        <f t="shared" si="11"/>
        <v>0</v>
      </c>
      <c r="AO34" s="541">
        <f t="shared" si="123"/>
        <v>0</v>
      </c>
      <c r="AP34" s="539">
        <v>41.986935443037964</v>
      </c>
      <c r="AQ34" s="540">
        <f t="shared" si="12"/>
        <v>0.70548492721226519</v>
      </c>
      <c r="AR34" s="541">
        <f t="shared" si="124"/>
        <v>0</v>
      </c>
      <c r="AS34" s="539"/>
      <c r="AT34" s="540">
        <f t="shared" si="13"/>
        <v>0</v>
      </c>
      <c r="AU34" s="541">
        <f t="shared" si="125"/>
        <v>0</v>
      </c>
      <c r="AV34" s="539">
        <v>26.885899999999992</v>
      </c>
      <c r="AW34" s="540">
        <f t="shared" si="14"/>
        <v>0.4517499789968914</v>
      </c>
      <c r="AX34" s="541">
        <f t="shared" si="126"/>
        <v>0</v>
      </c>
      <c r="AY34" s="539">
        <v>68.8029333333333</v>
      </c>
      <c r="AZ34" s="540">
        <f t="shared" si="15"/>
        <v>1.156060376935786</v>
      </c>
      <c r="BA34" s="541">
        <f t="shared" si="127"/>
        <v>0</v>
      </c>
      <c r="BB34" s="539">
        <v>0</v>
      </c>
      <c r="BC34" s="540">
        <f t="shared" si="16"/>
        <v>0</v>
      </c>
      <c r="BD34" s="541">
        <f t="shared" si="128"/>
        <v>0</v>
      </c>
      <c r="BE34" s="539"/>
      <c r="BF34" s="540">
        <f t="shared" si="17"/>
        <v>0</v>
      </c>
      <c r="BG34" s="541">
        <f t="shared" si="129"/>
        <v>0</v>
      </c>
      <c r="BH34" s="539"/>
      <c r="BI34" s="540">
        <f t="shared" si="18"/>
        <v>0</v>
      </c>
      <c r="BJ34" s="541">
        <f t="shared" si="130"/>
        <v>0</v>
      </c>
      <c r="BK34" s="539"/>
      <c r="BL34" s="540">
        <f t="shared" si="19"/>
        <v>0</v>
      </c>
      <c r="BM34" s="541">
        <f t="shared" si="131"/>
        <v>0</v>
      </c>
      <c r="BN34" s="539">
        <v>16.722003703703706</v>
      </c>
      <c r="BO34" s="540">
        <f t="shared" si="20"/>
        <v>0.28097124596662532</v>
      </c>
      <c r="BP34" s="541">
        <f t="shared" si="132"/>
        <v>0</v>
      </c>
      <c r="BQ34" s="539">
        <v>49.540403333333316</v>
      </c>
      <c r="BR34" s="540">
        <f t="shared" si="21"/>
        <v>0.83240197149178052</v>
      </c>
      <c r="BS34" s="541">
        <f t="shared" si="133"/>
        <v>0</v>
      </c>
      <c r="BT34" s="539"/>
      <c r="BU34" s="540">
        <f t="shared" si="22"/>
        <v>0</v>
      </c>
      <c r="BV34" s="541">
        <f t="shared" si="134"/>
        <v>0</v>
      </c>
      <c r="BW34" s="539">
        <v>0</v>
      </c>
      <c r="BX34" s="540">
        <f t="shared" si="23"/>
        <v>0</v>
      </c>
      <c r="BY34" s="541">
        <f t="shared" si="135"/>
        <v>0</v>
      </c>
      <c r="BZ34" s="539">
        <v>0</v>
      </c>
      <c r="CA34" s="540">
        <f t="shared" si="24"/>
        <v>0</v>
      </c>
      <c r="CB34" s="541">
        <f t="shared" si="136"/>
        <v>0</v>
      </c>
      <c r="CC34" s="539">
        <v>0</v>
      </c>
      <c r="CD34" s="540">
        <f t="shared" si="25"/>
        <v>0</v>
      </c>
      <c r="CE34" s="541">
        <f t="shared" si="137"/>
        <v>0</v>
      </c>
      <c r="CF34" s="539">
        <v>0.1</v>
      </c>
      <c r="CG34" s="540">
        <f t="shared" si="26"/>
        <v>1.680248676804167E-3</v>
      </c>
      <c r="CH34" s="541">
        <f t="shared" si="138"/>
        <v>0</v>
      </c>
      <c r="CI34" s="539">
        <v>0</v>
      </c>
      <c r="CJ34" s="540">
        <f t="shared" si="27"/>
        <v>0</v>
      </c>
      <c r="CK34" s="541">
        <f t="shared" si="139"/>
        <v>0</v>
      </c>
      <c r="CL34" s="539"/>
      <c r="CM34" s="540">
        <f t="shared" si="28"/>
        <v>0</v>
      </c>
      <c r="CN34" s="541">
        <f t="shared" si="140"/>
        <v>0</v>
      </c>
      <c r="CO34" s="539"/>
      <c r="CP34" s="540">
        <f t="shared" si="29"/>
        <v>0</v>
      </c>
      <c r="CQ34" s="541">
        <f t="shared" si="141"/>
        <v>0</v>
      </c>
      <c r="CR34" s="539"/>
      <c r="CS34" s="540">
        <f t="shared" si="30"/>
        <v>0</v>
      </c>
      <c r="CT34" s="541">
        <f t="shared" si="142"/>
        <v>0</v>
      </c>
      <c r="CU34" s="539"/>
      <c r="CV34" s="540">
        <f t="shared" si="31"/>
        <v>0</v>
      </c>
      <c r="CW34" s="541">
        <f t="shared" si="143"/>
        <v>0</v>
      </c>
      <c r="CX34" s="539"/>
      <c r="CY34" s="540">
        <f t="shared" si="32"/>
        <v>0</v>
      </c>
      <c r="CZ34" s="541">
        <f t="shared" si="144"/>
        <v>0</v>
      </c>
      <c r="DA34" s="539"/>
      <c r="DB34" s="540">
        <f t="shared" si="33"/>
        <v>0</v>
      </c>
      <c r="DC34" s="541">
        <f t="shared" si="145"/>
        <v>0</v>
      </c>
      <c r="DD34" s="539"/>
      <c r="DE34" s="540">
        <f t="shared" si="34"/>
        <v>0</v>
      </c>
      <c r="DF34" s="541">
        <f t="shared" si="146"/>
        <v>0</v>
      </c>
      <c r="DG34" s="539">
        <v>0</v>
      </c>
      <c r="DH34" s="540">
        <f t="shared" si="35"/>
        <v>0</v>
      </c>
      <c r="DI34" s="541">
        <f t="shared" si="203"/>
        <v>0</v>
      </c>
      <c r="DJ34" s="539"/>
      <c r="DK34" s="540">
        <f t="shared" si="36"/>
        <v>0</v>
      </c>
      <c r="DL34" s="541">
        <f t="shared" si="147"/>
        <v>0</v>
      </c>
      <c r="DM34" s="539"/>
      <c r="DN34" s="540">
        <f t="shared" si="37"/>
        <v>0</v>
      </c>
      <c r="DO34" s="541">
        <f t="shared" si="148"/>
        <v>0</v>
      </c>
      <c r="DP34" s="539"/>
      <c r="DQ34" s="540">
        <f t="shared" si="38"/>
        <v>0</v>
      </c>
      <c r="DR34" s="541">
        <f t="shared" si="149"/>
        <v>0</v>
      </c>
      <c r="DS34" s="539"/>
      <c r="DT34" s="540">
        <f t="shared" si="39"/>
        <v>0</v>
      </c>
      <c r="DU34" s="541">
        <f t="shared" si="150"/>
        <v>0</v>
      </c>
      <c r="DV34" s="539"/>
      <c r="DW34" s="540">
        <f t="shared" si="40"/>
        <v>0</v>
      </c>
      <c r="DX34" s="541">
        <f t="shared" si="151"/>
        <v>0</v>
      </c>
      <c r="DY34" s="539"/>
      <c r="DZ34" s="540">
        <f t="shared" si="41"/>
        <v>0</v>
      </c>
      <c r="EA34" s="541">
        <f t="shared" si="152"/>
        <v>0</v>
      </c>
      <c r="EB34" s="539">
        <v>14.777553488372178</v>
      </c>
      <c r="EC34" s="540">
        <f t="shared" si="42"/>
        <v>0.24829964695240153</v>
      </c>
      <c r="ED34" s="541">
        <f t="shared" si="153"/>
        <v>0</v>
      </c>
      <c r="EE34" s="539">
        <v>1</v>
      </c>
      <c r="EF34" s="540">
        <f t="shared" si="43"/>
        <v>1.680248676804167E-2</v>
      </c>
      <c r="EG34" s="541">
        <f t="shared" si="154"/>
        <v>0</v>
      </c>
      <c r="EH34" s="539"/>
      <c r="EI34" s="540">
        <f t="shared" si="44"/>
        <v>0</v>
      </c>
      <c r="EJ34" s="541">
        <f t="shared" si="155"/>
        <v>0</v>
      </c>
      <c r="EK34" s="539"/>
      <c r="EL34" s="540">
        <f t="shared" si="45"/>
        <v>0</v>
      </c>
      <c r="EM34" s="541">
        <f t="shared" si="156"/>
        <v>0</v>
      </c>
      <c r="EN34" s="539"/>
      <c r="EO34" s="540">
        <f t="shared" si="46"/>
        <v>0</v>
      </c>
      <c r="EP34" s="541">
        <f t="shared" si="157"/>
        <v>0</v>
      </c>
      <c r="EQ34" s="539"/>
      <c r="ER34" s="540">
        <f t="shared" si="47"/>
        <v>0</v>
      </c>
      <c r="ES34" s="541">
        <f t="shared" si="158"/>
        <v>0</v>
      </c>
      <c r="ET34" s="539"/>
      <c r="EU34" s="540">
        <f t="shared" si="48"/>
        <v>0</v>
      </c>
      <c r="EV34" s="541">
        <f t="shared" si="159"/>
        <v>0</v>
      </c>
      <c r="EW34" s="539"/>
      <c r="EX34" s="540">
        <f t="shared" si="49"/>
        <v>0</v>
      </c>
      <c r="EY34" s="541">
        <f t="shared" si="160"/>
        <v>0</v>
      </c>
      <c r="EZ34" s="539"/>
      <c r="FA34" s="540">
        <f t="shared" si="50"/>
        <v>0</v>
      </c>
      <c r="FB34" s="541">
        <f t="shared" si="161"/>
        <v>0</v>
      </c>
      <c r="FC34" s="539"/>
      <c r="FD34" s="540">
        <f t="shared" si="51"/>
        <v>0</v>
      </c>
      <c r="FE34" s="541">
        <f t="shared" si="162"/>
        <v>0</v>
      </c>
      <c r="FF34" s="539"/>
      <c r="FG34" s="540">
        <f t="shared" si="52"/>
        <v>0</v>
      </c>
      <c r="FH34" s="541">
        <f t="shared" si="163"/>
        <v>0</v>
      </c>
      <c r="FI34" s="539"/>
      <c r="FJ34" s="540">
        <f t="shared" si="53"/>
        <v>0</v>
      </c>
      <c r="FK34" s="541">
        <f t="shared" si="164"/>
        <v>0</v>
      </c>
      <c r="FL34" s="539"/>
      <c r="FM34" s="540">
        <f t="shared" si="54"/>
        <v>0</v>
      </c>
      <c r="FN34" s="541">
        <f t="shared" si="165"/>
        <v>0</v>
      </c>
      <c r="FO34" s="539"/>
      <c r="FP34" s="540">
        <f t="shared" si="55"/>
        <v>0</v>
      </c>
      <c r="FQ34" s="541">
        <f t="shared" si="166"/>
        <v>0</v>
      </c>
      <c r="FR34" s="539"/>
      <c r="FS34" s="540">
        <f t="shared" si="56"/>
        <v>0</v>
      </c>
      <c r="FT34" s="541">
        <f t="shared" si="167"/>
        <v>0</v>
      </c>
      <c r="FU34" s="539"/>
      <c r="FV34" s="540">
        <f t="shared" si="57"/>
        <v>0</v>
      </c>
      <c r="FW34" s="541">
        <f t="shared" si="168"/>
        <v>0</v>
      </c>
      <c r="FX34" s="539"/>
      <c r="FY34" s="540">
        <f t="shared" si="58"/>
        <v>0</v>
      </c>
      <c r="FZ34" s="541">
        <f t="shared" si="169"/>
        <v>0</v>
      </c>
      <c r="GA34" s="539"/>
      <c r="GB34" s="540">
        <f t="shared" si="59"/>
        <v>0</v>
      </c>
      <c r="GC34" s="541">
        <f t="shared" si="170"/>
        <v>0</v>
      </c>
      <c r="GD34" s="539"/>
      <c r="GE34" s="540">
        <f t="shared" si="60"/>
        <v>0</v>
      </c>
      <c r="GF34" s="541">
        <f t="shared" si="171"/>
        <v>0</v>
      </c>
      <c r="GG34" s="539"/>
      <c r="GH34" s="540">
        <f t="shared" si="61"/>
        <v>0</v>
      </c>
      <c r="GI34" s="541">
        <f t="shared" si="172"/>
        <v>0</v>
      </c>
      <c r="GJ34" s="539"/>
      <c r="GK34" s="540">
        <f t="shared" si="62"/>
        <v>0</v>
      </c>
      <c r="GL34" s="541">
        <f t="shared" si="173"/>
        <v>0</v>
      </c>
      <c r="GM34" s="539"/>
      <c r="GN34" s="540">
        <f t="shared" si="63"/>
        <v>0</v>
      </c>
      <c r="GO34" s="541">
        <f t="shared" si="174"/>
        <v>0</v>
      </c>
      <c r="GP34" s="539"/>
      <c r="GQ34" s="540">
        <f t="shared" si="64"/>
        <v>0</v>
      </c>
      <c r="GR34" s="541">
        <f t="shared" si="175"/>
        <v>0</v>
      </c>
      <c r="GS34" s="539"/>
      <c r="GT34" s="540">
        <f t="shared" si="65"/>
        <v>0</v>
      </c>
      <c r="GU34" s="541">
        <f t="shared" si="176"/>
        <v>0</v>
      </c>
      <c r="GV34" s="539"/>
      <c r="GW34" s="540">
        <f t="shared" si="66"/>
        <v>0</v>
      </c>
      <c r="GX34" s="541">
        <f t="shared" si="177"/>
        <v>0</v>
      </c>
      <c r="GY34" s="539"/>
      <c r="GZ34" s="540">
        <f t="shared" si="67"/>
        <v>0</v>
      </c>
      <c r="HA34" s="541">
        <f t="shared" si="178"/>
        <v>0</v>
      </c>
      <c r="HB34" s="539"/>
      <c r="HC34" s="540">
        <f t="shared" si="68"/>
        <v>0</v>
      </c>
      <c r="HD34" s="541">
        <f t="shared" si="179"/>
        <v>0</v>
      </c>
      <c r="HE34" s="539"/>
      <c r="HF34" s="540">
        <f t="shared" si="69"/>
        <v>0</v>
      </c>
      <c r="HG34" s="541">
        <f t="shared" si="180"/>
        <v>0</v>
      </c>
      <c r="HH34" s="539"/>
      <c r="HI34" s="540">
        <f t="shared" si="70"/>
        <v>0</v>
      </c>
      <c r="HJ34" s="541">
        <f t="shared" si="181"/>
        <v>0</v>
      </c>
      <c r="HK34" s="539"/>
      <c r="HL34" s="540">
        <f t="shared" si="71"/>
        <v>0</v>
      </c>
      <c r="HM34" s="541">
        <f t="shared" si="182"/>
        <v>0</v>
      </c>
      <c r="HN34" s="539"/>
      <c r="HO34" s="540">
        <f t="shared" si="72"/>
        <v>0</v>
      </c>
      <c r="HP34" s="541">
        <f t="shared" si="183"/>
        <v>0</v>
      </c>
      <c r="HQ34" s="539"/>
      <c r="HR34" s="540">
        <f t="shared" si="73"/>
        <v>0</v>
      </c>
      <c r="HS34" s="541">
        <f t="shared" si="184"/>
        <v>0</v>
      </c>
      <c r="HT34" s="539"/>
      <c r="HU34" s="540">
        <f t="shared" si="74"/>
        <v>0</v>
      </c>
      <c r="HV34" s="541">
        <f t="shared" si="185"/>
        <v>0</v>
      </c>
      <c r="HW34" s="539"/>
      <c r="HX34" s="540">
        <f t="shared" si="75"/>
        <v>0</v>
      </c>
      <c r="HY34" s="541">
        <f t="shared" si="186"/>
        <v>0</v>
      </c>
      <c r="HZ34" s="539"/>
      <c r="IA34" s="540">
        <f t="shared" si="76"/>
        <v>0</v>
      </c>
      <c r="IB34" s="541">
        <f t="shared" si="187"/>
        <v>0</v>
      </c>
      <c r="IC34" s="539"/>
      <c r="ID34" s="540">
        <f t="shared" si="77"/>
        <v>0</v>
      </c>
      <c r="IE34" s="541">
        <f t="shared" si="188"/>
        <v>0</v>
      </c>
      <c r="IF34" s="539"/>
      <c r="IG34" s="540">
        <f t="shared" si="78"/>
        <v>0</v>
      </c>
      <c r="IH34" s="541">
        <f t="shared" si="189"/>
        <v>0</v>
      </c>
      <c r="II34" s="539"/>
      <c r="IJ34" s="540">
        <f t="shared" si="79"/>
        <v>0</v>
      </c>
      <c r="IK34" s="541">
        <f t="shared" si="190"/>
        <v>0</v>
      </c>
      <c r="IL34" s="539"/>
      <c r="IM34" s="540">
        <f t="shared" si="80"/>
        <v>0</v>
      </c>
      <c r="IN34" s="541">
        <f t="shared" si="191"/>
        <v>0</v>
      </c>
      <c r="IO34" s="539"/>
      <c r="IP34" s="540">
        <f t="shared" si="81"/>
        <v>0</v>
      </c>
      <c r="IQ34" s="541">
        <f t="shared" si="192"/>
        <v>0</v>
      </c>
      <c r="IR34" s="539"/>
      <c r="IS34" s="540">
        <f t="shared" si="82"/>
        <v>0</v>
      </c>
      <c r="IT34" s="541">
        <f t="shared" si="193"/>
        <v>0</v>
      </c>
      <c r="IU34" s="539"/>
      <c r="IV34" s="540">
        <f t="shared" si="83"/>
        <v>0</v>
      </c>
      <c r="IW34" s="541">
        <f t="shared" si="194"/>
        <v>0</v>
      </c>
      <c r="IX34" s="539"/>
      <c r="IY34" s="540">
        <f t="shared" si="84"/>
        <v>0</v>
      </c>
      <c r="IZ34" s="541">
        <f t="shared" si="195"/>
        <v>0</v>
      </c>
      <c r="JA34" s="539"/>
      <c r="JB34" s="540">
        <f t="shared" si="85"/>
        <v>0</v>
      </c>
      <c r="JC34" s="541">
        <f t="shared" si="196"/>
        <v>0</v>
      </c>
      <c r="JD34" s="539"/>
      <c r="JE34" s="540">
        <f t="shared" si="86"/>
        <v>0</v>
      </c>
      <c r="JF34" s="541">
        <f t="shared" si="197"/>
        <v>0</v>
      </c>
      <c r="JG34" s="539"/>
      <c r="JH34" s="540">
        <f t="shared" si="87"/>
        <v>0</v>
      </c>
      <c r="JI34" s="541">
        <f t="shared" si="198"/>
        <v>0</v>
      </c>
      <c r="JJ34" s="539"/>
      <c r="JK34" s="541" t="str">
        <f t="shared" si="88"/>
        <v>0</v>
      </c>
      <c r="JL34" s="541" t="str">
        <f t="shared" si="89"/>
        <v>0</v>
      </c>
      <c r="JM34" s="539"/>
      <c r="JN34" s="541" t="str">
        <f t="shared" si="90"/>
        <v>0</v>
      </c>
      <c r="JO34" s="541" t="str">
        <f t="shared" si="91"/>
        <v>0</v>
      </c>
      <c r="JP34" s="539"/>
      <c r="JQ34" s="541" t="str">
        <f t="shared" si="92"/>
        <v>0</v>
      </c>
      <c r="JR34" s="541" t="str">
        <f t="shared" si="93"/>
        <v>0</v>
      </c>
      <c r="JS34" s="539"/>
      <c r="JT34" s="541" t="str">
        <f t="shared" si="94"/>
        <v>0</v>
      </c>
      <c r="JU34" s="541" t="str">
        <f t="shared" si="95"/>
        <v>0</v>
      </c>
      <c r="JV34" s="539"/>
      <c r="JW34" s="541" t="str">
        <f t="shared" si="96"/>
        <v>0</v>
      </c>
      <c r="JX34" s="541" t="str">
        <f t="shared" si="97"/>
        <v>0</v>
      </c>
      <c r="JY34" s="539"/>
      <c r="JZ34" s="541" t="str">
        <f t="shared" si="98"/>
        <v>0</v>
      </c>
      <c r="KA34" s="541" t="str">
        <f t="shared" si="99"/>
        <v>0</v>
      </c>
      <c r="KB34" s="539"/>
      <c r="KC34" s="541" t="str">
        <f t="shared" si="100"/>
        <v>0</v>
      </c>
      <c r="KD34" s="541" t="str">
        <f t="shared" si="101"/>
        <v>0</v>
      </c>
      <c r="KE34" s="539"/>
      <c r="KF34" s="541" t="str">
        <f t="shared" si="102"/>
        <v>0</v>
      </c>
      <c r="KG34" s="541" t="str">
        <f t="shared" si="103"/>
        <v>0</v>
      </c>
      <c r="KH34" s="539"/>
      <c r="KI34" s="541" t="str">
        <f t="shared" si="104"/>
        <v>0</v>
      </c>
      <c r="KJ34" s="541" t="str">
        <f t="shared" si="105"/>
        <v>0</v>
      </c>
      <c r="KK34" s="539"/>
      <c r="KL34" s="541" t="str">
        <f t="shared" si="106"/>
        <v>0</v>
      </c>
      <c r="KM34" s="541" t="str">
        <f t="shared" si="107"/>
        <v>0</v>
      </c>
      <c r="KN34" s="539"/>
      <c r="KO34" s="541" t="str">
        <f t="shared" si="108"/>
        <v>0</v>
      </c>
      <c r="KP34" s="541" t="str">
        <f t="shared" si="109"/>
        <v>0</v>
      </c>
      <c r="KQ34" s="539"/>
      <c r="KR34" s="541" t="str">
        <f t="shared" si="110"/>
        <v>0</v>
      </c>
      <c r="KS34" s="541" t="str">
        <f t="shared" si="111"/>
        <v>0</v>
      </c>
      <c r="KT34" s="541">
        <f t="shared" si="201"/>
        <v>0</v>
      </c>
      <c r="KU34" s="541">
        <f t="shared" si="202"/>
        <v>0</v>
      </c>
      <c r="KV34" s="275">
        <f t="shared" si="199"/>
        <v>585.28125255759437</v>
      </c>
    </row>
    <row r="35" spans="1:308" ht="15" customHeight="1">
      <c r="A35" s="277">
        <f t="shared" si="200"/>
        <v>45865</v>
      </c>
      <c r="B35" s="278" t="str">
        <f>+Report1!B35</f>
        <v>Facial</v>
      </c>
      <c r="C35" s="418" t="str">
        <f>+Report1!C35</f>
        <v>12</v>
      </c>
      <c r="D35" s="279">
        <f>+Report1!P35</f>
        <v>50.991000000000007</v>
      </c>
      <c r="E35" s="280">
        <f>+Report1!R35</f>
        <v>51.79</v>
      </c>
      <c r="F35" s="539"/>
      <c r="G35" s="540">
        <f t="shared" si="0"/>
        <v>0</v>
      </c>
      <c r="H35" s="541">
        <f t="shared" si="112"/>
        <v>0</v>
      </c>
      <c r="I35" s="539">
        <v>337.27319999999997</v>
      </c>
      <c r="J35" s="540">
        <f t="shared" si="1"/>
        <v>6.5123228422475377</v>
      </c>
      <c r="K35" s="541">
        <f t="shared" si="113"/>
        <v>0</v>
      </c>
      <c r="L35" s="539"/>
      <c r="M35" s="540">
        <f t="shared" si="2"/>
        <v>0</v>
      </c>
      <c r="N35" s="541">
        <f t="shared" si="114"/>
        <v>0</v>
      </c>
      <c r="O35" s="539">
        <v>9</v>
      </c>
      <c r="P35" s="540">
        <f t="shared" si="3"/>
        <v>0.17377872176095771</v>
      </c>
      <c r="Q35" s="541">
        <f t="shared" si="115"/>
        <v>0</v>
      </c>
      <c r="R35" s="539"/>
      <c r="S35" s="540">
        <f t="shared" si="4"/>
        <v>0</v>
      </c>
      <c r="T35" s="541">
        <f t="shared" si="116"/>
        <v>0</v>
      </c>
      <c r="U35" s="539">
        <v>7.6875</v>
      </c>
      <c r="V35" s="540">
        <f t="shared" si="5"/>
        <v>0.14843599150415138</v>
      </c>
      <c r="W35" s="541">
        <f t="shared" si="117"/>
        <v>0</v>
      </c>
      <c r="X35" s="539"/>
      <c r="Y35" s="540">
        <f t="shared" si="6"/>
        <v>0</v>
      </c>
      <c r="Z35" s="541">
        <f t="shared" si="118"/>
        <v>0</v>
      </c>
      <c r="AA35" s="539"/>
      <c r="AB35" s="540">
        <f t="shared" si="7"/>
        <v>0</v>
      </c>
      <c r="AC35" s="541">
        <f t="shared" si="119"/>
        <v>0</v>
      </c>
      <c r="AD35" s="539"/>
      <c r="AE35" s="540">
        <f t="shared" si="8"/>
        <v>0</v>
      </c>
      <c r="AF35" s="541">
        <f t="shared" si="120"/>
        <v>0</v>
      </c>
      <c r="AG35" s="539"/>
      <c r="AH35" s="540">
        <f t="shared" si="9"/>
        <v>0</v>
      </c>
      <c r="AI35" s="541">
        <f t="shared" si="121"/>
        <v>0</v>
      </c>
      <c r="AJ35" s="539">
        <v>0</v>
      </c>
      <c r="AK35" s="540">
        <f t="shared" si="10"/>
        <v>0</v>
      </c>
      <c r="AL35" s="541">
        <f t="shared" si="122"/>
        <v>0</v>
      </c>
      <c r="AM35" s="539"/>
      <c r="AN35" s="540">
        <f t="shared" si="11"/>
        <v>0</v>
      </c>
      <c r="AO35" s="541">
        <f t="shared" si="123"/>
        <v>0</v>
      </c>
      <c r="AP35" s="539">
        <v>40.606500000000011</v>
      </c>
      <c r="AQ35" s="540">
        <f t="shared" si="12"/>
        <v>0.78406062946514798</v>
      </c>
      <c r="AR35" s="541">
        <f t="shared" si="124"/>
        <v>0</v>
      </c>
      <c r="AS35" s="539"/>
      <c r="AT35" s="540">
        <f t="shared" si="13"/>
        <v>0</v>
      </c>
      <c r="AU35" s="541">
        <f t="shared" si="125"/>
        <v>0</v>
      </c>
      <c r="AV35" s="539">
        <v>25.989900000000006</v>
      </c>
      <c r="AW35" s="540">
        <f t="shared" si="14"/>
        <v>0.50183240007723506</v>
      </c>
      <c r="AX35" s="541">
        <f t="shared" si="126"/>
        <v>0</v>
      </c>
      <c r="AY35" s="539">
        <v>66.534400000000019</v>
      </c>
      <c r="AZ35" s="540">
        <f t="shared" si="15"/>
        <v>1.2846958872369187</v>
      </c>
      <c r="BA35" s="541">
        <f t="shared" si="127"/>
        <v>0</v>
      </c>
      <c r="BB35" s="539">
        <v>0</v>
      </c>
      <c r="BC35" s="540">
        <f t="shared" si="16"/>
        <v>0</v>
      </c>
      <c r="BD35" s="541">
        <f t="shared" si="128"/>
        <v>0</v>
      </c>
      <c r="BE35" s="539"/>
      <c r="BF35" s="540">
        <f t="shared" si="17"/>
        <v>0</v>
      </c>
      <c r="BG35" s="541">
        <f t="shared" si="129"/>
        <v>0</v>
      </c>
      <c r="BH35" s="539"/>
      <c r="BI35" s="540">
        <f t="shared" si="18"/>
        <v>0</v>
      </c>
      <c r="BJ35" s="541">
        <f t="shared" si="130"/>
        <v>0</v>
      </c>
      <c r="BK35" s="539"/>
      <c r="BL35" s="540">
        <f t="shared" si="19"/>
        <v>0</v>
      </c>
      <c r="BM35" s="541">
        <f t="shared" si="131"/>
        <v>0</v>
      </c>
      <c r="BN35" s="539">
        <v>16.180199999999999</v>
      </c>
      <c r="BO35" s="540">
        <f t="shared" si="20"/>
        <v>0.31241938598184976</v>
      </c>
      <c r="BP35" s="541">
        <f t="shared" si="132"/>
        <v>0</v>
      </c>
      <c r="BQ35" s="539">
        <v>47.899279999999997</v>
      </c>
      <c r="BR35" s="540">
        <f t="shared" si="21"/>
        <v>0.92487507240780065</v>
      </c>
      <c r="BS35" s="541">
        <f t="shared" si="133"/>
        <v>0</v>
      </c>
      <c r="BT35" s="539"/>
      <c r="BU35" s="540">
        <f t="shared" si="22"/>
        <v>0</v>
      </c>
      <c r="BV35" s="541">
        <f t="shared" si="134"/>
        <v>0</v>
      </c>
      <c r="BW35" s="539">
        <v>0</v>
      </c>
      <c r="BX35" s="540">
        <f t="shared" si="23"/>
        <v>0</v>
      </c>
      <c r="BY35" s="541">
        <f t="shared" si="135"/>
        <v>0</v>
      </c>
      <c r="BZ35" s="539">
        <v>0</v>
      </c>
      <c r="CA35" s="540">
        <f t="shared" si="24"/>
        <v>0</v>
      </c>
      <c r="CB35" s="541">
        <f t="shared" si="136"/>
        <v>0</v>
      </c>
      <c r="CC35" s="539">
        <v>0</v>
      </c>
      <c r="CD35" s="540">
        <f t="shared" si="25"/>
        <v>0</v>
      </c>
      <c r="CE35" s="541">
        <f t="shared" si="137"/>
        <v>0</v>
      </c>
      <c r="CF35" s="539">
        <v>0.1</v>
      </c>
      <c r="CG35" s="540">
        <f t="shared" si="26"/>
        <v>1.9308746862328637E-3</v>
      </c>
      <c r="CH35" s="541">
        <f t="shared" si="138"/>
        <v>0</v>
      </c>
      <c r="CI35" s="539">
        <v>0</v>
      </c>
      <c r="CJ35" s="540">
        <f t="shared" si="27"/>
        <v>0</v>
      </c>
      <c r="CK35" s="541">
        <f t="shared" si="139"/>
        <v>0</v>
      </c>
      <c r="CL35" s="539"/>
      <c r="CM35" s="540">
        <f t="shared" si="28"/>
        <v>0</v>
      </c>
      <c r="CN35" s="541">
        <f t="shared" si="140"/>
        <v>0</v>
      </c>
      <c r="CO35" s="539"/>
      <c r="CP35" s="540">
        <f t="shared" si="29"/>
        <v>0</v>
      </c>
      <c r="CQ35" s="541">
        <f t="shared" si="141"/>
        <v>0</v>
      </c>
      <c r="CR35" s="539"/>
      <c r="CS35" s="540">
        <f t="shared" si="30"/>
        <v>0</v>
      </c>
      <c r="CT35" s="541">
        <f t="shared" si="142"/>
        <v>0</v>
      </c>
      <c r="CU35" s="539"/>
      <c r="CV35" s="540">
        <f t="shared" si="31"/>
        <v>0</v>
      </c>
      <c r="CW35" s="541">
        <f t="shared" si="143"/>
        <v>0</v>
      </c>
      <c r="CX35" s="539"/>
      <c r="CY35" s="540">
        <f t="shared" si="32"/>
        <v>0</v>
      </c>
      <c r="CZ35" s="541">
        <f t="shared" si="144"/>
        <v>0</v>
      </c>
      <c r="DA35" s="539"/>
      <c r="DB35" s="540">
        <f t="shared" si="33"/>
        <v>0</v>
      </c>
      <c r="DC35" s="541">
        <f t="shared" si="145"/>
        <v>0</v>
      </c>
      <c r="DD35" s="539"/>
      <c r="DE35" s="540">
        <f t="shared" si="34"/>
        <v>0</v>
      </c>
      <c r="DF35" s="541">
        <f t="shared" si="146"/>
        <v>0</v>
      </c>
      <c r="DG35" s="539">
        <v>0</v>
      </c>
      <c r="DH35" s="540">
        <f t="shared" si="35"/>
        <v>0</v>
      </c>
      <c r="DI35" s="541">
        <f t="shared" si="203"/>
        <v>0</v>
      </c>
      <c r="DJ35" s="539"/>
      <c r="DK35" s="540">
        <f t="shared" si="36"/>
        <v>0</v>
      </c>
      <c r="DL35" s="541">
        <f t="shared" si="147"/>
        <v>0</v>
      </c>
      <c r="DM35" s="539"/>
      <c r="DN35" s="540">
        <f t="shared" si="37"/>
        <v>0</v>
      </c>
      <c r="DO35" s="541">
        <f t="shared" si="148"/>
        <v>0</v>
      </c>
      <c r="DP35" s="539"/>
      <c r="DQ35" s="540">
        <f t="shared" si="38"/>
        <v>0</v>
      </c>
      <c r="DR35" s="541">
        <f t="shared" si="149"/>
        <v>0</v>
      </c>
      <c r="DS35" s="539"/>
      <c r="DT35" s="540">
        <f t="shared" si="39"/>
        <v>0</v>
      </c>
      <c r="DU35" s="541">
        <f t="shared" si="150"/>
        <v>0</v>
      </c>
      <c r="DV35" s="539"/>
      <c r="DW35" s="540">
        <f t="shared" si="40"/>
        <v>0</v>
      </c>
      <c r="DX35" s="541">
        <f t="shared" si="151"/>
        <v>0</v>
      </c>
      <c r="DY35" s="539"/>
      <c r="DZ35" s="540">
        <f t="shared" si="41"/>
        <v>0</v>
      </c>
      <c r="EA35" s="541">
        <f t="shared" si="152"/>
        <v>0</v>
      </c>
      <c r="EB35" s="539">
        <v>14.297199999999862</v>
      </c>
      <c r="EC35" s="540">
        <f t="shared" si="42"/>
        <v>0.27606101564008229</v>
      </c>
      <c r="ED35" s="541">
        <f t="shared" si="153"/>
        <v>0</v>
      </c>
      <c r="EE35" s="539">
        <v>1</v>
      </c>
      <c r="EF35" s="540">
        <f t="shared" si="43"/>
        <v>1.9308746862328634E-2</v>
      </c>
      <c r="EG35" s="541">
        <f t="shared" si="154"/>
        <v>0</v>
      </c>
      <c r="EH35" s="539"/>
      <c r="EI35" s="540">
        <f t="shared" si="44"/>
        <v>0</v>
      </c>
      <c r="EJ35" s="541">
        <f t="shared" si="155"/>
        <v>0</v>
      </c>
      <c r="EK35" s="539"/>
      <c r="EL35" s="540">
        <f t="shared" si="45"/>
        <v>0</v>
      </c>
      <c r="EM35" s="541">
        <f t="shared" si="156"/>
        <v>0</v>
      </c>
      <c r="EN35" s="539"/>
      <c r="EO35" s="540">
        <f t="shared" si="46"/>
        <v>0</v>
      </c>
      <c r="EP35" s="541">
        <f t="shared" si="157"/>
        <v>0</v>
      </c>
      <c r="EQ35" s="539"/>
      <c r="ER35" s="540">
        <f t="shared" si="47"/>
        <v>0</v>
      </c>
      <c r="ES35" s="541">
        <f t="shared" si="158"/>
        <v>0</v>
      </c>
      <c r="ET35" s="539"/>
      <c r="EU35" s="540">
        <f t="shared" si="48"/>
        <v>0</v>
      </c>
      <c r="EV35" s="541">
        <f t="shared" si="159"/>
        <v>0</v>
      </c>
      <c r="EW35" s="539"/>
      <c r="EX35" s="540">
        <f t="shared" si="49"/>
        <v>0</v>
      </c>
      <c r="EY35" s="541">
        <f t="shared" si="160"/>
        <v>0</v>
      </c>
      <c r="EZ35" s="539"/>
      <c r="FA35" s="540">
        <f t="shared" si="50"/>
        <v>0</v>
      </c>
      <c r="FB35" s="541">
        <f t="shared" si="161"/>
        <v>0</v>
      </c>
      <c r="FC35" s="539"/>
      <c r="FD35" s="540">
        <f t="shared" si="51"/>
        <v>0</v>
      </c>
      <c r="FE35" s="541">
        <f t="shared" si="162"/>
        <v>0</v>
      </c>
      <c r="FF35" s="539"/>
      <c r="FG35" s="540">
        <f t="shared" si="52"/>
        <v>0</v>
      </c>
      <c r="FH35" s="541">
        <f t="shared" si="163"/>
        <v>0</v>
      </c>
      <c r="FI35" s="539"/>
      <c r="FJ35" s="540">
        <f t="shared" si="53"/>
        <v>0</v>
      </c>
      <c r="FK35" s="541">
        <f t="shared" si="164"/>
        <v>0</v>
      </c>
      <c r="FL35" s="539"/>
      <c r="FM35" s="540">
        <f t="shared" si="54"/>
        <v>0</v>
      </c>
      <c r="FN35" s="541">
        <f t="shared" si="165"/>
        <v>0</v>
      </c>
      <c r="FO35" s="539"/>
      <c r="FP35" s="540">
        <f t="shared" si="55"/>
        <v>0</v>
      </c>
      <c r="FQ35" s="541">
        <f t="shared" si="166"/>
        <v>0</v>
      </c>
      <c r="FR35" s="539"/>
      <c r="FS35" s="540">
        <f t="shared" si="56"/>
        <v>0</v>
      </c>
      <c r="FT35" s="541">
        <f t="shared" si="167"/>
        <v>0</v>
      </c>
      <c r="FU35" s="539"/>
      <c r="FV35" s="540">
        <f t="shared" si="57"/>
        <v>0</v>
      </c>
      <c r="FW35" s="541">
        <f t="shared" si="168"/>
        <v>0</v>
      </c>
      <c r="FX35" s="539"/>
      <c r="FY35" s="540">
        <f t="shared" si="58"/>
        <v>0</v>
      </c>
      <c r="FZ35" s="541">
        <f t="shared" si="169"/>
        <v>0</v>
      </c>
      <c r="GA35" s="539"/>
      <c r="GB35" s="540">
        <f t="shared" si="59"/>
        <v>0</v>
      </c>
      <c r="GC35" s="541">
        <f t="shared" si="170"/>
        <v>0</v>
      </c>
      <c r="GD35" s="539"/>
      <c r="GE35" s="540">
        <f t="shared" si="60"/>
        <v>0</v>
      </c>
      <c r="GF35" s="541">
        <f t="shared" si="171"/>
        <v>0</v>
      </c>
      <c r="GG35" s="539"/>
      <c r="GH35" s="540">
        <f t="shared" si="61"/>
        <v>0</v>
      </c>
      <c r="GI35" s="541">
        <f t="shared" si="172"/>
        <v>0</v>
      </c>
      <c r="GJ35" s="539"/>
      <c r="GK35" s="540">
        <f t="shared" si="62"/>
        <v>0</v>
      </c>
      <c r="GL35" s="541">
        <f t="shared" si="173"/>
        <v>0</v>
      </c>
      <c r="GM35" s="539"/>
      <c r="GN35" s="540">
        <f t="shared" si="63"/>
        <v>0</v>
      </c>
      <c r="GO35" s="541">
        <f t="shared" si="174"/>
        <v>0</v>
      </c>
      <c r="GP35" s="539"/>
      <c r="GQ35" s="540">
        <f t="shared" si="64"/>
        <v>0</v>
      </c>
      <c r="GR35" s="541">
        <f t="shared" si="175"/>
        <v>0</v>
      </c>
      <c r="GS35" s="539"/>
      <c r="GT35" s="540">
        <f t="shared" si="65"/>
        <v>0</v>
      </c>
      <c r="GU35" s="541">
        <f t="shared" si="176"/>
        <v>0</v>
      </c>
      <c r="GV35" s="539"/>
      <c r="GW35" s="540">
        <f t="shared" si="66"/>
        <v>0</v>
      </c>
      <c r="GX35" s="541">
        <f t="shared" si="177"/>
        <v>0</v>
      </c>
      <c r="GY35" s="539"/>
      <c r="GZ35" s="540">
        <f t="shared" si="67"/>
        <v>0</v>
      </c>
      <c r="HA35" s="541">
        <f t="shared" si="178"/>
        <v>0</v>
      </c>
      <c r="HB35" s="539"/>
      <c r="HC35" s="540">
        <f t="shared" si="68"/>
        <v>0</v>
      </c>
      <c r="HD35" s="541">
        <f t="shared" si="179"/>
        <v>0</v>
      </c>
      <c r="HE35" s="539"/>
      <c r="HF35" s="540">
        <f t="shared" si="69"/>
        <v>0</v>
      </c>
      <c r="HG35" s="541">
        <f t="shared" si="180"/>
        <v>0</v>
      </c>
      <c r="HH35" s="539"/>
      <c r="HI35" s="540">
        <f t="shared" si="70"/>
        <v>0</v>
      </c>
      <c r="HJ35" s="541">
        <f t="shared" si="181"/>
        <v>0</v>
      </c>
      <c r="HK35" s="539"/>
      <c r="HL35" s="540">
        <f t="shared" si="71"/>
        <v>0</v>
      </c>
      <c r="HM35" s="541">
        <f t="shared" si="182"/>
        <v>0</v>
      </c>
      <c r="HN35" s="539"/>
      <c r="HO35" s="540">
        <f t="shared" si="72"/>
        <v>0</v>
      </c>
      <c r="HP35" s="541">
        <f t="shared" si="183"/>
        <v>0</v>
      </c>
      <c r="HQ35" s="539"/>
      <c r="HR35" s="540">
        <f t="shared" si="73"/>
        <v>0</v>
      </c>
      <c r="HS35" s="541">
        <f t="shared" si="184"/>
        <v>0</v>
      </c>
      <c r="HT35" s="539"/>
      <c r="HU35" s="540">
        <f t="shared" si="74"/>
        <v>0</v>
      </c>
      <c r="HV35" s="541">
        <f t="shared" si="185"/>
        <v>0</v>
      </c>
      <c r="HW35" s="539"/>
      <c r="HX35" s="540">
        <f t="shared" si="75"/>
        <v>0</v>
      </c>
      <c r="HY35" s="541">
        <f t="shared" si="186"/>
        <v>0</v>
      </c>
      <c r="HZ35" s="539"/>
      <c r="IA35" s="540">
        <f t="shared" si="76"/>
        <v>0</v>
      </c>
      <c r="IB35" s="541">
        <f t="shared" si="187"/>
        <v>0</v>
      </c>
      <c r="IC35" s="539"/>
      <c r="ID35" s="540">
        <f t="shared" si="77"/>
        <v>0</v>
      </c>
      <c r="IE35" s="541">
        <f t="shared" si="188"/>
        <v>0</v>
      </c>
      <c r="IF35" s="539"/>
      <c r="IG35" s="540">
        <f t="shared" si="78"/>
        <v>0</v>
      </c>
      <c r="IH35" s="541">
        <f t="shared" si="189"/>
        <v>0</v>
      </c>
      <c r="II35" s="539"/>
      <c r="IJ35" s="540">
        <f t="shared" si="79"/>
        <v>0</v>
      </c>
      <c r="IK35" s="541">
        <f t="shared" si="190"/>
        <v>0</v>
      </c>
      <c r="IL35" s="539"/>
      <c r="IM35" s="540">
        <f t="shared" si="80"/>
        <v>0</v>
      </c>
      <c r="IN35" s="541">
        <f t="shared" si="191"/>
        <v>0</v>
      </c>
      <c r="IO35" s="539"/>
      <c r="IP35" s="540">
        <f t="shared" si="81"/>
        <v>0</v>
      </c>
      <c r="IQ35" s="541">
        <f t="shared" si="192"/>
        <v>0</v>
      </c>
      <c r="IR35" s="539"/>
      <c r="IS35" s="540">
        <f t="shared" si="82"/>
        <v>0</v>
      </c>
      <c r="IT35" s="541">
        <f t="shared" si="193"/>
        <v>0</v>
      </c>
      <c r="IU35" s="539"/>
      <c r="IV35" s="540">
        <f t="shared" si="83"/>
        <v>0</v>
      </c>
      <c r="IW35" s="541">
        <f t="shared" si="194"/>
        <v>0</v>
      </c>
      <c r="IX35" s="539"/>
      <c r="IY35" s="540">
        <f t="shared" si="84"/>
        <v>0</v>
      </c>
      <c r="IZ35" s="541">
        <f t="shared" si="195"/>
        <v>0</v>
      </c>
      <c r="JA35" s="539"/>
      <c r="JB35" s="540">
        <f t="shared" si="85"/>
        <v>0</v>
      </c>
      <c r="JC35" s="541">
        <f t="shared" si="196"/>
        <v>0</v>
      </c>
      <c r="JD35" s="539"/>
      <c r="JE35" s="540">
        <f t="shared" si="86"/>
        <v>0</v>
      </c>
      <c r="JF35" s="541">
        <f t="shared" si="197"/>
        <v>0</v>
      </c>
      <c r="JG35" s="539"/>
      <c r="JH35" s="540">
        <f t="shared" si="87"/>
        <v>0</v>
      </c>
      <c r="JI35" s="541">
        <f t="shared" si="198"/>
        <v>0</v>
      </c>
      <c r="JJ35" s="539"/>
      <c r="JK35" s="541" t="str">
        <f t="shared" si="88"/>
        <v>0</v>
      </c>
      <c r="JL35" s="541" t="str">
        <f t="shared" si="89"/>
        <v>0</v>
      </c>
      <c r="JM35" s="539"/>
      <c r="JN35" s="541" t="str">
        <f t="shared" si="90"/>
        <v>0</v>
      </c>
      <c r="JO35" s="541" t="str">
        <f t="shared" si="91"/>
        <v>0</v>
      </c>
      <c r="JP35" s="539"/>
      <c r="JQ35" s="541" t="str">
        <f t="shared" si="92"/>
        <v>0</v>
      </c>
      <c r="JR35" s="541" t="str">
        <f t="shared" si="93"/>
        <v>0</v>
      </c>
      <c r="JS35" s="539"/>
      <c r="JT35" s="541" t="str">
        <f t="shared" si="94"/>
        <v>0</v>
      </c>
      <c r="JU35" s="541" t="str">
        <f t="shared" si="95"/>
        <v>0</v>
      </c>
      <c r="JV35" s="539"/>
      <c r="JW35" s="541" t="str">
        <f t="shared" si="96"/>
        <v>0</v>
      </c>
      <c r="JX35" s="541" t="str">
        <f t="shared" si="97"/>
        <v>0</v>
      </c>
      <c r="JY35" s="539"/>
      <c r="JZ35" s="541" t="str">
        <f t="shared" si="98"/>
        <v>0</v>
      </c>
      <c r="KA35" s="541" t="str">
        <f t="shared" si="99"/>
        <v>0</v>
      </c>
      <c r="KB35" s="539"/>
      <c r="KC35" s="541" t="str">
        <f t="shared" si="100"/>
        <v>0</v>
      </c>
      <c r="KD35" s="541" t="str">
        <f t="shared" si="101"/>
        <v>0</v>
      </c>
      <c r="KE35" s="539"/>
      <c r="KF35" s="541" t="str">
        <f t="shared" si="102"/>
        <v>0</v>
      </c>
      <c r="KG35" s="541" t="str">
        <f t="shared" si="103"/>
        <v>0</v>
      </c>
      <c r="KH35" s="539"/>
      <c r="KI35" s="541" t="str">
        <f t="shared" si="104"/>
        <v>0</v>
      </c>
      <c r="KJ35" s="541" t="str">
        <f t="shared" si="105"/>
        <v>0</v>
      </c>
      <c r="KK35" s="539"/>
      <c r="KL35" s="541" t="str">
        <f t="shared" si="106"/>
        <v>0</v>
      </c>
      <c r="KM35" s="541" t="str">
        <f t="shared" si="107"/>
        <v>0</v>
      </c>
      <c r="KN35" s="539"/>
      <c r="KO35" s="541" t="str">
        <f t="shared" si="108"/>
        <v>0</v>
      </c>
      <c r="KP35" s="541" t="str">
        <f t="shared" si="109"/>
        <v>0</v>
      </c>
      <c r="KQ35" s="539"/>
      <c r="KR35" s="541" t="str">
        <f t="shared" si="110"/>
        <v>0</v>
      </c>
      <c r="KS35" s="541" t="str">
        <f t="shared" si="111"/>
        <v>0</v>
      </c>
      <c r="KT35" s="541">
        <f t="shared" si="201"/>
        <v>0</v>
      </c>
      <c r="KU35" s="541">
        <f t="shared" si="202"/>
        <v>0</v>
      </c>
      <c r="KV35" s="275">
        <f t="shared" si="199"/>
        <v>566.56817999999987</v>
      </c>
    </row>
    <row r="36" spans="1:308" ht="15" customHeight="1">
      <c r="A36" s="277">
        <f t="shared" si="200"/>
        <v>45866</v>
      </c>
      <c r="B36" s="278" t="str">
        <f>+Report1!B36</f>
        <v>Facial</v>
      </c>
      <c r="C36" s="418" t="str">
        <f>+Report1!C36</f>
        <v>12/10,5/10,3</v>
      </c>
      <c r="D36" s="279">
        <f>+Report1!P36</f>
        <v>52.192999999999998</v>
      </c>
      <c r="E36" s="280">
        <f>+Report1!R36</f>
        <v>48.252000000000002</v>
      </c>
      <c r="F36" s="539"/>
      <c r="G36" s="540">
        <f t="shared" si="0"/>
        <v>0</v>
      </c>
      <c r="H36" s="541">
        <f t="shared" si="112"/>
        <v>0</v>
      </c>
      <c r="I36" s="539">
        <v>279.06505581395345</v>
      </c>
      <c r="J36" s="540">
        <f t="shared" si="1"/>
        <v>5.7834919964758651</v>
      </c>
      <c r="K36" s="541">
        <f t="shared" si="113"/>
        <v>0</v>
      </c>
      <c r="L36" s="539"/>
      <c r="M36" s="540">
        <f t="shared" si="2"/>
        <v>0</v>
      </c>
      <c r="N36" s="541">
        <f t="shared" si="114"/>
        <v>0</v>
      </c>
      <c r="O36" s="539">
        <v>9</v>
      </c>
      <c r="P36" s="540">
        <f t="shared" si="3"/>
        <v>0.18652076597861228</v>
      </c>
      <c r="Q36" s="541">
        <f t="shared" si="115"/>
        <v>0</v>
      </c>
      <c r="R36" s="539"/>
      <c r="S36" s="540">
        <f t="shared" si="4"/>
        <v>0</v>
      </c>
      <c r="T36" s="541">
        <f t="shared" si="116"/>
        <v>0</v>
      </c>
      <c r="U36" s="539">
        <v>7.6875</v>
      </c>
      <c r="V36" s="540">
        <f t="shared" si="5"/>
        <v>0.15931982094006467</v>
      </c>
      <c r="W36" s="541">
        <f t="shared" si="117"/>
        <v>0</v>
      </c>
      <c r="X36" s="539"/>
      <c r="Y36" s="540">
        <f t="shared" si="6"/>
        <v>0</v>
      </c>
      <c r="Z36" s="541">
        <f t="shared" si="118"/>
        <v>0</v>
      </c>
      <c r="AA36" s="539"/>
      <c r="AB36" s="540">
        <f t="shared" si="7"/>
        <v>0</v>
      </c>
      <c r="AC36" s="541">
        <f t="shared" si="119"/>
        <v>0</v>
      </c>
      <c r="AD36" s="539"/>
      <c r="AE36" s="540">
        <f t="shared" si="8"/>
        <v>0</v>
      </c>
      <c r="AF36" s="541">
        <f t="shared" si="120"/>
        <v>0</v>
      </c>
      <c r="AG36" s="539"/>
      <c r="AH36" s="540">
        <f t="shared" si="9"/>
        <v>0</v>
      </c>
      <c r="AI36" s="541">
        <f t="shared" si="121"/>
        <v>0</v>
      </c>
      <c r="AJ36" s="539">
        <v>0</v>
      </c>
      <c r="AK36" s="540">
        <f t="shared" si="10"/>
        <v>0</v>
      </c>
      <c r="AL36" s="541">
        <f t="shared" si="122"/>
        <v>0</v>
      </c>
      <c r="AM36" s="539"/>
      <c r="AN36" s="540">
        <f t="shared" si="11"/>
        <v>0</v>
      </c>
      <c r="AO36" s="541">
        <f t="shared" si="123"/>
        <v>0</v>
      </c>
      <c r="AP36" s="539">
        <v>37.026817721518995</v>
      </c>
      <c r="AQ36" s="540">
        <f t="shared" si="12"/>
        <v>0.7673633781297976</v>
      </c>
      <c r="AR36" s="541">
        <f t="shared" si="124"/>
        <v>0</v>
      </c>
      <c r="AS36" s="539"/>
      <c r="AT36" s="540">
        <f t="shared" si="13"/>
        <v>0</v>
      </c>
      <c r="AU36" s="541">
        <f t="shared" si="125"/>
        <v>0</v>
      </c>
      <c r="AV36" s="539">
        <v>4.1624999999999943</v>
      </c>
      <c r="AW36" s="540">
        <f t="shared" si="14"/>
        <v>8.6265854265108063E-2</v>
      </c>
      <c r="AX36" s="541">
        <f t="shared" si="126"/>
        <v>0</v>
      </c>
      <c r="AY36" s="539">
        <v>69.996000000000009</v>
      </c>
      <c r="AZ36" s="540">
        <f t="shared" si="15"/>
        <v>1.4506341706043273</v>
      </c>
      <c r="BA36" s="541">
        <f t="shared" si="127"/>
        <v>0</v>
      </c>
      <c r="BB36" s="539">
        <v>0</v>
      </c>
      <c r="BC36" s="540">
        <f t="shared" si="16"/>
        <v>0</v>
      </c>
      <c r="BD36" s="541">
        <f t="shared" si="128"/>
        <v>0</v>
      </c>
      <c r="BE36" s="539"/>
      <c r="BF36" s="540">
        <f t="shared" si="17"/>
        <v>0</v>
      </c>
      <c r="BG36" s="541">
        <f t="shared" si="129"/>
        <v>0</v>
      </c>
      <c r="BH36" s="539"/>
      <c r="BI36" s="540">
        <f t="shared" si="18"/>
        <v>0</v>
      </c>
      <c r="BJ36" s="541">
        <f t="shared" si="130"/>
        <v>0</v>
      </c>
      <c r="BK36" s="539"/>
      <c r="BL36" s="540">
        <f t="shared" si="19"/>
        <v>0</v>
      </c>
      <c r="BM36" s="541">
        <f t="shared" si="131"/>
        <v>0</v>
      </c>
      <c r="BN36" s="539">
        <v>7.5916234567901242</v>
      </c>
      <c r="BO36" s="540">
        <f t="shared" si="20"/>
        <v>0.15733282468685492</v>
      </c>
      <c r="BP36" s="541">
        <f t="shared" si="132"/>
        <v>0</v>
      </c>
      <c r="BQ36" s="539">
        <v>10.252624358974359</v>
      </c>
      <c r="BR36" s="540">
        <f t="shared" si="21"/>
        <v>0.21248081652520845</v>
      </c>
      <c r="BS36" s="541">
        <f t="shared" si="133"/>
        <v>0</v>
      </c>
      <c r="BT36" s="539"/>
      <c r="BU36" s="540">
        <f t="shared" si="22"/>
        <v>0</v>
      </c>
      <c r="BV36" s="541">
        <f t="shared" si="134"/>
        <v>0</v>
      </c>
      <c r="BW36" s="539">
        <v>0</v>
      </c>
      <c r="BX36" s="540">
        <f t="shared" si="23"/>
        <v>0</v>
      </c>
      <c r="BY36" s="541">
        <f t="shared" si="135"/>
        <v>0</v>
      </c>
      <c r="BZ36" s="539">
        <v>0</v>
      </c>
      <c r="CA36" s="540">
        <f t="shared" si="24"/>
        <v>0</v>
      </c>
      <c r="CB36" s="541">
        <f t="shared" si="136"/>
        <v>0</v>
      </c>
      <c r="CC36" s="539">
        <v>0</v>
      </c>
      <c r="CD36" s="540">
        <f t="shared" si="25"/>
        <v>0</v>
      </c>
      <c r="CE36" s="541">
        <f t="shared" si="137"/>
        <v>0</v>
      </c>
      <c r="CF36" s="539">
        <v>0.1</v>
      </c>
      <c r="CG36" s="540">
        <f t="shared" si="26"/>
        <v>2.0724529553179144E-3</v>
      </c>
      <c r="CH36" s="541">
        <f t="shared" si="138"/>
        <v>0</v>
      </c>
      <c r="CI36" s="539">
        <v>35</v>
      </c>
      <c r="CJ36" s="540">
        <f t="shared" si="27"/>
        <v>0.72535853436126996</v>
      </c>
      <c r="CK36" s="541">
        <f t="shared" si="139"/>
        <v>0</v>
      </c>
      <c r="CL36" s="539"/>
      <c r="CM36" s="540">
        <f t="shared" si="28"/>
        <v>0</v>
      </c>
      <c r="CN36" s="541">
        <f t="shared" si="140"/>
        <v>0</v>
      </c>
      <c r="CO36" s="539"/>
      <c r="CP36" s="540">
        <f t="shared" si="29"/>
        <v>0</v>
      </c>
      <c r="CQ36" s="541">
        <f t="shared" si="141"/>
        <v>0</v>
      </c>
      <c r="CR36" s="539"/>
      <c r="CS36" s="540">
        <f t="shared" si="30"/>
        <v>0</v>
      </c>
      <c r="CT36" s="541">
        <f t="shared" si="142"/>
        <v>0</v>
      </c>
      <c r="CU36" s="539"/>
      <c r="CV36" s="540">
        <f t="shared" si="31"/>
        <v>0</v>
      </c>
      <c r="CW36" s="541">
        <f t="shared" si="143"/>
        <v>0</v>
      </c>
      <c r="CX36" s="539"/>
      <c r="CY36" s="540">
        <f t="shared" si="32"/>
        <v>0</v>
      </c>
      <c r="CZ36" s="541">
        <f t="shared" si="144"/>
        <v>0</v>
      </c>
      <c r="DA36" s="539"/>
      <c r="DB36" s="540">
        <f t="shared" si="33"/>
        <v>0</v>
      </c>
      <c r="DC36" s="541">
        <f t="shared" si="145"/>
        <v>0</v>
      </c>
      <c r="DD36" s="539"/>
      <c r="DE36" s="540">
        <f t="shared" si="34"/>
        <v>0</v>
      </c>
      <c r="DF36" s="541">
        <f t="shared" si="146"/>
        <v>0</v>
      </c>
      <c r="DG36" s="539">
        <v>0</v>
      </c>
      <c r="DH36" s="540">
        <f t="shared" si="35"/>
        <v>0</v>
      </c>
      <c r="DI36" s="541">
        <f t="shared" si="203"/>
        <v>0</v>
      </c>
      <c r="DJ36" s="539"/>
      <c r="DK36" s="540">
        <f t="shared" si="36"/>
        <v>0</v>
      </c>
      <c r="DL36" s="541">
        <f t="shared" si="147"/>
        <v>0</v>
      </c>
      <c r="DM36" s="539"/>
      <c r="DN36" s="540">
        <f t="shared" si="37"/>
        <v>0</v>
      </c>
      <c r="DO36" s="541">
        <f t="shared" si="148"/>
        <v>0</v>
      </c>
      <c r="DP36" s="539"/>
      <c r="DQ36" s="540">
        <f t="shared" si="38"/>
        <v>0</v>
      </c>
      <c r="DR36" s="541">
        <f t="shared" si="149"/>
        <v>0</v>
      </c>
      <c r="DS36" s="539"/>
      <c r="DT36" s="540">
        <f t="shared" si="39"/>
        <v>0</v>
      </c>
      <c r="DU36" s="541">
        <f t="shared" si="150"/>
        <v>0</v>
      </c>
      <c r="DV36" s="539"/>
      <c r="DW36" s="540">
        <f t="shared" si="40"/>
        <v>0</v>
      </c>
      <c r="DX36" s="541">
        <f t="shared" si="151"/>
        <v>0</v>
      </c>
      <c r="DY36" s="539"/>
      <c r="DZ36" s="540">
        <f t="shared" si="41"/>
        <v>0</v>
      </c>
      <c r="EA36" s="541">
        <f t="shared" si="152"/>
        <v>0</v>
      </c>
      <c r="EB36" s="539">
        <v>14.529897674418748</v>
      </c>
      <c r="EC36" s="540">
        <f t="shared" si="42"/>
        <v>0.30112529375816022</v>
      </c>
      <c r="ED36" s="541">
        <f t="shared" si="153"/>
        <v>0</v>
      </c>
      <c r="EE36" s="539">
        <v>1</v>
      </c>
      <c r="EF36" s="540">
        <f t="shared" si="43"/>
        <v>2.0724529553179143E-2</v>
      </c>
      <c r="EG36" s="541">
        <f t="shared" si="154"/>
        <v>0</v>
      </c>
      <c r="EH36" s="539"/>
      <c r="EI36" s="540">
        <f t="shared" si="44"/>
        <v>0</v>
      </c>
      <c r="EJ36" s="541">
        <f t="shared" si="155"/>
        <v>0</v>
      </c>
      <c r="EK36" s="539"/>
      <c r="EL36" s="540">
        <f t="shared" si="45"/>
        <v>0</v>
      </c>
      <c r="EM36" s="541">
        <f t="shared" si="156"/>
        <v>0</v>
      </c>
      <c r="EN36" s="539"/>
      <c r="EO36" s="540">
        <f t="shared" si="46"/>
        <v>0</v>
      </c>
      <c r="EP36" s="541">
        <f t="shared" si="157"/>
        <v>0</v>
      </c>
      <c r="EQ36" s="539"/>
      <c r="ER36" s="540">
        <f t="shared" si="47"/>
        <v>0</v>
      </c>
      <c r="ES36" s="541">
        <f t="shared" si="158"/>
        <v>0</v>
      </c>
      <c r="ET36" s="539"/>
      <c r="EU36" s="540">
        <f t="shared" si="48"/>
        <v>0</v>
      </c>
      <c r="EV36" s="541">
        <f t="shared" si="159"/>
        <v>0</v>
      </c>
      <c r="EW36" s="539"/>
      <c r="EX36" s="540">
        <f t="shared" si="49"/>
        <v>0</v>
      </c>
      <c r="EY36" s="541">
        <f t="shared" si="160"/>
        <v>0</v>
      </c>
      <c r="EZ36" s="539"/>
      <c r="FA36" s="540">
        <f t="shared" si="50"/>
        <v>0</v>
      </c>
      <c r="FB36" s="541">
        <f t="shared" si="161"/>
        <v>0</v>
      </c>
      <c r="FC36" s="539"/>
      <c r="FD36" s="540">
        <f t="shared" si="51"/>
        <v>0</v>
      </c>
      <c r="FE36" s="541">
        <f t="shared" si="162"/>
        <v>0</v>
      </c>
      <c r="FF36" s="539"/>
      <c r="FG36" s="540">
        <f t="shared" si="52"/>
        <v>0</v>
      </c>
      <c r="FH36" s="541">
        <f t="shared" si="163"/>
        <v>0</v>
      </c>
      <c r="FI36" s="539"/>
      <c r="FJ36" s="540">
        <f t="shared" si="53"/>
        <v>0</v>
      </c>
      <c r="FK36" s="541">
        <f t="shared" si="164"/>
        <v>0</v>
      </c>
      <c r="FL36" s="539"/>
      <c r="FM36" s="540">
        <f t="shared" si="54"/>
        <v>0</v>
      </c>
      <c r="FN36" s="541">
        <f t="shared" si="165"/>
        <v>0</v>
      </c>
      <c r="FO36" s="539"/>
      <c r="FP36" s="540">
        <f t="shared" si="55"/>
        <v>0</v>
      </c>
      <c r="FQ36" s="541">
        <f t="shared" si="166"/>
        <v>0</v>
      </c>
      <c r="FR36" s="539"/>
      <c r="FS36" s="540">
        <f t="shared" si="56"/>
        <v>0</v>
      </c>
      <c r="FT36" s="541">
        <f t="shared" si="167"/>
        <v>0</v>
      </c>
      <c r="FU36" s="539"/>
      <c r="FV36" s="540">
        <f t="shared" si="57"/>
        <v>0</v>
      </c>
      <c r="FW36" s="541">
        <f t="shared" si="168"/>
        <v>0</v>
      </c>
      <c r="FX36" s="539"/>
      <c r="FY36" s="540">
        <f t="shared" si="58"/>
        <v>0</v>
      </c>
      <c r="FZ36" s="541">
        <f t="shared" si="169"/>
        <v>0</v>
      </c>
      <c r="GA36" s="539"/>
      <c r="GB36" s="540">
        <f t="shared" si="59"/>
        <v>0</v>
      </c>
      <c r="GC36" s="541">
        <f t="shared" si="170"/>
        <v>0</v>
      </c>
      <c r="GD36" s="539"/>
      <c r="GE36" s="540">
        <f t="shared" si="60"/>
        <v>0</v>
      </c>
      <c r="GF36" s="541">
        <f t="shared" si="171"/>
        <v>0</v>
      </c>
      <c r="GG36" s="539"/>
      <c r="GH36" s="540">
        <f t="shared" si="61"/>
        <v>0</v>
      </c>
      <c r="GI36" s="541">
        <f t="shared" si="172"/>
        <v>0</v>
      </c>
      <c r="GJ36" s="539"/>
      <c r="GK36" s="540">
        <f t="shared" si="62"/>
        <v>0</v>
      </c>
      <c r="GL36" s="541">
        <f t="shared" si="173"/>
        <v>0</v>
      </c>
      <c r="GM36" s="539"/>
      <c r="GN36" s="540">
        <f t="shared" si="63"/>
        <v>0</v>
      </c>
      <c r="GO36" s="541">
        <f t="shared" si="174"/>
        <v>0</v>
      </c>
      <c r="GP36" s="539"/>
      <c r="GQ36" s="540">
        <f t="shared" si="64"/>
        <v>0</v>
      </c>
      <c r="GR36" s="541">
        <f t="shared" si="175"/>
        <v>0</v>
      </c>
      <c r="GS36" s="539"/>
      <c r="GT36" s="540">
        <f t="shared" si="65"/>
        <v>0</v>
      </c>
      <c r="GU36" s="541">
        <f t="shared" si="176"/>
        <v>0</v>
      </c>
      <c r="GV36" s="539"/>
      <c r="GW36" s="540">
        <f t="shared" si="66"/>
        <v>0</v>
      </c>
      <c r="GX36" s="541">
        <f t="shared" si="177"/>
        <v>0</v>
      </c>
      <c r="GY36" s="539"/>
      <c r="GZ36" s="540">
        <f t="shared" si="67"/>
        <v>0</v>
      </c>
      <c r="HA36" s="541">
        <f t="shared" si="178"/>
        <v>0</v>
      </c>
      <c r="HB36" s="539"/>
      <c r="HC36" s="540">
        <f t="shared" si="68"/>
        <v>0</v>
      </c>
      <c r="HD36" s="541">
        <f t="shared" si="179"/>
        <v>0</v>
      </c>
      <c r="HE36" s="539"/>
      <c r="HF36" s="540">
        <f t="shared" si="69"/>
        <v>0</v>
      </c>
      <c r="HG36" s="541">
        <f t="shared" si="180"/>
        <v>0</v>
      </c>
      <c r="HH36" s="539"/>
      <c r="HI36" s="540">
        <f t="shared" si="70"/>
        <v>0</v>
      </c>
      <c r="HJ36" s="541">
        <f t="shared" si="181"/>
        <v>0</v>
      </c>
      <c r="HK36" s="539"/>
      <c r="HL36" s="540">
        <f t="shared" si="71"/>
        <v>0</v>
      </c>
      <c r="HM36" s="541">
        <f t="shared" si="182"/>
        <v>0</v>
      </c>
      <c r="HN36" s="539"/>
      <c r="HO36" s="540">
        <f t="shared" si="72"/>
        <v>0</v>
      </c>
      <c r="HP36" s="541">
        <f t="shared" si="183"/>
        <v>0</v>
      </c>
      <c r="HQ36" s="539"/>
      <c r="HR36" s="540">
        <f t="shared" si="73"/>
        <v>0</v>
      </c>
      <c r="HS36" s="541">
        <f t="shared" si="184"/>
        <v>0</v>
      </c>
      <c r="HT36" s="539"/>
      <c r="HU36" s="540">
        <f t="shared" si="74"/>
        <v>0</v>
      </c>
      <c r="HV36" s="541">
        <f t="shared" si="185"/>
        <v>0</v>
      </c>
      <c r="HW36" s="539"/>
      <c r="HX36" s="540">
        <f t="shared" si="75"/>
        <v>0</v>
      </c>
      <c r="HY36" s="541">
        <f t="shared" si="186"/>
        <v>0</v>
      </c>
      <c r="HZ36" s="539"/>
      <c r="IA36" s="540">
        <f t="shared" si="76"/>
        <v>0</v>
      </c>
      <c r="IB36" s="541">
        <f t="shared" si="187"/>
        <v>0</v>
      </c>
      <c r="IC36" s="539"/>
      <c r="ID36" s="540">
        <f t="shared" si="77"/>
        <v>0</v>
      </c>
      <c r="IE36" s="541">
        <f t="shared" si="188"/>
        <v>0</v>
      </c>
      <c r="IF36" s="539"/>
      <c r="IG36" s="540">
        <f t="shared" si="78"/>
        <v>0</v>
      </c>
      <c r="IH36" s="541">
        <f t="shared" si="189"/>
        <v>0</v>
      </c>
      <c r="II36" s="539"/>
      <c r="IJ36" s="540">
        <f t="shared" si="79"/>
        <v>0</v>
      </c>
      <c r="IK36" s="541">
        <f t="shared" si="190"/>
        <v>0</v>
      </c>
      <c r="IL36" s="539"/>
      <c r="IM36" s="540">
        <f t="shared" si="80"/>
        <v>0</v>
      </c>
      <c r="IN36" s="541">
        <f t="shared" si="191"/>
        <v>0</v>
      </c>
      <c r="IO36" s="539"/>
      <c r="IP36" s="540">
        <f t="shared" si="81"/>
        <v>0</v>
      </c>
      <c r="IQ36" s="541">
        <f t="shared" si="192"/>
        <v>0</v>
      </c>
      <c r="IR36" s="539"/>
      <c r="IS36" s="540">
        <f t="shared" si="82"/>
        <v>0</v>
      </c>
      <c r="IT36" s="541">
        <f t="shared" si="193"/>
        <v>0</v>
      </c>
      <c r="IU36" s="539"/>
      <c r="IV36" s="540">
        <f t="shared" si="83"/>
        <v>0</v>
      </c>
      <c r="IW36" s="541">
        <f t="shared" si="194"/>
        <v>0</v>
      </c>
      <c r="IX36" s="539"/>
      <c r="IY36" s="540">
        <f t="shared" si="84"/>
        <v>0</v>
      </c>
      <c r="IZ36" s="541">
        <f t="shared" si="195"/>
        <v>0</v>
      </c>
      <c r="JA36" s="539"/>
      <c r="JB36" s="540">
        <f t="shared" si="85"/>
        <v>0</v>
      </c>
      <c r="JC36" s="541">
        <f t="shared" si="196"/>
        <v>0</v>
      </c>
      <c r="JD36" s="539"/>
      <c r="JE36" s="540">
        <f t="shared" si="86"/>
        <v>0</v>
      </c>
      <c r="JF36" s="541">
        <f t="shared" si="197"/>
        <v>0</v>
      </c>
      <c r="JG36" s="539"/>
      <c r="JH36" s="540">
        <f t="shared" si="87"/>
        <v>0</v>
      </c>
      <c r="JI36" s="541">
        <f t="shared" si="198"/>
        <v>0</v>
      </c>
      <c r="JJ36" s="539"/>
      <c r="JK36" s="541" t="str">
        <f t="shared" si="88"/>
        <v>0</v>
      </c>
      <c r="JL36" s="541" t="str">
        <f t="shared" si="89"/>
        <v>0</v>
      </c>
      <c r="JM36" s="539"/>
      <c r="JN36" s="541" t="str">
        <f t="shared" si="90"/>
        <v>0</v>
      </c>
      <c r="JO36" s="541" t="str">
        <f t="shared" si="91"/>
        <v>0</v>
      </c>
      <c r="JP36" s="539"/>
      <c r="JQ36" s="541" t="str">
        <f t="shared" si="92"/>
        <v>0</v>
      </c>
      <c r="JR36" s="541" t="str">
        <f t="shared" si="93"/>
        <v>0</v>
      </c>
      <c r="JS36" s="539"/>
      <c r="JT36" s="541" t="str">
        <f t="shared" si="94"/>
        <v>0</v>
      </c>
      <c r="JU36" s="541" t="str">
        <f t="shared" si="95"/>
        <v>0</v>
      </c>
      <c r="JV36" s="539"/>
      <c r="JW36" s="541" t="str">
        <f t="shared" si="96"/>
        <v>0</v>
      </c>
      <c r="JX36" s="541" t="str">
        <f t="shared" si="97"/>
        <v>0</v>
      </c>
      <c r="JY36" s="539"/>
      <c r="JZ36" s="541" t="str">
        <f t="shared" si="98"/>
        <v>0</v>
      </c>
      <c r="KA36" s="541" t="str">
        <f t="shared" si="99"/>
        <v>0</v>
      </c>
      <c r="KB36" s="539"/>
      <c r="KC36" s="541" t="str">
        <f t="shared" si="100"/>
        <v>0</v>
      </c>
      <c r="KD36" s="541" t="str">
        <f t="shared" si="101"/>
        <v>0</v>
      </c>
      <c r="KE36" s="539"/>
      <c r="KF36" s="541" t="str">
        <f t="shared" si="102"/>
        <v>0</v>
      </c>
      <c r="KG36" s="541" t="str">
        <f t="shared" si="103"/>
        <v>0</v>
      </c>
      <c r="KH36" s="539"/>
      <c r="KI36" s="541" t="str">
        <f t="shared" si="104"/>
        <v>0</v>
      </c>
      <c r="KJ36" s="541" t="str">
        <f t="shared" si="105"/>
        <v>0</v>
      </c>
      <c r="KK36" s="539"/>
      <c r="KL36" s="541" t="str">
        <f t="shared" si="106"/>
        <v>0</v>
      </c>
      <c r="KM36" s="541" t="str">
        <f t="shared" si="107"/>
        <v>0</v>
      </c>
      <c r="KN36" s="539"/>
      <c r="KO36" s="541" t="str">
        <f t="shared" si="108"/>
        <v>0</v>
      </c>
      <c r="KP36" s="541" t="str">
        <f t="shared" si="109"/>
        <v>0</v>
      </c>
      <c r="KQ36" s="539"/>
      <c r="KR36" s="541" t="str">
        <f t="shared" si="110"/>
        <v>0</v>
      </c>
      <c r="KS36" s="541" t="str">
        <f t="shared" si="111"/>
        <v>0</v>
      </c>
      <c r="KT36" s="541">
        <f t="shared" si="201"/>
        <v>0</v>
      </c>
      <c r="KU36" s="541">
        <f t="shared" si="202"/>
        <v>0</v>
      </c>
      <c r="KV36" s="275">
        <f t="shared" si="199"/>
        <v>475.4120190256557</v>
      </c>
    </row>
    <row r="37" spans="1:308" ht="15" customHeight="1">
      <c r="A37" s="277">
        <f t="shared" si="200"/>
        <v>45867</v>
      </c>
      <c r="B37" s="278" t="str">
        <f>+Report1!B37</f>
        <v>Facial</v>
      </c>
      <c r="C37" s="418" t="str">
        <f>+Report1!C37</f>
        <v>10,3/13/12</v>
      </c>
      <c r="D37" s="279">
        <f>+Report1!P37</f>
        <v>53.781999999999996</v>
      </c>
      <c r="E37" s="280">
        <f>+Report1!R37</f>
        <v>53.576000000000001</v>
      </c>
      <c r="F37" s="539"/>
      <c r="G37" s="540">
        <f t="shared" si="0"/>
        <v>0</v>
      </c>
      <c r="H37" s="541">
        <f t="shared" si="112"/>
        <v>0</v>
      </c>
      <c r="I37" s="539">
        <v>383.72093023255809</v>
      </c>
      <c r="J37" s="540">
        <f t="shared" si="1"/>
        <v>7.1621795250216156</v>
      </c>
      <c r="K37" s="541">
        <f t="shared" si="113"/>
        <v>0</v>
      </c>
      <c r="L37" s="539"/>
      <c r="M37" s="540">
        <f t="shared" si="2"/>
        <v>0</v>
      </c>
      <c r="N37" s="541">
        <f t="shared" si="114"/>
        <v>0</v>
      </c>
      <c r="O37" s="539">
        <v>9</v>
      </c>
      <c r="P37" s="540">
        <f t="shared" si="3"/>
        <v>0.16798566522323427</v>
      </c>
      <c r="Q37" s="541">
        <f t="shared" si="115"/>
        <v>0</v>
      </c>
      <c r="R37" s="539"/>
      <c r="S37" s="540">
        <f t="shared" si="4"/>
        <v>0</v>
      </c>
      <c r="T37" s="541">
        <f t="shared" si="116"/>
        <v>0</v>
      </c>
      <c r="U37" s="539">
        <v>7.6874999999999858</v>
      </c>
      <c r="V37" s="540">
        <f t="shared" si="5"/>
        <v>0.14348775571151234</v>
      </c>
      <c r="W37" s="541">
        <f t="shared" si="117"/>
        <v>0</v>
      </c>
      <c r="X37" s="539"/>
      <c r="Y37" s="540">
        <f t="shared" si="6"/>
        <v>0</v>
      </c>
      <c r="Z37" s="541">
        <f t="shared" si="118"/>
        <v>0</v>
      </c>
      <c r="AA37" s="539"/>
      <c r="AB37" s="540">
        <f t="shared" si="7"/>
        <v>0</v>
      </c>
      <c r="AC37" s="541">
        <f t="shared" si="119"/>
        <v>0</v>
      </c>
      <c r="AD37" s="539"/>
      <c r="AE37" s="540">
        <f t="shared" si="8"/>
        <v>0</v>
      </c>
      <c r="AF37" s="541">
        <f t="shared" si="120"/>
        <v>0</v>
      </c>
      <c r="AG37" s="539"/>
      <c r="AH37" s="540">
        <f t="shared" si="9"/>
        <v>0</v>
      </c>
      <c r="AI37" s="541">
        <f t="shared" si="121"/>
        <v>0</v>
      </c>
      <c r="AJ37" s="539">
        <v>0</v>
      </c>
      <c r="AK37" s="540">
        <f t="shared" si="10"/>
        <v>0</v>
      </c>
      <c r="AL37" s="541">
        <f t="shared" si="122"/>
        <v>0</v>
      </c>
      <c r="AM37" s="539"/>
      <c r="AN37" s="540">
        <f t="shared" si="11"/>
        <v>0</v>
      </c>
      <c r="AO37" s="541">
        <f t="shared" si="123"/>
        <v>0</v>
      </c>
      <c r="AP37" s="539">
        <v>37.025316455696213</v>
      </c>
      <c r="AQ37" s="540">
        <f t="shared" si="12"/>
        <v>0.69108026832343239</v>
      </c>
      <c r="AR37" s="541">
        <f t="shared" si="124"/>
        <v>0</v>
      </c>
      <c r="AS37" s="539"/>
      <c r="AT37" s="540">
        <f t="shared" si="13"/>
        <v>0</v>
      </c>
      <c r="AU37" s="541">
        <f t="shared" si="125"/>
        <v>0</v>
      </c>
      <c r="AV37" s="539">
        <v>1.3875000000000028</v>
      </c>
      <c r="AW37" s="540">
        <f t="shared" si="14"/>
        <v>2.5897790055248671E-2</v>
      </c>
      <c r="AX37" s="541">
        <f t="shared" si="126"/>
        <v>0</v>
      </c>
      <c r="AY37" s="539">
        <v>58.333333333333314</v>
      </c>
      <c r="AZ37" s="540">
        <f t="shared" si="15"/>
        <v>1.0887959782987404</v>
      </c>
      <c r="BA37" s="541">
        <f t="shared" si="127"/>
        <v>0</v>
      </c>
      <c r="BB37" s="539">
        <v>0</v>
      </c>
      <c r="BC37" s="540">
        <f t="shared" si="16"/>
        <v>0</v>
      </c>
      <c r="BD37" s="541">
        <f t="shared" si="128"/>
        <v>0</v>
      </c>
      <c r="BE37" s="539"/>
      <c r="BF37" s="540">
        <f t="shared" si="17"/>
        <v>0</v>
      </c>
      <c r="BG37" s="541">
        <f t="shared" si="129"/>
        <v>0</v>
      </c>
      <c r="BH37" s="539"/>
      <c r="BI37" s="540">
        <f t="shared" si="18"/>
        <v>0</v>
      </c>
      <c r="BJ37" s="541">
        <f t="shared" si="130"/>
        <v>0</v>
      </c>
      <c r="BK37" s="539"/>
      <c r="BL37" s="540">
        <f t="shared" si="19"/>
        <v>0</v>
      </c>
      <c r="BM37" s="541">
        <f t="shared" si="131"/>
        <v>0</v>
      </c>
      <c r="BN37" s="539">
        <v>7.5925925925925881</v>
      </c>
      <c r="BO37" s="540">
        <f t="shared" si="20"/>
        <v>0.14171630193729634</v>
      </c>
      <c r="BP37" s="541">
        <f t="shared" si="132"/>
        <v>0</v>
      </c>
      <c r="BQ37" s="539">
        <v>0</v>
      </c>
      <c r="BR37" s="540">
        <f t="shared" si="21"/>
        <v>0</v>
      </c>
      <c r="BS37" s="541">
        <f t="shared" si="133"/>
        <v>0</v>
      </c>
      <c r="BT37" s="539"/>
      <c r="BU37" s="540">
        <f t="shared" si="22"/>
        <v>0</v>
      </c>
      <c r="BV37" s="541">
        <f t="shared" si="134"/>
        <v>0</v>
      </c>
      <c r="BW37" s="539">
        <v>0</v>
      </c>
      <c r="BX37" s="540">
        <f t="shared" si="23"/>
        <v>0</v>
      </c>
      <c r="BY37" s="541">
        <f t="shared" si="135"/>
        <v>0</v>
      </c>
      <c r="BZ37" s="539">
        <v>0</v>
      </c>
      <c r="CA37" s="540">
        <f t="shared" si="24"/>
        <v>0</v>
      </c>
      <c r="CB37" s="541">
        <f t="shared" si="136"/>
        <v>0</v>
      </c>
      <c r="CC37" s="539">
        <v>0</v>
      </c>
      <c r="CD37" s="540">
        <f t="shared" si="25"/>
        <v>0</v>
      </c>
      <c r="CE37" s="541">
        <f t="shared" si="137"/>
        <v>0</v>
      </c>
      <c r="CF37" s="539">
        <v>0.20000000000000007</v>
      </c>
      <c r="CG37" s="540">
        <f t="shared" si="26"/>
        <v>3.7330147827385409E-3</v>
      </c>
      <c r="CH37" s="541">
        <f t="shared" si="138"/>
        <v>0</v>
      </c>
      <c r="CI37" s="539">
        <v>0</v>
      </c>
      <c r="CJ37" s="540">
        <f t="shared" si="27"/>
        <v>0</v>
      </c>
      <c r="CK37" s="541">
        <f t="shared" si="139"/>
        <v>0</v>
      </c>
      <c r="CL37" s="539"/>
      <c r="CM37" s="540">
        <f t="shared" si="28"/>
        <v>0</v>
      </c>
      <c r="CN37" s="541">
        <f t="shared" si="140"/>
        <v>0</v>
      </c>
      <c r="CO37" s="539"/>
      <c r="CP37" s="540">
        <f t="shared" si="29"/>
        <v>0</v>
      </c>
      <c r="CQ37" s="541">
        <f t="shared" si="141"/>
        <v>0</v>
      </c>
      <c r="CR37" s="539"/>
      <c r="CS37" s="540">
        <f t="shared" si="30"/>
        <v>0</v>
      </c>
      <c r="CT37" s="541">
        <f t="shared" si="142"/>
        <v>0</v>
      </c>
      <c r="CU37" s="539"/>
      <c r="CV37" s="540">
        <f t="shared" si="31"/>
        <v>0</v>
      </c>
      <c r="CW37" s="541">
        <f t="shared" si="143"/>
        <v>0</v>
      </c>
      <c r="CX37" s="539"/>
      <c r="CY37" s="540">
        <f t="shared" si="32"/>
        <v>0</v>
      </c>
      <c r="CZ37" s="541">
        <f t="shared" si="144"/>
        <v>0</v>
      </c>
      <c r="DA37" s="539"/>
      <c r="DB37" s="540">
        <f t="shared" si="33"/>
        <v>0</v>
      </c>
      <c r="DC37" s="541">
        <f t="shared" si="145"/>
        <v>0</v>
      </c>
      <c r="DD37" s="539"/>
      <c r="DE37" s="540">
        <f t="shared" si="34"/>
        <v>0</v>
      </c>
      <c r="DF37" s="541">
        <f t="shared" si="146"/>
        <v>0</v>
      </c>
      <c r="DG37" s="539">
        <v>0</v>
      </c>
      <c r="DH37" s="540">
        <f t="shared" si="35"/>
        <v>0</v>
      </c>
      <c r="DI37" s="541">
        <f t="shared" si="203"/>
        <v>0</v>
      </c>
      <c r="DJ37" s="539"/>
      <c r="DK37" s="540">
        <f t="shared" si="36"/>
        <v>0</v>
      </c>
      <c r="DL37" s="541">
        <f t="shared" si="147"/>
        <v>0</v>
      </c>
      <c r="DM37" s="539"/>
      <c r="DN37" s="540">
        <f t="shared" si="37"/>
        <v>0</v>
      </c>
      <c r="DO37" s="541">
        <f t="shared" si="148"/>
        <v>0</v>
      </c>
      <c r="DP37" s="539"/>
      <c r="DQ37" s="540">
        <f t="shared" si="38"/>
        <v>0</v>
      </c>
      <c r="DR37" s="541">
        <f t="shared" si="149"/>
        <v>0</v>
      </c>
      <c r="DS37" s="539"/>
      <c r="DT37" s="540">
        <f t="shared" si="39"/>
        <v>0</v>
      </c>
      <c r="DU37" s="541">
        <f t="shared" si="150"/>
        <v>0</v>
      </c>
      <c r="DV37" s="539"/>
      <c r="DW37" s="540">
        <f t="shared" si="40"/>
        <v>0</v>
      </c>
      <c r="DX37" s="541">
        <f t="shared" si="151"/>
        <v>0</v>
      </c>
      <c r="DY37" s="539"/>
      <c r="DZ37" s="540">
        <f t="shared" si="41"/>
        <v>0</v>
      </c>
      <c r="EA37" s="541">
        <f t="shared" si="152"/>
        <v>0</v>
      </c>
      <c r="EB37" s="539">
        <v>14.534883720930225</v>
      </c>
      <c r="EC37" s="540">
        <f t="shared" si="42"/>
        <v>0.2712946789780914</v>
      </c>
      <c r="ED37" s="541">
        <f t="shared" si="153"/>
        <v>0</v>
      </c>
      <c r="EE37" s="539">
        <v>2</v>
      </c>
      <c r="EF37" s="540">
        <f t="shared" si="43"/>
        <v>3.7330147827385397E-2</v>
      </c>
      <c r="EG37" s="541">
        <f t="shared" si="154"/>
        <v>0</v>
      </c>
      <c r="EH37" s="539"/>
      <c r="EI37" s="540">
        <f t="shared" si="44"/>
        <v>0</v>
      </c>
      <c r="EJ37" s="541">
        <f t="shared" si="155"/>
        <v>0</v>
      </c>
      <c r="EK37" s="539"/>
      <c r="EL37" s="540">
        <f t="shared" si="45"/>
        <v>0</v>
      </c>
      <c r="EM37" s="541">
        <f t="shared" si="156"/>
        <v>0</v>
      </c>
      <c r="EN37" s="539"/>
      <c r="EO37" s="540">
        <f t="shared" si="46"/>
        <v>0</v>
      </c>
      <c r="EP37" s="541">
        <f t="shared" si="157"/>
        <v>0</v>
      </c>
      <c r="EQ37" s="539"/>
      <c r="ER37" s="540">
        <f t="shared" si="47"/>
        <v>0</v>
      </c>
      <c r="ES37" s="541">
        <f t="shared" si="158"/>
        <v>0</v>
      </c>
      <c r="ET37" s="539"/>
      <c r="EU37" s="540">
        <f t="shared" si="48"/>
        <v>0</v>
      </c>
      <c r="EV37" s="541">
        <f t="shared" si="159"/>
        <v>0</v>
      </c>
      <c r="EW37" s="539"/>
      <c r="EX37" s="540">
        <f t="shared" si="49"/>
        <v>0</v>
      </c>
      <c r="EY37" s="541">
        <f t="shared" si="160"/>
        <v>0</v>
      </c>
      <c r="EZ37" s="539"/>
      <c r="FA37" s="540">
        <f t="shared" si="50"/>
        <v>0</v>
      </c>
      <c r="FB37" s="541">
        <f t="shared" si="161"/>
        <v>0</v>
      </c>
      <c r="FC37" s="539"/>
      <c r="FD37" s="540">
        <f t="shared" si="51"/>
        <v>0</v>
      </c>
      <c r="FE37" s="541">
        <f t="shared" si="162"/>
        <v>0</v>
      </c>
      <c r="FF37" s="539"/>
      <c r="FG37" s="540">
        <f t="shared" si="52"/>
        <v>0</v>
      </c>
      <c r="FH37" s="541">
        <f t="shared" si="163"/>
        <v>0</v>
      </c>
      <c r="FI37" s="539"/>
      <c r="FJ37" s="540">
        <f t="shared" si="53"/>
        <v>0</v>
      </c>
      <c r="FK37" s="541">
        <f t="shared" si="164"/>
        <v>0</v>
      </c>
      <c r="FL37" s="539"/>
      <c r="FM37" s="540">
        <f t="shared" si="54"/>
        <v>0</v>
      </c>
      <c r="FN37" s="541">
        <f t="shared" si="165"/>
        <v>0</v>
      </c>
      <c r="FO37" s="539"/>
      <c r="FP37" s="540">
        <f t="shared" si="55"/>
        <v>0</v>
      </c>
      <c r="FQ37" s="541">
        <f t="shared" si="166"/>
        <v>0</v>
      </c>
      <c r="FR37" s="539"/>
      <c r="FS37" s="540">
        <f t="shared" si="56"/>
        <v>0</v>
      </c>
      <c r="FT37" s="541">
        <f t="shared" si="167"/>
        <v>0</v>
      </c>
      <c r="FU37" s="539"/>
      <c r="FV37" s="540">
        <f t="shared" si="57"/>
        <v>0</v>
      </c>
      <c r="FW37" s="541">
        <f t="shared" si="168"/>
        <v>0</v>
      </c>
      <c r="FX37" s="539"/>
      <c r="FY37" s="540">
        <f t="shared" si="58"/>
        <v>0</v>
      </c>
      <c r="FZ37" s="541">
        <f t="shared" si="169"/>
        <v>0</v>
      </c>
      <c r="GA37" s="539"/>
      <c r="GB37" s="540">
        <f t="shared" si="59"/>
        <v>0</v>
      </c>
      <c r="GC37" s="541">
        <f t="shared" si="170"/>
        <v>0</v>
      </c>
      <c r="GD37" s="539"/>
      <c r="GE37" s="540">
        <f t="shared" si="60"/>
        <v>0</v>
      </c>
      <c r="GF37" s="541">
        <f t="shared" si="171"/>
        <v>0</v>
      </c>
      <c r="GG37" s="539"/>
      <c r="GH37" s="540">
        <f t="shared" si="61"/>
        <v>0</v>
      </c>
      <c r="GI37" s="541">
        <f t="shared" si="172"/>
        <v>0</v>
      </c>
      <c r="GJ37" s="539"/>
      <c r="GK37" s="540">
        <f t="shared" si="62"/>
        <v>0</v>
      </c>
      <c r="GL37" s="541">
        <f t="shared" si="173"/>
        <v>0</v>
      </c>
      <c r="GM37" s="539"/>
      <c r="GN37" s="540">
        <f t="shared" si="63"/>
        <v>0</v>
      </c>
      <c r="GO37" s="541">
        <f t="shared" si="174"/>
        <v>0</v>
      </c>
      <c r="GP37" s="539"/>
      <c r="GQ37" s="540">
        <f t="shared" si="64"/>
        <v>0</v>
      </c>
      <c r="GR37" s="541">
        <f t="shared" si="175"/>
        <v>0</v>
      </c>
      <c r="GS37" s="539"/>
      <c r="GT37" s="540">
        <f t="shared" si="65"/>
        <v>0</v>
      </c>
      <c r="GU37" s="541">
        <f t="shared" si="176"/>
        <v>0</v>
      </c>
      <c r="GV37" s="539"/>
      <c r="GW37" s="540">
        <f t="shared" si="66"/>
        <v>0</v>
      </c>
      <c r="GX37" s="541">
        <f t="shared" si="177"/>
        <v>0</v>
      </c>
      <c r="GY37" s="539"/>
      <c r="GZ37" s="540">
        <f t="shared" si="67"/>
        <v>0</v>
      </c>
      <c r="HA37" s="541">
        <f t="shared" si="178"/>
        <v>0</v>
      </c>
      <c r="HB37" s="539"/>
      <c r="HC37" s="540">
        <f t="shared" si="68"/>
        <v>0</v>
      </c>
      <c r="HD37" s="541">
        <f t="shared" si="179"/>
        <v>0</v>
      </c>
      <c r="HE37" s="539"/>
      <c r="HF37" s="540">
        <f t="shared" si="69"/>
        <v>0</v>
      </c>
      <c r="HG37" s="541">
        <f t="shared" si="180"/>
        <v>0</v>
      </c>
      <c r="HH37" s="539"/>
      <c r="HI37" s="540">
        <f t="shared" si="70"/>
        <v>0</v>
      </c>
      <c r="HJ37" s="541">
        <f t="shared" si="181"/>
        <v>0</v>
      </c>
      <c r="HK37" s="539"/>
      <c r="HL37" s="540">
        <f t="shared" si="71"/>
        <v>0</v>
      </c>
      <c r="HM37" s="541">
        <f t="shared" si="182"/>
        <v>0</v>
      </c>
      <c r="HN37" s="539"/>
      <c r="HO37" s="540">
        <f t="shared" si="72"/>
        <v>0</v>
      </c>
      <c r="HP37" s="541">
        <f t="shared" si="183"/>
        <v>0</v>
      </c>
      <c r="HQ37" s="539"/>
      <c r="HR37" s="540">
        <f t="shared" si="73"/>
        <v>0</v>
      </c>
      <c r="HS37" s="541">
        <f t="shared" si="184"/>
        <v>0</v>
      </c>
      <c r="HT37" s="539"/>
      <c r="HU37" s="540">
        <f t="shared" si="74"/>
        <v>0</v>
      </c>
      <c r="HV37" s="541">
        <f t="shared" si="185"/>
        <v>0</v>
      </c>
      <c r="HW37" s="539"/>
      <c r="HX37" s="540">
        <f t="shared" si="75"/>
        <v>0</v>
      </c>
      <c r="HY37" s="541">
        <f t="shared" si="186"/>
        <v>0</v>
      </c>
      <c r="HZ37" s="539"/>
      <c r="IA37" s="540">
        <f t="shared" si="76"/>
        <v>0</v>
      </c>
      <c r="IB37" s="541">
        <f t="shared" si="187"/>
        <v>0</v>
      </c>
      <c r="IC37" s="539"/>
      <c r="ID37" s="540">
        <f t="shared" si="77"/>
        <v>0</v>
      </c>
      <c r="IE37" s="541">
        <f t="shared" si="188"/>
        <v>0</v>
      </c>
      <c r="IF37" s="539"/>
      <c r="IG37" s="540">
        <f t="shared" si="78"/>
        <v>0</v>
      </c>
      <c r="IH37" s="541">
        <f t="shared" si="189"/>
        <v>0</v>
      </c>
      <c r="II37" s="539"/>
      <c r="IJ37" s="540">
        <f t="shared" si="79"/>
        <v>0</v>
      </c>
      <c r="IK37" s="541">
        <f t="shared" si="190"/>
        <v>0</v>
      </c>
      <c r="IL37" s="539"/>
      <c r="IM37" s="540">
        <f t="shared" si="80"/>
        <v>0</v>
      </c>
      <c r="IN37" s="541">
        <f t="shared" si="191"/>
        <v>0</v>
      </c>
      <c r="IO37" s="539"/>
      <c r="IP37" s="540">
        <f t="shared" si="81"/>
        <v>0</v>
      </c>
      <c r="IQ37" s="541">
        <f t="shared" si="192"/>
        <v>0</v>
      </c>
      <c r="IR37" s="539"/>
      <c r="IS37" s="540">
        <f t="shared" si="82"/>
        <v>0</v>
      </c>
      <c r="IT37" s="541">
        <f t="shared" si="193"/>
        <v>0</v>
      </c>
      <c r="IU37" s="539"/>
      <c r="IV37" s="540">
        <f t="shared" si="83"/>
        <v>0</v>
      </c>
      <c r="IW37" s="541">
        <f t="shared" si="194"/>
        <v>0</v>
      </c>
      <c r="IX37" s="539"/>
      <c r="IY37" s="540">
        <f t="shared" si="84"/>
        <v>0</v>
      </c>
      <c r="IZ37" s="541">
        <f t="shared" si="195"/>
        <v>0</v>
      </c>
      <c r="JA37" s="539"/>
      <c r="JB37" s="540">
        <f t="shared" si="85"/>
        <v>0</v>
      </c>
      <c r="JC37" s="541">
        <f t="shared" si="196"/>
        <v>0</v>
      </c>
      <c r="JD37" s="539"/>
      <c r="JE37" s="540">
        <f t="shared" si="86"/>
        <v>0</v>
      </c>
      <c r="JF37" s="541">
        <f t="shared" si="197"/>
        <v>0</v>
      </c>
      <c r="JG37" s="539"/>
      <c r="JH37" s="540">
        <f t="shared" si="87"/>
        <v>0</v>
      </c>
      <c r="JI37" s="541">
        <f t="shared" si="198"/>
        <v>0</v>
      </c>
      <c r="JJ37" s="539"/>
      <c r="JK37" s="541" t="str">
        <f t="shared" si="88"/>
        <v>0</v>
      </c>
      <c r="JL37" s="541" t="str">
        <f t="shared" si="89"/>
        <v>0</v>
      </c>
      <c r="JM37" s="539"/>
      <c r="JN37" s="541" t="str">
        <f t="shared" si="90"/>
        <v>0</v>
      </c>
      <c r="JO37" s="541" t="str">
        <f t="shared" si="91"/>
        <v>0</v>
      </c>
      <c r="JP37" s="539"/>
      <c r="JQ37" s="541" t="str">
        <f t="shared" si="92"/>
        <v>0</v>
      </c>
      <c r="JR37" s="541" t="str">
        <f t="shared" si="93"/>
        <v>0</v>
      </c>
      <c r="JS37" s="539"/>
      <c r="JT37" s="541" t="str">
        <f t="shared" si="94"/>
        <v>0</v>
      </c>
      <c r="JU37" s="541" t="str">
        <f t="shared" si="95"/>
        <v>0</v>
      </c>
      <c r="JV37" s="539"/>
      <c r="JW37" s="541" t="str">
        <f t="shared" si="96"/>
        <v>0</v>
      </c>
      <c r="JX37" s="541" t="str">
        <f t="shared" si="97"/>
        <v>0</v>
      </c>
      <c r="JY37" s="539"/>
      <c r="JZ37" s="541" t="str">
        <f t="shared" si="98"/>
        <v>0</v>
      </c>
      <c r="KA37" s="541" t="str">
        <f t="shared" si="99"/>
        <v>0</v>
      </c>
      <c r="KB37" s="539"/>
      <c r="KC37" s="541" t="str">
        <f t="shared" si="100"/>
        <v>0</v>
      </c>
      <c r="KD37" s="541" t="str">
        <f t="shared" si="101"/>
        <v>0</v>
      </c>
      <c r="KE37" s="539"/>
      <c r="KF37" s="541" t="str">
        <f t="shared" si="102"/>
        <v>0</v>
      </c>
      <c r="KG37" s="541" t="str">
        <f t="shared" si="103"/>
        <v>0</v>
      </c>
      <c r="KH37" s="539"/>
      <c r="KI37" s="541" t="str">
        <f t="shared" si="104"/>
        <v>0</v>
      </c>
      <c r="KJ37" s="541" t="str">
        <f t="shared" si="105"/>
        <v>0</v>
      </c>
      <c r="KK37" s="539"/>
      <c r="KL37" s="541" t="str">
        <f t="shared" si="106"/>
        <v>0</v>
      </c>
      <c r="KM37" s="541" t="str">
        <f t="shared" si="107"/>
        <v>0</v>
      </c>
      <c r="KN37" s="539"/>
      <c r="KO37" s="541" t="str">
        <f t="shared" si="108"/>
        <v>0</v>
      </c>
      <c r="KP37" s="541" t="str">
        <f t="shared" si="109"/>
        <v>0</v>
      </c>
      <c r="KQ37" s="539"/>
      <c r="KR37" s="541" t="str">
        <f t="shared" si="110"/>
        <v>0</v>
      </c>
      <c r="KS37" s="541" t="str">
        <f t="shared" si="111"/>
        <v>0</v>
      </c>
      <c r="KT37" s="541">
        <f t="shared" si="201"/>
        <v>0</v>
      </c>
      <c r="KU37" s="541">
        <f t="shared" si="202"/>
        <v>0</v>
      </c>
      <c r="KV37" s="275">
        <f t="shared" si="199"/>
        <v>521.48205633511043</v>
      </c>
    </row>
    <row r="38" spans="1:308" ht="15" customHeight="1">
      <c r="A38" s="277">
        <f t="shared" si="200"/>
        <v>45868</v>
      </c>
      <c r="B38" s="278" t="str">
        <f>+Report1!B38</f>
        <v>Facial</v>
      </c>
      <c r="C38" s="418" t="str">
        <f>+Report1!C38</f>
        <v>12</v>
      </c>
      <c r="D38" s="279">
        <f>+Report1!P38</f>
        <v>53.278999999999996</v>
      </c>
      <c r="E38" s="280">
        <f>+Report1!R38</f>
        <v>52.741999999999997</v>
      </c>
      <c r="F38" s="539"/>
      <c r="G38" s="540">
        <f t="shared" si="0"/>
        <v>0</v>
      </c>
      <c r="H38" s="541">
        <f t="shared" si="112"/>
        <v>0</v>
      </c>
      <c r="I38" s="539">
        <v>348.83720930232562</v>
      </c>
      <c r="J38" s="540">
        <f t="shared" si="1"/>
        <v>6.61403074025114</v>
      </c>
      <c r="K38" s="541">
        <f t="shared" si="113"/>
        <v>0</v>
      </c>
      <c r="L38" s="539"/>
      <c r="M38" s="540">
        <f t="shared" si="2"/>
        <v>0</v>
      </c>
      <c r="N38" s="541">
        <f t="shared" si="114"/>
        <v>0</v>
      </c>
      <c r="O38" s="539">
        <v>9</v>
      </c>
      <c r="P38" s="540">
        <f t="shared" si="3"/>
        <v>0.17064199309847941</v>
      </c>
      <c r="Q38" s="541">
        <f t="shared" si="115"/>
        <v>0</v>
      </c>
      <c r="R38" s="539"/>
      <c r="S38" s="540">
        <f t="shared" si="4"/>
        <v>0</v>
      </c>
      <c r="T38" s="541">
        <f t="shared" si="116"/>
        <v>0</v>
      </c>
      <c r="U38" s="539">
        <v>7.6875</v>
      </c>
      <c r="V38" s="540">
        <f t="shared" si="5"/>
        <v>0.14575670243828448</v>
      </c>
      <c r="W38" s="541">
        <f t="shared" si="117"/>
        <v>0</v>
      </c>
      <c r="X38" s="539"/>
      <c r="Y38" s="540">
        <f t="shared" si="6"/>
        <v>0</v>
      </c>
      <c r="Z38" s="541">
        <f t="shared" si="118"/>
        <v>0</v>
      </c>
      <c r="AA38" s="539"/>
      <c r="AB38" s="540">
        <f t="shared" si="7"/>
        <v>0</v>
      </c>
      <c r="AC38" s="541">
        <f t="shared" si="119"/>
        <v>0</v>
      </c>
      <c r="AD38" s="539"/>
      <c r="AE38" s="540">
        <f t="shared" si="8"/>
        <v>0</v>
      </c>
      <c r="AF38" s="541">
        <f t="shared" si="120"/>
        <v>0</v>
      </c>
      <c r="AG38" s="539"/>
      <c r="AH38" s="540">
        <f t="shared" si="9"/>
        <v>0</v>
      </c>
      <c r="AI38" s="541">
        <f t="shared" si="121"/>
        <v>0</v>
      </c>
      <c r="AJ38" s="539">
        <v>20.561700000000009</v>
      </c>
      <c r="AK38" s="540">
        <f t="shared" si="10"/>
        <v>0.3898543854992228</v>
      </c>
      <c r="AL38" s="541">
        <f t="shared" si="122"/>
        <v>0</v>
      </c>
      <c r="AM38" s="539"/>
      <c r="AN38" s="540">
        <f t="shared" si="11"/>
        <v>0</v>
      </c>
      <c r="AO38" s="541">
        <f t="shared" si="123"/>
        <v>0</v>
      </c>
      <c r="AP38" s="539">
        <v>45.569620253164544</v>
      </c>
      <c r="AQ38" s="540">
        <f t="shared" si="12"/>
        <v>0.86401009163787013</v>
      </c>
      <c r="AR38" s="541">
        <f t="shared" si="124"/>
        <v>0</v>
      </c>
      <c r="AS38" s="539"/>
      <c r="AT38" s="540">
        <f t="shared" si="13"/>
        <v>0</v>
      </c>
      <c r="AU38" s="541">
        <f t="shared" si="125"/>
        <v>0</v>
      </c>
      <c r="AV38" s="539">
        <v>2.7750000000000057</v>
      </c>
      <c r="AW38" s="540">
        <f t="shared" si="14"/>
        <v>5.2614614538697924E-2</v>
      </c>
      <c r="AX38" s="541">
        <f t="shared" si="126"/>
        <v>0</v>
      </c>
      <c r="AY38" s="539">
        <v>65.333333333333314</v>
      </c>
      <c r="AZ38" s="540">
        <f t="shared" si="15"/>
        <v>1.2387344684185908</v>
      </c>
      <c r="BA38" s="541">
        <f t="shared" si="127"/>
        <v>0</v>
      </c>
      <c r="BB38" s="539">
        <v>0</v>
      </c>
      <c r="BC38" s="540">
        <f t="shared" si="16"/>
        <v>0</v>
      </c>
      <c r="BD38" s="541">
        <f t="shared" si="128"/>
        <v>0</v>
      </c>
      <c r="BE38" s="539"/>
      <c r="BF38" s="540">
        <f t="shared" si="17"/>
        <v>0</v>
      </c>
      <c r="BG38" s="541">
        <f t="shared" si="129"/>
        <v>0</v>
      </c>
      <c r="BH38" s="539"/>
      <c r="BI38" s="540">
        <f t="shared" si="18"/>
        <v>0</v>
      </c>
      <c r="BJ38" s="541">
        <f t="shared" si="130"/>
        <v>0</v>
      </c>
      <c r="BK38" s="539"/>
      <c r="BL38" s="540">
        <f t="shared" si="19"/>
        <v>0</v>
      </c>
      <c r="BM38" s="541">
        <f t="shared" si="131"/>
        <v>0</v>
      </c>
      <c r="BN38" s="539">
        <v>7.5925925925926023</v>
      </c>
      <c r="BO38" s="540">
        <f t="shared" si="20"/>
        <v>0.14395723697608362</v>
      </c>
      <c r="BP38" s="541">
        <f t="shared" si="132"/>
        <v>0</v>
      </c>
      <c r="BQ38" s="539">
        <v>0</v>
      </c>
      <c r="BR38" s="540">
        <f t="shared" si="21"/>
        <v>0</v>
      </c>
      <c r="BS38" s="541">
        <f t="shared" si="133"/>
        <v>0</v>
      </c>
      <c r="BT38" s="539"/>
      <c r="BU38" s="540">
        <f t="shared" si="22"/>
        <v>0</v>
      </c>
      <c r="BV38" s="541">
        <f t="shared" si="134"/>
        <v>0</v>
      </c>
      <c r="BW38" s="539">
        <v>0</v>
      </c>
      <c r="BX38" s="540">
        <f t="shared" si="23"/>
        <v>0</v>
      </c>
      <c r="BY38" s="541">
        <f t="shared" si="135"/>
        <v>0</v>
      </c>
      <c r="BZ38" s="539">
        <v>0</v>
      </c>
      <c r="CA38" s="540">
        <f t="shared" si="24"/>
        <v>0</v>
      </c>
      <c r="CB38" s="541">
        <f t="shared" si="136"/>
        <v>0</v>
      </c>
      <c r="CC38" s="539">
        <v>0</v>
      </c>
      <c r="CD38" s="540">
        <f t="shared" si="25"/>
        <v>0</v>
      </c>
      <c r="CE38" s="541">
        <f t="shared" si="137"/>
        <v>0</v>
      </c>
      <c r="CF38" s="539">
        <v>9.9999999999999978E-2</v>
      </c>
      <c r="CG38" s="540">
        <f t="shared" si="26"/>
        <v>1.8960221455386595E-3</v>
      </c>
      <c r="CH38" s="541">
        <f t="shared" si="138"/>
        <v>0</v>
      </c>
      <c r="CI38" s="539">
        <v>0</v>
      </c>
      <c r="CJ38" s="540">
        <f t="shared" si="27"/>
        <v>0</v>
      </c>
      <c r="CK38" s="541">
        <f t="shared" si="139"/>
        <v>0</v>
      </c>
      <c r="CL38" s="539"/>
      <c r="CM38" s="540">
        <f t="shared" si="28"/>
        <v>0</v>
      </c>
      <c r="CN38" s="541">
        <f t="shared" si="140"/>
        <v>0</v>
      </c>
      <c r="CO38" s="539"/>
      <c r="CP38" s="540">
        <f t="shared" si="29"/>
        <v>0</v>
      </c>
      <c r="CQ38" s="541">
        <f t="shared" si="141"/>
        <v>0</v>
      </c>
      <c r="CR38" s="539"/>
      <c r="CS38" s="540">
        <f t="shared" si="30"/>
        <v>0</v>
      </c>
      <c r="CT38" s="541">
        <f t="shared" si="142"/>
        <v>0</v>
      </c>
      <c r="CU38" s="539"/>
      <c r="CV38" s="540">
        <f t="shared" si="31"/>
        <v>0</v>
      </c>
      <c r="CW38" s="541">
        <f t="shared" si="143"/>
        <v>0</v>
      </c>
      <c r="CX38" s="539"/>
      <c r="CY38" s="540">
        <f t="shared" si="32"/>
        <v>0</v>
      </c>
      <c r="CZ38" s="541">
        <f t="shared" si="144"/>
        <v>0</v>
      </c>
      <c r="DA38" s="539"/>
      <c r="DB38" s="540">
        <f t="shared" si="33"/>
        <v>0</v>
      </c>
      <c r="DC38" s="541">
        <f t="shared" si="145"/>
        <v>0</v>
      </c>
      <c r="DD38" s="539"/>
      <c r="DE38" s="540">
        <f t="shared" si="34"/>
        <v>0</v>
      </c>
      <c r="DF38" s="541">
        <f t="shared" si="146"/>
        <v>0</v>
      </c>
      <c r="DG38" s="539">
        <v>0</v>
      </c>
      <c r="DH38" s="540">
        <f t="shared" si="35"/>
        <v>0</v>
      </c>
      <c r="DI38" s="541">
        <f t="shared" si="203"/>
        <v>0</v>
      </c>
      <c r="DJ38" s="539"/>
      <c r="DK38" s="540">
        <f t="shared" si="36"/>
        <v>0</v>
      </c>
      <c r="DL38" s="541">
        <f t="shared" si="147"/>
        <v>0</v>
      </c>
      <c r="DM38" s="539"/>
      <c r="DN38" s="540">
        <f t="shared" si="37"/>
        <v>0</v>
      </c>
      <c r="DO38" s="541">
        <f t="shared" si="148"/>
        <v>0</v>
      </c>
      <c r="DP38" s="539"/>
      <c r="DQ38" s="540">
        <f t="shared" si="38"/>
        <v>0</v>
      </c>
      <c r="DR38" s="541">
        <f t="shared" si="149"/>
        <v>0</v>
      </c>
      <c r="DS38" s="539"/>
      <c r="DT38" s="540">
        <f t="shared" si="39"/>
        <v>0</v>
      </c>
      <c r="DU38" s="541">
        <f t="shared" si="150"/>
        <v>0</v>
      </c>
      <c r="DV38" s="539"/>
      <c r="DW38" s="540">
        <f t="shared" si="40"/>
        <v>0</v>
      </c>
      <c r="DX38" s="541">
        <f t="shared" si="151"/>
        <v>0</v>
      </c>
      <c r="DY38" s="539"/>
      <c r="DZ38" s="540">
        <f t="shared" si="41"/>
        <v>0</v>
      </c>
      <c r="EA38" s="541">
        <f t="shared" si="152"/>
        <v>0</v>
      </c>
      <c r="EB38" s="539">
        <v>14.534883720930111</v>
      </c>
      <c r="EC38" s="540">
        <f t="shared" si="42"/>
        <v>0.27558461417712848</v>
      </c>
      <c r="ED38" s="541">
        <f t="shared" si="153"/>
        <v>0</v>
      </c>
      <c r="EE38" s="539">
        <v>2</v>
      </c>
      <c r="EF38" s="540">
        <f t="shared" si="43"/>
        <v>3.7920442910773199E-2</v>
      </c>
      <c r="EG38" s="541">
        <f t="shared" si="154"/>
        <v>0</v>
      </c>
      <c r="EH38" s="539"/>
      <c r="EI38" s="540">
        <f t="shared" si="44"/>
        <v>0</v>
      </c>
      <c r="EJ38" s="541">
        <f t="shared" si="155"/>
        <v>0</v>
      </c>
      <c r="EK38" s="539"/>
      <c r="EL38" s="540">
        <f t="shared" si="45"/>
        <v>0</v>
      </c>
      <c r="EM38" s="541">
        <f t="shared" si="156"/>
        <v>0</v>
      </c>
      <c r="EN38" s="539"/>
      <c r="EO38" s="540">
        <f t="shared" si="46"/>
        <v>0</v>
      </c>
      <c r="EP38" s="541">
        <f t="shared" si="157"/>
        <v>0</v>
      </c>
      <c r="EQ38" s="539"/>
      <c r="ER38" s="540">
        <f t="shared" si="47"/>
        <v>0</v>
      </c>
      <c r="ES38" s="541">
        <f t="shared" si="158"/>
        <v>0</v>
      </c>
      <c r="ET38" s="539"/>
      <c r="EU38" s="540">
        <f t="shared" si="48"/>
        <v>0</v>
      </c>
      <c r="EV38" s="541">
        <f t="shared" si="159"/>
        <v>0</v>
      </c>
      <c r="EW38" s="539"/>
      <c r="EX38" s="540">
        <f t="shared" si="49"/>
        <v>0</v>
      </c>
      <c r="EY38" s="541">
        <f t="shared" si="160"/>
        <v>0</v>
      </c>
      <c r="EZ38" s="539"/>
      <c r="FA38" s="540">
        <f t="shared" si="50"/>
        <v>0</v>
      </c>
      <c r="FB38" s="541">
        <f t="shared" si="161"/>
        <v>0</v>
      </c>
      <c r="FC38" s="539"/>
      <c r="FD38" s="540">
        <f t="shared" si="51"/>
        <v>0</v>
      </c>
      <c r="FE38" s="541">
        <f t="shared" si="162"/>
        <v>0</v>
      </c>
      <c r="FF38" s="539"/>
      <c r="FG38" s="540">
        <f t="shared" si="52"/>
        <v>0</v>
      </c>
      <c r="FH38" s="541">
        <f t="shared" si="163"/>
        <v>0</v>
      </c>
      <c r="FI38" s="539"/>
      <c r="FJ38" s="540">
        <f t="shared" si="53"/>
        <v>0</v>
      </c>
      <c r="FK38" s="541">
        <f t="shared" si="164"/>
        <v>0</v>
      </c>
      <c r="FL38" s="539"/>
      <c r="FM38" s="540">
        <f t="shared" si="54"/>
        <v>0</v>
      </c>
      <c r="FN38" s="541">
        <f t="shared" si="165"/>
        <v>0</v>
      </c>
      <c r="FO38" s="539"/>
      <c r="FP38" s="540">
        <f t="shared" si="55"/>
        <v>0</v>
      </c>
      <c r="FQ38" s="541">
        <f t="shared" si="166"/>
        <v>0</v>
      </c>
      <c r="FR38" s="539"/>
      <c r="FS38" s="540">
        <f t="shared" si="56"/>
        <v>0</v>
      </c>
      <c r="FT38" s="541">
        <f t="shared" si="167"/>
        <v>0</v>
      </c>
      <c r="FU38" s="539"/>
      <c r="FV38" s="540">
        <f t="shared" si="57"/>
        <v>0</v>
      </c>
      <c r="FW38" s="541">
        <f t="shared" si="168"/>
        <v>0</v>
      </c>
      <c r="FX38" s="539"/>
      <c r="FY38" s="540">
        <f t="shared" si="58"/>
        <v>0</v>
      </c>
      <c r="FZ38" s="541">
        <f t="shared" si="169"/>
        <v>0</v>
      </c>
      <c r="GA38" s="539"/>
      <c r="GB38" s="540">
        <f t="shared" si="59"/>
        <v>0</v>
      </c>
      <c r="GC38" s="541">
        <f t="shared" si="170"/>
        <v>0</v>
      </c>
      <c r="GD38" s="539"/>
      <c r="GE38" s="540">
        <f t="shared" si="60"/>
        <v>0</v>
      </c>
      <c r="GF38" s="541">
        <f t="shared" si="171"/>
        <v>0</v>
      </c>
      <c r="GG38" s="539"/>
      <c r="GH38" s="540">
        <f t="shared" si="61"/>
        <v>0</v>
      </c>
      <c r="GI38" s="541">
        <f t="shared" si="172"/>
        <v>0</v>
      </c>
      <c r="GJ38" s="539"/>
      <c r="GK38" s="540">
        <f t="shared" si="62"/>
        <v>0</v>
      </c>
      <c r="GL38" s="541">
        <f t="shared" si="173"/>
        <v>0</v>
      </c>
      <c r="GM38" s="539"/>
      <c r="GN38" s="540">
        <f t="shared" si="63"/>
        <v>0</v>
      </c>
      <c r="GO38" s="541">
        <f t="shared" si="174"/>
        <v>0</v>
      </c>
      <c r="GP38" s="539"/>
      <c r="GQ38" s="540">
        <f t="shared" si="64"/>
        <v>0</v>
      </c>
      <c r="GR38" s="541">
        <f t="shared" si="175"/>
        <v>0</v>
      </c>
      <c r="GS38" s="539"/>
      <c r="GT38" s="540">
        <f t="shared" si="65"/>
        <v>0</v>
      </c>
      <c r="GU38" s="541">
        <f t="shared" si="176"/>
        <v>0</v>
      </c>
      <c r="GV38" s="539"/>
      <c r="GW38" s="540">
        <f t="shared" si="66"/>
        <v>0</v>
      </c>
      <c r="GX38" s="541">
        <f t="shared" si="177"/>
        <v>0</v>
      </c>
      <c r="GY38" s="539"/>
      <c r="GZ38" s="540">
        <f t="shared" si="67"/>
        <v>0</v>
      </c>
      <c r="HA38" s="541">
        <f t="shared" si="178"/>
        <v>0</v>
      </c>
      <c r="HB38" s="539"/>
      <c r="HC38" s="540">
        <f t="shared" si="68"/>
        <v>0</v>
      </c>
      <c r="HD38" s="541">
        <f t="shared" si="179"/>
        <v>0</v>
      </c>
      <c r="HE38" s="539"/>
      <c r="HF38" s="540">
        <f t="shared" si="69"/>
        <v>0</v>
      </c>
      <c r="HG38" s="541">
        <f t="shared" si="180"/>
        <v>0</v>
      </c>
      <c r="HH38" s="539"/>
      <c r="HI38" s="540">
        <f t="shared" si="70"/>
        <v>0</v>
      </c>
      <c r="HJ38" s="541">
        <f t="shared" si="181"/>
        <v>0</v>
      </c>
      <c r="HK38" s="539"/>
      <c r="HL38" s="540">
        <f t="shared" si="71"/>
        <v>0</v>
      </c>
      <c r="HM38" s="541">
        <f t="shared" si="182"/>
        <v>0</v>
      </c>
      <c r="HN38" s="539"/>
      <c r="HO38" s="540">
        <f t="shared" si="72"/>
        <v>0</v>
      </c>
      <c r="HP38" s="541">
        <f t="shared" si="183"/>
        <v>0</v>
      </c>
      <c r="HQ38" s="539"/>
      <c r="HR38" s="540">
        <f t="shared" si="73"/>
        <v>0</v>
      </c>
      <c r="HS38" s="541">
        <f t="shared" si="184"/>
        <v>0</v>
      </c>
      <c r="HT38" s="539"/>
      <c r="HU38" s="540">
        <f t="shared" si="74"/>
        <v>0</v>
      </c>
      <c r="HV38" s="541">
        <f t="shared" si="185"/>
        <v>0</v>
      </c>
      <c r="HW38" s="539"/>
      <c r="HX38" s="540">
        <f t="shared" si="75"/>
        <v>0</v>
      </c>
      <c r="HY38" s="541">
        <f t="shared" si="186"/>
        <v>0</v>
      </c>
      <c r="HZ38" s="539"/>
      <c r="IA38" s="540">
        <f t="shared" si="76"/>
        <v>0</v>
      </c>
      <c r="IB38" s="541">
        <f t="shared" si="187"/>
        <v>0</v>
      </c>
      <c r="IC38" s="539"/>
      <c r="ID38" s="540">
        <f t="shared" si="77"/>
        <v>0</v>
      </c>
      <c r="IE38" s="541">
        <f t="shared" si="188"/>
        <v>0</v>
      </c>
      <c r="IF38" s="539"/>
      <c r="IG38" s="540">
        <f t="shared" si="78"/>
        <v>0</v>
      </c>
      <c r="IH38" s="541">
        <f t="shared" si="189"/>
        <v>0</v>
      </c>
      <c r="II38" s="539"/>
      <c r="IJ38" s="540">
        <f t="shared" si="79"/>
        <v>0</v>
      </c>
      <c r="IK38" s="541">
        <f t="shared" si="190"/>
        <v>0</v>
      </c>
      <c r="IL38" s="539"/>
      <c r="IM38" s="540">
        <f t="shared" si="80"/>
        <v>0</v>
      </c>
      <c r="IN38" s="541">
        <f t="shared" si="191"/>
        <v>0</v>
      </c>
      <c r="IO38" s="539"/>
      <c r="IP38" s="540">
        <f t="shared" si="81"/>
        <v>0</v>
      </c>
      <c r="IQ38" s="541">
        <f t="shared" si="192"/>
        <v>0</v>
      </c>
      <c r="IR38" s="539"/>
      <c r="IS38" s="540">
        <f t="shared" si="82"/>
        <v>0</v>
      </c>
      <c r="IT38" s="541">
        <f t="shared" si="193"/>
        <v>0</v>
      </c>
      <c r="IU38" s="539"/>
      <c r="IV38" s="540">
        <f t="shared" si="83"/>
        <v>0</v>
      </c>
      <c r="IW38" s="541">
        <f t="shared" si="194"/>
        <v>0</v>
      </c>
      <c r="IX38" s="539"/>
      <c r="IY38" s="540">
        <f t="shared" si="84"/>
        <v>0</v>
      </c>
      <c r="IZ38" s="541">
        <f t="shared" si="195"/>
        <v>0</v>
      </c>
      <c r="JA38" s="539"/>
      <c r="JB38" s="540">
        <f t="shared" si="85"/>
        <v>0</v>
      </c>
      <c r="JC38" s="541">
        <f t="shared" si="196"/>
        <v>0</v>
      </c>
      <c r="JD38" s="539"/>
      <c r="JE38" s="540">
        <f t="shared" si="86"/>
        <v>0</v>
      </c>
      <c r="JF38" s="541">
        <f t="shared" si="197"/>
        <v>0</v>
      </c>
      <c r="JG38" s="539"/>
      <c r="JH38" s="540">
        <f t="shared" si="87"/>
        <v>0</v>
      </c>
      <c r="JI38" s="541">
        <f t="shared" si="198"/>
        <v>0</v>
      </c>
      <c r="JJ38" s="539"/>
      <c r="JK38" s="541" t="str">
        <f t="shared" si="88"/>
        <v>0</v>
      </c>
      <c r="JL38" s="541" t="str">
        <f t="shared" si="89"/>
        <v>0</v>
      </c>
      <c r="JM38" s="539"/>
      <c r="JN38" s="541" t="str">
        <f t="shared" si="90"/>
        <v>0</v>
      </c>
      <c r="JO38" s="541" t="str">
        <f t="shared" si="91"/>
        <v>0</v>
      </c>
      <c r="JP38" s="539"/>
      <c r="JQ38" s="541" t="str">
        <f t="shared" si="92"/>
        <v>0</v>
      </c>
      <c r="JR38" s="541" t="str">
        <f t="shared" si="93"/>
        <v>0</v>
      </c>
      <c r="JS38" s="539"/>
      <c r="JT38" s="541" t="str">
        <f t="shared" si="94"/>
        <v>0</v>
      </c>
      <c r="JU38" s="541" t="str">
        <f t="shared" si="95"/>
        <v>0</v>
      </c>
      <c r="JV38" s="539"/>
      <c r="JW38" s="541" t="str">
        <f t="shared" si="96"/>
        <v>0</v>
      </c>
      <c r="JX38" s="541" t="str">
        <f t="shared" si="97"/>
        <v>0</v>
      </c>
      <c r="JY38" s="539"/>
      <c r="JZ38" s="541" t="str">
        <f t="shared" si="98"/>
        <v>0</v>
      </c>
      <c r="KA38" s="541" t="str">
        <f t="shared" si="99"/>
        <v>0</v>
      </c>
      <c r="KB38" s="539"/>
      <c r="KC38" s="541" t="str">
        <f t="shared" si="100"/>
        <v>0</v>
      </c>
      <c r="KD38" s="541" t="str">
        <f t="shared" si="101"/>
        <v>0</v>
      </c>
      <c r="KE38" s="539"/>
      <c r="KF38" s="541" t="str">
        <f t="shared" si="102"/>
        <v>0</v>
      </c>
      <c r="KG38" s="541" t="str">
        <f t="shared" si="103"/>
        <v>0</v>
      </c>
      <c r="KH38" s="539"/>
      <c r="KI38" s="541" t="str">
        <f t="shared" si="104"/>
        <v>0</v>
      </c>
      <c r="KJ38" s="541" t="str">
        <f t="shared" si="105"/>
        <v>0</v>
      </c>
      <c r="KK38" s="539"/>
      <c r="KL38" s="541" t="str">
        <f t="shared" si="106"/>
        <v>0</v>
      </c>
      <c r="KM38" s="541" t="str">
        <f t="shared" si="107"/>
        <v>0</v>
      </c>
      <c r="KN38" s="539"/>
      <c r="KO38" s="541" t="str">
        <f t="shared" si="108"/>
        <v>0</v>
      </c>
      <c r="KP38" s="541" t="str">
        <f t="shared" si="109"/>
        <v>0</v>
      </c>
      <c r="KQ38" s="539"/>
      <c r="KR38" s="541" t="str">
        <f t="shared" si="110"/>
        <v>0</v>
      </c>
      <c r="KS38" s="541" t="str">
        <f t="shared" si="111"/>
        <v>0</v>
      </c>
      <c r="KT38" s="541">
        <f t="shared" si="201"/>
        <v>0</v>
      </c>
      <c r="KU38" s="541">
        <f t="shared" si="202"/>
        <v>0</v>
      </c>
      <c r="KV38" s="275">
        <f t="shared" si="199"/>
        <v>523.99183920234623</v>
      </c>
    </row>
    <row r="39" spans="1:308" ht="15" customHeight="1">
      <c r="A39" s="277">
        <f t="shared" si="200"/>
        <v>45869</v>
      </c>
      <c r="B39" s="278" t="str">
        <f>+Report1!B39</f>
        <v>Facial</v>
      </c>
      <c r="C39" s="418" t="str">
        <f>+Report1!C39</f>
        <v>12/13,5</v>
      </c>
      <c r="D39" s="279">
        <f>+Report1!P39</f>
        <v>53.228999999999999</v>
      </c>
      <c r="E39" s="280">
        <f>+Report1!R39</f>
        <v>50.648000000000003</v>
      </c>
      <c r="F39" s="539"/>
      <c r="G39" s="540">
        <f t="shared" si="0"/>
        <v>0</v>
      </c>
      <c r="H39" s="541">
        <f t="shared" si="112"/>
        <v>0</v>
      </c>
      <c r="I39" s="539">
        <v>313.95348837209303</v>
      </c>
      <c r="J39" s="540">
        <f t="shared" si="1"/>
        <v>6.1987341725654126</v>
      </c>
      <c r="K39" s="541">
        <f t="shared" si="113"/>
        <v>0</v>
      </c>
      <c r="L39" s="539"/>
      <c r="M39" s="540">
        <f t="shared" si="2"/>
        <v>0</v>
      </c>
      <c r="N39" s="541">
        <f t="shared" si="114"/>
        <v>0</v>
      </c>
      <c r="O39" s="539">
        <v>9</v>
      </c>
      <c r="P39" s="540">
        <f t="shared" si="3"/>
        <v>0.17769704628020849</v>
      </c>
      <c r="Q39" s="541">
        <f t="shared" si="115"/>
        <v>0</v>
      </c>
      <c r="R39" s="539"/>
      <c r="S39" s="540">
        <f t="shared" si="4"/>
        <v>0</v>
      </c>
      <c r="T39" s="541">
        <f t="shared" si="116"/>
        <v>0</v>
      </c>
      <c r="U39" s="539">
        <v>7.6875</v>
      </c>
      <c r="V39" s="540">
        <f t="shared" si="5"/>
        <v>0.15178289369767808</v>
      </c>
      <c r="W39" s="541">
        <f t="shared" si="117"/>
        <v>0</v>
      </c>
      <c r="X39" s="539"/>
      <c r="Y39" s="540">
        <f t="shared" si="6"/>
        <v>0</v>
      </c>
      <c r="Z39" s="541">
        <f t="shared" si="118"/>
        <v>0</v>
      </c>
      <c r="AA39" s="539"/>
      <c r="AB39" s="540">
        <f t="shared" si="7"/>
        <v>0</v>
      </c>
      <c r="AC39" s="541">
        <f t="shared" si="119"/>
        <v>0</v>
      </c>
      <c r="AD39" s="539"/>
      <c r="AE39" s="540">
        <f t="shared" si="8"/>
        <v>0</v>
      </c>
      <c r="AF39" s="541">
        <f t="shared" si="120"/>
        <v>0</v>
      </c>
      <c r="AG39" s="539"/>
      <c r="AH39" s="540">
        <f t="shared" si="9"/>
        <v>0</v>
      </c>
      <c r="AI39" s="541">
        <f t="shared" si="121"/>
        <v>0</v>
      </c>
      <c r="AJ39" s="539">
        <v>0</v>
      </c>
      <c r="AK39" s="540">
        <f t="shared" si="10"/>
        <v>0</v>
      </c>
      <c r="AL39" s="541">
        <f t="shared" si="122"/>
        <v>0</v>
      </c>
      <c r="AM39" s="539"/>
      <c r="AN39" s="540">
        <f t="shared" si="11"/>
        <v>0</v>
      </c>
      <c r="AO39" s="541">
        <f t="shared" si="123"/>
        <v>0</v>
      </c>
      <c r="AP39" s="539">
        <v>45.569620253164544</v>
      </c>
      <c r="AQ39" s="540">
        <f t="shared" si="12"/>
        <v>0.89973187989978953</v>
      </c>
      <c r="AR39" s="541">
        <f t="shared" si="124"/>
        <v>0</v>
      </c>
      <c r="AS39" s="539"/>
      <c r="AT39" s="540">
        <f t="shared" si="13"/>
        <v>0</v>
      </c>
      <c r="AU39" s="541">
        <f t="shared" si="125"/>
        <v>0</v>
      </c>
      <c r="AV39" s="539">
        <v>0</v>
      </c>
      <c r="AW39" s="540">
        <f t="shared" si="14"/>
        <v>0</v>
      </c>
      <c r="AX39" s="541">
        <f t="shared" si="126"/>
        <v>0</v>
      </c>
      <c r="AY39" s="539">
        <v>65.333333333333343</v>
      </c>
      <c r="AZ39" s="540">
        <f t="shared" si="15"/>
        <v>1.2899489285526247</v>
      </c>
      <c r="BA39" s="541">
        <f t="shared" si="127"/>
        <v>0</v>
      </c>
      <c r="BB39" s="539">
        <v>0</v>
      </c>
      <c r="BC39" s="540">
        <f t="shared" si="16"/>
        <v>0</v>
      </c>
      <c r="BD39" s="541">
        <f t="shared" si="128"/>
        <v>0</v>
      </c>
      <c r="BE39" s="539"/>
      <c r="BF39" s="540">
        <f t="shared" si="17"/>
        <v>0</v>
      </c>
      <c r="BG39" s="541">
        <f t="shared" si="129"/>
        <v>0</v>
      </c>
      <c r="BH39" s="539"/>
      <c r="BI39" s="540">
        <f t="shared" si="18"/>
        <v>0</v>
      </c>
      <c r="BJ39" s="541">
        <f t="shared" si="130"/>
        <v>0</v>
      </c>
      <c r="BK39" s="539"/>
      <c r="BL39" s="540">
        <f t="shared" si="19"/>
        <v>0</v>
      </c>
      <c r="BM39" s="541">
        <f t="shared" si="131"/>
        <v>0</v>
      </c>
      <c r="BN39" s="539">
        <v>7.5925925925925881</v>
      </c>
      <c r="BO39" s="540">
        <f t="shared" si="20"/>
        <v>0.14990903081252147</v>
      </c>
      <c r="BP39" s="541">
        <f t="shared" si="132"/>
        <v>0</v>
      </c>
      <c r="BQ39" s="539">
        <v>0</v>
      </c>
      <c r="BR39" s="540">
        <f t="shared" si="21"/>
        <v>0</v>
      </c>
      <c r="BS39" s="541">
        <f t="shared" si="133"/>
        <v>0</v>
      </c>
      <c r="BT39" s="539"/>
      <c r="BU39" s="540">
        <f t="shared" si="22"/>
        <v>0</v>
      </c>
      <c r="BV39" s="541">
        <f t="shared" si="134"/>
        <v>0</v>
      </c>
      <c r="BW39" s="539">
        <v>0</v>
      </c>
      <c r="BX39" s="540">
        <f t="shared" si="23"/>
        <v>0</v>
      </c>
      <c r="BY39" s="541">
        <f t="shared" si="135"/>
        <v>0</v>
      </c>
      <c r="BZ39" s="539">
        <v>0</v>
      </c>
      <c r="CA39" s="540">
        <f t="shared" si="24"/>
        <v>0</v>
      </c>
      <c r="CB39" s="541">
        <f t="shared" si="136"/>
        <v>0</v>
      </c>
      <c r="CC39" s="539">
        <v>0</v>
      </c>
      <c r="CD39" s="540">
        <f t="shared" si="25"/>
        <v>0</v>
      </c>
      <c r="CE39" s="541">
        <f t="shared" si="137"/>
        <v>0</v>
      </c>
      <c r="CF39" s="539">
        <v>0.10000000000000009</v>
      </c>
      <c r="CG39" s="540">
        <f t="shared" si="26"/>
        <v>1.9744116253356515E-3</v>
      </c>
      <c r="CH39" s="541">
        <f t="shared" si="138"/>
        <v>0</v>
      </c>
      <c r="CI39" s="539">
        <v>0</v>
      </c>
      <c r="CJ39" s="540">
        <f t="shared" si="27"/>
        <v>0</v>
      </c>
      <c r="CK39" s="541">
        <f t="shared" si="139"/>
        <v>0</v>
      </c>
      <c r="CL39" s="539"/>
      <c r="CM39" s="540">
        <f t="shared" si="28"/>
        <v>0</v>
      </c>
      <c r="CN39" s="541">
        <f t="shared" si="140"/>
        <v>0</v>
      </c>
      <c r="CO39" s="539"/>
      <c r="CP39" s="540">
        <f t="shared" si="29"/>
        <v>0</v>
      </c>
      <c r="CQ39" s="541">
        <f t="shared" si="141"/>
        <v>0</v>
      </c>
      <c r="CR39" s="539"/>
      <c r="CS39" s="540">
        <f t="shared" si="30"/>
        <v>0</v>
      </c>
      <c r="CT39" s="541">
        <f t="shared" si="142"/>
        <v>0</v>
      </c>
      <c r="CU39" s="539"/>
      <c r="CV39" s="540">
        <f t="shared" si="31"/>
        <v>0</v>
      </c>
      <c r="CW39" s="541">
        <f t="shared" si="143"/>
        <v>0</v>
      </c>
      <c r="CX39" s="539"/>
      <c r="CY39" s="540">
        <f t="shared" si="32"/>
        <v>0</v>
      </c>
      <c r="CZ39" s="541">
        <f t="shared" si="144"/>
        <v>0</v>
      </c>
      <c r="DA39" s="539"/>
      <c r="DB39" s="540">
        <f t="shared" si="33"/>
        <v>0</v>
      </c>
      <c r="DC39" s="541">
        <f t="shared" si="145"/>
        <v>0</v>
      </c>
      <c r="DD39" s="539"/>
      <c r="DE39" s="540">
        <f t="shared" si="34"/>
        <v>0</v>
      </c>
      <c r="DF39" s="541">
        <f t="shared" si="146"/>
        <v>0</v>
      </c>
      <c r="DG39" s="539">
        <v>0</v>
      </c>
      <c r="DH39" s="540">
        <f t="shared" si="35"/>
        <v>0</v>
      </c>
      <c r="DI39" s="541">
        <f t="shared" si="203"/>
        <v>0</v>
      </c>
      <c r="DJ39" s="539"/>
      <c r="DK39" s="540">
        <f t="shared" si="36"/>
        <v>0</v>
      </c>
      <c r="DL39" s="541">
        <f t="shared" si="147"/>
        <v>0</v>
      </c>
      <c r="DM39" s="539"/>
      <c r="DN39" s="540">
        <f t="shared" si="37"/>
        <v>0</v>
      </c>
      <c r="DO39" s="541">
        <f t="shared" si="148"/>
        <v>0</v>
      </c>
      <c r="DP39" s="539"/>
      <c r="DQ39" s="540">
        <f t="shared" si="38"/>
        <v>0</v>
      </c>
      <c r="DR39" s="541">
        <f t="shared" si="149"/>
        <v>0</v>
      </c>
      <c r="DS39" s="539"/>
      <c r="DT39" s="540">
        <f t="shared" si="39"/>
        <v>0</v>
      </c>
      <c r="DU39" s="541">
        <f t="shared" si="150"/>
        <v>0</v>
      </c>
      <c r="DV39" s="539"/>
      <c r="DW39" s="540">
        <f t="shared" si="40"/>
        <v>0</v>
      </c>
      <c r="DX39" s="541">
        <f t="shared" si="151"/>
        <v>0</v>
      </c>
      <c r="DY39" s="539"/>
      <c r="DZ39" s="540">
        <f t="shared" si="41"/>
        <v>0</v>
      </c>
      <c r="EA39" s="541">
        <f t="shared" si="152"/>
        <v>0</v>
      </c>
      <c r="EB39" s="539">
        <v>14.534883720930225</v>
      </c>
      <c r="EC39" s="540">
        <f t="shared" si="42"/>
        <v>0.28697843391506522</v>
      </c>
      <c r="ED39" s="541">
        <f t="shared" si="153"/>
        <v>0</v>
      </c>
      <c r="EE39" s="539">
        <v>2</v>
      </c>
      <c r="EF39" s="540">
        <f t="shared" si="43"/>
        <v>3.9488232506712996E-2</v>
      </c>
      <c r="EG39" s="541">
        <f t="shared" si="154"/>
        <v>0</v>
      </c>
      <c r="EH39" s="539"/>
      <c r="EI39" s="540">
        <f t="shared" si="44"/>
        <v>0</v>
      </c>
      <c r="EJ39" s="541">
        <f t="shared" si="155"/>
        <v>0</v>
      </c>
      <c r="EK39" s="539"/>
      <c r="EL39" s="540">
        <f t="shared" si="45"/>
        <v>0</v>
      </c>
      <c r="EM39" s="541">
        <f t="shared" si="156"/>
        <v>0</v>
      </c>
      <c r="EN39" s="539"/>
      <c r="EO39" s="540">
        <f t="shared" si="46"/>
        <v>0</v>
      </c>
      <c r="EP39" s="541">
        <f t="shared" si="157"/>
        <v>0</v>
      </c>
      <c r="EQ39" s="539"/>
      <c r="ER39" s="540">
        <f t="shared" si="47"/>
        <v>0</v>
      </c>
      <c r="ES39" s="541">
        <f t="shared" si="158"/>
        <v>0</v>
      </c>
      <c r="ET39" s="539"/>
      <c r="EU39" s="540">
        <f t="shared" si="48"/>
        <v>0</v>
      </c>
      <c r="EV39" s="541">
        <f t="shared" si="159"/>
        <v>0</v>
      </c>
      <c r="EW39" s="539"/>
      <c r="EX39" s="540">
        <f t="shared" si="49"/>
        <v>0</v>
      </c>
      <c r="EY39" s="541">
        <f t="shared" si="160"/>
        <v>0</v>
      </c>
      <c r="EZ39" s="539"/>
      <c r="FA39" s="540">
        <f t="shared" si="50"/>
        <v>0</v>
      </c>
      <c r="FB39" s="541">
        <f t="shared" si="161"/>
        <v>0</v>
      </c>
      <c r="FC39" s="539"/>
      <c r="FD39" s="540">
        <f t="shared" si="51"/>
        <v>0</v>
      </c>
      <c r="FE39" s="541">
        <f t="shared" si="162"/>
        <v>0</v>
      </c>
      <c r="FF39" s="539"/>
      <c r="FG39" s="540">
        <f t="shared" si="52"/>
        <v>0</v>
      </c>
      <c r="FH39" s="541">
        <f t="shared" si="163"/>
        <v>0</v>
      </c>
      <c r="FI39" s="539"/>
      <c r="FJ39" s="540">
        <f t="shared" si="53"/>
        <v>0</v>
      </c>
      <c r="FK39" s="541">
        <f t="shared" si="164"/>
        <v>0</v>
      </c>
      <c r="FL39" s="539"/>
      <c r="FM39" s="540">
        <f t="shared" si="54"/>
        <v>0</v>
      </c>
      <c r="FN39" s="541">
        <f t="shared" si="165"/>
        <v>0</v>
      </c>
      <c r="FO39" s="539"/>
      <c r="FP39" s="540">
        <f t="shared" si="55"/>
        <v>0</v>
      </c>
      <c r="FQ39" s="541">
        <f t="shared" si="166"/>
        <v>0</v>
      </c>
      <c r="FR39" s="539"/>
      <c r="FS39" s="540">
        <f t="shared" si="56"/>
        <v>0</v>
      </c>
      <c r="FT39" s="541">
        <f t="shared" si="167"/>
        <v>0</v>
      </c>
      <c r="FU39" s="539"/>
      <c r="FV39" s="540">
        <f t="shared" si="57"/>
        <v>0</v>
      </c>
      <c r="FW39" s="541">
        <f t="shared" si="168"/>
        <v>0</v>
      </c>
      <c r="FX39" s="539"/>
      <c r="FY39" s="540">
        <f t="shared" si="58"/>
        <v>0</v>
      </c>
      <c r="FZ39" s="541">
        <f t="shared" si="169"/>
        <v>0</v>
      </c>
      <c r="GA39" s="539"/>
      <c r="GB39" s="540">
        <f t="shared" si="59"/>
        <v>0</v>
      </c>
      <c r="GC39" s="541">
        <f t="shared" si="170"/>
        <v>0</v>
      </c>
      <c r="GD39" s="539"/>
      <c r="GE39" s="540">
        <f t="shared" si="60"/>
        <v>0</v>
      </c>
      <c r="GF39" s="541">
        <f t="shared" si="171"/>
        <v>0</v>
      </c>
      <c r="GG39" s="539"/>
      <c r="GH39" s="540">
        <f t="shared" si="61"/>
        <v>0</v>
      </c>
      <c r="GI39" s="541">
        <f t="shared" si="172"/>
        <v>0</v>
      </c>
      <c r="GJ39" s="539"/>
      <c r="GK39" s="540">
        <f t="shared" si="62"/>
        <v>0</v>
      </c>
      <c r="GL39" s="541">
        <f t="shared" si="173"/>
        <v>0</v>
      </c>
      <c r="GM39" s="539"/>
      <c r="GN39" s="540">
        <f t="shared" si="63"/>
        <v>0</v>
      </c>
      <c r="GO39" s="541">
        <f t="shared" si="174"/>
        <v>0</v>
      </c>
      <c r="GP39" s="539"/>
      <c r="GQ39" s="540">
        <f t="shared" si="64"/>
        <v>0</v>
      </c>
      <c r="GR39" s="541">
        <f t="shared" si="175"/>
        <v>0</v>
      </c>
      <c r="GS39" s="539"/>
      <c r="GT39" s="540">
        <f t="shared" si="65"/>
        <v>0</v>
      </c>
      <c r="GU39" s="541">
        <f t="shared" si="176"/>
        <v>0</v>
      </c>
      <c r="GV39" s="539"/>
      <c r="GW39" s="540">
        <f t="shared" si="66"/>
        <v>0</v>
      </c>
      <c r="GX39" s="541">
        <f t="shared" si="177"/>
        <v>0</v>
      </c>
      <c r="GY39" s="539"/>
      <c r="GZ39" s="540">
        <f t="shared" si="67"/>
        <v>0</v>
      </c>
      <c r="HA39" s="541">
        <f t="shared" si="178"/>
        <v>0</v>
      </c>
      <c r="HB39" s="539"/>
      <c r="HC39" s="540">
        <f t="shared" si="68"/>
        <v>0</v>
      </c>
      <c r="HD39" s="541">
        <f t="shared" si="179"/>
        <v>0</v>
      </c>
      <c r="HE39" s="539"/>
      <c r="HF39" s="540">
        <f t="shared" si="69"/>
        <v>0</v>
      </c>
      <c r="HG39" s="541">
        <f t="shared" si="180"/>
        <v>0</v>
      </c>
      <c r="HH39" s="539"/>
      <c r="HI39" s="540">
        <f t="shared" si="70"/>
        <v>0</v>
      </c>
      <c r="HJ39" s="541">
        <f t="shared" si="181"/>
        <v>0</v>
      </c>
      <c r="HK39" s="539"/>
      <c r="HL39" s="540">
        <f t="shared" si="71"/>
        <v>0</v>
      </c>
      <c r="HM39" s="541">
        <f t="shared" si="182"/>
        <v>0</v>
      </c>
      <c r="HN39" s="539"/>
      <c r="HO39" s="540">
        <f t="shared" si="72"/>
        <v>0</v>
      </c>
      <c r="HP39" s="541">
        <f t="shared" si="183"/>
        <v>0</v>
      </c>
      <c r="HQ39" s="539"/>
      <c r="HR39" s="540">
        <f t="shared" si="73"/>
        <v>0</v>
      </c>
      <c r="HS39" s="541">
        <f t="shared" si="184"/>
        <v>0</v>
      </c>
      <c r="HT39" s="539"/>
      <c r="HU39" s="540">
        <f t="shared" si="74"/>
        <v>0</v>
      </c>
      <c r="HV39" s="541">
        <f t="shared" si="185"/>
        <v>0</v>
      </c>
      <c r="HW39" s="539"/>
      <c r="HX39" s="540">
        <f t="shared" si="75"/>
        <v>0</v>
      </c>
      <c r="HY39" s="541">
        <f t="shared" si="186"/>
        <v>0</v>
      </c>
      <c r="HZ39" s="539"/>
      <c r="IA39" s="540">
        <f t="shared" si="76"/>
        <v>0</v>
      </c>
      <c r="IB39" s="541">
        <f t="shared" si="187"/>
        <v>0</v>
      </c>
      <c r="IC39" s="539"/>
      <c r="ID39" s="540">
        <f t="shared" si="77"/>
        <v>0</v>
      </c>
      <c r="IE39" s="541">
        <f t="shared" si="188"/>
        <v>0</v>
      </c>
      <c r="IF39" s="539"/>
      <c r="IG39" s="540">
        <f t="shared" si="78"/>
        <v>0</v>
      </c>
      <c r="IH39" s="541">
        <f t="shared" si="189"/>
        <v>0</v>
      </c>
      <c r="II39" s="539"/>
      <c r="IJ39" s="540">
        <f t="shared" si="79"/>
        <v>0</v>
      </c>
      <c r="IK39" s="541">
        <f t="shared" si="190"/>
        <v>0</v>
      </c>
      <c r="IL39" s="539"/>
      <c r="IM39" s="540">
        <f t="shared" si="80"/>
        <v>0</v>
      </c>
      <c r="IN39" s="541">
        <f t="shared" si="191"/>
        <v>0</v>
      </c>
      <c r="IO39" s="539"/>
      <c r="IP39" s="540">
        <f t="shared" si="81"/>
        <v>0</v>
      </c>
      <c r="IQ39" s="541">
        <f t="shared" si="192"/>
        <v>0</v>
      </c>
      <c r="IR39" s="539"/>
      <c r="IS39" s="540">
        <f t="shared" si="82"/>
        <v>0</v>
      </c>
      <c r="IT39" s="541">
        <f t="shared" si="193"/>
        <v>0</v>
      </c>
      <c r="IU39" s="539"/>
      <c r="IV39" s="540">
        <f t="shared" si="83"/>
        <v>0</v>
      </c>
      <c r="IW39" s="541">
        <f t="shared" si="194"/>
        <v>0</v>
      </c>
      <c r="IX39" s="539"/>
      <c r="IY39" s="540">
        <f t="shared" si="84"/>
        <v>0</v>
      </c>
      <c r="IZ39" s="541">
        <f t="shared" si="195"/>
        <v>0</v>
      </c>
      <c r="JA39" s="539"/>
      <c r="JB39" s="540">
        <f t="shared" si="85"/>
        <v>0</v>
      </c>
      <c r="JC39" s="541">
        <f t="shared" si="196"/>
        <v>0</v>
      </c>
      <c r="JD39" s="539"/>
      <c r="JE39" s="540">
        <f t="shared" si="86"/>
        <v>0</v>
      </c>
      <c r="JF39" s="541">
        <f t="shared" si="197"/>
        <v>0</v>
      </c>
      <c r="JG39" s="539"/>
      <c r="JH39" s="540">
        <f t="shared" si="87"/>
        <v>0</v>
      </c>
      <c r="JI39" s="541">
        <f t="shared" si="198"/>
        <v>0</v>
      </c>
      <c r="JJ39" s="539"/>
      <c r="JK39" s="541" t="str">
        <f t="shared" si="88"/>
        <v>0</v>
      </c>
      <c r="JL39" s="541" t="str">
        <f t="shared" si="89"/>
        <v>0</v>
      </c>
      <c r="JM39" s="539"/>
      <c r="JN39" s="541" t="str">
        <f t="shared" si="90"/>
        <v>0</v>
      </c>
      <c r="JO39" s="541" t="str">
        <f t="shared" si="91"/>
        <v>0</v>
      </c>
      <c r="JP39" s="539"/>
      <c r="JQ39" s="541" t="str">
        <f t="shared" si="92"/>
        <v>0</v>
      </c>
      <c r="JR39" s="541" t="str">
        <f t="shared" si="93"/>
        <v>0</v>
      </c>
      <c r="JS39" s="539"/>
      <c r="JT39" s="541" t="str">
        <f t="shared" si="94"/>
        <v>0</v>
      </c>
      <c r="JU39" s="541" t="str">
        <f t="shared" si="95"/>
        <v>0</v>
      </c>
      <c r="JV39" s="539"/>
      <c r="JW39" s="541" t="str">
        <f t="shared" si="96"/>
        <v>0</v>
      </c>
      <c r="JX39" s="541" t="str">
        <f t="shared" si="97"/>
        <v>0</v>
      </c>
      <c r="JY39" s="539"/>
      <c r="JZ39" s="541" t="str">
        <f t="shared" si="98"/>
        <v>0</v>
      </c>
      <c r="KA39" s="541" t="str">
        <f t="shared" si="99"/>
        <v>0</v>
      </c>
      <c r="KB39" s="539"/>
      <c r="KC39" s="541" t="str">
        <f t="shared" si="100"/>
        <v>0</v>
      </c>
      <c r="KD39" s="541" t="str">
        <f t="shared" si="101"/>
        <v>0</v>
      </c>
      <c r="KE39" s="539"/>
      <c r="KF39" s="541" t="str">
        <f t="shared" si="102"/>
        <v>0</v>
      </c>
      <c r="KG39" s="541" t="str">
        <f t="shared" si="103"/>
        <v>0</v>
      </c>
      <c r="KH39" s="539"/>
      <c r="KI39" s="541" t="str">
        <f t="shared" si="104"/>
        <v>0</v>
      </c>
      <c r="KJ39" s="541" t="str">
        <f t="shared" si="105"/>
        <v>0</v>
      </c>
      <c r="KK39" s="539"/>
      <c r="KL39" s="541" t="str">
        <f t="shared" si="106"/>
        <v>0</v>
      </c>
      <c r="KM39" s="541" t="str">
        <f t="shared" si="107"/>
        <v>0</v>
      </c>
      <c r="KN39" s="539"/>
      <c r="KO39" s="541" t="str">
        <f t="shared" si="108"/>
        <v>0</v>
      </c>
      <c r="KP39" s="541" t="str">
        <f t="shared" si="109"/>
        <v>0</v>
      </c>
      <c r="KQ39" s="539"/>
      <c r="KR39" s="541" t="str">
        <f t="shared" si="110"/>
        <v>0</v>
      </c>
      <c r="KS39" s="541" t="str">
        <f t="shared" si="111"/>
        <v>0</v>
      </c>
      <c r="KT39" s="541">
        <f t="shared" si="201"/>
        <v>0</v>
      </c>
      <c r="KU39" s="541">
        <f t="shared" si="202"/>
        <v>0</v>
      </c>
      <c r="KV39" s="275">
        <f t="shared" si="199"/>
        <v>465.77141827211381</v>
      </c>
    </row>
    <row r="40" spans="1:308" ht="15" customHeight="1" thickBot="1">
      <c r="A40" s="282"/>
      <c r="B40" s="283"/>
      <c r="C40" s="284"/>
      <c r="D40" s="284"/>
      <c r="E40" s="280">
        <f>+Report1!R40</f>
        <v>0</v>
      </c>
      <c r="F40" s="539"/>
      <c r="G40" s="540"/>
      <c r="H40" s="541"/>
      <c r="I40" s="539"/>
      <c r="J40" s="540"/>
      <c r="K40" s="541"/>
      <c r="L40" s="539"/>
      <c r="M40" s="540"/>
      <c r="N40" s="541"/>
      <c r="O40" s="539"/>
      <c r="P40" s="540"/>
      <c r="Q40" s="541"/>
      <c r="R40" s="539"/>
      <c r="S40" s="540"/>
      <c r="T40" s="541"/>
      <c r="U40" s="539"/>
      <c r="V40" s="540"/>
      <c r="W40" s="541"/>
      <c r="X40" s="539"/>
      <c r="Y40" s="540"/>
      <c r="Z40" s="541"/>
      <c r="AA40" s="539"/>
      <c r="AB40" s="540"/>
      <c r="AC40" s="541"/>
      <c r="AD40" s="539"/>
      <c r="AE40" s="540"/>
      <c r="AF40" s="541"/>
      <c r="AG40" s="539"/>
      <c r="AH40" s="540"/>
      <c r="AI40" s="541"/>
      <c r="AJ40" s="539"/>
      <c r="AK40" s="540"/>
      <c r="AL40" s="541"/>
      <c r="AM40" s="539"/>
      <c r="AN40" s="540"/>
      <c r="AO40" s="541"/>
      <c r="AP40" s="539"/>
      <c r="AQ40" s="540"/>
      <c r="AR40" s="541"/>
      <c r="AS40" s="539"/>
      <c r="AT40" s="540"/>
      <c r="AU40" s="541"/>
      <c r="AV40" s="539"/>
      <c r="AW40" s="540"/>
      <c r="AX40" s="541"/>
      <c r="AY40" s="539"/>
      <c r="AZ40" s="540"/>
      <c r="BA40" s="541"/>
      <c r="BB40" s="539"/>
      <c r="BC40" s="540"/>
      <c r="BD40" s="541"/>
      <c r="BE40" s="539"/>
      <c r="BF40" s="540"/>
      <c r="BG40" s="541"/>
      <c r="BH40" s="539"/>
      <c r="BI40" s="540"/>
      <c r="BJ40" s="541"/>
      <c r="BK40" s="539"/>
      <c r="BL40" s="540"/>
      <c r="BM40" s="541"/>
      <c r="BN40" s="539"/>
      <c r="BO40" s="540"/>
      <c r="BP40" s="541"/>
      <c r="BQ40" s="539"/>
      <c r="BR40" s="540"/>
      <c r="BS40" s="541"/>
      <c r="BT40" s="539"/>
      <c r="BU40" s="540"/>
      <c r="BV40" s="541"/>
      <c r="BW40" s="539"/>
      <c r="BX40" s="540"/>
      <c r="BY40" s="541"/>
      <c r="BZ40" s="539"/>
      <c r="CA40" s="540"/>
      <c r="CB40" s="541"/>
      <c r="CC40" s="539"/>
      <c r="CD40" s="540"/>
      <c r="CE40" s="541"/>
      <c r="CF40" s="539"/>
      <c r="CG40" s="540"/>
      <c r="CH40" s="541"/>
      <c r="CI40" s="539"/>
      <c r="CJ40" s="540"/>
      <c r="CK40" s="541"/>
      <c r="CL40" s="539"/>
      <c r="CM40" s="540"/>
      <c r="CN40" s="541"/>
      <c r="CO40" s="539"/>
      <c r="CP40" s="540"/>
      <c r="CQ40" s="541"/>
      <c r="CR40" s="539"/>
      <c r="CS40" s="540"/>
      <c r="CT40" s="541"/>
      <c r="CU40" s="539"/>
      <c r="CV40" s="540"/>
      <c r="CW40" s="541"/>
      <c r="CX40" s="539"/>
      <c r="CY40" s="540"/>
      <c r="CZ40" s="541"/>
      <c r="DA40" s="539"/>
      <c r="DB40" s="540"/>
      <c r="DC40" s="541"/>
      <c r="DD40" s="539"/>
      <c r="DE40" s="540"/>
      <c r="DF40" s="541"/>
      <c r="DG40" s="539"/>
      <c r="DH40" s="540"/>
      <c r="DI40" s="541"/>
      <c r="DJ40" s="539"/>
      <c r="DK40" s="540"/>
      <c r="DL40" s="541"/>
      <c r="DM40" s="539"/>
      <c r="DN40" s="540"/>
      <c r="DO40" s="541"/>
      <c r="DP40" s="539"/>
      <c r="DQ40" s="540"/>
      <c r="DR40" s="541"/>
      <c r="DS40" s="539"/>
      <c r="DT40" s="540"/>
      <c r="DU40" s="541"/>
      <c r="DV40" s="539"/>
      <c r="DW40" s="540"/>
      <c r="DX40" s="541"/>
      <c r="DY40" s="539"/>
      <c r="DZ40" s="540"/>
      <c r="EA40" s="541"/>
      <c r="EB40" s="539"/>
      <c r="EC40" s="540"/>
      <c r="ED40" s="541"/>
      <c r="EE40" s="539"/>
      <c r="EF40" s="540"/>
      <c r="EG40" s="541"/>
      <c r="EH40" s="539"/>
      <c r="EI40" s="540"/>
      <c r="EJ40" s="541"/>
      <c r="EK40" s="539"/>
      <c r="EL40" s="540"/>
      <c r="EM40" s="541"/>
      <c r="EN40" s="539"/>
      <c r="EO40" s="540"/>
      <c r="EP40" s="541"/>
      <c r="EQ40" s="539"/>
      <c r="ER40" s="540"/>
      <c r="ES40" s="541"/>
      <c r="ET40" s="539"/>
      <c r="EU40" s="540"/>
      <c r="EV40" s="541"/>
      <c r="EW40" s="539"/>
      <c r="EX40" s="540"/>
      <c r="EY40" s="541"/>
      <c r="EZ40" s="539"/>
      <c r="FA40" s="540"/>
      <c r="FB40" s="541"/>
      <c r="FC40" s="539"/>
      <c r="FD40" s="540"/>
      <c r="FE40" s="541"/>
      <c r="FF40" s="539"/>
      <c r="FG40" s="540"/>
      <c r="FH40" s="541"/>
      <c r="FI40" s="539"/>
      <c r="FJ40" s="540"/>
      <c r="FK40" s="541"/>
      <c r="FL40" s="539"/>
      <c r="FM40" s="540"/>
      <c r="FN40" s="541"/>
      <c r="FO40" s="539"/>
      <c r="FP40" s="540"/>
      <c r="FQ40" s="541"/>
      <c r="FR40" s="539"/>
      <c r="FS40" s="540"/>
      <c r="FT40" s="541"/>
      <c r="FU40" s="539"/>
      <c r="FV40" s="540"/>
      <c r="FW40" s="541"/>
      <c r="FX40" s="539"/>
      <c r="FY40" s="540"/>
      <c r="FZ40" s="541"/>
      <c r="GA40" s="539"/>
      <c r="GB40" s="540"/>
      <c r="GC40" s="541"/>
      <c r="GD40" s="539"/>
      <c r="GE40" s="540"/>
      <c r="GF40" s="541"/>
      <c r="GG40" s="539"/>
      <c r="GH40" s="540"/>
      <c r="GI40" s="541"/>
      <c r="GJ40" s="539"/>
      <c r="GK40" s="540"/>
      <c r="GL40" s="541"/>
      <c r="GM40" s="539"/>
      <c r="GN40" s="540"/>
      <c r="GO40" s="541"/>
      <c r="GP40" s="539"/>
      <c r="GQ40" s="540"/>
      <c r="GR40" s="541"/>
      <c r="GS40" s="539"/>
      <c r="GT40" s="540"/>
      <c r="GU40" s="541"/>
      <c r="GV40" s="539"/>
      <c r="GW40" s="540"/>
      <c r="GX40" s="541"/>
      <c r="GY40" s="539"/>
      <c r="GZ40" s="540"/>
      <c r="HA40" s="541"/>
      <c r="HB40" s="539"/>
      <c r="HC40" s="540"/>
      <c r="HD40" s="541"/>
      <c r="HE40" s="539"/>
      <c r="HF40" s="540"/>
      <c r="HG40" s="541"/>
      <c r="HH40" s="539"/>
      <c r="HI40" s="540"/>
      <c r="HJ40" s="541"/>
      <c r="HK40" s="539"/>
      <c r="HL40" s="540"/>
      <c r="HM40" s="541"/>
      <c r="HN40" s="539"/>
      <c r="HO40" s="540"/>
      <c r="HP40" s="541"/>
      <c r="HQ40" s="539"/>
      <c r="HR40" s="540"/>
      <c r="HS40" s="541"/>
      <c r="HT40" s="539"/>
      <c r="HU40" s="540"/>
      <c r="HV40" s="541"/>
      <c r="HW40" s="539"/>
      <c r="HX40" s="540"/>
      <c r="HY40" s="541"/>
      <c r="HZ40" s="539"/>
      <c r="IA40" s="540"/>
      <c r="IB40" s="541"/>
      <c r="IC40" s="539"/>
      <c r="ID40" s="540"/>
      <c r="IE40" s="541"/>
      <c r="IF40" s="539"/>
      <c r="IG40" s="540"/>
      <c r="IH40" s="541"/>
      <c r="II40" s="539"/>
      <c r="IJ40" s="540"/>
      <c r="IK40" s="541"/>
      <c r="IL40" s="539"/>
      <c r="IM40" s="540"/>
      <c r="IN40" s="541"/>
      <c r="IO40" s="539"/>
      <c r="IP40" s="540"/>
      <c r="IQ40" s="541"/>
      <c r="IR40" s="539"/>
      <c r="IS40" s="540"/>
      <c r="IT40" s="541"/>
      <c r="IU40" s="539"/>
      <c r="IV40" s="540"/>
      <c r="IW40" s="541"/>
      <c r="IX40" s="539"/>
      <c r="IY40" s="540"/>
      <c r="IZ40" s="541"/>
      <c r="JA40" s="539"/>
      <c r="JB40" s="540"/>
      <c r="JC40" s="541"/>
      <c r="JD40" s="539"/>
      <c r="JE40" s="540"/>
      <c r="JF40" s="541"/>
      <c r="JG40" s="539"/>
      <c r="JH40" s="540"/>
      <c r="JI40" s="541"/>
      <c r="JJ40" s="539"/>
      <c r="JK40" s="541"/>
      <c r="JL40" s="541"/>
      <c r="JM40" s="539"/>
      <c r="JN40" s="541"/>
      <c r="JO40" s="541"/>
      <c r="JP40" s="539"/>
      <c r="JQ40" s="541"/>
      <c r="JR40" s="541"/>
      <c r="JS40" s="539"/>
      <c r="JT40" s="541"/>
      <c r="JU40" s="541"/>
      <c r="JV40" s="539"/>
      <c r="JW40" s="541"/>
      <c r="JX40" s="541"/>
      <c r="JY40" s="539"/>
      <c r="JZ40" s="541"/>
      <c r="KA40" s="541"/>
      <c r="KB40" s="539"/>
      <c r="KC40" s="541"/>
      <c r="KD40" s="541"/>
      <c r="KE40" s="539"/>
      <c r="KF40" s="541"/>
      <c r="KG40" s="541"/>
      <c r="KH40" s="539"/>
      <c r="KI40" s="541"/>
      <c r="KJ40" s="541"/>
      <c r="KK40" s="539"/>
      <c r="KL40" s="541"/>
      <c r="KM40" s="541"/>
      <c r="KN40" s="539"/>
      <c r="KO40" s="541"/>
      <c r="KP40" s="541"/>
      <c r="KQ40" s="539"/>
      <c r="KR40" s="541"/>
      <c r="KS40" s="541"/>
      <c r="KT40" s="541"/>
      <c r="KU40" s="541"/>
      <c r="KV40" s="275"/>
    </row>
    <row r="41" spans="1:308" s="281" customFormat="1" ht="15" customHeight="1" thickTop="1" thickBot="1">
      <c r="A41" s="976" t="s">
        <v>27</v>
      </c>
      <c r="B41" s="977"/>
      <c r="C41" s="978"/>
      <c r="D41" s="285">
        <f>SUM(D9:D40)</f>
        <v>1762.306</v>
      </c>
      <c r="E41" s="285">
        <f>SUM(E9:E40)</f>
        <v>1669.0300000000004</v>
      </c>
      <c r="F41" s="536">
        <f>SUM(F9:F39)</f>
        <v>0</v>
      </c>
      <c r="G41" s="536">
        <f>IFERROR((F41/$L$41),0)</f>
        <v>0</v>
      </c>
      <c r="H41" s="536">
        <f>IFERROR(((F41*H$8)/$L$41),0)</f>
        <v>0</v>
      </c>
      <c r="I41" s="536">
        <f>SUM(I9:I39)</f>
        <v>13732.558139534884</v>
      </c>
      <c r="J41" s="536">
        <f>IFERROR((I41/$L$41),0)</f>
        <v>0</v>
      </c>
      <c r="K41" s="536">
        <f>IFERROR(((I41*K$8)/$L$41),0)</f>
        <v>0</v>
      </c>
      <c r="L41" s="536">
        <f>SUM(L9:L39)</f>
        <v>0</v>
      </c>
      <c r="M41" s="536">
        <f>IFERROR((L41/$L$41),0)</f>
        <v>0</v>
      </c>
      <c r="N41" s="536">
        <f>IFERROR(((L41*N$8)/$L$41),0)</f>
        <v>0</v>
      </c>
      <c r="O41" s="536">
        <f>SUM(O9:O39)</f>
        <v>224.99999999999997</v>
      </c>
      <c r="P41" s="536">
        <f>IFERROR((O41/$L$41),0)</f>
        <v>0</v>
      </c>
      <c r="Q41" s="536">
        <f>IFERROR(((O41*Q$8)/$L$41),0)</f>
        <v>0</v>
      </c>
      <c r="R41" s="536">
        <f>SUM(R9:R39)</f>
        <v>0</v>
      </c>
      <c r="S41" s="536">
        <f>IFERROR((R41/$L$41),0)</f>
        <v>0</v>
      </c>
      <c r="T41" s="536">
        <f>IFERROR(((R41*T$8)/$L$41),0)</f>
        <v>0</v>
      </c>
      <c r="U41" s="536">
        <f>SUM(U9:U39)</f>
        <v>189.62499999999994</v>
      </c>
      <c r="V41" s="536">
        <f>IFERROR((U41/$L$41),0)</f>
        <v>0</v>
      </c>
      <c r="W41" s="536">
        <f>IFERROR(((U41*W$8)/$L$41),0)</f>
        <v>0</v>
      </c>
      <c r="X41" s="536">
        <f>SUM(X9:X39)</f>
        <v>0</v>
      </c>
      <c r="Y41" s="536">
        <f>IFERROR((X41/$L$41),0)</f>
        <v>0</v>
      </c>
      <c r="Z41" s="536">
        <f>IFERROR(((X41*Z$8)/$L$41),0)</f>
        <v>0</v>
      </c>
      <c r="AA41" s="536">
        <f>SUM(AA9:AA39)</f>
        <v>0</v>
      </c>
      <c r="AB41" s="536">
        <f>IFERROR((AA41/$L$41),0)</f>
        <v>0</v>
      </c>
      <c r="AC41" s="536">
        <f>IFERROR(((AA41*AC$8)/$L$41),0)</f>
        <v>0</v>
      </c>
      <c r="AD41" s="536">
        <f>SUM(AD9:AD39)</f>
        <v>0</v>
      </c>
      <c r="AE41" s="536">
        <f>IFERROR((AD41/$L$41),0)</f>
        <v>0</v>
      </c>
      <c r="AF41" s="536">
        <f>IFERROR(((AD41*AF$8)/$L$41),0)</f>
        <v>0</v>
      </c>
      <c r="AG41" s="536">
        <f>SUM(AG9:AG39)</f>
        <v>0</v>
      </c>
      <c r="AH41" s="536">
        <f>IFERROR((AG41/$L$41),0)</f>
        <v>0</v>
      </c>
      <c r="AI41" s="536">
        <f>IFERROR(((AG41*AI$8)/$L$41),0)</f>
        <v>0</v>
      </c>
      <c r="AJ41" s="536">
        <f>SUM(AJ9:AJ39)</f>
        <v>93.999199999999973</v>
      </c>
      <c r="AK41" s="536">
        <f>IFERROR((AJ41/$L$41),0)</f>
        <v>0</v>
      </c>
      <c r="AL41" s="536">
        <f>IFERROR(((AJ41*AL$8)/$L$41),0)</f>
        <v>0</v>
      </c>
      <c r="AM41" s="536">
        <f>SUM(AM9:AM39)</f>
        <v>0</v>
      </c>
      <c r="AN41" s="536">
        <f>IFERROR((AM41/$L$41),0)</f>
        <v>0</v>
      </c>
      <c r="AO41" s="536">
        <f>IFERROR(((AM41*AO$8)/$L$41),0)</f>
        <v>0</v>
      </c>
      <c r="AP41" s="536">
        <f>SUM(AP9:AP39)</f>
        <v>974.05063291139231</v>
      </c>
      <c r="AQ41" s="536">
        <f>IFERROR((AP41/$L$41),0)</f>
        <v>0</v>
      </c>
      <c r="AR41" s="536">
        <f>IFERROR(((AP41*AR$8)/$L$41),0)</f>
        <v>0</v>
      </c>
      <c r="AS41" s="536">
        <f>SUM(AS9:AS39)</f>
        <v>0</v>
      </c>
      <c r="AT41" s="536">
        <f>IFERROR((AS41/$L$41),0)</f>
        <v>0</v>
      </c>
      <c r="AU41" s="536">
        <f>IFERROR(((AS41*AU$8)/$L$41),0)</f>
        <v>0</v>
      </c>
      <c r="AV41" s="536">
        <f>SUM(AV9:AV39)</f>
        <v>166.65080000000003</v>
      </c>
      <c r="AW41" s="536">
        <f>IFERROR((AV41/$L$41),0)</f>
        <v>0</v>
      </c>
      <c r="AX41" s="536">
        <f>IFERROR(((AV41*AX$8)/$L$41),0)</f>
        <v>0</v>
      </c>
      <c r="AY41" s="536">
        <f>SUM(AY9:AY39)</f>
        <v>1319.6666666666667</v>
      </c>
      <c r="AZ41" s="536">
        <f>IFERROR((AY41/$L$41),0)</f>
        <v>0</v>
      </c>
      <c r="BA41" s="536">
        <f>IFERROR(((AY41*BA$8)/$L$41),0)</f>
        <v>0</v>
      </c>
      <c r="BB41" s="536">
        <f>SUM(BB9:BB39)</f>
        <v>681.33333333333326</v>
      </c>
      <c r="BC41" s="536">
        <f>IFERROR((BB41/$L$41),0)</f>
        <v>0</v>
      </c>
      <c r="BD41" s="536">
        <f>IFERROR(((BB41*BD$8)/$L$41),0)</f>
        <v>0</v>
      </c>
      <c r="BE41" s="536">
        <f>SUM(BE9:BE39)</f>
        <v>0</v>
      </c>
      <c r="BF41" s="536">
        <f>IFERROR((BE41/$L$41),0)</f>
        <v>0</v>
      </c>
      <c r="BG41" s="536">
        <f>IFERROR(((BE41*BG$8)/$L$41),0)</f>
        <v>0</v>
      </c>
      <c r="BH41" s="536">
        <f>SUM(BH9:BH39)</f>
        <v>0</v>
      </c>
      <c r="BI41" s="536">
        <f>IFERROR((BH41/$L$41),0)</f>
        <v>0</v>
      </c>
      <c r="BJ41" s="536">
        <f>IFERROR(((BH41*BJ$8)/$L$41),0)</f>
        <v>0</v>
      </c>
      <c r="BK41" s="536">
        <f>SUM(BK9:BK39)</f>
        <v>0</v>
      </c>
      <c r="BL41" s="536">
        <f>IFERROR((BK41/$L$41),0)</f>
        <v>0</v>
      </c>
      <c r="BM41" s="536">
        <f>IFERROR(((BK41*BM$8)/$L$41),0)</f>
        <v>0</v>
      </c>
      <c r="BN41" s="536">
        <f>SUM(BN9:BN39)</f>
        <v>232.83950617283952</v>
      </c>
      <c r="BO41" s="536">
        <f>IFERROR((BN41/$L$41),0)</f>
        <v>0</v>
      </c>
      <c r="BP41" s="536">
        <f>IFERROR(((BN41*BP$8)/$L$41),0)</f>
        <v>0</v>
      </c>
      <c r="BQ41" s="536">
        <f>SUM(BQ9:BQ39)</f>
        <v>251.28205128205133</v>
      </c>
      <c r="BR41" s="536">
        <f>IFERROR((BQ41/$L$41),0)</f>
        <v>0</v>
      </c>
      <c r="BS41" s="536">
        <f>IFERROR(((BQ41*BS$8)/$L$41),0)</f>
        <v>0</v>
      </c>
      <c r="BT41" s="536">
        <f>SUM(BT9:BT39)</f>
        <v>0</v>
      </c>
      <c r="BU41" s="536">
        <f>IFERROR((BT41/$L$41),0)</f>
        <v>0</v>
      </c>
      <c r="BV41" s="536">
        <f>IFERROR(((BT41*BV$8)/$L$41),0)</f>
        <v>0</v>
      </c>
      <c r="BW41" s="536">
        <f>SUM(BW9:BW39)</f>
        <v>6.1200000000000045</v>
      </c>
      <c r="BX41" s="536">
        <f>IFERROR((BW41/$L$41),0)</f>
        <v>0</v>
      </c>
      <c r="BY41" s="536">
        <f>IFERROR(((BW41*BY$8)/$L$41),0)</f>
        <v>0</v>
      </c>
      <c r="BZ41" s="536">
        <f>SUM(BZ9:BZ39)</f>
        <v>356.51162790697674</v>
      </c>
      <c r="CA41" s="536">
        <f>IFERROR((BZ41/$L$41),0)</f>
        <v>0</v>
      </c>
      <c r="CB41" s="536">
        <f>IFERROR(((BZ41*CB$8)/$L$41),0)</f>
        <v>0</v>
      </c>
      <c r="CC41" s="536">
        <f>SUM(CC9:CC39)</f>
        <v>75</v>
      </c>
      <c r="CD41" s="536">
        <f>IFERROR((CC41/$L$41),0)</f>
        <v>0</v>
      </c>
      <c r="CE41" s="536">
        <f>IFERROR(((CC41*CE$8)/$L$41),0)</f>
        <v>0</v>
      </c>
      <c r="CF41" s="536">
        <f>SUM(CF9:CF39)</f>
        <v>3.800000000000002</v>
      </c>
      <c r="CG41" s="536">
        <f>IFERROR((CF41/$L$41),0)</f>
        <v>0</v>
      </c>
      <c r="CH41" s="536">
        <f>IFERROR(((CF41*CH$8)/$L$41),0)</f>
        <v>0</v>
      </c>
      <c r="CI41" s="536">
        <f>SUM(CI9:CI39)</f>
        <v>35</v>
      </c>
      <c r="CJ41" s="536">
        <f>IFERROR((CI41/$L$41),0)</f>
        <v>0</v>
      </c>
      <c r="CK41" s="536">
        <f>IFERROR(((CI41*CK$8)/$L$41),0)</f>
        <v>0</v>
      </c>
      <c r="CL41" s="536">
        <f>SUM(CL9:CL39)</f>
        <v>0</v>
      </c>
      <c r="CM41" s="536">
        <f>IFERROR((CL41/$L$41),0)</f>
        <v>0</v>
      </c>
      <c r="CN41" s="536">
        <f>IFERROR(((CL41*CN$8)/$L$41),0)</f>
        <v>0</v>
      </c>
      <c r="CO41" s="536">
        <f>SUM(CO9:CO39)</f>
        <v>0</v>
      </c>
      <c r="CP41" s="536">
        <f>IFERROR((CO41/$L$41),0)</f>
        <v>0</v>
      </c>
      <c r="CQ41" s="536">
        <f>IFERROR(((CO41*CQ$8)/$L$41),0)</f>
        <v>0</v>
      </c>
      <c r="CR41" s="536">
        <f>SUM(CR9:CR39)</f>
        <v>0</v>
      </c>
      <c r="CS41" s="536">
        <f>IFERROR((CR41/$L$41),0)</f>
        <v>0</v>
      </c>
      <c r="CT41" s="536">
        <f>IFERROR(((CR41*CT$8)/$L$41),0)</f>
        <v>0</v>
      </c>
      <c r="CU41" s="536">
        <f>SUM(CU9:CU39)</f>
        <v>0</v>
      </c>
      <c r="CV41" s="536">
        <f>IFERROR((CU41/$L$41),0)</f>
        <v>0</v>
      </c>
      <c r="CW41" s="536">
        <f>IFERROR(((CU41*CW$8)/$L$41),0)</f>
        <v>0</v>
      </c>
      <c r="CX41" s="536">
        <f>SUM(CX9:CX39)</f>
        <v>0</v>
      </c>
      <c r="CY41" s="536">
        <f>IFERROR((CX41/$L$41),0)</f>
        <v>0</v>
      </c>
      <c r="CZ41" s="536">
        <f>IFERROR(((CX41*CZ$8)/$L$41),0)</f>
        <v>0</v>
      </c>
      <c r="DA41" s="536">
        <f>SUM(DA9:DA39)</f>
        <v>0</v>
      </c>
      <c r="DB41" s="536">
        <f>IFERROR((DA41/$L$41),0)</f>
        <v>0</v>
      </c>
      <c r="DC41" s="536">
        <f>IFERROR(((DA41*DC$8)/$L$41),0)</f>
        <v>0</v>
      </c>
      <c r="DD41" s="536">
        <f>SUM(DD9:DD39)</f>
        <v>0</v>
      </c>
      <c r="DE41" s="536">
        <f>IFERROR((DD41/$L$41),0)</f>
        <v>0</v>
      </c>
      <c r="DF41" s="536">
        <f>IFERROR(((DD41*DF$8)/$L$41),0)</f>
        <v>0</v>
      </c>
      <c r="DG41" s="536">
        <f>SUM(DG9:DG39)</f>
        <v>39.900000000000006</v>
      </c>
      <c r="DH41" s="536">
        <f>IFERROR((DG41/$L$41),0)</f>
        <v>0</v>
      </c>
      <c r="DI41" s="536">
        <f>IFERROR(((DG41*DI$8)/$L$41),0)</f>
        <v>0</v>
      </c>
      <c r="DJ41" s="536">
        <f>SUM(DJ9:DJ39)</f>
        <v>0</v>
      </c>
      <c r="DK41" s="536">
        <f>IFERROR((DJ41/$L$41),0)</f>
        <v>0</v>
      </c>
      <c r="DL41" s="536">
        <f>IFERROR(((DJ41*DL$8)/$L$41),0)</f>
        <v>0</v>
      </c>
      <c r="DM41" s="536">
        <f>SUM(DM9:DM39)</f>
        <v>0</v>
      </c>
      <c r="DN41" s="536">
        <f>IFERROR((DM41/$L$41),0)</f>
        <v>0</v>
      </c>
      <c r="DO41" s="536">
        <f>IFERROR(((DM41*DO$8)/$L$41),0)</f>
        <v>0</v>
      </c>
      <c r="DP41" s="536">
        <f>SUM(DP9:DP39)</f>
        <v>0</v>
      </c>
      <c r="DQ41" s="536">
        <f>IFERROR((DP41/$L$41),0)</f>
        <v>0</v>
      </c>
      <c r="DR41" s="536">
        <f>IFERROR(((DP41*DR$8)/$L$41),0)</f>
        <v>0</v>
      </c>
      <c r="DS41" s="536">
        <f>SUM(DS9:DS39)</f>
        <v>0</v>
      </c>
      <c r="DT41" s="536">
        <f>IFERROR((DS41/$L$41),0)</f>
        <v>0</v>
      </c>
      <c r="DU41" s="536">
        <f>IFERROR(((DS41*DU$8)/$L$41),0)</f>
        <v>0</v>
      </c>
      <c r="DV41" s="536">
        <f>SUM(DV9:DV39)</f>
        <v>0</v>
      </c>
      <c r="DW41" s="536">
        <f>IFERROR((DV41/$L$41),0)</f>
        <v>0</v>
      </c>
      <c r="DX41" s="536">
        <f>IFERROR(((DV41*DX$8)/$L$41),0)</f>
        <v>0</v>
      </c>
      <c r="DY41" s="536">
        <f>SUM(DY9:DY39)</f>
        <v>0</v>
      </c>
      <c r="DZ41" s="536">
        <f>IFERROR((DY41/$L$41),0)</f>
        <v>0</v>
      </c>
      <c r="EA41" s="536">
        <f>IFERROR(((DY41*EA$8)/$L$41),0)</f>
        <v>0</v>
      </c>
      <c r="EB41" s="536">
        <f>SUM(EB9:EB39)</f>
        <v>537.79069767441865</v>
      </c>
      <c r="EC41" s="536">
        <f>IFERROR((EB41/$L$41),0)</f>
        <v>0</v>
      </c>
      <c r="ED41" s="536">
        <f>IFERROR(((EB41*ED$8)/$L$41),0)</f>
        <v>0</v>
      </c>
      <c r="EE41" s="536">
        <f>SUM(EE9:EE39)</f>
        <v>66</v>
      </c>
      <c r="EF41" s="536">
        <f>IFERROR((EE41/$L$41),0)</f>
        <v>0</v>
      </c>
      <c r="EG41" s="536">
        <f>IFERROR(((EE41*EG$8)/$L$41),0)</f>
        <v>0</v>
      </c>
      <c r="EH41" s="536">
        <f>SUM(EH9:EH39)</f>
        <v>0</v>
      </c>
      <c r="EI41" s="536">
        <f>IFERROR((EH41/$L$41),0)</f>
        <v>0</v>
      </c>
      <c r="EJ41" s="536">
        <f>IFERROR(((EH41*EJ$8)/$L$41),0)</f>
        <v>0</v>
      </c>
      <c r="EK41" s="536">
        <f>SUM(EK9:EK39)</f>
        <v>0</v>
      </c>
      <c r="EL41" s="536">
        <f>IFERROR((EK41/$L$41),0)</f>
        <v>0</v>
      </c>
      <c r="EM41" s="536">
        <f>IFERROR(((EK41*EM$8)/$L$41),0)</f>
        <v>0</v>
      </c>
      <c r="EN41" s="536">
        <f>SUM(EN9:EN39)</f>
        <v>0</v>
      </c>
      <c r="EO41" s="536">
        <f>IFERROR((EN41/$L$41),0)</f>
        <v>0</v>
      </c>
      <c r="EP41" s="536">
        <f>IFERROR(((EN41*EP$8)/$L$41),0)</f>
        <v>0</v>
      </c>
      <c r="EQ41" s="536">
        <f>SUM(EQ9:EQ39)</f>
        <v>0</v>
      </c>
      <c r="ER41" s="536">
        <f>IFERROR((EQ41/$L$41),0)</f>
        <v>0</v>
      </c>
      <c r="ES41" s="536">
        <f>IFERROR(((EQ41*ES$8)/$L$41),0)</f>
        <v>0</v>
      </c>
      <c r="ET41" s="536">
        <f>SUM(ET9:ET39)</f>
        <v>0</v>
      </c>
      <c r="EU41" s="536">
        <f>IFERROR((ET41/$L$41),0)</f>
        <v>0</v>
      </c>
      <c r="EV41" s="536">
        <f>IFERROR(((ET41*EV$8)/$L$41),0)</f>
        <v>0</v>
      </c>
      <c r="EW41" s="536">
        <f>SUM(EW9:EW39)</f>
        <v>0</v>
      </c>
      <c r="EX41" s="536">
        <f>IFERROR((EW41/$L$41),0)</f>
        <v>0</v>
      </c>
      <c r="EY41" s="536">
        <f>IFERROR(((EW41*EY$8)/$L$41),0)</f>
        <v>0</v>
      </c>
      <c r="EZ41" s="536">
        <f>SUM(EZ9:EZ39)</f>
        <v>0</v>
      </c>
      <c r="FA41" s="536">
        <f>IFERROR((EZ41/$L$41),0)</f>
        <v>0</v>
      </c>
      <c r="FB41" s="536">
        <f>IFERROR(((EZ41*FB$8)/$L$41),0)</f>
        <v>0</v>
      </c>
      <c r="FC41" s="536">
        <f>SUM(FC9:FC39)</f>
        <v>0</v>
      </c>
      <c r="FD41" s="536">
        <f>IFERROR((FC41/$L$41),0)</f>
        <v>0</v>
      </c>
      <c r="FE41" s="536">
        <f>IFERROR(((FC41*FE$8)/$L$41),0)</f>
        <v>0</v>
      </c>
      <c r="FF41" s="536">
        <f>SUM(FF9:FF39)</f>
        <v>0</v>
      </c>
      <c r="FG41" s="536">
        <f>IFERROR((FF41/$L$41),0)</f>
        <v>0</v>
      </c>
      <c r="FH41" s="536">
        <f>IFERROR(((FF41*FH$8)/$L$41),0)</f>
        <v>0</v>
      </c>
      <c r="FI41" s="536">
        <f>SUM(FI9:FI39)</f>
        <v>0</v>
      </c>
      <c r="FJ41" s="536">
        <f>IFERROR((FI41/$L$41),0)</f>
        <v>0</v>
      </c>
      <c r="FK41" s="536">
        <f>IFERROR(((FI41*FK$8)/$L$41),0)</f>
        <v>0</v>
      </c>
      <c r="FL41" s="536">
        <f>SUM(FL9:FL39)</f>
        <v>0</v>
      </c>
      <c r="FM41" s="536">
        <f>IFERROR((FL41/$L$41),0)</f>
        <v>0</v>
      </c>
      <c r="FN41" s="536">
        <f>IFERROR(((FL41*FN$8)/$L$41),0)</f>
        <v>0</v>
      </c>
      <c r="FO41" s="536">
        <f>SUM(FO9:FO39)</f>
        <v>0</v>
      </c>
      <c r="FP41" s="536">
        <f>IFERROR((FO41/$L$41),0)</f>
        <v>0</v>
      </c>
      <c r="FQ41" s="536">
        <f>IFERROR(((FO41*FQ$8)/$L$41),0)</f>
        <v>0</v>
      </c>
      <c r="FR41" s="536">
        <f>SUM(FR9:FR39)</f>
        <v>0</v>
      </c>
      <c r="FS41" s="536">
        <f>IFERROR((FR41/$L$41),0)</f>
        <v>0</v>
      </c>
      <c r="FT41" s="536">
        <f>IFERROR(((FR41*FT$8)/$L$41),0)</f>
        <v>0</v>
      </c>
      <c r="FU41" s="536">
        <f>SUM(FU9:FU39)</f>
        <v>0</v>
      </c>
      <c r="FV41" s="536">
        <f>IFERROR((FU41/$L$41),0)</f>
        <v>0</v>
      </c>
      <c r="FW41" s="536">
        <f>IFERROR(((FU41*FW$8)/$L$41),0)</f>
        <v>0</v>
      </c>
      <c r="FX41" s="536">
        <f>SUM(FX9:FX39)</f>
        <v>0</v>
      </c>
      <c r="FY41" s="536">
        <f>IFERROR((FX41/$L$41),0)</f>
        <v>0</v>
      </c>
      <c r="FZ41" s="536">
        <f>IFERROR(((FX41*FZ$8)/$L$41),0)</f>
        <v>0</v>
      </c>
      <c r="GA41" s="536">
        <f>SUM(GA9:GA39)</f>
        <v>0</v>
      </c>
      <c r="GB41" s="536">
        <f>IFERROR((GA41/$L$41),0)</f>
        <v>0</v>
      </c>
      <c r="GC41" s="536">
        <f>IFERROR(((GA41*GC$8)/$L$41),0)</f>
        <v>0</v>
      </c>
      <c r="GD41" s="536">
        <f>SUM(GD9:GD39)</f>
        <v>0</v>
      </c>
      <c r="GE41" s="536">
        <f>IFERROR((GD41/$L$41),0)</f>
        <v>0</v>
      </c>
      <c r="GF41" s="536">
        <f>IFERROR(((GD41*GF$8)/$L$41),0)</f>
        <v>0</v>
      </c>
      <c r="GG41" s="536">
        <f>SUM(GG9:GG39)</f>
        <v>0</v>
      </c>
      <c r="GH41" s="536">
        <f>IFERROR((GG41/$L$41),0)</f>
        <v>0</v>
      </c>
      <c r="GI41" s="536">
        <f>IFERROR(((GG41*GI$8)/$L$41),0)</f>
        <v>0</v>
      </c>
      <c r="GJ41" s="536">
        <f>SUM(GJ9:GJ39)</f>
        <v>0</v>
      </c>
      <c r="GK41" s="536">
        <f>IFERROR((GJ41/$L$41),0)</f>
        <v>0</v>
      </c>
      <c r="GL41" s="536">
        <f>IFERROR(((GJ41*GL$8)/$L$41),0)</f>
        <v>0</v>
      </c>
      <c r="GM41" s="536">
        <f>SUM(GM9:GM39)</f>
        <v>0</v>
      </c>
      <c r="GN41" s="536">
        <f>IFERROR((GM41/$L$41),0)</f>
        <v>0</v>
      </c>
      <c r="GO41" s="536">
        <f>IFERROR(((GM41*GO$8)/$L$41),0)</f>
        <v>0</v>
      </c>
      <c r="GP41" s="536">
        <f>SUM(GP9:GP39)</f>
        <v>0</v>
      </c>
      <c r="GQ41" s="536">
        <f>IFERROR((GP41/$L$41),0)</f>
        <v>0</v>
      </c>
      <c r="GR41" s="536">
        <f>IFERROR(((GP41*GR$8)/$L$41),0)</f>
        <v>0</v>
      </c>
      <c r="GS41" s="536">
        <f>SUM(GS9:GS39)</f>
        <v>0</v>
      </c>
      <c r="GT41" s="536">
        <f>IFERROR((GS41/$L$41),0)</f>
        <v>0</v>
      </c>
      <c r="GU41" s="536">
        <f>IFERROR(((GS41*GU$8)/$L$41),0)</f>
        <v>0</v>
      </c>
      <c r="GV41" s="536">
        <f>SUM(GV9:GV39)</f>
        <v>0</v>
      </c>
      <c r="GW41" s="536">
        <f>IFERROR((GV41/$L$41),0)</f>
        <v>0</v>
      </c>
      <c r="GX41" s="536">
        <f>IFERROR(((GV41*GX$8)/$L$41),0)</f>
        <v>0</v>
      </c>
      <c r="GY41" s="536">
        <f>SUM(GY9:GY39)</f>
        <v>0</v>
      </c>
      <c r="GZ41" s="536">
        <f>IFERROR((GY41/$L$41),0)</f>
        <v>0</v>
      </c>
      <c r="HA41" s="536">
        <f>IFERROR(((GY41*HA$8)/$L$41),0)</f>
        <v>0</v>
      </c>
      <c r="HB41" s="536">
        <f>SUM(HB9:HB39)</f>
        <v>0</v>
      </c>
      <c r="HC41" s="536">
        <f>IFERROR((HB41/$L$41),0)</f>
        <v>0</v>
      </c>
      <c r="HD41" s="536">
        <f>IFERROR(((HB41*HD$8)/$L$41),0)</f>
        <v>0</v>
      </c>
      <c r="HE41" s="536">
        <f>SUM(HE9:HE39)</f>
        <v>0</v>
      </c>
      <c r="HF41" s="536">
        <f>IFERROR((HE41/$L$41),0)</f>
        <v>0</v>
      </c>
      <c r="HG41" s="536">
        <f>IFERROR(((HE41*HG$8)/$L$41),0)</f>
        <v>0</v>
      </c>
      <c r="HH41" s="536">
        <f>SUM(HH9:HH39)</f>
        <v>0</v>
      </c>
      <c r="HI41" s="536">
        <f>IFERROR((HH41/$L$41),0)</f>
        <v>0</v>
      </c>
      <c r="HJ41" s="536">
        <f>IFERROR(((HH41*HJ$8)/$L$41),0)</f>
        <v>0</v>
      </c>
      <c r="HK41" s="536">
        <f>SUM(HK9:HK39)</f>
        <v>0</v>
      </c>
      <c r="HL41" s="536">
        <f>IFERROR((HK41/$L$41),0)</f>
        <v>0</v>
      </c>
      <c r="HM41" s="536">
        <f>IFERROR(((HK41*HM$8)/$L$41),0)</f>
        <v>0</v>
      </c>
      <c r="HN41" s="536">
        <f>SUM(HN9:HN39)</f>
        <v>0</v>
      </c>
      <c r="HO41" s="536">
        <f>IFERROR((HN41/$L$41),0)</f>
        <v>0</v>
      </c>
      <c r="HP41" s="536">
        <f>IFERROR(((HN41*HP$8)/$L$41),0)</f>
        <v>0</v>
      </c>
      <c r="HQ41" s="536">
        <f>SUM(HQ9:HQ39)</f>
        <v>0</v>
      </c>
      <c r="HR41" s="536">
        <f>IFERROR((HQ41/$L$41),0)</f>
        <v>0</v>
      </c>
      <c r="HS41" s="536">
        <f>IFERROR(((HQ41*HS$8)/$L$41),0)</f>
        <v>0</v>
      </c>
      <c r="HT41" s="536">
        <f>SUM(HT9:HT39)</f>
        <v>0</v>
      </c>
      <c r="HU41" s="536">
        <f>IFERROR((HT41/$L$41),0)</f>
        <v>0</v>
      </c>
      <c r="HV41" s="536">
        <f>IFERROR(((HT41*HV$8)/$L$41),0)</f>
        <v>0</v>
      </c>
      <c r="HW41" s="536">
        <f>SUM(HW9:HW39)</f>
        <v>0</v>
      </c>
      <c r="HX41" s="536">
        <f>IFERROR((HW41/$L$41),0)</f>
        <v>0</v>
      </c>
      <c r="HY41" s="536">
        <f>IFERROR(((HW41*HY$8)/$L$41),0)</f>
        <v>0</v>
      </c>
      <c r="HZ41" s="536">
        <f>SUM(HZ9:HZ39)</f>
        <v>0</v>
      </c>
      <c r="IA41" s="536">
        <f>IFERROR((HZ41/$L$41),0)</f>
        <v>0</v>
      </c>
      <c r="IB41" s="536">
        <f>IFERROR(((HZ41*IB$8)/$L$41),0)</f>
        <v>0</v>
      </c>
      <c r="IC41" s="536">
        <f>SUM(IC9:IC39)</f>
        <v>0</v>
      </c>
      <c r="ID41" s="536">
        <f>IFERROR((IC41/$L$41),0)</f>
        <v>0</v>
      </c>
      <c r="IE41" s="536">
        <f>IFERROR(((IC41*IE$8)/$L$41),0)</f>
        <v>0</v>
      </c>
      <c r="IF41" s="536">
        <f>SUM(IF9:IF39)</f>
        <v>0</v>
      </c>
      <c r="IG41" s="536">
        <f>IFERROR((IF41/$L$41),0)</f>
        <v>0</v>
      </c>
      <c r="IH41" s="536">
        <f>IFERROR(((IF41*IH$8)/$L$41),0)</f>
        <v>0</v>
      </c>
      <c r="II41" s="536">
        <f>SUM(II9:II39)</f>
        <v>0</v>
      </c>
      <c r="IJ41" s="536">
        <f>IFERROR((II41/$L$41),0)</f>
        <v>0</v>
      </c>
      <c r="IK41" s="536">
        <f>IFERROR(((II41*IK$8)/$L$41),0)</f>
        <v>0</v>
      </c>
      <c r="IL41" s="536">
        <f>SUM(IL9:IL39)</f>
        <v>0</v>
      </c>
      <c r="IM41" s="536">
        <f>IFERROR((IL41/$L$41),0)</f>
        <v>0</v>
      </c>
      <c r="IN41" s="536">
        <f>IFERROR(((IL41*IN$8)/$L$41),0)</f>
        <v>0</v>
      </c>
      <c r="IO41" s="536">
        <f>SUM(IO9:IO39)</f>
        <v>0</v>
      </c>
      <c r="IP41" s="536">
        <f>IFERROR((IO41/$L$41),0)</f>
        <v>0</v>
      </c>
      <c r="IQ41" s="536">
        <f>IFERROR(((IO41*IQ$8)/$L$41),0)</f>
        <v>0</v>
      </c>
      <c r="IR41" s="536">
        <f>SUM(IR9:IR39)</f>
        <v>0</v>
      </c>
      <c r="IS41" s="536">
        <f>IFERROR((IR41/$L$41),0)</f>
        <v>0</v>
      </c>
      <c r="IT41" s="536">
        <f>IFERROR(((IR41*IT$8)/$L$41),0)</f>
        <v>0</v>
      </c>
      <c r="IU41" s="536">
        <f>SUM(IU9:IU39)</f>
        <v>0</v>
      </c>
      <c r="IV41" s="536">
        <f>IFERROR((IU41/$L$41),0)</f>
        <v>0</v>
      </c>
      <c r="IW41" s="536">
        <f>IFERROR(((IU41*IW$8)/$L$41),0)</f>
        <v>0</v>
      </c>
      <c r="IX41" s="536">
        <f>SUM(IX9:IX39)</f>
        <v>0</v>
      </c>
      <c r="IY41" s="536">
        <f>IFERROR((IX41/$L$41),0)</f>
        <v>0</v>
      </c>
      <c r="IZ41" s="536">
        <f>IFERROR(((IX41*IZ$8)/$L$41),0)</f>
        <v>0</v>
      </c>
      <c r="JA41" s="536">
        <f>SUM(JA9:JA39)</f>
        <v>0</v>
      </c>
      <c r="JB41" s="536">
        <f>IFERROR((JA41/$L$41),0)</f>
        <v>0</v>
      </c>
      <c r="JC41" s="536">
        <f>IFERROR(((JA41*JC$8)/$L$41),0)</f>
        <v>0</v>
      </c>
      <c r="JD41" s="536">
        <f>SUM(JD9:JD39)</f>
        <v>0</v>
      </c>
      <c r="JE41" s="536">
        <f>IFERROR((JD41/$L$41),0)</f>
        <v>0</v>
      </c>
      <c r="JF41" s="536">
        <f>IFERROR(((JD41*JF$8)/$L$41),0)</f>
        <v>0</v>
      </c>
      <c r="JG41" s="536">
        <f>SUM(JG9:JG39)</f>
        <v>0</v>
      </c>
      <c r="JH41" s="536">
        <f>IFERROR((JG41/$L$41),0)</f>
        <v>0</v>
      </c>
      <c r="JI41" s="536">
        <f>IFERROR(((JG41*JI$8)/$L$41),0)</f>
        <v>0</v>
      </c>
      <c r="JJ41" s="536">
        <f>SUM(JJ9:JJ39)</f>
        <v>0</v>
      </c>
      <c r="JK41" s="536">
        <f>IFERROR((JJ41/$L$41),0)</f>
        <v>0</v>
      </c>
      <c r="JL41" s="536">
        <f>IFERROR(((JJ41*JL$8)/$L$41),0)</f>
        <v>0</v>
      </c>
      <c r="JM41" s="536">
        <f>SUM(JM9:JM39)</f>
        <v>0</v>
      </c>
      <c r="JN41" s="536">
        <f>IFERROR((JM41/$L$41),0)</f>
        <v>0</v>
      </c>
      <c r="JO41" s="536">
        <f>IFERROR(((JM41*JO$8)/$L$41),0)</f>
        <v>0</v>
      </c>
      <c r="JP41" s="536">
        <f>SUM(JP9:JP39)</f>
        <v>0</v>
      </c>
      <c r="JQ41" s="536">
        <f>IFERROR((JP41/$L$41),0)</f>
        <v>0</v>
      </c>
      <c r="JR41" s="536">
        <f>IFERROR(((JP41*JR$8)/$L$41),0)</f>
        <v>0</v>
      </c>
      <c r="JS41" s="536">
        <f>SUM(JS9:JS39)</f>
        <v>0</v>
      </c>
      <c r="JT41" s="536">
        <f>IFERROR((JS41/$L$41),0)</f>
        <v>0</v>
      </c>
      <c r="JU41" s="536">
        <f>IFERROR(((JS41*JU$8)/$L$41),0)</f>
        <v>0</v>
      </c>
      <c r="JV41" s="536">
        <f>SUM(JV9:JV39)</f>
        <v>0</v>
      </c>
      <c r="JW41" s="536">
        <f>IFERROR((JV41/$L$41),0)</f>
        <v>0</v>
      </c>
      <c r="JX41" s="536">
        <f>IFERROR(((JV41*JX$8)/$L$41),0)</f>
        <v>0</v>
      </c>
      <c r="JY41" s="536">
        <f>SUM(JY9:JY39)</f>
        <v>0</v>
      </c>
      <c r="JZ41" s="536">
        <f>IFERROR((JY41/$L$41),0)</f>
        <v>0</v>
      </c>
      <c r="KA41" s="536">
        <f>IFERROR(((JY41*KA$8)/$L$41),0)</f>
        <v>0</v>
      </c>
      <c r="KB41" s="536">
        <f>SUM(KB9:KB39)</f>
        <v>0</v>
      </c>
      <c r="KC41" s="536">
        <f>IFERROR((KB41/$L$41),0)</f>
        <v>0</v>
      </c>
      <c r="KD41" s="536">
        <f>IFERROR(((KB41*KD$8)/$L$41),0)</f>
        <v>0</v>
      </c>
      <c r="KE41" s="536">
        <f>SUM(KE9:KE39)</f>
        <v>0</v>
      </c>
      <c r="KF41" s="536">
        <f>IFERROR((KE41/$L$41),0)</f>
        <v>0</v>
      </c>
      <c r="KG41" s="536">
        <f>IFERROR(((KE41*KG$8)/$L$41),0)</f>
        <v>0</v>
      </c>
      <c r="KH41" s="536">
        <f>SUM(KH9:KH39)</f>
        <v>0</v>
      </c>
      <c r="KI41" s="536">
        <f>IFERROR((KH41/$L$41),0)</f>
        <v>0</v>
      </c>
      <c r="KJ41" s="536">
        <f>IFERROR(((KH41*KJ$8)/$L$41),0)</f>
        <v>0</v>
      </c>
      <c r="KK41" s="536">
        <f>SUM(KK9:KK39)</f>
        <v>0</v>
      </c>
      <c r="KL41" s="536">
        <f>IFERROR((KK41/$L$41),0)</f>
        <v>0</v>
      </c>
      <c r="KM41" s="536">
        <f>IFERROR(((KK41*KM$8)/$L$41),0)</f>
        <v>0</v>
      </c>
      <c r="KN41" s="536">
        <f>SUM(KN9:KN39)</f>
        <v>0</v>
      </c>
      <c r="KO41" s="536">
        <f>IFERROR((KN41/$L$41),0)</f>
        <v>0</v>
      </c>
      <c r="KP41" s="536">
        <f>IFERROR(((KN41*KP$8)/$L$41),0)</f>
        <v>0</v>
      </c>
      <c r="KQ41" s="536">
        <f>SUM(KQ9:KQ39)</f>
        <v>0</v>
      </c>
      <c r="KR41" s="536">
        <f>IFERROR((KQ41/$L$41),0)</f>
        <v>0</v>
      </c>
      <c r="KS41" s="536">
        <f>IFERROR(((KQ41*KS$8)/$L$41),0)</f>
        <v>0</v>
      </c>
      <c r="KT41" s="537">
        <f t="shared" si="201"/>
        <v>0</v>
      </c>
      <c r="KU41" s="537">
        <f t="shared" si="202"/>
        <v>0</v>
      </c>
      <c r="KV41" s="275">
        <f t="shared" si="199"/>
        <v>18987.127655482564</v>
      </c>
    </row>
    <row r="43" spans="1:308" ht="15" customHeight="1">
      <c r="A43" s="286" t="s">
        <v>136</v>
      </c>
      <c r="B43" s="287" t="s">
        <v>137</v>
      </c>
      <c r="C43" s="288" t="s">
        <v>151</v>
      </c>
      <c r="D43" s="272"/>
      <c r="E43" s="272"/>
    </row>
    <row r="44" spans="1:308" ht="15" customHeight="1">
      <c r="A44" s="289"/>
      <c r="B44" s="287" t="s">
        <v>138</v>
      </c>
      <c r="C44" s="288" t="s">
        <v>144</v>
      </c>
      <c r="D44" s="272"/>
      <c r="E44" s="272"/>
    </row>
    <row r="45" spans="1:308" ht="15" customHeight="1">
      <c r="A45" s="289"/>
      <c r="B45" s="290" t="s">
        <v>139</v>
      </c>
      <c r="C45" s="288" t="s">
        <v>140</v>
      </c>
      <c r="D45" s="272"/>
      <c r="E45" s="272"/>
    </row>
  </sheetData>
  <mergeCells count="210">
    <mergeCell ref="KE7:KF7"/>
    <mergeCell ref="KH7:KI7"/>
    <mergeCell ref="KK7:KL7"/>
    <mergeCell ref="KN7:KO7"/>
    <mergeCell ref="KQ7:KR7"/>
    <mergeCell ref="JP7:JQ7"/>
    <mergeCell ref="JS7:JT7"/>
    <mergeCell ref="JV7:JW7"/>
    <mergeCell ref="JY7:JZ7"/>
    <mergeCell ref="KB7:KC7"/>
    <mergeCell ref="JA7:JB7"/>
    <mergeCell ref="JD7:JE7"/>
    <mergeCell ref="JG7:JH7"/>
    <mergeCell ref="JJ7:JK7"/>
    <mergeCell ref="JM7:JN7"/>
    <mergeCell ref="IL7:IM7"/>
    <mergeCell ref="IO7:IP7"/>
    <mergeCell ref="IR7:IS7"/>
    <mergeCell ref="IU7:IV7"/>
    <mergeCell ref="IX7:IY7"/>
    <mergeCell ref="HW7:HX7"/>
    <mergeCell ref="HZ7:IA7"/>
    <mergeCell ref="IC7:ID7"/>
    <mergeCell ref="IF7:IG7"/>
    <mergeCell ref="II7:IJ7"/>
    <mergeCell ref="HH7:HI7"/>
    <mergeCell ref="HK7:HL7"/>
    <mergeCell ref="HN7:HO7"/>
    <mergeCell ref="HQ7:HR7"/>
    <mergeCell ref="HT7:HU7"/>
    <mergeCell ref="GS7:GT7"/>
    <mergeCell ref="GV7:GW7"/>
    <mergeCell ref="GY7:GZ7"/>
    <mergeCell ref="HB7:HC7"/>
    <mergeCell ref="HE7:HF7"/>
    <mergeCell ref="GD7:GE7"/>
    <mergeCell ref="GG7:GH7"/>
    <mergeCell ref="GJ7:GK7"/>
    <mergeCell ref="GM7:GN7"/>
    <mergeCell ref="GP7:GQ7"/>
    <mergeCell ref="FO7:FP7"/>
    <mergeCell ref="FR7:FS7"/>
    <mergeCell ref="FU7:FV7"/>
    <mergeCell ref="FX7:FY7"/>
    <mergeCell ref="GA7:GB7"/>
    <mergeCell ref="EZ7:FA7"/>
    <mergeCell ref="FC7:FD7"/>
    <mergeCell ref="FF7:FG7"/>
    <mergeCell ref="FI7:FJ7"/>
    <mergeCell ref="FL7:FM7"/>
    <mergeCell ref="EK7:EL7"/>
    <mergeCell ref="EN7:EO7"/>
    <mergeCell ref="EQ7:ER7"/>
    <mergeCell ref="ET7:EU7"/>
    <mergeCell ref="EW7:EX7"/>
    <mergeCell ref="DV7:DW7"/>
    <mergeCell ref="DY7:DZ7"/>
    <mergeCell ref="EB7:EC7"/>
    <mergeCell ref="EE7:EF7"/>
    <mergeCell ref="EH7:EI7"/>
    <mergeCell ref="DG7:DH7"/>
    <mergeCell ref="DJ7:DK7"/>
    <mergeCell ref="DM7:DN7"/>
    <mergeCell ref="DP7:DQ7"/>
    <mergeCell ref="DS7:DT7"/>
    <mergeCell ref="CR7:CS7"/>
    <mergeCell ref="CU7:CV7"/>
    <mergeCell ref="CX7:CY7"/>
    <mergeCell ref="DA7:DB7"/>
    <mergeCell ref="DD7:DE7"/>
    <mergeCell ref="KN6:KP6"/>
    <mergeCell ref="KQ6:KS6"/>
    <mergeCell ref="I7:J7"/>
    <mergeCell ref="L7:M7"/>
    <mergeCell ref="O7:P7"/>
    <mergeCell ref="X7:Y7"/>
    <mergeCell ref="AA7:AB7"/>
    <mergeCell ref="AD7:AE7"/>
    <mergeCell ref="AM7:AN7"/>
    <mergeCell ref="AP7:AQ7"/>
    <mergeCell ref="AS7:AT7"/>
    <mergeCell ref="BB7:BC7"/>
    <mergeCell ref="BE7:BF7"/>
    <mergeCell ref="BH7:BI7"/>
    <mergeCell ref="BQ7:BR7"/>
    <mergeCell ref="BW7:BX7"/>
    <mergeCell ref="JY6:KA6"/>
    <mergeCell ref="KB6:KD6"/>
    <mergeCell ref="KE6:KG6"/>
    <mergeCell ref="KH6:KJ6"/>
    <mergeCell ref="KK6:KM6"/>
    <mergeCell ref="JJ6:JL6"/>
    <mergeCell ref="JM6:JO6"/>
    <mergeCell ref="JP6:JR6"/>
    <mergeCell ref="JS6:JU6"/>
    <mergeCell ref="JV6:JX6"/>
    <mergeCell ref="IU6:IW6"/>
    <mergeCell ref="IX6:IZ6"/>
    <mergeCell ref="JA6:JC6"/>
    <mergeCell ref="JD6:JF6"/>
    <mergeCell ref="JG6:JI6"/>
    <mergeCell ref="IF6:IH6"/>
    <mergeCell ref="II6:IK6"/>
    <mergeCell ref="IL6:IN6"/>
    <mergeCell ref="IO6:IQ6"/>
    <mergeCell ref="IR6:IT6"/>
    <mergeCell ref="HQ6:HS6"/>
    <mergeCell ref="HT6:HV6"/>
    <mergeCell ref="HW6:HY6"/>
    <mergeCell ref="HZ6:IB6"/>
    <mergeCell ref="IC6:IE6"/>
    <mergeCell ref="HB6:HD6"/>
    <mergeCell ref="HE6:HG6"/>
    <mergeCell ref="HH6:HJ6"/>
    <mergeCell ref="HK6:HM6"/>
    <mergeCell ref="HN6:HP6"/>
    <mergeCell ref="GM6:GO6"/>
    <mergeCell ref="GP6:GR6"/>
    <mergeCell ref="GS6:GU6"/>
    <mergeCell ref="GV6:GX6"/>
    <mergeCell ref="GY6:HA6"/>
    <mergeCell ref="FX6:FZ6"/>
    <mergeCell ref="GA6:GC6"/>
    <mergeCell ref="GD6:GF6"/>
    <mergeCell ref="GG6:GI6"/>
    <mergeCell ref="GJ6:GL6"/>
    <mergeCell ref="FI6:FK6"/>
    <mergeCell ref="FL6:FN6"/>
    <mergeCell ref="FO6:FQ6"/>
    <mergeCell ref="FR6:FT6"/>
    <mergeCell ref="FU6:FW6"/>
    <mergeCell ref="ET6:EV6"/>
    <mergeCell ref="EW6:EY6"/>
    <mergeCell ref="EZ6:FB6"/>
    <mergeCell ref="FC6:FE6"/>
    <mergeCell ref="FF6:FH6"/>
    <mergeCell ref="CU6:CW6"/>
    <mergeCell ref="CX6:CZ6"/>
    <mergeCell ref="EE6:EG6"/>
    <mergeCell ref="EH6:EJ6"/>
    <mergeCell ref="EK6:EM6"/>
    <mergeCell ref="EN6:EP6"/>
    <mergeCell ref="EQ6:ES6"/>
    <mergeCell ref="DP6:DR6"/>
    <mergeCell ref="DS6:DU6"/>
    <mergeCell ref="DV6:DX6"/>
    <mergeCell ref="DY6:EA6"/>
    <mergeCell ref="EB6:ED6"/>
    <mergeCell ref="KU5:KU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BT7:BU7"/>
    <mergeCell ref="BK7:BL7"/>
    <mergeCell ref="R7:S7"/>
    <mergeCell ref="U7:V7"/>
    <mergeCell ref="AG7:AH7"/>
    <mergeCell ref="AV7:AW7"/>
    <mergeCell ref="AP6:AR6"/>
    <mergeCell ref="AS6:AU6"/>
    <mergeCell ref="BW6:BY6"/>
    <mergeCell ref="BZ6:CB6"/>
    <mergeCell ref="CC6:CE6"/>
    <mergeCell ref="A41:C41"/>
    <mergeCell ref="F7:G7"/>
    <mergeCell ref="C6:C8"/>
    <mergeCell ref="E6:E8"/>
    <mergeCell ref="D6:D8"/>
    <mergeCell ref="A6:A8"/>
    <mergeCell ref="F5:GC5"/>
    <mergeCell ref="GD5:KS5"/>
    <mergeCell ref="KT5:KT8"/>
    <mergeCell ref="CF6:CH6"/>
    <mergeCell ref="CI6:CK6"/>
    <mergeCell ref="BH6:BJ6"/>
    <mergeCell ref="BK6:BM6"/>
    <mergeCell ref="BN6:BP6"/>
    <mergeCell ref="BQ6:BS6"/>
    <mergeCell ref="BT6:BV6"/>
    <mergeCell ref="DA6:DC6"/>
    <mergeCell ref="DD6:DF6"/>
    <mergeCell ref="DG6:DI6"/>
    <mergeCell ref="DJ6:DL6"/>
    <mergeCell ref="DM6:DO6"/>
    <mergeCell ref="CL6:CN6"/>
    <mergeCell ref="CO6:CQ6"/>
    <mergeCell ref="CR6:CT6"/>
    <mergeCell ref="CL7:CM7"/>
    <mergeCell ref="CO7:CP7"/>
    <mergeCell ref="B6:B8"/>
    <mergeCell ref="AJ7:AK7"/>
    <mergeCell ref="BN7:BO7"/>
    <mergeCell ref="BZ7:CA7"/>
    <mergeCell ref="CC7:CD7"/>
    <mergeCell ref="CF7:CG7"/>
    <mergeCell ref="CI7:CJ7"/>
    <mergeCell ref="AV6:AX6"/>
    <mergeCell ref="AY7:AZ7"/>
    <mergeCell ref="AY6:BA6"/>
    <mergeCell ref="BB6:BD6"/>
    <mergeCell ref="BE6:BG6"/>
  </mergeCells>
  <phoneticPr fontId="31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AI39"/>
  <sheetViews>
    <sheetView workbookViewId="0">
      <selection activeCell="AF6" sqref="AF6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6" width="9.140625" hidden="1" customWidth="1"/>
    <col min="27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5900</v>
      </c>
      <c r="C1">
        <v>6100</v>
      </c>
      <c r="D1">
        <v>5600</v>
      </c>
      <c r="E1">
        <v>7100</v>
      </c>
      <c r="F1">
        <v>6100</v>
      </c>
      <c r="G1">
        <v>6400</v>
      </c>
      <c r="H1">
        <v>8500</v>
      </c>
      <c r="I1">
        <v>7000</v>
      </c>
      <c r="J1">
        <v>7000</v>
      </c>
      <c r="K1">
        <v>6200</v>
      </c>
      <c r="L1">
        <v>5100</v>
      </c>
      <c r="M1">
        <v>5700</v>
      </c>
      <c r="N1">
        <v>6900</v>
      </c>
      <c r="O1">
        <v>6900</v>
      </c>
      <c r="P1">
        <v>6800</v>
      </c>
      <c r="Q1">
        <v>7500</v>
      </c>
      <c r="R1">
        <v>8200</v>
      </c>
      <c r="S1">
        <v>7800</v>
      </c>
      <c r="T1">
        <v>6100</v>
      </c>
      <c r="U1">
        <v>5800</v>
      </c>
      <c r="V1">
        <v>6600</v>
      </c>
      <c r="W1">
        <v>5600</v>
      </c>
      <c r="X1">
        <v>7000</v>
      </c>
      <c r="Y1">
        <v>4300</v>
      </c>
      <c r="Z1">
        <v>4100</v>
      </c>
      <c r="AA1">
        <v>5100</v>
      </c>
      <c r="AB1">
        <v>4900</v>
      </c>
      <c r="AC1">
        <v>4900</v>
      </c>
      <c r="AD1">
        <v>5400</v>
      </c>
      <c r="AE1">
        <v>5100</v>
      </c>
      <c r="AF1">
        <v>1300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87" t="s">
        <v>277</v>
      </c>
      <c r="AH2" s="488" t="s">
        <v>278</v>
      </c>
      <c r="AI2" s="489" t="s">
        <v>279</v>
      </c>
    </row>
    <row r="3" spans="1:35">
      <c r="A3" s="490" t="s">
        <v>280</v>
      </c>
      <c r="B3" s="6">
        <v>9</v>
      </c>
      <c r="C3" s="6">
        <v>8</v>
      </c>
      <c r="D3" s="6">
        <v>12</v>
      </c>
      <c r="E3" s="507">
        <v>11.7</v>
      </c>
      <c r="F3" s="6">
        <v>14</v>
      </c>
      <c r="G3" s="6">
        <v>15.2</v>
      </c>
      <c r="H3" s="6">
        <v>2</v>
      </c>
      <c r="I3" s="6">
        <f>5.5+4.2</f>
        <v>9.6999999999999993</v>
      </c>
      <c r="J3" s="6">
        <f>3+3.2+4.2</f>
        <v>10.4</v>
      </c>
      <c r="K3" s="6">
        <v>3.4</v>
      </c>
      <c r="L3" s="6">
        <v>4</v>
      </c>
      <c r="M3" s="6">
        <v>11.2</v>
      </c>
      <c r="N3" s="6">
        <f>10.6+8.8</f>
        <v>19.399999999999999</v>
      </c>
      <c r="O3" s="6">
        <f>12+6.5</f>
        <v>18.5</v>
      </c>
      <c r="P3" s="6">
        <f>10.5+6.5</f>
        <v>17</v>
      </c>
      <c r="Q3" s="6">
        <f>4.9+6.5</f>
        <v>11.4</v>
      </c>
      <c r="R3" s="6">
        <f>5.8+2.5</f>
        <v>8.3000000000000007</v>
      </c>
      <c r="S3" s="6">
        <v>3.5</v>
      </c>
      <c r="T3" s="6">
        <v>3.8</v>
      </c>
      <c r="U3" s="6">
        <v>5.2</v>
      </c>
      <c r="V3" s="6">
        <v>6.8</v>
      </c>
      <c r="W3" s="6">
        <v>6.6</v>
      </c>
      <c r="X3" s="6">
        <v>11</v>
      </c>
      <c r="Y3" s="6">
        <v>5.3</v>
      </c>
      <c r="Z3" s="6">
        <v>11.5</v>
      </c>
      <c r="AA3" s="6">
        <v>3.5</v>
      </c>
      <c r="AB3" s="6">
        <v>2.2999999999999998</v>
      </c>
      <c r="AC3" s="6">
        <v>4.2</v>
      </c>
      <c r="AD3" s="6">
        <v>3.2</v>
      </c>
      <c r="AE3" s="6">
        <v>3.1</v>
      </c>
      <c r="AF3" s="6">
        <v>4.0999999999999996</v>
      </c>
      <c r="AG3" s="6">
        <f>+AF3</f>
        <v>4.0999999999999996</v>
      </c>
      <c r="AH3" s="483">
        <f>+AG3/Efficiency1!$K$154</f>
        <v>2.0619941631985989E-3</v>
      </c>
      <c r="AI3" s="994">
        <f>SUM(AH3:AH4)</f>
        <v>2.9924061636662593E-3</v>
      </c>
    </row>
    <row r="4" spans="1:35">
      <c r="A4" s="490" t="s">
        <v>281</v>
      </c>
      <c r="B4" s="6">
        <v>1.1000000000000001</v>
      </c>
      <c r="C4" s="6">
        <v>2</v>
      </c>
      <c r="D4" s="6">
        <v>0.3</v>
      </c>
      <c r="E4" s="507">
        <v>0.68500000000000005</v>
      </c>
      <c r="F4" s="6">
        <v>0.85399999999999998</v>
      </c>
      <c r="G4" s="6">
        <v>2.198</v>
      </c>
      <c r="H4" s="6">
        <v>0</v>
      </c>
      <c r="I4" s="6">
        <v>0.26</v>
      </c>
      <c r="J4" s="6">
        <v>1.18</v>
      </c>
      <c r="K4" s="6">
        <v>1.0149999999999999</v>
      </c>
      <c r="L4" s="6">
        <v>1.1140000000000001</v>
      </c>
      <c r="M4" s="6">
        <v>1.5</v>
      </c>
      <c r="N4" s="491">
        <v>0.22600000000000001</v>
      </c>
      <c r="O4" s="491">
        <v>0.36</v>
      </c>
      <c r="P4" s="6">
        <v>1.417</v>
      </c>
      <c r="Q4" s="6">
        <v>1.369</v>
      </c>
      <c r="R4" s="6">
        <v>0.91700000000000004</v>
      </c>
      <c r="S4" s="6">
        <v>8.5000000000000006E-2</v>
      </c>
      <c r="T4" s="6">
        <v>1.115</v>
      </c>
      <c r="U4" s="6">
        <v>1.054</v>
      </c>
      <c r="V4" s="6">
        <v>0.66400000000000003</v>
      </c>
      <c r="W4" s="491">
        <v>0.52200000000000002</v>
      </c>
      <c r="X4" s="6">
        <v>0.91300000000000003</v>
      </c>
      <c r="Y4" s="6">
        <v>0.67</v>
      </c>
      <c r="Z4" s="6">
        <v>0.97499999999999998</v>
      </c>
      <c r="AA4" s="6">
        <v>0.64900000000000002</v>
      </c>
      <c r="AB4" s="6">
        <v>1.4</v>
      </c>
      <c r="AC4" s="6">
        <v>0.49299999999999999</v>
      </c>
      <c r="AD4" s="6">
        <v>0.94499999999999995</v>
      </c>
      <c r="AE4" s="6">
        <v>0.20499999999999999</v>
      </c>
      <c r="AF4" s="6">
        <v>1.85</v>
      </c>
      <c r="AG4" s="6">
        <f>+AF4</f>
        <v>1.85</v>
      </c>
      <c r="AH4" s="483">
        <f>+AG4/Efficiency1!$K$154</f>
        <v>9.3041200046766056E-4</v>
      </c>
      <c r="AI4" s="995"/>
    </row>
    <row r="5" spans="1:35">
      <c r="A5" s="492"/>
      <c r="B5" s="493"/>
      <c r="C5" s="493"/>
      <c r="D5" s="493"/>
      <c r="E5" s="493"/>
      <c r="F5" s="493"/>
      <c r="G5" s="493"/>
      <c r="H5" s="493"/>
      <c r="I5" s="493"/>
      <c r="J5" s="493"/>
      <c r="K5" s="493"/>
      <c r="L5" s="493"/>
      <c r="M5" s="493"/>
      <c r="N5" s="494"/>
      <c r="O5" s="494"/>
      <c r="P5" s="493"/>
      <c r="Q5" s="493"/>
      <c r="R5" s="493"/>
      <c r="S5" s="493"/>
      <c r="T5" s="493"/>
      <c r="U5" s="493"/>
      <c r="V5" s="493"/>
      <c r="W5" s="494"/>
      <c r="X5" s="493"/>
      <c r="Y5" s="493"/>
      <c r="Z5" s="493"/>
      <c r="AA5" s="493"/>
      <c r="AB5" s="493"/>
      <c r="AC5" s="493"/>
      <c r="AD5" s="493"/>
      <c r="AE5" s="493"/>
      <c r="AF5" s="493"/>
      <c r="AG5" s="493"/>
      <c r="AH5" s="495"/>
    </row>
    <row r="6" spans="1:35">
      <c r="A6" s="490" t="s">
        <v>282</v>
      </c>
      <c r="B6" s="491">
        <f>0.16+0.2+0.287</f>
        <v>0.64700000000000002</v>
      </c>
      <c r="C6" s="6">
        <f>0.183+0.171</f>
        <v>0.35399999999999998</v>
      </c>
      <c r="D6" s="6">
        <f>0.1+0.218+0.1</f>
        <v>0.41800000000000004</v>
      </c>
      <c r="E6" s="6">
        <f>0.15+0.272+0.173</f>
        <v>0.59499999999999997</v>
      </c>
      <c r="F6" s="6">
        <f>0.15+0.206+0.22</f>
        <v>0.57599999999999996</v>
      </c>
      <c r="G6" s="6">
        <f>0.2+0.313+0.1</f>
        <v>0.61299999999999999</v>
      </c>
      <c r="H6" s="6">
        <v>0.2</v>
      </c>
      <c r="I6" s="6">
        <v>0.56000000000000005</v>
      </c>
      <c r="J6" s="6">
        <f>0.25+1+0.25+0.134</f>
        <v>1.6339999999999999</v>
      </c>
      <c r="K6" s="6">
        <f>0.298+0.234+0.15</f>
        <v>0.68200000000000005</v>
      </c>
      <c r="L6" s="6">
        <f>0.238+0.1+0.257</f>
        <v>0.59499999999999997</v>
      </c>
      <c r="M6" s="6">
        <f>0.246+0.204+0.35</f>
        <v>0.79999999999999993</v>
      </c>
      <c r="N6" s="6">
        <f>0.7+0.215+0.3</f>
        <v>1.2149999999999999</v>
      </c>
      <c r="O6" s="6">
        <f>0.352+0.3+0.45</f>
        <v>1.1019999999999999</v>
      </c>
      <c r="P6" s="6">
        <f>0.337+0.4+0.35</f>
        <v>1.0870000000000002</v>
      </c>
      <c r="Q6" s="6">
        <f>0.5+0.2+0.25</f>
        <v>0.95</v>
      </c>
      <c r="R6" s="6">
        <f>0.15+0.2+0.266</f>
        <v>0.61599999999999999</v>
      </c>
      <c r="S6" s="6">
        <v>0.22</v>
      </c>
      <c r="T6" s="6">
        <f>0.189+0.187</f>
        <v>0.376</v>
      </c>
      <c r="U6" s="6">
        <f>0.246+0.2+0.216</f>
        <v>0.66200000000000003</v>
      </c>
      <c r="V6" s="6">
        <f>0.365+0.257+0.4</f>
        <v>1.022</v>
      </c>
      <c r="W6" s="491">
        <f>0.4+0.45+0.19</f>
        <v>1.04</v>
      </c>
      <c r="X6" s="6">
        <f>0.2+0.3+0.26</f>
        <v>0.76</v>
      </c>
      <c r="Y6" s="6">
        <f>0.3+0.35+0.287</f>
        <v>0.93699999999999983</v>
      </c>
      <c r="Z6" s="491">
        <f>0.3+0.25</f>
        <v>0.55000000000000004</v>
      </c>
      <c r="AA6" s="6">
        <f>0.3+0.255+0.239</f>
        <v>0.79399999999999993</v>
      </c>
      <c r="AB6" s="6">
        <f>0.2+0.19+0.219</f>
        <v>0.60899999999999999</v>
      </c>
      <c r="AC6" s="6">
        <f>0.35+0.277+0.202</f>
        <v>0.82899999999999996</v>
      </c>
      <c r="AD6" s="6">
        <f>0.25+0.285+0.342</f>
        <v>0.877</v>
      </c>
      <c r="AE6" s="6">
        <f>0.25+0.233+0.1</f>
        <v>0.58299999999999996</v>
      </c>
      <c r="AF6" s="6">
        <f>0.1+0.229+0.2</f>
        <v>0.52900000000000003</v>
      </c>
      <c r="AG6" s="6">
        <f t="shared" ref="AG6:AG37" si="0">+SUM(B6:AF6)</f>
        <v>22.432000000000002</v>
      </c>
      <c r="AH6" s="496">
        <f t="shared" ref="AH6:AH36" si="1">+AG6/$AG$39</f>
        <v>0.33755680621181577</v>
      </c>
    </row>
    <row r="7" spans="1:35">
      <c r="A7" s="490" t="s">
        <v>283</v>
      </c>
      <c r="B7" s="6">
        <f>0.24+0.12</f>
        <v>0.36</v>
      </c>
      <c r="C7" s="6"/>
      <c r="D7" s="6"/>
      <c r="E7" s="6">
        <v>0.312</v>
      </c>
      <c r="F7" s="6">
        <v>0.13</v>
      </c>
      <c r="G7" s="6"/>
      <c r="H7" s="491">
        <v>0.54500000000000004</v>
      </c>
      <c r="I7" s="6">
        <v>1.2130000000000001</v>
      </c>
      <c r="J7" s="6">
        <v>0.47699999999999998</v>
      </c>
      <c r="K7" s="6">
        <v>0.60699999999999998</v>
      </c>
      <c r="L7" s="6"/>
      <c r="M7" s="6">
        <f>0.124+0.65+0.911</f>
        <v>1.6850000000000001</v>
      </c>
      <c r="N7" s="6">
        <v>0.79300000000000004</v>
      </c>
      <c r="O7" s="6">
        <f>0.689+0.375</f>
        <v>1.0640000000000001</v>
      </c>
      <c r="P7" s="6">
        <f>0.242+0.623</f>
        <v>0.86499999999999999</v>
      </c>
      <c r="Q7" s="6">
        <v>0.48699999999999999</v>
      </c>
      <c r="R7">
        <v>0.1</v>
      </c>
      <c r="S7" s="6">
        <v>0.2</v>
      </c>
      <c r="T7" s="6">
        <f>0.65+0.3+0.592</f>
        <v>1.5419999999999998</v>
      </c>
      <c r="U7" s="6">
        <f>0.669+0.4</f>
        <v>1.069</v>
      </c>
      <c r="V7" s="6">
        <f>0.33+0.4</f>
        <v>0.73</v>
      </c>
      <c r="W7" s="6">
        <f>0.375+0.254</f>
        <v>0.629</v>
      </c>
      <c r="X7" s="6">
        <f>0.25+0.73</f>
        <v>0.98</v>
      </c>
      <c r="Y7" s="6">
        <f>0.2+0.15</f>
        <v>0.35</v>
      </c>
      <c r="Z7" s="6">
        <f>0.2+0.15+0.274</f>
        <v>0.624</v>
      </c>
      <c r="AA7" s="6">
        <v>0.22</v>
      </c>
      <c r="AB7" s="6">
        <v>0.23499999999999999</v>
      </c>
      <c r="AC7" s="6">
        <f>0.3+0.23+0.295</f>
        <v>0.82499999999999996</v>
      </c>
      <c r="AD7" s="6">
        <v>0.3</v>
      </c>
      <c r="AE7" s="6"/>
      <c r="AF7" s="6">
        <v>0.3</v>
      </c>
      <c r="AG7" s="6">
        <f t="shared" si="0"/>
        <v>16.641999999999999</v>
      </c>
      <c r="AH7" s="483">
        <f t="shared" si="1"/>
        <v>0.25042886808920456</v>
      </c>
    </row>
    <row r="8" spans="1:35">
      <c r="A8" s="497" t="s">
        <v>284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83">
        <f t="shared" si="1"/>
        <v>0</v>
      </c>
    </row>
    <row r="9" spans="1:35">
      <c r="A9" s="490" t="s">
        <v>285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83">
        <f t="shared" si="1"/>
        <v>0</v>
      </c>
    </row>
    <row r="10" spans="1:35">
      <c r="A10" s="490" t="s">
        <v>286</v>
      </c>
      <c r="B10" s="6"/>
      <c r="C10" s="6"/>
      <c r="D10" s="6">
        <v>0.3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>
        <v>0.20699999999999999</v>
      </c>
      <c r="AF10" s="6"/>
      <c r="AG10" s="6">
        <f t="shared" si="0"/>
        <v>0.50700000000000001</v>
      </c>
      <c r="AH10" s="483">
        <f t="shared" si="1"/>
        <v>7.6293375869022186E-3</v>
      </c>
    </row>
    <row r="11" spans="1:35">
      <c r="A11" s="490" t="s">
        <v>287</v>
      </c>
      <c r="B11" s="6"/>
      <c r="C11" s="6"/>
      <c r="D11" s="6">
        <v>0.15</v>
      </c>
      <c r="E11" s="6"/>
      <c r="F11" s="6"/>
      <c r="G11" s="6">
        <v>0.37</v>
      </c>
      <c r="H11" s="6">
        <f>0.25+0.4+0.25</f>
        <v>0.9</v>
      </c>
      <c r="I11" s="6">
        <f>0.45+0.25</f>
        <v>0.7</v>
      </c>
      <c r="J11" s="6"/>
      <c r="K11" s="6">
        <v>0.81</v>
      </c>
      <c r="L11" s="6"/>
      <c r="M11" s="6"/>
      <c r="N11" s="6"/>
      <c r="O11" s="6"/>
      <c r="P11" s="6"/>
      <c r="Q11" s="6"/>
      <c r="R11" s="6">
        <v>0.15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>
        <v>0.1</v>
      </c>
      <c r="AG11" s="6">
        <f t="shared" si="0"/>
        <v>3.18</v>
      </c>
      <c r="AH11" s="483">
        <f t="shared" si="1"/>
        <v>4.7852649953351201E-2</v>
      </c>
    </row>
    <row r="12" spans="1:35">
      <c r="A12" s="490" t="s">
        <v>288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v>0.36</v>
      </c>
      <c r="O12" s="6">
        <v>0.24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>
        <v>0.47</v>
      </c>
      <c r="AA12" s="6"/>
      <c r="AB12" s="6"/>
      <c r="AC12" s="6"/>
      <c r="AD12" s="6"/>
      <c r="AE12" s="6"/>
      <c r="AF12" s="6"/>
      <c r="AG12" s="6">
        <f t="shared" si="0"/>
        <v>1.0699999999999998</v>
      </c>
      <c r="AH12" s="483">
        <f t="shared" si="1"/>
        <v>1.6101363349083575E-2</v>
      </c>
    </row>
    <row r="13" spans="1:35">
      <c r="A13" s="490" t="s">
        <v>259</v>
      </c>
      <c r="B13" s="6"/>
      <c r="C13" s="6"/>
      <c r="D13" s="6"/>
      <c r="E13" s="6"/>
      <c r="F13" s="6"/>
      <c r="G13" s="6"/>
      <c r="H13" s="6"/>
      <c r="I13" s="6">
        <v>2.09</v>
      </c>
      <c r="J13" s="6">
        <f>3.087+0.43</f>
        <v>3.5170000000000003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f t="shared" si="0"/>
        <v>5.6070000000000002</v>
      </c>
      <c r="AH13" s="483">
        <f t="shared" si="1"/>
        <v>8.4374153549823944E-2</v>
      </c>
    </row>
    <row r="14" spans="1:35">
      <c r="A14" s="490" t="s">
        <v>289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83">
        <f t="shared" si="1"/>
        <v>0</v>
      </c>
    </row>
    <row r="15" spans="1:35">
      <c r="A15" s="490" t="s">
        <v>310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83">
        <f t="shared" si="1"/>
        <v>0</v>
      </c>
    </row>
    <row r="16" spans="1:35">
      <c r="A16" s="490" t="s">
        <v>290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83">
        <f t="shared" si="1"/>
        <v>0</v>
      </c>
    </row>
    <row r="17" spans="1:34">
      <c r="A17" s="490" t="s">
        <v>291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83">
        <f t="shared" si="1"/>
        <v>0</v>
      </c>
    </row>
    <row r="18" spans="1:34">
      <c r="A18" s="490" t="s">
        <v>292</v>
      </c>
      <c r="B18" s="6"/>
      <c r="C18" s="6">
        <v>0.2</v>
      </c>
      <c r="D18" s="6"/>
      <c r="E18" s="6"/>
      <c r="F18" s="6"/>
      <c r="G18" s="6"/>
      <c r="H18" s="6">
        <v>0.45</v>
      </c>
      <c r="I18" s="6">
        <f>0.45+0.25</f>
        <v>0.7</v>
      </c>
      <c r="J18" s="6"/>
      <c r="K18" s="6"/>
      <c r="L18" s="6"/>
      <c r="M18" s="6"/>
      <c r="N18" s="6"/>
      <c r="O18" s="491"/>
      <c r="P18" s="6">
        <v>0.45</v>
      </c>
      <c r="Q18" s="6">
        <f>0.1+0.15</f>
        <v>0.25</v>
      </c>
      <c r="R18" s="6"/>
      <c r="S18" s="6">
        <f>0.274+0.4</f>
        <v>0.67400000000000004</v>
      </c>
      <c r="T18" s="6">
        <v>0.4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f t="shared" si="0"/>
        <v>3.1239999999999997</v>
      </c>
      <c r="AH18" s="483">
        <f t="shared" si="1"/>
        <v>4.7009961778072047E-2</v>
      </c>
    </row>
    <row r="19" spans="1:34">
      <c r="A19" s="490" t="s">
        <v>293</v>
      </c>
      <c r="B19" s="6"/>
      <c r="C19" s="6"/>
      <c r="D19" s="6"/>
      <c r="E19" s="6"/>
      <c r="F19" s="6"/>
      <c r="G19" s="6"/>
      <c r="H19" s="6">
        <v>4.2</v>
      </c>
      <c r="I19" s="6">
        <v>4.2</v>
      </c>
      <c r="J19" s="6"/>
      <c r="K19" s="6"/>
      <c r="L19" s="6"/>
      <c r="M19" s="6"/>
      <c r="N19" s="6">
        <f>1.835+2</f>
        <v>3.835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12.234999999999999</v>
      </c>
      <c r="AH19" s="483">
        <f t="shared" si="1"/>
        <v>0.1841123182953622</v>
      </c>
    </row>
    <row r="20" spans="1:34">
      <c r="A20" s="490" t="s">
        <v>408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</v>
      </c>
      <c r="AH20" s="483">
        <f t="shared" si="1"/>
        <v>0</v>
      </c>
    </row>
    <row r="21" spans="1:34">
      <c r="A21" s="490" t="s">
        <v>294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83">
        <f t="shared" si="1"/>
        <v>0</v>
      </c>
    </row>
    <row r="22" spans="1:34">
      <c r="A22" s="490" t="s">
        <v>295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83">
        <f t="shared" si="1"/>
        <v>0</v>
      </c>
    </row>
    <row r="23" spans="1:34">
      <c r="A23" s="490" t="s">
        <v>296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83">
        <f t="shared" si="1"/>
        <v>0</v>
      </c>
    </row>
    <row r="24" spans="1:34">
      <c r="A24" s="490" t="s">
        <v>297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83">
        <f t="shared" si="1"/>
        <v>0</v>
      </c>
    </row>
    <row r="25" spans="1:34">
      <c r="A25" s="490" t="s">
        <v>298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83">
        <f t="shared" si="1"/>
        <v>0</v>
      </c>
    </row>
    <row r="26" spans="1:34">
      <c r="A26" s="490" t="s">
        <v>415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83">
        <f t="shared" si="1"/>
        <v>0</v>
      </c>
    </row>
    <row r="27" spans="1:34">
      <c r="A27" s="490" t="s">
        <v>299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>
        <v>0.8</v>
      </c>
      <c r="Q27" s="6">
        <f>0.437+0.42</f>
        <v>0.85699999999999998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1.657</v>
      </c>
      <c r="AH27" s="483">
        <f t="shared" si="1"/>
        <v>2.4934541186384569E-2</v>
      </c>
    </row>
    <row r="28" spans="1:34">
      <c r="A28" s="490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83">
        <f t="shared" si="1"/>
        <v>0</v>
      </c>
    </row>
    <row r="29" spans="1:34">
      <c r="A29" s="490" t="s">
        <v>301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83">
        <f t="shared" si="1"/>
        <v>0</v>
      </c>
    </row>
    <row r="30" spans="1:34">
      <c r="A30" s="490" t="s">
        <v>302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83">
        <f t="shared" si="1"/>
        <v>0</v>
      </c>
    </row>
    <row r="31" spans="1:34">
      <c r="A31" s="490" t="s">
        <v>231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83">
        <f t="shared" si="1"/>
        <v>0</v>
      </c>
    </row>
    <row r="32" spans="1:34">
      <c r="A32" s="490" t="s">
        <v>303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83">
        <f t="shared" si="1"/>
        <v>0</v>
      </c>
    </row>
    <row r="33" spans="1:34">
      <c r="A33" s="490" t="s">
        <v>304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0</v>
      </c>
      <c r="AH33" s="483">
        <f t="shared" si="1"/>
        <v>0</v>
      </c>
    </row>
    <row r="34" spans="1:34">
      <c r="A34" s="498" t="s">
        <v>305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83">
        <f t="shared" si="1"/>
        <v>0</v>
      </c>
    </row>
    <row r="35" spans="1:34">
      <c r="A35" s="498" t="s">
        <v>306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83">
        <f t="shared" si="1"/>
        <v>0</v>
      </c>
    </row>
    <row r="36" spans="1:34">
      <c r="A36" s="498" t="s">
        <v>307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83">
        <f t="shared" si="1"/>
        <v>0</v>
      </c>
    </row>
    <row r="37" spans="1:34">
      <c r="A37" s="498" t="s">
        <v>308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0</v>
      </c>
      <c r="AH37" s="483">
        <f>+AG37/$AG$39</f>
        <v>0</v>
      </c>
    </row>
    <row r="38" spans="1:34">
      <c r="A38" s="499" t="s">
        <v>309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500">
        <f>+AG39/Efficiency1!$K$154</f>
        <v>3.3421404907609677E-2</v>
      </c>
    </row>
    <row r="39" spans="1:34">
      <c r="A39" s="498" t="s">
        <v>2</v>
      </c>
      <c r="B39" s="6">
        <f t="shared" ref="B39:AF39" si="2">SUM(B3:B37)</f>
        <v>11.106999999999999</v>
      </c>
      <c r="C39" s="6">
        <f t="shared" si="2"/>
        <v>10.553999999999998</v>
      </c>
      <c r="D39" s="6">
        <f t="shared" si="2"/>
        <v>13.168000000000001</v>
      </c>
      <c r="E39" s="6">
        <f t="shared" si="2"/>
        <v>13.292</v>
      </c>
      <c r="F39" s="6">
        <f t="shared" si="2"/>
        <v>15.56</v>
      </c>
      <c r="G39" s="6">
        <f t="shared" si="2"/>
        <v>18.381</v>
      </c>
      <c r="H39" s="6">
        <f t="shared" si="2"/>
        <v>8.2949999999999999</v>
      </c>
      <c r="I39" s="6">
        <f t="shared" si="2"/>
        <v>19.422999999999998</v>
      </c>
      <c r="J39" s="6">
        <f t="shared" si="2"/>
        <v>17.208000000000002</v>
      </c>
      <c r="K39" s="6">
        <f t="shared" si="2"/>
        <v>6.5140000000000011</v>
      </c>
      <c r="L39" s="6">
        <f t="shared" si="2"/>
        <v>5.7089999999999996</v>
      </c>
      <c r="M39" s="6">
        <f t="shared" si="2"/>
        <v>15.185</v>
      </c>
      <c r="N39" s="6">
        <f t="shared" si="2"/>
        <v>25.828999999999997</v>
      </c>
      <c r="O39" s="7">
        <f t="shared" si="2"/>
        <v>21.265999999999998</v>
      </c>
      <c r="P39" s="6">
        <f t="shared" si="2"/>
        <v>21.619</v>
      </c>
      <c r="Q39" s="6">
        <f t="shared" si="2"/>
        <v>15.312999999999999</v>
      </c>
      <c r="R39" s="6">
        <f t="shared" si="2"/>
        <v>10.083</v>
      </c>
      <c r="S39" s="6">
        <f t="shared" si="2"/>
        <v>4.6790000000000003</v>
      </c>
      <c r="T39" s="6">
        <f t="shared" si="2"/>
        <v>7.2330000000000005</v>
      </c>
      <c r="U39" s="6">
        <f t="shared" si="2"/>
        <v>7.9850000000000003</v>
      </c>
      <c r="V39" s="6">
        <f t="shared" si="2"/>
        <v>9.2159999999999993</v>
      </c>
      <c r="W39" s="6">
        <f t="shared" si="2"/>
        <v>8.7909999999999986</v>
      </c>
      <c r="X39" s="6">
        <f t="shared" si="2"/>
        <v>13.653</v>
      </c>
      <c r="Y39" s="6">
        <f t="shared" si="2"/>
        <v>7.2569999999999997</v>
      </c>
      <c r="Z39" s="6">
        <f t="shared" si="2"/>
        <v>14.119000000000002</v>
      </c>
      <c r="AA39" s="6">
        <f t="shared" si="2"/>
        <v>5.1629999999999994</v>
      </c>
      <c r="AB39" s="6">
        <f t="shared" si="2"/>
        <v>4.5439999999999996</v>
      </c>
      <c r="AC39" s="6">
        <f t="shared" si="2"/>
        <v>6.3470000000000004</v>
      </c>
      <c r="AD39" s="6">
        <f t="shared" si="2"/>
        <v>5.3220000000000001</v>
      </c>
      <c r="AE39" s="6">
        <f t="shared" si="2"/>
        <v>4.0949999999999998</v>
      </c>
      <c r="AF39" s="6">
        <f t="shared" si="2"/>
        <v>6.8789999999999987</v>
      </c>
      <c r="AG39" s="17">
        <f>SUM(AG6:AG38)</f>
        <v>66.453999999999994</v>
      </c>
      <c r="AH39" s="501">
        <f>SUM(AH6:AH37)</f>
        <v>1.0000000000000002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163"/>
  <sheetViews>
    <sheetView topLeftCell="A133" workbookViewId="0">
      <selection activeCell="C146" sqref="C146:F147"/>
    </sheetView>
  </sheetViews>
  <sheetFormatPr defaultRowHeight="12.75"/>
  <cols>
    <col min="4" max="4" width="52.42578125" bestFit="1" customWidth="1"/>
    <col min="5" max="5" width="18.85546875" bestFit="1" customWidth="1"/>
    <col min="6" max="6" width="17.28515625" bestFit="1" customWidth="1"/>
    <col min="8" max="8" width="27.7109375" bestFit="1" customWidth="1"/>
    <col min="15" max="15" width="52.42578125" bestFit="1" customWidth="1"/>
    <col min="16" max="16" width="18.85546875" bestFit="1" customWidth="1"/>
    <col min="17" max="17" width="17.28515625" bestFit="1" customWidth="1"/>
    <col min="19" max="19" width="27.7109375" bestFit="1" customWidth="1"/>
  </cols>
  <sheetData>
    <row r="1" spans="1:21" ht="45">
      <c r="A1" s="456" t="s">
        <v>148</v>
      </c>
      <c r="B1" s="479" t="s">
        <v>7</v>
      </c>
      <c r="C1" s="480" t="s">
        <v>266</v>
      </c>
      <c r="D1" s="481" t="s">
        <v>127</v>
      </c>
      <c r="E1" s="481" t="s">
        <v>267</v>
      </c>
      <c r="F1" s="481" t="s">
        <v>268</v>
      </c>
      <c r="H1" s="478" t="s">
        <v>269</v>
      </c>
      <c r="I1" s="470" t="s">
        <v>270</v>
      </c>
      <c r="J1" s="470" t="s">
        <v>271</v>
      </c>
      <c r="L1" s="456" t="s">
        <v>148</v>
      </c>
      <c r="M1" s="479" t="s">
        <v>7</v>
      </c>
      <c r="N1" s="480" t="s">
        <v>266</v>
      </c>
      <c r="O1" s="481" t="s">
        <v>127</v>
      </c>
      <c r="P1" s="481" t="s">
        <v>267</v>
      </c>
      <c r="Q1" s="481" t="s">
        <v>268</v>
      </c>
      <c r="S1" s="547" t="s">
        <v>269</v>
      </c>
      <c r="T1" s="470" t="s">
        <v>270</v>
      </c>
      <c r="U1" s="470" t="s">
        <v>271</v>
      </c>
    </row>
    <row r="2" spans="1:21">
      <c r="B2" s="346">
        <v>45839</v>
      </c>
      <c r="C2" s="4">
        <v>30</v>
      </c>
      <c r="D2" s="505" t="s">
        <v>459</v>
      </c>
      <c r="E2" t="s">
        <v>258</v>
      </c>
      <c r="F2" t="s">
        <v>255</v>
      </c>
      <c r="H2" s="6" t="s">
        <v>152</v>
      </c>
      <c r="I2" s="319">
        <f>+Efficiency1!Z154</f>
        <v>22.895</v>
      </c>
      <c r="J2" s="474">
        <f>I2/$I$8</f>
        <v>1.1514477162544371E-2</v>
      </c>
      <c r="M2" s="346">
        <v>45839</v>
      </c>
      <c r="N2" s="4">
        <v>30</v>
      </c>
      <c r="O2" s="505" t="s">
        <v>459</v>
      </c>
      <c r="P2" t="s">
        <v>258</v>
      </c>
      <c r="Q2" t="s">
        <v>255</v>
      </c>
      <c r="S2" s="6" t="s">
        <v>152</v>
      </c>
      <c r="T2" s="319">
        <f>+Efficiency2!Z154</f>
        <v>22.895</v>
      </c>
      <c r="U2" s="474">
        <f>T2/$T$8</f>
        <v>1.1530031717619713E-2</v>
      </c>
    </row>
    <row r="3" spans="1:21">
      <c r="B3" s="346"/>
      <c r="C3" s="4">
        <v>2</v>
      </c>
      <c r="D3" s="505" t="s">
        <v>454</v>
      </c>
      <c r="E3" t="s">
        <v>256</v>
      </c>
      <c r="F3" t="s">
        <v>255</v>
      </c>
      <c r="H3" s="6" t="s">
        <v>249</v>
      </c>
      <c r="I3" s="319">
        <f>+Efficiency1!AA154+Efficiency1!Y154</f>
        <v>53.936630182175421</v>
      </c>
      <c r="J3" s="474">
        <f>I3/$I$8</f>
        <v>2.7126101614206612E-2</v>
      </c>
      <c r="M3" s="346"/>
      <c r="N3" s="4">
        <v>2</v>
      </c>
      <c r="O3" s="505" t="s">
        <v>454</v>
      </c>
      <c r="P3" t="s">
        <v>256</v>
      </c>
      <c r="Q3" t="s">
        <v>255</v>
      </c>
      <c r="S3" s="6" t="s">
        <v>249</v>
      </c>
      <c r="T3" s="319">
        <f>+Efficiency2!AA154+Efficiency2!Y154</f>
        <v>53.936630182175421</v>
      </c>
      <c r="U3" s="474">
        <f>T3/$T$8</f>
        <v>2.7162745435335547E-2</v>
      </c>
    </row>
    <row r="4" spans="1:21">
      <c r="B4" s="44"/>
      <c r="C4" s="4">
        <v>13</v>
      </c>
      <c r="D4" t="s">
        <v>460</v>
      </c>
      <c r="E4" t="s">
        <v>257</v>
      </c>
      <c r="F4" t="s">
        <v>255</v>
      </c>
      <c r="H4" s="6" t="s">
        <v>272</v>
      </c>
      <c r="I4" s="319">
        <f>+Efficiency1!AB154</f>
        <v>-4.5432144600222575</v>
      </c>
      <c r="J4" s="474">
        <f>I4/$I$8</f>
        <v>-2.2848979752988705E-3</v>
      </c>
      <c r="M4" s="44"/>
      <c r="N4" s="4">
        <v>13</v>
      </c>
      <c r="O4" t="s">
        <v>460</v>
      </c>
      <c r="P4" t="s">
        <v>257</v>
      </c>
      <c r="Q4" t="s">
        <v>255</v>
      </c>
      <c r="S4" s="6" t="s">
        <v>272</v>
      </c>
      <c r="T4" s="319">
        <f>+Efficiency2!AB154</f>
        <v>-4.6400794584691614</v>
      </c>
      <c r="U4" s="474">
        <f>T4/$T$8</f>
        <v>-2.3367662515145289E-3</v>
      </c>
    </row>
    <row r="5" spans="1:21">
      <c r="B5" s="44"/>
      <c r="C5" s="4">
        <v>68</v>
      </c>
      <c r="D5" t="s">
        <v>461</v>
      </c>
      <c r="E5" t="s">
        <v>463</v>
      </c>
      <c r="F5" s="385" t="s">
        <v>336</v>
      </c>
      <c r="H5" s="6" t="s">
        <v>252</v>
      </c>
      <c r="I5" s="319">
        <f>+Efficiency1!AC154</f>
        <v>77.299525864246348</v>
      </c>
      <c r="J5" s="474">
        <f>I5/$I$8</f>
        <v>3.8875895402462224E-2</v>
      </c>
      <c r="M5" s="44"/>
      <c r="N5" s="4">
        <v>68</v>
      </c>
      <c r="O5" t="s">
        <v>461</v>
      </c>
      <c r="P5" t="s">
        <v>463</v>
      </c>
      <c r="Q5" s="385" t="s">
        <v>336</v>
      </c>
      <c r="S5" s="6" t="s">
        <v>252</v>
      </c>
      <c r="T5" s="319">
        <f>+Efficiency2!AC154</f>
        <v>77.289312742747242</v>
      </c>
      <c r="U5" s="474">
        <f>T5/$T$8</f>
        <v>3.8923268283769609E-2</v>
      </c>
    </row>
    <row r="6" spans="1:21">
      <c r="B6" s="346"/>
      <c r="C6" s="4">
        <v>105</v>
      </c>
      <c r="D6" t="s">
        <v>462</v>
      </c>
      <c r="E6" t="s">
        <v>464</v>
      </c>
      <c r="F6" s="385" t="s">
        <v>335</v>
      </c>
      <c r="M6" s="346"/>
      <c r="N6" s="4">
        <v>105</v>
      </c>
      <c r="O6" t="s">
        <v>462</v>
      </c>
      <c r="P6" t="s">
        <v>464</v>
      </c>
      <c r="Q6" s="385" t="s">
        <v>335</v>
      </c>
    </row>
    <row r="7" spans="1:21">
      <c r="B7" s="346"/>
      <c r="C7" s="4"/>
      <c r="M7" s="346"/>
      <c r="N7" s="4"/>
    </row>
    <row r="8" spans="1:21">
      <c r="B8" s="44">
        <v>45840</v>
      </c>
      <c r="C8" s="4">
        <v>10</v>
      </c>
      <c r="D8" t="s">
        <v>418</v>
      </c>
      <c r="E8" t="s">
        <v>258</v>
      </c>
      <c r="F8" t="s">
        <v>255</v>
      </c>
      <c r="H8" s="482" t="s">
        <v>273</v>
      </c>
      <c r="I8" s="7">
        <f>+Efficiency1!K154</f>
        <v>1988.3664431135019</v>
      </c>
      <c r="M8" s="44">
        <v>45840</v>
      </c>
      <c r="N8" s="4">
        <v>10</v>
      </c>
      <c r="O8" t="s">
        <v>418</v>
      </c>
      <c r="P8" t="s">
        <v>258</v>
      </c>
      <c r="Q8" t="s">
        <v>255</v>
      </c>
      <c r="S8" s="482" t="s">
        <v>273</v>
      </c>
      <c r="T8" s="7">
        <f>+Efficiency2!K154</f>
        <v>1985.6840432635424</v>
      </c>
    </row>
    <row r="9" spans="1:21">
      <c r="B9" s="346"/>
      <c r="C9" s="4">
        <v>0</v>
      </c>
      <c r="D9" t="s">
        <v>452</v>
      </c>
      <c r="E9" t="s">
        <v>256</v>
      </c>
      <c r="F9" t="s">
        <v>255</v>
      </c>
      <c r="H9" s="482" t="s">
        <v>274</v>
      </c>
      <c r="I9" s="7">
        <f>+Efficiency1!AD154</f>
        <v>3767</v>
      </c>
      <c r="M9" s="346"/>
      <c r="N9" s="4">
        <v>0</v>
      </c>
      <c r="O9" t="s">
        <v>452</v>
      </c>
      <c r="P9" t="s">
        <v>256</v>
      </c>
      <c r="Q9" t="s">
        <v>255</v>
      </c>
      <c r="S9" s="482" t="s">
        <v>274</v>
      </c>
      <c r="T9" s="7">
        <f>+Efficiency2!AD154</f>
        <v>3719</v>
      </c>
    </row>
    <row r="10" spans="1:21">
      <c r="B10" s="346"/>
      <c r="C10" s="4">
        <v>28</v>
      </c>
      <c r="D10" t="s">
        <v>460</v>
      </c>
      <c r="E10" t="s">
        <v>257</v>
      </c>
      <c r="F10" t="s">
        <v>255</v>
      </c>
      <c r="H10" s="482" t="s">
        <v>276</v>
      </c>
      <c r="I10" s="7">
        <f>+Efficiency1!V154</f>
        <v>169.74850152710297</v>
      </c>
      <c r="M10" s="346"/>
      <c r="N10" s="4">
        <v>28</v>
      </c>
      <c r="O10" t="s">
        <v>460</v>
      </c>
      <c r="P10" t="s">
        <v>257</v>
      </c>
      <c r="Q10" t="s">
        <v>255</v>
      </c>
      <c r="S10" s="482" t="s">
        <v>276</v>
      </c>
      <c r="T10" s="7">
        <f>+Efficiency2!V154</f>
        <v>167.17317979708949</v>
      </c>
    </row>
    <row r="11" spans="1:21">
      <c r="B11" s="346"/>
      <c r="C11" s="4">
        <v>60</v>
      </c>
      <c r="D11" t="s">
        <v>466</v>
      </c>
      <c r="E11" t="s">
        <v>463</v>
      </c>
      <c r="F11" s="385" t="s">
        <v>336</v>
      </c>
      <c r="H11" s="482" t="s">
        <v>275</v>
      </c>
      <c r="I11" s="483">
        <f>I10/I8</f>
        <v>8.5370833990388972E-2</v>
      </c>
      <c r="M11" s="346"/>
      <c r="N11" s="4">
        <v>50</v>
      </c>
      <c r="O11" t="s">
        <v>466</v>
      </c>
      <c r="P11" t="s">
        <v>463</v>
      </c>
      <c r="Q11" s="385" t="s">
        <v>336</v>
      </c>
      <c r="S11" s="482" t="s">
        <v>275</v>
      </c>
      <c r="T11" s="483">
        <f>T10/T8</f>
        <v>8.4189214474592045E-2</v>
      </c>
    </row>
    <row r="12" spans="1:21">
      <c r="B12" s="44"/>
      <c r="C12" s="4"/>
      <c r="M12" s="44"/>
      <c r="N12" s="4"/>
    </row>
    <row r="13" spans="1:21">
      <c r="B13" s="346">
        <v>45841</v>
      </c>
      <c r="C13" s="4">
        <v>0</v>
      </c>
      <c r="D13" s="505" t="s">
        <v>473</v>
      </c>
      <c r="E13" t="s">
        <v>258</v>
      </c>
      <c r="F13" t="s">
        <v>255</v>
      </c>
      <c r="M13" s="346">
        <v>45841</v>
      </c>
      <c r="N13" s="4">
        <v>0</v>
      </c>
      <c r="O13" s="505" t="s">
        <v>473</v>
      </c>
      <c r="P13" t="s">
        <v>258</v>
      </c>
      <c r="Q13" t="s">
        <v>255</v>
      </c>
    </row>
    <row r="14" spans="1:21">
      <c r="B14" s="346"/>
      <c r="C14" s="4">
        <v>0</v>
      </c>
      <c r="D14" s="505" t="s">
        <v>452</v>
      </c>
      <c r="E14" t="s">
        <v>256</v>
      </c>
      <c r="F14" t="s">
        <v>255</v>
      </c>
      <c r="M14" s="346"/>
      <c r="N14" s="4">
        <v>0</v>
      </c>
      <c r="O14" s="505" t="s">
        <v>452</v>
      </c>
      <c r="P14" t="s">
        <v>256</v>
      </c>
      <c r="Q14" t="s">
        <v>255</v>
      </c>
    </row>
    <row r="15" spans="1:21">
      <c r="B15" s="346"/>
      <c r="C15" s="4">
        <v>29</v>
      </c>
      <c r="D15" t="s">
        <v>490</v>
      </c>
      <c r="E15" t="s">
        <v>257</v>
      </c>
      <c r="F15" t="s">
        <v>255</v>
      </c>
      <c r="M15" s="346"/>
      <c r="N15" s="4">
        <v>29</v>
      </c>
      <c r="O15" t="s">
        <v>490</v>
      </c>
      <c r="P15" t="s">
        <v>257</v>
      </c>
      <c r="Q15" t="s">
        <v>255</v>
      </c>
    </row>
    <row r="16" spans="1:21">
      <c r="B16" s="346"/>
      <c r="C16" s="4">
        <v>38</v>
      </c>
      <c r="D16" t="s">
        <v>491</v>
      </c>
      <c r="E16" t="s">
        <v>492</v>
      </c>
      <c r="F16" t="s">
        <v>402</v>
      </c>
      <c r="M16" s="346"/>
      <c r="N16" s="4">
        <v>0</v>
      </c>
      <c r="O16" t="s">
        <v>491</v>
      </c>
      <c r="P16" t="s">
        <v>492</v>
      </c>
      <c r="Q16" t="s">
        <v>402</v>
      </c>
    </row>
    <row r="17" spans="2:17">
      <c r="B17" s="346"/>
      <c r="C17" s="4"/>
      <c r="M17" s="346"/>
      <c r="N17" s="4"/>
    </row>
    <row r="18" spans="2:17">
      <c r="B18" s="44">
        <v>45842</v>
      </c>
      <c r="C18" s="4">
        <v>30</v>
      </c>
      <c r="D18" s="502" t="s">
        <v>459</v>
      </c>
      <c r="E18" t="s">
        <v>258</v>
      </c>
      <c r="F18" t="s">
        <v>255</v>
      </c>
      <c r="M18" s="44">
        <v>45842</v>
      </c>
      <c r="N18" s="4">
        <v>30</v>
      </c>
      <c r="O18" s="502" t="s">
        <v>459</v>
      </c>
      <c r="P18" t="s">
        <v>258</v>
      </c>
      <c r="Q18" t="s">
        <v>255</v>
      </c>
    </row>
    <row r="19" spans="2:17">
      <c r="B19" s="346"/>
      <c r="C19" s="4">
        <v>0</v>
      </c>
      <c r="D19" s="502" t="s">
        <v>452</v>
      </c>
      <c r="E19" t="s">
        <v>256</v>
      </c>
      <c r="F19" t="s">
        <v>255</v>
      </c>
      <c r="M19" s="346"/>
      <c r="N19" s="4">
        <v>0</v>
      </c>
      <c r="O19" s="502" t="s">
        <v>452</v>
      </c>
      <c r="P19" t="s">
        <v>256</v>
      </c>
      <c r="Q19" t="s">
        <v>255</v>
      </c>
    </row>
    <row r="20" spans="2:17">
      <c r="B20" s="346"/>
      <c r="C20" s="4">
        <v>33</v>
      </c>
      <c r="D20" s="502" t="s">
        <v>490</v>
      </c>
      <c r="E20" t="s">
        <v>257</v>
      </c>
      <c r="F20" t="s">
        <v>255</v>
      </c>
      <c r="M20" s="346"/>
      <c r="N20" s="4">
        <v>33</v>
      </c>
      <c r="O20" s="502" t="s">
        <v>490</v>
      </c>
      <c r="P20" t="s">
        <v>257</v>
      </c>
      <c r="Q20" t="s">
        <v>255</v>
      </c>
    </row>
    <row r="21" spans="2:17">
      <c r="B21" s="44"/>
      <c r="C21" s="4"/>
      <c r="D21" s="502"/>
      <c r="M21" s="44"/>
      <c r="N21" s="4"/>
      <c r="O21" s="502"/>
    </row>
    <row r="22" spans="2:17">
      <c r="B22" s="346">
        <v>45843</v>
      </c>
      <c r="C22" s="4">
        <v>20</v>
      </c>
      <c r="D22" s="502" t="s">
        <v>504</v>
      </c>
      <c r="E22" t="s">
        <v>258</v>
      </c>
      <c r="F22" t="s">
        <v>255</v>
      </c>
      <c r="M22" s="346">
        <v>45843</v>
      </c>
      <c r="N22" s="4">
        <v>20</v>
      </c>
      <c r="O22" s="502" t="s">
        <v>504</v>
      </c>
      <c r="P22" t="s">
        <v>258</v>
      </c>
      <c r="Q22" t="s">
        <v>255</v>
      </c>
    </row>
    <row r="23" spans="2:17">
      <c r="B23" s="346"/>
      <c r="C23" s="4">
        <v>0</v>
      </c>
      <c r="D23" t="s">
        <v>452</v>
      </c>
      <c r="E23" t="s">
        <v>256</v>
      </c>
      <c r="F23" t="s">
        <v>255</v>
      </c>
      <c r="M23" s="346"/>
      <c r="N23" s="4">
        <v>0</v>
      </c>
      <c r="O23" t="s">
        <v>452</v>
      </c>
      <c r="P23" t="s">
        <v>256</v>
      </c>
      <c r="Q23" t="s">
        <v>255</v>
      </c>
    </row>
    <row r="24" spans="2:17">
      <c r="B24" s="44"/>
      <c r="C24" s="4">
        <v>28</v>
      </c>
      <c r="D24" t="s">
        <v>516</v>
      </c>
      <c r="E24" t="s">
        <v>257</v>
      </c>
      <c r="F24" t="s">
        <v>255</v>
      </c>
      <c r="M24" s="44"/>
      <c r="N24" s="4">
        <v>28</v>
      </c>
      <c r="O24" t="s">
        <v>516</v>
      </c>
      <c r="P24" t="s">
        <v>257</v>
      </c>
      <c r="Q24" t="s">
        <v>255</v>
      </c>
    </row>
    <row r="25" spans="2:17">
      <c r="B25" s="346"/>
      <c r="C25" s="4"/>
      <c r="M25" s="346"/>
      <c r="N25" s="4"/>
    </row>
    <row r="26" spans="2:17">
      <c r="B26" s="44">
        <v>45844</v>
      </c>
      <c r="C26" s="4">
        <v>30</v>
      </c>
      <c r="D26" t="s">
        <v>459</v>
      </c>
      <c r="E26" t="s">
        <v>258</v>
      </c>
      <c r="F26" t="s">
        <v>255</v>
      </c>
      <c r="M26" s="44">
        <v>45844</v>
      </c>
      <c r="N26" s="4">
        <v>30</v>
      </c>
      <c r="O26" t="s">
        <v>459</v>
      </c>
      <c r="P26" t="s">
        <v>258</v>
      </c>
      <c r="Q26" t="s">
        <v>255</v>
      </c>
    </row>
    <row r="27" spans="2:17">
      <c r="B27" s="346"/>
      <c r="C27" s="4">
        <v>0</v>
      </c>
      <c r="D27" t="s">
        <v>452</v>
      </c>
      <c r="E27" t="s">
        <v>256</v>
      </c>
      <c r="F27" t="s">
        <v>255</v>
      </c>
      <c r="M27" s="346"/>
      <c r="N27" s="4">
        <v>0</v>
      </c>
      <c r="O27" t="s">
        <v>452</v>
      </c>
      <c r="P27" t="s">
        <v>256</v>
      </c>
      <c r="Q27" t="s">
        <v>255</v>
      </c>
    </row>
    <row r="28" spans="2:17">
      <c r="B28" s="44"/>
      <c r="C28" s="4">
        <v>23</v>
      </c>
      <c r="D28" t="s">
        <v>516</v>
      </c>
      <c r="E28" t="s">
        <v>257</v>
      </c>
      <c r="F28" t="s">
        <v>255</v>
      </c>
      <c r="M28" s="44"/>
      <c r="N28" s="4">
        <v>23</v>
      </c>
      <c r="O28" t="s">
        <v>516</v>
      </c>
      <c r="P28" t="s">
        <v>257</v>
      </c>
      <c r="Q28" t="s">
        <v>255</v>
      </c>
    </row>
    <row r="29" spans="2:17">
      <c r="B29" s="346"/>
      <c r="C29" s="4">
        <v>62</v>
      </c>
      <c r="D29" t="s">
        <v>509</v>
      </c>
      <c r="E29" t="s">
        <v>517</v>
      </c>
      <c r="F29" s="385" t="s">
        <v>261</v>
      </c>
      <c r="M29" s="346"/>
      <c r="N29" s="4">
        <v>62</v>
      </c>
      <c r="O29" t="s">
        <v>509</v>
      </c>
      <c r="P29" t="s">
        <v>517</v>
      </c>
      <c r="Q29" s="385" t="s">
        <v>261</v>
      </c>
    </row>
    <row r="30" spans="2:17">
      <c r="B30" s="44"/>
      <c r="C30" s="4"/>
      <c r="M30" s="44"/>
      <c r="N30" s="4"/>
    </row>
    <row r="31" spans="2:17">
      <c r="B31" s="346">
        <v>45845</v>
      </c>
      <c r="C31" s="4">
        <v>35</v>
      </c>
      <c r="D31" t="s">
        <v>538</v>
      </c>
      <c r="E31" t="s">
        <v>258</v>
      </c>
      <c r="F31" t="s">
        <v>255</v>
      </c>
      <c r="M31" s="346">
        <v>45845</v>
      </c>
      <c r="N31" s="4">
        <v>35</v>
      </c>
      <c r="O31" t="s">
        <v>538</v>
      </c>
      <c r="P31" t="s">
        <v>258</v>
      </c>
      <c r="Q31" t="s">
        <v>255</v>
      </c>
    </row>
    <row r="32" spans="2:17">
      <c r="B32" s="44"/>
      <c r="C32" s="4">
        <v>5</v>
      </c>
      <c r="D32" t="s">
        <v>535</v>
      </c>
      <c r="E32" t="s">
        <v>256</v>
      </c>
      <c r="F32" t="s">
        <v>255</v>
      </c>
      <c r="M32" s="44"/>
      <c r="N32" s="4">
        <v>5</v>
      </c>
      <c r="O32" t="s">
        <v>535</v>
      </c>
      <c r="P32" t="s">
        <v>256</v>
      </c>
      <c r="Q32" t="s">
        <v>255</v>
      </c>
    </row>
    <row r="33" spans="2:17">
      <c r="B33" s="346"/>
      <c r="C33" s="4">
        <v>27</v>
      </c>
      <c r="D33" t="s">
        <v>539</v>
      </c>
      <c r="E33" t="s">
        <v>257</v>
      </c>
      <c r="F33" t="s">
        <v>255</v>
      </c>
      <c r="M33" s="346"/>
      <c r="N33" s="4">
        <v>27</v>
      </c>
      <c r="O33" t="s">
        <v>539</v>
      </c>
      <c r="P33" t="s">
        <v>257</v>
      </c>
      <c r="Q33" t="s">
        <v>255</v>
      </c>
    </row>
    <row r="34" spans="2:17">
      <c r="B34" s="44"/>
      <c r="C34" s="4">
        <v>40</v>
      </c>
      <c r="D34" t="s">
        <v>540</v>
      </c>
      <c r="E34" t="s">
        <v>202</v>
      </c>
      <c r="F34" t="s">
        <v>254</v>
      </c>
      <c r="M34" s="44"/>
      <c r="N34" s="4">
        <v>40</v>
      </c>
      <c r="O34" t="s">
        <v>540</v>
      </c>
      <c r="P34" t="s">
        <v>202</v>
      </c>
      <c r="Q34" t="s">
        <v>254</v>
      </c>
    </row>
    <row r="35" spans="2:17">
      <c r="B35" s="44"/>
      <c r="C35" s="4">
        <v>35</v>
      </c>
      <c r="D35" t="s">
        <v>541</v>
      </c>
      <c r="E35" t="s">
        <v>543</v>
      </c>
      <c r="F35" t="s">
        <v>253</v>
      </c>
      <c r="M35" s="44"/>
      <c r="N35" s="4">
        <v>35</v>
      </c>
      <c r="O35" t="s">
        <v>541</v>
      </c>
      <c r="P35" t="s">
        <v>543</v>
      </c>
      <c r="Q35" t="s">
        <v>253</v>
      </c>
    </row>
    <row r="36" spans="2:17">
      <c r="B36" s="346"/>
      <c r="C36" s="4">
        <v>33</v>
      </c>
      <c r="D36" t="s">
        <v>542</v>
      </c>
      <c r="E36" t="s">
        <v>544</v>
      </c>
      <c r="F36" t="s">
        <v>261</v>
      </c>
      <c r="M36" s="346"/>
      <c r="N36" s="4">
        <v>33</v>
      </c>
      <c r="O36" t="s">
        <v>542</v>
      </c>
      <c r="P36" t="s">
        <v>544</v>
      </c>
      <c r="Q36" t="s">
        <v>261</v>
      </c>
    </row>
    <row r="37" spans="2:17">
      <c r="B37" s="44"/>
      <c r="C37" s="4"/>
      <c r="M37" s="44"/>
      <c r="N37" s="4"/>
    </row>
    <row r="38" spans="2:17">
      <c r="B38" s="346">
        <v>45846</v>
      </c>
      <c r="C38" s="4">
        <v>35</v>
      </c>
      <c r="D38" t="s">
        <v>538</v>
      </c>
      <c r="E38" t="s">
        <v>258</v>
      </c>
      <c r="F38" t="s">
        <v>255</v>
      </c>
      <c r="M38" s="346">
        <v>45846</v>
      </c>
      <c r="N38" s="4">
        <v>35</v>
      </c>
      <c r="O38" t="s">
        <v>538</v>
      </c>
      <c r="P38" t="s">
        <v>258</v>
      </c>
      <c r="Q38" t="s">
        <v>255</v>
      </c>
    </row>
    <row r="39" spans="2:17">
      <c r="B39" s="346"/>
      <c r="C39" s="4">
        <v>0</v>
      </c>
      <c r="D39" t="s">
        <v>452</v>
      </c>
      <c r="E39" t="s">
        <v>256</v>
      </c>
      <c r="F39" t="s">
        <v>255</v>
      </c>
      <c r="M39" s="346"/>
      <c r="N39" s="4">
        <v>0</v>
      </c>
      <c r="O39" t="s">
        <v>452</v>
      </c>
      <c r="P39" t="s">
        <v>256</v>
      </c>
      <c r="Q39" t="s">
        <v>255</v>
      </c>
    </row>
    <row r="40" spans="2:17">
      <c r="B40" s="346"/>
      <c r="C40" s="4">
        <v>18</v>
      </c>
      <c r="D40" t="s">
        <v>579</v>
      </c>
      <c r="E40" t="s">
        <v>257</v>
      </c>
      <c r="F40" t="s">
        <v>255</v>
      </c>
      <c r="M40" s="346"/>
      <c r="N40" s="4">
        <v>18</v>
      </c>
      <c r="O40" t="s">
        <v>579</v>
      </c>
      <c r="P40" t="s">
        <v>257</v>
      </c>
      <c r="Q40" t="s">
        <v>255</v>
      </c>
    </row>
    <row r="41" spans="2:17">
      <c r="B41" s="346"/>
      <c r="C41" s="4">
        <v>393</v>
      </c>
      <c r="D41" t="s">
        <v>559</v>
      </c>
      <c r="E41" t="s">
        <v>580</v>
      </c>
      <c r="F41" t="s">
        <v>253</v>
      </c>
      <c r="M41" s="346"/>
      <c r="N41" s="4">
        <v>393</v>
      </c>
      <c r="O41" t="s">
        <v>559</v>
      </c>
      <c r="P41" t="s">
        <v>580</v>
      </c>
      <c r="Q41" t="s">
        <v>253</v>
      </c>
    </row>
    <row r="42" spans="2:17">
      <c r="B42" s="346"/>
      <c r="C42" s="4">
        <v>119</v>
      </c>
      <c r="D42" t="s">
        <v>565</v>
      </c>
      <c r="E42" t="s">
        <v>581</v>
      </c>
      <c r="F42" t="s">
        <v>261</v>
      </c>
      <c r="M42" s="346"/>
      <c r="N42" s="4">
        <v>119</v>
      </c>
      <c r="O42" t="s">
        <v>565</v>
      </c>
      <c r="P42" t="s">
        <v>581</v>
      </c>
      <c r="Q42" t="s">
        <v>261</v>
      </c>
    </row>
    <row r="43" spans="2:17">
      <c r="B43" s="44"/>
      <c r="C43" s="4"/>
      <c r="M43" s="44"/>
      <c r="N43" s="4"/>
    </row>
    <row r="44" spans="2:17">
      <c r="B44" s="44">
        <v>45847</v>
      </c>
      <c r="C44" s="4">
        <v>0</v>
      </c>
      <c r="D44" t="s">
        <v>473</v>
      </c>
      <c r="E44" t="s">
        <v>258</v>
      </c>
      <c r="F44" t="s">
        <v>255</v>
      </c>
      <c r="M44" s="44">
        <v>45847</v>
      </c>
      <c r="N44" s="4">
        <v>0</v>
      </c>
      <c r="O44" t="s">
        <v>473</v>
      </c>
      <c r="P44" t="s">
        <v>258</v>
      </c>
      <c r="Q44" t="s">
        <v>255</v>
      </c>
    </row>
    <row r="45" spans="2:17">
      <c r="B45" s="346"/>
      <c r="C45" s="4">
        <v>0</v>
      </c>
      <c r="D45" t="s">
        <v>452</v>
      </c>
      <c r="E45" t="s">
        <v>256</v>
      </c>
      <c r="F45" t="s">
        <v>255</v>
      </c>
      <c r="M45" s="346"/>
      <c r="N45" s="4">
        <v>0</v>
      </c>
      <c r="O45" t="s">
        <v>452</v>
      </c>
      <c r="P45" t="s">
        <v>256</v>
      </c>
      <c r="Q45" t="s">
        <v>255</v>
      </c>
    </row>
    <row r="46" spans="2:17">
      <c r="B46" s="346"/>
      <c r="C46" s="4">
        <v>19</v>
      </c>
      <c r="D46" t="s">
        <v>539</v>
      </c>
      <c r="E46" t="s">
        <v>257</v>
      </c>
      <c r="F46" t="s">
        <v>255</v>
      </c>
      <c r="M46" s="346"/>
      <c r="N46" s="4">
        <v>19</v>
      </c>
      <c r="O46" t="s">
        <v>539</v>
      </c>
      <c r="P46" t="s">
        <v>257</v>
      </c>
      <c r="Q46" t="s">
        <v>255</v>
      </c>
    </row>
    <row r="47" spans="2:17">
      <c r="B47" s="44"/>
      <c r="C47" s="4"/>
      <c r="M47" s="44"/>
      <c r="N47" s="4"/>
    </row>
    <row r="48" spans="2:17">
      <c r="B48" s="44">
        <v>45848</v>
      </c>
      <c r="C48" s="4">
        <v>10</v>
      </c>
      <c r="D48" t="s">
        <v>418</v>
      </c>
      <c r="E48" t="s">
        <v>258</v>
      </c>
      <c r="F48" t="s">
        <v>255</v>
      </c>
      <c r="M48" s="44">
        <v>45848</v>
      </c>
      <c r="N48" s="4">
        <v>10</v>
      </c>
      <c r="O48" t="s">
        <v>418</v>
      </c>
      <c r="P48" t="s">
        <v>258</v>
      </c>
      <c r="Q48" t="s">
        <v>255</v>
      </c>
    </row>
    <row r="49" spans="2:17">
      <c r="B49" s="346"/>
      <c r="C49" s="4">
        <v>12</v>
      </c>
      <c r="D49" t="s">
        <v>609</v>
      </c>
      <c r="E49" t="s">
        <v>256</v>
      </c>
      <c r="F49" t="s">
        <v>255</v>
      </c>
      <c r="M49" s="346"/>
      <c r="N49" s="4">
        <v>12</v>
      </c>
      <c r="O49" t="s">
        <v>609</v>
      </c>
      <c r="P49" t="s">
        <v>256</v>
      </c>
      <c r="Q49" t="s">
        <v>255</v>
      </c>
    </row>
    <row r="50" spans="2:17">
      <c r="B50" s="346"/>
      <c r="C50">
        <v>27</v>
      </c>
      <c r="D50" t="s">
        <v>610</v>
      </c>
      <c r="E50" t="s">
        <v>257</v>
      </c>
      <c r="F50" t="s">
        <v>255</v>
      </c>
      <c r="G50" s="526">
        <f>+summary!H43</f>
        <v>1</v>
      </c>
      <c r="M50" s="346"/>
      <c r="N50">
        <v>27</v>
      </c>
      <c r="O50" t="s">
        <v>610</v>
      </c>
      <c r="P50" t="s">
        <v>257</v>
      </c>
      <c r="Q50" t="s">
        <v>255</v>
      </c>
    </row>
    <row r="51" spans="2:17">
      <c r="B51" s="44"/>
      <c r="C51">
        <v>15</v>
      </c>
      <c r="D51" t="s">
        <v>540</v>
      </c>
      <c r="E51" t="s">
        <v>202</v>
      </c>
      <c r="F51" t="s">
        <v>254</v>
      </c>
      <c r="M51" s="44"/>
      <c r="N51">
        <v>15</v>
      </c>
      <c r="O51" t="s">
        <v>540</v>
      </c>
      <c r="P51" t="s">
        <v>202</v>
      </c>
      <c r="Q51" t="s">
        <v>254</v>
      </c>
    </row>
    <row r="52" spans="2:17">
      <c r="B52" s="346"/>
      <c r="M52" s="346"/>
    </row>
    <row r="53" spans="2:17">
      <c r="B53" s="346">
        <v>45849</v>
      </c>
      <c r="C53">
        <v>20</v>
      </c>
      <c r="D53" t="s">
        <v>418</v>
      </c>
      <c r="E53" t="s">
        <v>258</v>
      </c>
      <c r="F53" t="s">
        <v>255</v>
      </c>
      <c r="M53" s="346">
        <v>45849</v>
      </c>
      <c r="N53">
        <v>20</v>
      </c>
      <c r="O53" t="s">
        <v>418</v>
      </c>
      <c r="P53" t="s">
        <v>258</v>
      </c>
      <c r="Q53" t="s">
        <v>255</v>
      </c>
    </row>
    <row r="54" spans="2:17">
      <c r="B54" s="44"/>
      <c r="C54">
        <v>16</v>
      </c>
      <c r="D54" t="s">
        <v>625</v>
      </c>
      <c r="E54" t="s">
        <v>256</v>
      </c>
      <c r="F54" t="s">
        <v>255</v>
      </c>
      <c r="M54" s="44"/>
      <c r="N54">
        <v>16</v>
      </c>
      <c r="O54" t="s">
        <v>625</v>
      </c>
      <c r="P54" t="s">
        <v>256</v>
      </c>
      <c r="Q54" t="s">
        <v>255</v>
      </c>
    </row>
    <row r="55" spans="2:17">
      <c r="B55" s="346"/>
      <c r="C55">
        <v>30</v>
      </c>
      <c r="D55" t="s">
        <v>626</v>
      </c>
      <c r="E55" t="s">
        <v>257</v>
      </c>
      <c r="F55" t="s">
        <v>255</v>
      </c>
      <c r="M55" s="346"/>
      <c r="N55">
        <v>30</v>
      </c>
      <c r="O55" t="s">
        <v>626</v>
      </c>
      <c r="P55" t="s">
        <v>257</v>
      </c>
      <c r="Q55" t="s">
        <v>255</v>
      </c>
    </row>
    <row r="56" spans="2:17">
      <c r="B56" s="346"/>
      <c r="C56">
        <v>36</v>
      </c>
      <c r="D56" t="s">
        <v>627</v>
      </c>
      <c r="E56" t="s">
        <v>628</v>
      </c>
      <c r="F56" t="s">
        <v>255</v>
      </c>
      <c r="M56" s="346"/>
      <c r="N56">
        <v>36</v>
      </c>
      <c r="O56" t="s">
        <v>627</v>
      </c>
      <c r="P56" t="s">
        <v>628</v>
      </c>
      <c r="Q56" t="s">
        <v>255</v>
      </c>
    </row>
    <row r="57" spans="2:17">
      <c r="B57" s="44"/>
      <c r="E57" s="385"/>
      <c r="F57" s="385"/>
      <c r="M57" s="44"/>
      <c r="P57" s="385"/>
      <c r="Q57" s="385"/>
    </row>
    <row r="58" spans="2:17">
      <c r="B58" s="44">
        <v>45850</v>
      </c>
      <c r="C58">
        <v>5</v>
      </c>
      <c r="D58" t="s">
        <v>536</v>
      </c>
      <c r="E58" t="s">
        <v>258</v>
      </c>
      <c r="F58" t="s">
        <v>255</v>
      </c>
      <c r="M58" s="44">
        <v>45850</v>
      </c>
      <c r="N58">
        <v>5</v>
      </c>
      <c r="O58" t="s">
        <v>536</v>
      </c>
      <c r="P58" t="s">
        <v>258</v>
      </c>
      <c r="Q58" t="s">
        <v>255</v>
      </c>
    </row>
    <row r="59" spans="2:17">
      <c r="B59" s="346"/>
      <c r="C59">
        <v>18</v>
      </c>
      <c r="D59" t="s">
        <v>658</v>
      </c>
      <c r="E59" t="s">
        <v>256</v>
      </c>
      <c r="F59" t="s">
        <v>255</v>
      </c>
      <c r="M59" s="346"/>
      <c r="N59">
        <v>18</v>
      </c>
      <c r="O59" t="s">
        <v>658</v>
      </c>
      <c r="P59" t="s">
        <v>256</v>
      </c>
      <c r="Q59" t="s">
        <v>255</v>
      </c>
    </row>
    <row r="60" spans="2:17">
      <c r="B60" s="346"/>
      <c r="C60">
        <v>28</v>
      </c>
      <c r="D60" t="s">
        <v>610</v>
      </c>
      <c r="E60" t="s">
        <v>257</v>
      </c>
      <c r="F60" t="s">
        <v>255</v>
      </c>
      <c r="M60" s="346"/>
      <c r="N60">
        <v>28</v>
      </c>
      <c r="O60" t="s">
        <v>610</v>
      </c>
      <c r="P60" t="s">
        <v>257</v>
      </c>
      <c r="Q60" t="s">
        <v>255</v>
      </c>
    </row>
    <row r="61" spans="2:17">
      <c r="B61" s="44"/>
      <c r="C61">
        <v>15</v>
      </c>
      <c r="D61" t="s">
        <v>540</v>
      </c>
      <c r="E61" t="s">
        <v>202</v>
      </c>
      <c r="F61" t="s">
        <v>254</v>
      </c>
      <c r="M61" s="44"/>
      <c r="N61">
        <v>15</v>
      </c>
      <c r="O61" t="s">
        <v>540</v>
      </c>
      <c r="P61" t="s">
        <v>202</v>
      </c>
      <c r="Q61" t="s">
        <v>254</v>
      </c>
    </row>
    <row r="62" spans="2:17">
      <c r="B62" s="346"/>
      <c r="M62" s="346"/>
    </row>
    <row r="63" spans="2:17">
      <c r="B63" s="44">
        <v>45851</v>
      </c>
      <c r="C63">
        <v>20</v>
      </c>
      <c r="D63" t="s">
        <v>504</v>
      </c>
      <c r="E63" t="s">
        <v>258</v>
      </c>
      <c r="F63" t="s">
        <v>255</v>
      </c>
      <c r="M63" s="44">
        <v>45851</v>
      </c>
      <c r="N63">
        <v>20</v>
      </c>
      <c r="O63" t="s">
        <v>504</v>
      </c>
      <c r="P63" t="s">
        <v>258</v>
      </c>
      <c r="Q63" t="s">
        <v>255</v>
      </c>
    </row>
    <row r="64" spans="2:17">
      <c r="B64" s="346"/>
      <c r="C64">
        <v>18</v>
      </c>
      <c r="D64" t="s">
        <v>659</v>
      </c>
      <c r="E64" t="s">
        <v>256</v>
      </c>
      <c r="F64" t="s">
        <v>255</v>
      </c>
      <c r="M64" s="346"/>
      <c r="N64">
        <v>18</v>
      </c>
      <c r="O64" t="s">
        <v>659</v>
      </c>
      <c r="P64" t="s">
        <v>256</v>
      </c>
      <c r="Q64" t="s">
        <v>255</v>
      </c>
    </row>
    <row r="65" spans="2:18">
      <c r="B65" s="346"/>
      <c r="C65">
        <v>25</v>
      </c>
      <c r="D65" t="s">
        <v>460</v>
      </c>
      <c r="E65" t="s">
        <v>257</v>
      </c>
      <c r="F65" t="s">
        <v>255</v>
      </c>
      <c r="M65" s="346"/>
      <c r="N65">
        <v>25</v>
      </c>
      <c r="O65" t="s">
        <v>460</v>
      </c>
      <c r="P65" t="s">
        <v>257</v>
      </c>
      <c r="Q65" t="s">
        <v>255</v>
      </c>
    </row>
    <row r="66" spans="2:18">
      <c r="B66" s="346"/>
      <c r="C66">
        <v>10</v>
      </c>
      <c r="D66" t="s">
        <v>540</v>
      </c>
      <c r="E66" t="s">
        <v>202</v>
      </c>
      <c r="F66" t="s">
        <v>254</v>
      </c>
      <c r="M66" s="346"/>
      <c r="N66">
        <v>10</v>
      </c>
      <c r="O66" t="s">
        <v>540</v>
      </c>
      <c r="P66" t="s">
        <v>202</v>
      </c>
      <c r="Q66" t="s">
        <v>254</v>
      </c>
    </row>
    <row r="67" spans="2:18">
      <c r="B67" s="44"/>
      <c r="M67" s="44"/>
    </row>
    <row r="68" spans="2:18">
      <c r="B68" s="44">
        <v>45852</v>
      </c>
      <c r="C68">
        <v>120</v>
      </c>
      <c r="D68" t="s">
        <v>676</v>
      </c>
      <c r="E68" t="s">
        <v>258</v>
      </c>
      <c r="F68" t="s">
        <v>255</v>
      </c>
      <c r="M68" s="44">
        <v>45852</v>
      </c>
      <c r="N68">
        <v>120</v>
      </c>
      <c r="O68" t="s">
        <v>676</v>
      </c>
      <c r="P68" t="s">
        <v>258</v>
      </c>
      <c r="Q68" t="s">
        <v>255</v>
      </c>
    </row>
    <row r="69" spans="2:18">
      <c r="B69" s="346"/>
      <c r="C69">
        <v>12</v>
      </c>
      <c r="D69" t="s">
        <v>677</v>
      </c>
      <c r="E69" t="s">
        <v>256</v>
      </c>
      <c r="F69" t="s">
        <v>255</v>
      </c>
      <c r="M69" s="346"/>
      <c r="N69">
        <v>12</v>
      </c>
      <c r="O69" t="s">
        <v>677</v>
      </c>
      <c r="P69" t="s">
        <v>256</v>
      </c>
      <c r="Q69" t="s">
        <v>255</v>
      </c>
    </row>
    <row r="70" spans="2:18">
      <c r="B70" s="346"/>
      <c r="C70">
        <v>30</v>
      </c>
      <c r="D70" t="s">
        <v>678</v>
      </c>
      <c r="E70" t="s">
        <v>257</v>
      </c>
      <c r="F70" t="s">
        <v>255</v>
      </c>
      <c r="M70" s="346"/>
      <c r="N70">
        <v>30</v>
      </c>
      <c r="O70" t="s">
        <v>678</v>
      </c>
      <c r="P70" t="s">
        <v>257</v>
      </c>
      <c r="Q70" t="s">
        <v>255</v>
      </c>
    </row>
    <row r="71" spans="2:18">
      <c r="B71" s="44"/>
      <c r="C71">
        <v>180</v>
      </c>
      <c r="D71" t="s">
        <v>667</v>
      </c>
      <c r="E71" t="s">
        <v>679</v>
      </c>
      <c r="F71" t="s">
        <v>263</v>
      </c>
      <c r="M71" s="44"/>
      <c r="N71">
        <v>180</v>
      </c>
      <c r="O71" t="s">
        <v>667</v>
      </c>
      <c r="P71" t="s">
        <v>679</v>
      </c>
      <c r="Q71" t="s">
        <v>263</v>
      </c>
      <c r="R71" s="526"/>
    </row>
    <row r="72" spans="2:18">
      <c r="B72" s="44"/>
      <c r="M72" s="44"/>
    </row>
    <row r="73" spans="2:18">
      <c r="B73" s="346">
        <v>45853</v>
      </c>
      <c r="C73">
        <v>40</v>
      </c>
      <c r="D73" t="s">
        <v>688</v>
      </c>
      <c r="E73" t="s">
        <v>258</v>
      </c>
      <c r="F73" t="s">
        <v>255</v>
      </c>
      <c r="M73" s="346">
        <v>45853</v>
      </c>
      <c r="N73">
        <v>40</v>
      </c>
      <c r="O73" t="s">
        <v>688</v>
      </c>
      <c r="P73" t="s">
        <v>258</v>
      </c>
      <c r="Q73" t="s">
        <v>255</v>
      </c>
    </row>
    <row r="74" spans="2:18">
      <c r="B74" s="346"/>
      <c r="C74">
        <v>21</v>
      </c>
      <c r="D74" t="s">
        <v>689</v>
      </c>
      <c r="E74" t="s">
        <v>256</v>
      </c>
      <c r="F74" t="s">
        <v>255</v>
      </c>
      <c r="M74" s="346"/>
      <c r="N74">
        <v>21</v>
      </c>
      <c r="O74" t="s">
        <v>689</v>
      </c>
      <c r="P74" t="s">
        <v>256</v>
      </c>
      <c r="Q74" t="s">
        <v>255</v>
      </c>
    </row>
    <row r="75" spans="2:18">
      <c r="B75" s="44"/>
      <c r="C75">
        <v>30</v>
      </c>
      <c r="D75" t="s">
        <v>516</v>
      </c>
      <c r="E75" t="s">
        <v>257</v>
      </c>
      <c r="F75" t="s">
        <v>255</v>
      </c>
      <c r="M75" s="44"/>
      <c r="N75">
        <v>30</v>
      </c>
      <c r="O75" t="s">
        <v>516</v>
      </c>
      <c r="P75" t="s">
        <v>257</v>
      </c>
      <c r="Q75" t="s">
        <v>255</v>
      </c>
    </row>
    <row r="76" spans="2:18">
      <c r="B76" s="44"/>
      <c r="C76">
        <v>10</v>
      </c>
      <c r="D76" s="502" t="s">
        <v>691</v>
      </c>
      <c r="E76" s="385" t="s">
        <v>690</v>
      </c>
      <c r="F76" t="s">
        <v>263</v>
      </c>
      <c r="M76" s="44"/>
      <c r="N76">
        <v>10</v>
      </c>
      <c r="O76" s="502" t="s">
        <v>691</v>
      </c>
      <c r="P76" s="385" t="s">
        <v>690</v>
      </c>
      <c r="Q76" t="s">
        <v>263</v>
      </c>
    </row>
    <row r="77" spans="2:18">
      <c r="B77" s="44"/>
      <c r="M77" s="44"/>
    </row>
    <row r="78" spans="2:18">
      <c r="B78" s="346">
        <v>45854</v>
      </c>
      <c r="C78">
        <v>20</v>
      </c>
      <c r="D78" t="s">
        <v>504</v>
      </c>
      <c r="E78" t="s">
        <v>258</v>
      </c>
      <c r="F78" t="s">
        <v>255</v>
      </c>
      <c r="M78" s="346">
        <v>45854</v>
      </c>
      <c r="N78">
        <v>20</v>
      </c>
      <c r="O78" t="s">
        <v>504</v>
      </c>
      <c r="P78" t="s">
        <v>258</v>
      </c>
      <c r="Q78" t="s">
        <v>255</v>
      </c>
    </row>
    <row r="79" spans="2:18">
      <c r="B79" s="44"/>
      <c r="C79">
        <v>14</v>
      </c>
      <c r="D79" t="s">
        <v>677</v>
      </c>
      <c r="E79" t="s">
        <v>256</v>
      </c>
      <c r="F79" t="s">
        <v>255</v>
      </c>
      <c r="M79" s="44"/>
      <c r="N79">
        <v>14</v>
      </c>
      <c r="O79" t="s">
        <v>677</v>
      </c>
      <c r="P79" t="s">
        <v>256</v>
      </c>
      <c r="Q79" t="s">
        <v>255</v>
      </c>
    </row>
    <row r="80" spans="2:18">
      <c r="B80" s="346"/>
      <c r="C80">
        <v>25</v>
      </c>
      <c r="D80" t="s">
        <v>460</v>
      </c>
      <c r="E80" t="s">
        <v>257</v>
      </c>
      <c r="F80" t="s">
        <v>255</v>
      </c>
      <c r="M80" s="346"/>
      <c r="N80">
        <v>25</v>
      </c>
      <c r="O80" t="s">
        <v>460</v>
      </c>
      <c r="P80" t="s">
        <v>257</v>
      </c>
      <c r="Q80" t="s">
        <v>255</v>
      </c>
    </row>
    <row r="81" spans="2:17">
      <c r="B81" s="44"/>
      <c r="M81" s="44"/>
    </row>
    <row r="82" spans="2:17">
      <c r="B82" s="44">
        <v>45855</v>
      </c>
      <c r="C82">
        <v>30</v>
      </c>
      <c r="D82" t="s">
        <v>459</v>
      </c>
      <c r="E82" t="s">
        <v>258</v>
      </c>
      <c r="F82" t="s">
        <v>255</v>
      </c>
      <c r="M82" s="44">
        <v>45855</v>
      </c>
      <c r="N82">
        <v>30</v>
      </c>
      <c r="O82" t="s">
        <v>459</v>
      </c>
      <c r="P82" t="s">
        <v>258</v>
      </c>
      <c r="Q82" t="s">
        <v>255</v>
      </c>
    </row>
    <row r="83" spans="2:17">
      <c r="B83" s="346"/>
      <c r="C83">
        <v>21</v>
      </c>
      <c r="D83" t="s">
        <v>689</v>
      </c>
      <c r="E83" t="s">
        <v>256</v>
      </c>
      <c r="F83" t="s">
        <v>255</v>
      </c>
      <c r="M83" s="346"/>
      <c r="N83">
        <v>21</v>
      </c>
      <c r="O83" t="s">
        <v>689</v>
      </c>
      <c r="P83" t="s">
        <v>256</v>
      </c>
      <c r="Q83" t="s">
        <v>255</v>
      </c>
    </row>
    <row r="84" spans="2:17">
      <c r="B84" s="346"/>
      <c r="C84">
        <v>30</v>
      </c>
      <c r="D84" t="s">
        <v>460</v>
      </c>
      <c r="E84" t="s">
        <v>257</v>
      </c>
      <c r="F84" t="s">
        <v>255</v>
      </c>
      <c r="M84" s="346"/>
      <c r="N84">
        <v>30</v>
      </c>
      <c r="O84" t="s">
        <v>460</v>
      </c>
      <c r="P84" t="s">
        <v>257</v>
      </c>
      <c r="Q84" t="s">
        <v>255</v>
      </c>
    </row>
    <row r="85" spans="2:17">
      <c r="B85" s="44"/>
      <c r="C85">
        <v>7</v>
      </c>
      <c r="D85" t="s">
        <v>540</v>
      </c>
      <c r="E85" t="s">
        <v>202</v>
      </c>
      <c r="F85" t="s">
        <v>254</v>
      </c>
      <c r="M85" s="44"/>
      <c r="N85">
        <v>7</v>
      </c>
      <c r="O85" t="s">
        <v>540</v>
      </c>
      <c r="P85" t="s">
        <v>202</v>
      </c>
      <c r="Q85" t="s">
        <v>254</v>
      </c>
    </row>
    <row r="86" spans="2:17">
      <c r="B86" s="44"/>
      <c r="M86" s="44"/>
    </row>
    <row r="87" spans="2:17">
      <c r="B87" s="346">
        <v>45856</v>
      </c>
      <c r="C87">
        <v>100</v>
      </c>
      <c r="D87" t="s">
        <v>712</v>
      </c>
      <c r="E87" t="s">
        <v>258</v>
      </c>
      <c r="F87" t="s">
        <v>255</v>
      </c>
      <c r="M87" s="346">
        <v>45856</v>
      </c>
      <c r="N87">
        <v>100</v>
      </c>
      <c r="O87" t="s">
        <v>712</v>
      </c>
      <c r="P87" t="s">
        <v>258</v>
      </c>
      <c r="Q87" t="s">
        <v>255</v>
      </c>
    </row>
    <row r="88" spans="2:17">
      <c r="B88" s="346"/>
      <c r="C88">
        <v>18</v>
      </c>
      <c r="D88" t="s">
        <v>677</v>
      </c>
      <c r="E88" t="s">
        <v>256</v>
      </c>
      <c r="F88" t="s">
        <v>255</v>
      </c>
      <c r="M88" s="346"/>
      <c r="N88">
        <v>18</v>
      </c>
      <c r="O88" t="s">
        <v>677</v>
      </c>
      <c r="P88" t="s">
        <v>256</v>
      </c>
      <c r="Q88" t="s">
        <v>255</v>
      </c>
    </row>
    <row r="89" spans="2:17">
      <c r="B89" s="44"/>
      <c r="C89">
        <v>29</v>
      </c>
      <c r="D89" t="s">
        <v>626</v>
      </c>
      <c r="E89" t="s">
        <v>257</v>
      </c>
      <c r="F89" t="s">
        <v>255</v>
      </c>
      <c r="M89" s="44"/>
      <c r="N89">
        <v>29</v>
      </c>
      <c r="O89" t="s">
        <v>626</v>
      </c>
      <c r="P89" t="s">
        <v>257</v>
      </c>
      <c r="Q89" t="s">
        <v>255</v>
      </c>
    </row>
    <row r="90" spans="2:17">
      <c r="B90" s="44"/>
      <c r="M90" s="44"/>
    </row>
    <row r="91" spans="2:17">
      <c r="B91" s="346">
        <v>45857</v>
      </c>
      <c r="C91">
        <v>40</v>
      </c>
      <c r="D91" t="s">
        <v>688</v>
      </c>
      <c r="E91" t="s">
        <v>258</v>
      </c>
      <c r="F91" t="s">
        <v>255</v>
      </c>
      <c r="M91" s="346">
        <v>45857</v>
      </c>
      <c r="N91">
        <v>40</v>
      </c>
      <c r="O91" t="s">
        <v>688</v>
      </c>
      <c r="P91" t="s">
        <v>258</v>
      </c>
      <c r="Q91" t="s">
        <v>255</v>
      </c>
    </row>
    <row r="92" spans="2:17">
      <c r="B92" s="346"/>
      <c r="C92">
        <v>18</v>
      </c>
      <c r="D92" t="s">
        <v>658</v>
      </c>
      <c r="E92" t="s">
        <v>256</v>
      </c>
      <c r="F92" t="s">
        <v>255</v>
      </c>
      <c r="M92" s="346"/>
      <c r="N92">
        <v>18</v>
      </c>
      <c r="O92" t="s">
        <v>658</v>
      </c>
      <c r="P92" t="s">
        <v>256</v>
      </c>
      <c r="Q92" t="s">
        <v>255</v>
      </c>
    </row>
    <row r="93" spans="2:17">
      <c r="B93" s="44"/>
      <c r="C93">
        <v>30</v>
      </c>
      <c r="D93" t="s">
        <v>460</v>
      </c>
      <c r="E93" t="s">
        <v>257</v>
      </c>
      <c r="F93" t="s">
        <v>255</v>
      </c>
      <c r="M93" s="44"/>
      <c r="N93">
        <v>30</v>
      </c>
      <c r="O93" t="s">
        <v>460</v>
      </c>
      <c r="P93" t="s">
        <v>257</v>
      </c>
      <c r="Q93" t="s">
        <v>255</v>
      </c>
    </row>
    <row r="94" spans="2:17">
      <c r="B94" s="346"/>
      <c r="M94" s="346"/>
    </row>
    <row r="95" spans="2:17">
      <c r="B95" s="44">
        <v>45858</v>
      </c>
      <c r="C95">
        <v>80</v>
      </c>
      <c r="D95" t="s">
        <v>728</v>
      </c>
      <c r="E95" t="s">
        <v>258</v>
      </c>
      <c r="F95" t="s">
        <v>255</v>
      </c>
      <c r="M95" s="44">
        <v>45858</v>
      </c>
      <c r="N95">
        <v>80</v>
      </c>
      <c r="O95" t="s">
        <v>728</v>
      </c>
      <c r="P95" t="s">
        <v>258</v>
      </c>
      <c r="Q95" t="s">
        <v>255</v>
      </c>
    </row>
    <row r="96" spans="2:17">
      <c r="B96" s="346"/>
      <c r="C96">
        <v>18</v>
      </c>
      <c r="D96" t="s">
        <v>658</v>
      </c>
      <c r="E96" t="s">
        <v>256</v>
      </c>
      <c r="F96" t="s">
        <v>255</v>
      </c>
      <c r="M96" s="346"/>
      <c r="N96">
        <v>18</v>
      </c>
      <c r="O96" t="s">
        <v>658</v>
      </c>
      <c r="P96" t="s">
        <v>256</v>
      </c>
      <c r="Q96" t="s">
        <v>255</v>
      </c>
    </row>
    <row r="97" spans="2:17">
      <c r="B97" s="44"/>
      <c r="C97">
        <v>35</v>
      </c>
      <c r="D97" t="s">
        <v>729</v>
      </c>
      <c r="E97" t="s">
        <v>257</v>
      </c>
      <c r="F97" t="s">
        <v>255</v>
      </c>
      <c r="M97" s="44"/>
      <c r="N97">
        <v>35</v>
      </c>
      <c r="O97" t="s">
        <v>729</v>
      </c>
      <c r="P97" t="s">
        <v>257</v>
      </c>
      <c r="Q97" t="s">
        <v>255</v>
      </c>
    </row>
    <row r="98" spans="2:17">
      <c r="B98" s="346"/>
      <c r="D98" s="502"/>
      <c r="E98" s="502"/>
      <c r="F98" s="385"/>
      <c r="M98" s="346"/>
      <c r="O98" s="502"/>
      <c r="P98" s="502"/>
      <c r="Q98" s="385"/>
    </row>
    <row r="99" spans="2:17">
      <c r="B99" s="44">
        <v>45859</v>
      </c>
      <c r="C99">
        <v>95</v>
      </c>
      <c r="D99" t="s">
        <v>740</v>
      </c>
      <c r="E99" t="s">
        <v>258</v>
      </c>
      <c r="F99" t="s">
        <v>255</v>
      </c>
      <c r="M99" s="44">
        <v>45859</v>
      </c>
      <c r="N99">
        <v>95</v>
      </c>
      <c r="O99" t="s">
        <v>740</v>
      </c>
      <c r="P99" t="s">
        <v>258</v>
      </c>
      <c r="Q99" t="s">
        <v>255</v>
      </c>
    </row>
    <row r="100" spans="2:17">
      <c r="B100" s="44"/>
      <c r="C100">
        <v>19</v>
      </c>
      <c r="D100" t="s">
        <v>741</v>
      </c>
      <c r="E100" t="s">
        <v>256</v>
      </c>
      <c r="F100" t="s">
        <v>255</v>
      </c>
      <c r="M100" s="44"/>
      <c r="N100">
        <v>19</v>
      </c>
      <c r="O100" t="s">
        <v>741</v>
      </c>
      <c r="P100" t="s">
        <v>256</v>
      </c>
      <c r="Q100" t="s">
        <v>255</v>
      </c>
    </row>
    <row r="101" spans="2:17">
      <c r="B101" s="346"/>
      <c r="C101">
        <v>30</v>
      </c>
      <c r="D101" t="s">
        <v>742</v>
      </c>
      <c r="E101" t="s">
        <v>257</v>
      </c>
      <c r="F101" t="s">
        <v>255</v>
      </c>
      <c r="M101" s="346"/>
      <c r="N101">
        <v>30</v>
      </c>
      <c r="O101" t="s">
        <v>742</v>
      </c>
      <c r="P101" t="s">
        <v>257</v>
      </c>
      <c r="Q101" t="s">
        <v>255</v>
      </c>
    </row>
    <row r="102" spans="2:17">
      <c r="B102" s="44"/>
      <c r="M102" s="44"/>
    </row>
    <row r="103" spans="2:17">
      <c r="B103" s="346">
        <v>45860</v>
      </c>
      <c r="C103">
        <v>70</v>
      </c>
      <c r="D103" t="s">
        <v>750</v>
      </c>
      <c r="E103" t="s">
        <v>258</v>
      </c>
      <c r="F103" t="s">
        <v>255</v>
      </c>
      <c r="M103" s="346">
        <v>45860</v>
      </c>
      <c r="N103">
        <v>70</v>
      </c>
      <c r="O103" t="s">
        <v>750</v>
      </c>
      <c r="P103" t="s">
        <v>258</v>
      </c>
      <c r="Q103" t="s">
        <v>255</v>
      </c>
    </row>
    <row r="104" spans="2:17">
      <c r="B104" s="44"/>
      <c r="C104">
        <v>15</v>
      </c>
      <c r="D104" t="s">
        <v>689</v>
      </c>
      <c r="E104" t="s">
        <v>256</v>
      </c>
      <c r="F104" t="s">
        <v>255</v>
      </c>
      <c r="M104" s="44"/>
      <c r="N104">
        <v>15</v>
      </c>
      <c r="O104" t="s">
        <v>689</v>
      </c>
      <c r="P104" t="s">
        <v>256</v>
      </c>
      <c r="Q104" t="s">
        <v>255</v>
      </c>
    </row>
    <row r="105" spans="2:17">
      <c r="B105" s="346"/>
      <c r="C105">
        <v>30</v>
      </c>
      <c r="D105" t="s">
        <v>490</v>
      </c>
      <c r="E105" t="s">
        <v>257</v>
      </c>
      <c r="F105" t="s">
        <v>255</v>
      </c>
      <c r="M105" s="346"/>
      <c r="N105">
        <v>30</v>
      </c>
      <c r="O105" t="s">
        <v>490</v>
      </c>
      <c r="P105" t="s">
        <v>257</v>
      </c>
      <c r="Q105" t="s">
        <v>255</v>
      </c>
    </row>
    <row r="106" spans="2:17">
      <c r="B106" s="346"/>
      <c r="M106" s="346"/>
    </row>
    <row r="107" spans="2:17">
      <c r="B107" s="346">
        <v>45861</v>
      </c>
      <c r="C107">
        <v>75</v>
      </c>
      <c r="D107" t="s">
        <v>711</v>
      </c>
      <c r="E107" t="s">
        <v>258</v>
      </c>
      <c r="F107" t="s">
        <v>255</v>
      </c>
      <c r="M107" s="346">
        <v>45861</v>
      </c>
      <c r="N107">
        <v>75</v>
      </c>
      <c r="O107" t="s">
        <v>711</v>
      </c>
      <c r="P107" t="s">
        <v>258</v>
      </c>
      <c r="Q107" t="s">
        <v>255</v>
      </c>
    </row>
    <row r="108" spans="2:17">
      <c r="B108" s="44"/>
      <c r="C108">
        <v>22</v>
      </c>
      <c r="D108" t="s">
        <v>625</v>
      </c>
      <c r="E108" t="s">
        <v>256</v>
      </c>
      <c r="F108" t="s">
        <v>255</v>
      </c>
      <c r="M108" s="44"/>
      <c r="N108">
        <v>22</v>
      </c>
      <c r="O108" t="s">
        <v>625</v>
      </c>
      <c r="P108" t="s">
        <v>256</v>
      </c>
      <c r="Q108" t="s">
        <v>255</v>
      </c>
    </row>
    <row r="109" spans="2:17">
      <c r="B109" s="44"/>
      <c r="C109">
        <v>32</v>
      </c>
      <c r="D109" t="s">
        <v>516</v>
      </c>
      <c r="E109" t="s">
        <v>257</v>
      </c>
      <c r="F109" t="s">
        <v>255</v>
      </c>
      <c r="M109" s="44"/>
      <c r="N109">
        <v>32</v>
      </c>
      <c r="O109" t="s">
        <v>516</v>
      </c>
      <c r="P109" t="s">
        <v>257</v>
      </c>
      <c r="Q109" t="s">
        <v>255</v>
      </c>
    </row>
    <row r="110" spans="2:17">
      <c r="B110" s="346"/>
      <c r="C110">
        <v>18</v>
      </c>
      <c r="D110" t="s">
        <v>761</v>
      </c>
      <c r="E110" t="s">
        <v>762</v>
      </c>
      <c r="F110" t="s">
        <v>263</v>
      </c>
      <c r="M110" s="346"/>
      <c r="N110">
        <v>18</v>
      </c>
      <c r="O110" t="s">
        <v>761</v>
      </c>
      <c r="P110" t="s">
        <v>762</v>
      </c>
      <c r="Q110" t="s">
        <v>263</v>
      </c>
    </row>
    <row r="111" spans="2:17">
      <c r="B111" s="44"/>
      <c r="M111" s="44"/>
    </row>
    <row r="112" spans="2:17">
      <c r="B112" s="346">
        <v>45862</v>
      </c>
      <c r="C112">
        <v>60</v>
      </c>
      <c r="D112" t="s">
        <v>739</v>
      </c>
      <c r="E112" t="s">
        <v>258</v>
      </c>
      <c r="F112" t="s">
        <v>255</v>
      </c>
      <c r="M112" s="346">
        <v>45862</v>
      </c>
      <c r="N112">
        <v>60</v>
      </c>
      <c r="O112" t="s">
        <v>739</v>
      </c>
      <c r="P112" t="s">
        <v>258</v>
      </c>
      <c r="Q112" t="s">
        <v>255</v>
      </c>
    </row>
    <row r="113" spans="2:17">
      <c r="B113" s="44"/>
      <c r="C113">
        <v>25</v>
      </c>
      <c r="D113" t="s">
        <v>772</v>
      </c>
      <c r="E113" t="s">
        <v>256</v>
      </c>
      <c r="F113" t="s">
        <v>255</v>
      </c>
      <c r="M113" s="44"/>
      <c r="N113">
        <v>25</v>
      </c>
      <c r="O113" t="s">
        <v>772</v>
      </c>
      <c r="P113" t="s">
        <v>256</v>
      </c>
      <c r="Q113" t="s">
        <v>255</v>
      </c>
    </row>
    <row r="114" spans="2:17">
      <c r="B114" s="44"/>
      <c r="C114">
        <v>35</v>
      </c>
      <c r="D114" t="s">
        <v>626</v>
      </c>
      <c r="E114" t="s">
        <v>257</v>
      </c>
      <c r="F114" t="s">
        <v>255</v>
      </c>
      <c r="M114" s="44"/>
      <c r="N114">
        <v>35</v>
      </c>
      <c r="O114" t="s">
        <v>626</v>
      </c>
      <c r="P114" t="s">
        <v>257</v>
      </c>
      <c r="Q114" t="s">
        <v>255</v>
      </c>
    </row>
    <row r="115" spans="2:17">
      <c r="B115" s="44"/>
      <c r="C115">
        <v>15</v>
      </c>
      <c r="D115" t="s">
        <v>763</v>
      </c>
      <c r="E115" t="s">
        <v>773</v>
      </c>
      <c r="F115" t="s">
        <v>263</v>
      </c>
      <c r="M115" s="44"/>
      <c r="N115">
        <v>15</v>
      </c>
      <c r="O115" t="s">
        <v>763</v>
      </c>
      <c r="P115" t="s">
        <v>773</v>
      </c>
      <c r="Q115" t="s">
        <v>263</v>
      </c>
    </row>
    <row r="116" spans="2:17">
      <c r="B116" s="44"/>
      <c r="M116" s="44"/>
    </row>
    <row r="117" spans="2:17">
      <c r="B117" s="44">
        <v>45863</v>
      </c>
      <c r="C117">
        <v>80</v>
      </c>
      <c r="D117" t="s">
        <v>728</v>
      </c>
      <c r="E117" t="s">
        <v>258</v>
      </c>
      <c r="F117" t="s">
        <v>255</v>
      </c>
      <c r="M117" s="44">
        <v>45863</v>
      </c>
      <c r="N117">
        <v>80</v>
      </c>
      <c r="O117" t="s">
        <v>728</v>
      </c>
      <c r="P117" t="s">
        <v>258</v>
      </c>
      <c r="Q117" t="s">
        <v>255</v>
      </c>
    </row>
    <row r="118" spans="2:17">
      <c r="B118" s="44"/>
      <c r="C118">
        <v>19</v>
      </c>
      <c r="D118" t="s">
        <v>785</v>
      </c>
      <c r="E118" t="s">
        <v>256</v>
      </c>
      <c r="F118" t="s">
        <v>255</v>
      </c>
      <c r="M118" s="44"/>
      <c r="N118">
        <v>19</v>
      </c>
      <c r="O118" t="s">
        <v>785</v>
      </c>
      <c r="P118" t="s">
        <v>256</v>
      </c>
      <c r="Q118" t="s">
        <v>255</v>
      </c>
    </row>
    <row r="119" spans="2:17">
      <c r="B119" s="44"/>
      <c r="C119">
        <v>25</v>
      </c>
      <c r="D119" t="s">
        <v>516</v>
      </c>
      <c r="E119" t="s">
        <v>257</v>
      </c>
      <c r="F119" t="s">
        <v>255</v>
      </c>
      <c r="M119" s="44"/>
      <c r="N119">
        <v>25</v>
      </c>
      <c r="O119" t="s">
        <v>516</v>
      </c>
      <c r="P119" t="s">
        <v>257</v>
      </c>
      <c r="Q119" t="s">
        <v>255</v>
      </c>
    </row>
    <row r="120" spans="2:17">
      <c r="B120" s="44"/>
      <c r="E120" s="385"/>
      <c r="F120" s="385"/>
      <c r="M120" s="44"/>
      <c r="P120" s="385"/>
      <c r="Q120" s="385"/>
    </row>
    <row r="121" spans="2:17">
      <c r="B121" s="44">
        <v>45864</v>
      </c>
      <c r="C121">
        <v>30</v>
      </c>
      <c r="D121" t="s">
        <v>459</v>
      </c>
      <c r="E121" t="s">
        <v>258</v>
      </c>
      <c r="F121" t="s">
        <v>255</v>
      </c>
      <c r="M121" s="44">
        <v>45864</v>
      </c>
      <c r="N121">
        <v>30</v>
      </c>
      <c r="O121" t="s">
        <v>459</v>
      </c>
      <c r="P121" t="s">
        <v>258</v>
      </c>
      <c r="Q121" t="s">
        <v>255</v>
      </c>
    </row>
    <row r="122" spans="2:17">
      <c r="B122" s="44"/>
      <c r="C122">
        <v>23</v>
      </c>
      <c r="D122" t="s">
        <v>796</v>
      </c>
      <c r="E122" t="s">
        <v>256</v>
      </c>
      <c r="F122" t="s">
        <v>255</v>
      </c>
      <c r="M122" s="44"/>
      <c r="N122">
        <v>23</v>
      </c>
      <c r="O122" t="s">
        <v>796</v>
      </c>
      <c r="P122" t="s">
        <v>256</v>
      </c>
      <c r="Q122" t="s">
        <v>255</v>
      </c>
    </row>
    <row r="123" spans="2:17">
      <c r="B123" s="44"/>
      <c r="C123">
        <v>25</v>
      </c>
      <c r="D123" t="s">
        <v>610</v>
      </c>
      <c r="E123" t="s">
        <v>257</v>
      </c>
      <c r="F123" t="s">
        <v>255</v>
      </c>
      <c r="M123" s="44"/>
      <c r="N123">
        <v>25</v>
      </c>
      <c r="O123" t="s">
        <v>610</v>
      </c>
      <c r="P123" t="s">
        <v>257</v>
      </c>
      <c r="Q123" t="s">
        <v>255</v>
      </c>
    </row>
    <row r="124" spans="2:17">
      <c r="B124" s="44"/>
      <c r="M124" s="44"/>
    </row>
    <row r="125" spans="2:17">
      <c r="B125" s="44">
        <v>45865</v>
      </c>
      <c r="C125">
        <v>10</v>
      </c>
      <c r="D125" t="s">
        <v>418</v>
      </c>
      <c r="E125" t="s">
        <v>258</v>
      </c>
      <c r="F125" t="s">
        <v>255</v>
      </c>
      <c r="M125" s="44">
        <v>45865</v>
      </c>
      <c r="N125">
        <v>10</v>
      </c>
      <c r="O125" t="s">
        <v>418</v>
      </c>
      <c r="P125" t="s">
        <v>258</v>
      </c>
      <c r="Q125" t="s">
        <v>255</v>
      </c>
    </row>
    <row r="126" spans="2:17">
      <c r="B126" s="44"/>
      <c r="C126">
        <v>23</v>
      </c>
      <c r="D126" t="s">
        <v>797</v>
      </c>
      <c r="E126" t="s">
        <v>256</v>
      </c>
      <c r="F126" t="s">
        <v>255</v>
      </c>
      <c r="M126" s="44"/>
      <c r="N126">
        <v>23</v>
      </c>
      <c r="O126" t="s">
        <v>797</v>
      </c>
      <c r="P126" t="s">
        <v>256</v>
      </c>
      <c r="Q126" t="s">
        <v>255</v>
      </c>
    </row>
    <row r="127" spans="2:17">
      <c r="B127" s="44"/>
      <c r="C127">
        <v>31</v>
      </c>
      <c r="D127" t="s">
        <v>490</v>
      </c>
      <c r="E127" t="s">
        <v>257</v>
      </c>
      <c r="F127" t="s">
        <v>255</v>
      </c>
      <c r="M127" s="44"/>
      <c r="N127">
        <v>31</v>
      </c>
      <c r="O127" t="s">
        <v>490</v>
      </c>
      <c r="P127" t="s">
        <v>257</v>
      </c>
      <c r="Q127" t="s">
        <v>255</v>
      </c>
    </row>
    <row r="128" spans="2:17">
      <c r="B128" s="44"/>
      <c r="M128" s="44"/>
    </row>
    <row r="129" spans="2:17">
      <c r="B129" s="44">
        <v>45866</v>
      </c>
      <c r="C129">
        <v>30</v>
      </c>
      <c r="D129" t="s">
        <v>459</v>
      </c>
      <c r="E129" t="s">
        <v>258</v>
      </c>
      <c r="F129" t="s">
        <v>255</v>
      </c>
      <c r="M129" s="44">
        <v>45866</v>
      </c>
      <c r="N129">
        <v>30</v>
      </c>
      <c r="O129" t="s">
        <v>459</v>
      </c>
      <c r="P129" t="s">
        <v>258</v>
      </c>
      <c r="Q129" t="s">
        <v>255</v>
      </c>
    </row>
    <row r="130" spans="2:17">
      <c r="B130" s="44"/>
      <c r="C130">
        <v>17</v>
      </c>
      <c r="D130" t="s">
        <v>810</v>
      </c>
      <c r="E130" t="s">
        <v>256</v>
      </c>
      <c r="F130" t="s">
        <v>255</v>
      </c>
      <c r="M130" s="44"/>
      <c r="N130">
        <v>17</v>
      </c>
      <c r="O130" t="s">
        <v>810</v>
      </c>
      <c r="P130" t="s">
        <v>256</v>
      </c>
      <c r="Q130" t="s">
        <v>255</v>
      </c>
    </row>
    <row r="131" spans="2:17">
      <c r="B131" s="44"/>
      <c r="C131">
        <v>25</v>
      </c>
      <c r="D131" t="s">
        <v>460</v>
      </c>
      <c r="E131" t="s">
        <v>257</v>
      </c>
      <c r="F131" t="s">
        <v>255</v>
      </c>
      <c r="M131" s="44"/>
      <c r="N131">
        <v>25</v>
      </c>
      <c r="O131" t="s">
        <v>460</v>
      </c>
      <c r="P131" t="s">
        <v>257</v>
      </c>
      <c r="Q131" t="s">
        <v>255</v>
      </c>
    </row>
    <row r="132" spans="2:17">
      <c r="B132" s="44"/>
      <c r="C132">
        <v>14</v>
      </c>
      <c r="D132" t="s">
        <v>540</v>
      </c>
      <c r="E132" t="s">
        <v>202</v>
      </c>
      <c r="F132" t="s">
        <v>254</v>
      </c>
      <c r="M132" s="44"/>
      <c r="N132">
        <v>14</v>
      </c>
      <c r="O132" t="s">
        <v>540</v>
      </c>
      <c r="P132" t="s">
        <v>202</v>
      </c>
      <c r="Q132" t="s">
        <v>254</v>
      </c>
    </row>
    <row r="133" spans="2:17">
      <c r="B133" s="44"/>
      <c r="M133" s="44"/>
    </row>
    <row r="134" spans="2:17">
      <c r="B134" s="44">
        <v>45867</v>
      </c>
      <c r="C134">
        <v>4</v>
      </c>
      <c r="D134" t="s">
        <v>536</v>
      </c>
      <c r="E134" t="s">
        <v>258</v>
      </c>
      <c r="F134" t="s">
        <v>255</v>
      </c>
      <c r="M134" s="44">
        <v>45867</v>
      </c>
      <c r="N134">
        <v>4</v>
      </c>
      <c r="O134" t="s">
        <v>536</v>
      </c>
      <c r="P134" t="s">
        <v>258</v>
      </c>
      <c r="Q134" t="s">
        <v>255</v>
      </c>
    </row>
    <row r="135" spans="2:17">
      <c r="B135" s="44"/>
      <c r="C135">
        <v>26</v>
      </c>
      <c r="D135" t="s">
        <v>797</v>
      </c>
      <c r="E135" t="s">
        <v>256</v>
      </c>
      <c r="F135" t="s">
        <v>255</v>
      </c>
      <c r="M135" s="44"/>
      <c r="N135">
        <v>26</v>
      </c>
      <c r="O135" t="s">
        <v>797</v>
      </c>
      <c r="P135" t="s">
        <v>256</v>
      </c>
      <c r="Q135" t="s">
        <v>255</v>
      </c>
    </row>
    <row r="136" spans="2:17">
      <c r="B136" s="44"/>
      <c r="C136">
        <v>25</v>
      </c>
      <c r="D136" t="s">
        <v>490</v>
      </c>
      <c r="E136" t="s">
        <v>257</v>
      </c>
      <c r="F136" t="s">
        <v>255</v>
      </c>
      <c r="M136" s="44"/>
      <c r="N136">
        <v>25</v>
      </c>
      <c r="O136" t="s">
        <v>490</v>
      </c>
      <c r="P136" t="s">
        <v>257</v>
      </c>
      <c r="Q136" t="s">
        <v>255</v>
      </c>
    </row>
    <row r="137" spans="2:17">
      <c r="B137" s="44"/>
      <c r="C137">
        <v>8</v>
      </c>
      <c r="D137" t="s">
        <v>540</v>
      </c>
      <c r="E137" t="s">
        <v>202</v>
      </c>
      <c r="F137" t="s">
        <v>254</v>
      </c>
      <c r="M137" s="44"/>
      <c r="N137">
        <v>8</v>
      </c>
      <c r="O137" t="s">
        <v>540</v>
      </c>
      <c r="P137" t="s">
        <v>202</v>
      </c>
      <c r="Q137" t="s">
        <v>254</v>
      </c>
    </row>
    <row r="138" spans="2:17">
      <c r="B138" s="44"/>
      <c r="M138" s="44"/>
    </row>
    <row r="139" spans="2:17">
      <c r="B139" s="44">
        <v>45868</v>
      </c>
      <c r="C139">
        <v>30</v>
      </c>
      <c r="D139" t="s">
        <v>459</v>
      </c>
      <c r="E139" t="s">
        <v>258</v>
      </c>
      <c r="F139" t="s">
        <v>255</v>
      </c>
      <c r="M139" s="44">
        <v>45868</v>
      </c>
      <c r="N139">
        <v>30</v>
      </c>
      <c r="O139" t="s">
        <v>459</v>
      </c>
      <c r="P139" t="s">
        <v>258</v>
      </c>
      <c r="Q139" t="s">
        <v>255</v>
      </c>
    </row>
    <row r="140" spans="2:17">
      <c r="B140" s="44"/>
      <c r="C140">
        <v>22</v>
      </c>
      <c r="D140" t="s">
        <v>796</v>
      </c>
      <c r="E140" t="s">
        <v>256</v>
      </c>
      <c r="F140" t="s">
        <v>255</v>
      </c>
      <c r="M140" s="44"/>
      <c r="N140">
        <v>22</v>
      </c>
      <c r="O140" t="s">
        <v>796</v>
      </c>
      <c r="P140" t="s">
        <v>256</v>
      </c>
      <c r="Q140" t="s">
        <v>255</v>
      </c>
    </row>
    <row r="141" spans="2:17">
      <c r="B141" s="44"/>
      <c r="C141">
        <v>28</v>
      </c>
      <c r="D141" t="s">
        <v>626</v>
      </c>
      <c r="E141" t="s">
        <v>257</v>
      </c>
      <c r="F141" t="s">
        <v>255</v>
      </c>
      <c r="M141" s="44"/>
      <c r="N141">
        <v>28</v>
      </c>
      <c r="O141" t="s">
        <v>626</v>
      </c>
      <c r="P141" t="s">
        <v>257</v>
      </c>
      <c r="Q141" t="s">
        <v>255</v>
      </c>
    </row>
    <row r="142" spans="2:17">
      <c r="B142" s="44"/>
      <c r="M142" s="44"/>
    </row>
    <row r="143" spans="2:17">
      <c r="B143" s="44">
        <v>45869</v>
      </c>
      <c r="C143">
        <v>5</v>
      </c>
      <c r="D143" t="s">
        <v>536</v>
      </c>
      <c r="E143" t="s">
        <v>258</v>
      </c>
      <c r="F143" t="s">
        <v>255</v>
      </c>
      <c r="M143" s="44">
        <v>45869</v>
      </c>
      <c r="N143">
        <v>5</v>
      </c>
      <c r="O143" t="s">
        <v>536</v>
      </c>
      <c r="P143" t="s">
        <v>258</v>
      </c>
      <c r="Q143" t="s">
        <v>255</v>
      </c>
    </row>
    <row r="144" spans="2:17">
      <c r="B144" s="44"/>
      <c r="C144">
        <v>23</v>
      </c>
      <c r="D144" t="s">
        <v>625</v>
      </c>
      <c r="E144" t="s">
        <v>256</v>
      </c>
      <c r="F144" t="s">
        <v>255</v>
      </c>
      <c r="M144" s="44"/>
      <c r="N144">
        <v>23</v>
      </c>
      <c r="O144" t="s">
        <v>625</v>
      </c>
      <c r="P144" t="s">
        <v>256</v>
      </c>
      <c r="Q144" t="s">
        <v>255</v>
      </c>
    </row>
    <row r="145" spans="2:17">
      <c r="B145" s="44"/>
      <c r="C145">
        <v>32</v>
      </c>
      <c r="D145" t="s">
        <v>742</v>
      </c>
      <c r="E145" t="s">
        <v>257</v>
      </c>
      <c r="F145" t="s">
        <v>255</v>
      </c>
      <c r="M145" s="44"/>
      <c r="N145">
        <v>32</v>
      </c>
      <c r="O145" t="s">
        <v>742</v>
      </c>
      <c r="P145" t="s">
        <v>257</v>
      </c>
      <c r="Q145" t="s">
        <v>255</v>
      </c>
    </row>
    <row r="146" spans="2:17">
      <c r="B146" s="44"/>
      <c r="C146">
        <v>35</v>
      </c>
      <c r="D146" t="s">
        <v>830</v>
      </c>
      <c r="E146" t="s">
        <v>835</v>
      </c>
      <c r="F146" t="s">
        <v>261</v>
      </c>
      <c r="M146" s="44"/>
      <c r="N146">
        <v>35</v>
      </c>
      <c r="O146" t="s">
        <v>830</v>
      </c>
      <c r="P146" t="s">
        <v>835</v>
      </c>
      <c r="Q146" t="s">
        <v>261</v>
      </c>
    </row>
    <row r="147" spans="2:17">
      <c r="B147" s="44"/>
      <c r="C147">
        <v>5</v>
      </c>
      <c r="D147" t="s">
        <v>829</v>
      </c>
      <c r="E147" t="s">
        <v>836</v>
      </c>
      <c r="F147" t="s">
        <v>265</v>
      </c>
      <c r="M147" s="44"/>
      <c r="N147">
        <v>5</v>
      </c>
      <c r="O147" t="s">
        <v>829</v>
      </c>
      <c r="P147" t="s">
        <v>836</v>
      </c>
      <c r="Q147" t="s">
        <v>265</v>
      </c>
    </row>
    <row r="148" spans="2:17">
      <c r="B148" s="44"/>
    </row>
    <row r="149" spans="2:17">
      <c r="B149" s="44"/>
    </row>
    <row r="150" spans="2:17">
      <c r="B150" s="44"/>
    </row>
    <row r="151" spans="2:17">
      <c r="B151" s="44"/>
    </row>
    <row r="152" spans="2:17">
      <c r="B152" s="44"/>
    </row>
    <row r="153" spans="2:17">
      <c r="B153" s="44"/>
    </row>
    <row r="154" spans="2:17">
      <c r="B154" s="44"/>
    </row>
    <row r="155" spans="2:17">
      <c r="B155" s="44"/>
    </row>
    <row r="156" spans="2:17">
      <c r="B156" s="44"/>
    </row>
    <row r="157" spans="2:17">
      <c r="B157" s="44"/>
    </row>
    <row r="158" spans="2:17">
      <c r="B158" s="44"/>
    </row>
    <row r="159" spans="2:17">
      <c r="B159" s="44"/>
    </row>
    <row r="160" spans="2:17">
      <c r="B160" s="44"/>
    </row>
    <row r="161" spans="2:2">
      <c r="B161" s="44"/>
    </row>
    <row r="162" spans="2:2">
      <c r="B162" s="44"/>
    </row>
    <row r="163" spans="2:2">
      <c r="B163" s="44"/>
    </row>
  </sheetData>
  <autoFilter ref="C1:F118"/>
  <conditionalFormatting sqref="G2:G11">
    <cfRule type="cellIs" dxfId="13" priority="2" operator="greaterThan">
      <formula>0</formula>
    </cfRule>
  </conditionalFormatting>
  <conditionalFormatting sqref="R2:R11">
    <cfRule type="cellIs" dxfId="12" priority="1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Q43"/>
  <sheetViews>
    <sheetView topLeftCell="G16" workbookViewId="0">
      <selection activeCell="J1" sqref="J1:Q43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48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8" customWidth="1"/>
    <col min="13" max="17" width="13.5703125" customWidth="1"/>
  </cols>
  <sheetData>
    <row r="1" spans="1:17" ht="15">
      <c r="A1" s="456" t="s">
        <v>237</v>
      </c>
      <c r="E1" s="468"/>
      <c r="F1" s="1"/>
      <c r="J1" s="456" t="s">
        <v>401</v>
      </c>
      <c r="N1" s="468"/>
      <c r="O1" s="1"/>
    </row>
    <row r="2" spans="1:17" ht="30">
      <c r="A2" s="996" t="s">
        <v>238</v>
      </c>
      <c r="B2" s="996" t="s">
        <v>239</v>
      </c>
      <c r="C2" s="997" t="s">
        <v>240</v>
      </c>
      <c r="D2" s="469" t="s">
        <v>241</v>
      </c>
      <c r="E2" s="470" t="s">
        <v>242</v>
      </c>
      <c r="F2" s="471" t="s">
        <v>243</v>
      </c>
      <c r="G2" s="470" t="s">
        <v>244</v>
      </c>
      <c r="H2" s="470" t="s">
        <v>245</v>
      </c>
      <c r="J2" s="996" t="s">
        <v>238</v>
      </c>
      <c r="K2" s="996" t="s">
        <v>239</v>
      </c>
      <c r="L2" s="1009" t="s">
        <v>240</v>
      </c>
      <c r="M2" s="469" t="s">
        <v>241</v>
      </c>
      <c r="N2" s="470" t="s">
        <v>242</v>
      </c>
      <c r="O2" s="471" t="s">
        <v>243</v>
      </c>
      <c r="P2" s="470" t="s">
        <v>244</v>
      </c>
      <c r="Q2" s="470" t="s">
        <v>245</v>
      </c>
    </row>
    <row r="3" spans="1:17" ht="15">
      <c r="A3" s="996"/>
      <c r="B3" s="996"/>
      <c r="C3" s="998"/>
      <c r="D3" s="469" t="s">
        <v>465</v>
      </c>
      <c r="E3" s="469" t="str">
        <f>+D3</f>
        <v>JULI</v>
      </c>
      <c r="F3" s="469" t="str">
        <f>+E3</f>
        <v>JULI</v>
      </c>
      <c r="G3" s="469" t="str">
        <f>+F3</f>
        <v>JULI</v>
      </c>
      <c r="H3" s="469" t="str">
        <f>+G3</f>
        <v>JULI</v>
      </c>
      <c r="J3" s="996"/>
      <c r="K3" s="996"/>
      <c r="L3" s="1009"/>
      <c r="M3" s="469" t="str">
        <f>+H3</f>
        <v>JULI</v>
      </c>
      <c r="N3" s="469" t="str">
        <f>+M3</f>
        <v>JULI</v>
      </c>
      <c r="O3" s="469" t="str">
        <f>+N3</f>
        <v>JULI</v>
      </c>
      <c r="P3" s="469" t="str">
        <f>+O3</f>
        <v>JULI</v>
      </c>
      <c r="Q3" s="469" t="str">
        <f>+P3</f>
        <v>JULI</v>
      </c>
    </row>
    <row r="4" spans="1:17" ht="15">
      <c r="A4" s="1000" t="s">
        <v>246</v>
      </c>
      <c r="B4" s="546" t="s">
        <v>329</v>
      </c>
      <c r="C4" s="549"/>
      <c r="D4" s="7">
        <f>SUMIFS(Sheet1!$C$2:$C$180,Sheet1!$F$2:$F$180,B4,Sheet1!$E$2:$E$180,C4)</f>
        <v>0</v>
      </c>
      <c r="E4" s="7">
        <f>D4/Sheet1!$I$9*Sheet1!$I$10</f>
        <v>0</v>
      </c>
      <c r="F4" s="484">
        <f>D4/Sheet1!$I$9*Sheet1!$I$11</f>
        <v>0</v>
      </c>
      <c r="G4" s="477">
        <f>F4</f>
        <v>0</v>
      </c>
      <c r="H4" s="1010">
        <f>SUM(G4:G11)</f>
        <v>6.1416235761601844E-3</v>
      </c>
      <c r="J4" s="1000" t="s">
        <v>246</v>
      </c>
      <c r="K4" s="546" t="s">
        <v>329</v>
      </c>
      <c r="L4" s="549"/>
      <c r="M4" s="7">
        <f>SUMIFS(Sheet1!$N$2:$N$180,Sheet1!$Q$2:$Q$180,K4,Sheet1!$P$2:$P$180,L4)</f>
        <v>0</v>
      </c>
      <c r="N4" s="7">
        <f>M4/Sheet1!$T$9*Sheet1!$T$10</f>
        <v>0</v>
      </c>
      <c r="O4" s="484">
        <f>M4/Sheet1!$T$9*Sheet1!$T$11</f>
        <v>0</v>
      </c>
      <c r="P4" s="477">
        <f>O4</f>
        <v>0</v>
      </c>
      <c r="Q4" s="1010">
        <f>SUM(P4:P11)</f>
        <v>5.0481836052256052E-3</v>
      </c>
    </row>
    <row r="5" spans="1:17" ht="15">
      <c r="A5" s="1000"/>
      <c r="B5" s="546" t="s">
        <v>247</v>
      </c>
      <c r="C5" s="549"/>
      <c r="D5" s="7">
        <f>SUMIFS(Sheet1!$C$2:$C$180,Sheet1!$F$2:$F$180,B5,Sheet1!$E$2:$E$180,C5)</f>
        <v>0</v>
      </c>
      <c r="E5" s="7">
        <f>D5/Sheet1!$I$9*Sheet1!$I$10</f>
        <v>0</v>
      </c>
      <c r="F5" s="484">
        <f>D5/Sheet1!$I$9*Sheet1!$I$11</f>
        <v>0</v>
      </c>
      <c r="G5" s="550">
        <f t="shared" ref="G5:G14" si="0">F5</f>
        <v>0</v>
      </c>
      <c r="H5" s="1000"/>
      <c r="J5" s="1000"/>
      <c r="K5" s="546" t="s">
        <v>247</v>
      </c>
      <c r="L5" s="549"/>
      <c r="M5" s="7">
        <f>SUMIFS(Sheet1!$N$2:$N$180,Sheet1!$Q$2:$Q$180,K5,Sheet1!$P$2:$P$180,L5)</f>
        <v>0</v>
      </c>
      <c r="N5" s="7">
        <f>M5/Sheet1!$T$9*Sheet1!$T$10</f>
        <v>0</v>
      </c>
      <c r="O5" s="484">
        <f>M5/Sheet1!$T$9*Sheet1!$T$11</f>
        <v>0</v>
      </c>
      <c r="P5" s="550">
        <f t="shared" ref="P5:P14" si="1">O5</f>
        <v>0</v>
      </c>
      <c r="Q5" s="1000"/>
    </row>
    <row r="6" spans="1:17" ht="25.5">
      <c r="A6" s="1000"/>
      <c r="B6" s="1003" t="s">
        <v>336</v>
      </c>
      <c r="C6" s="549" t="s">
        <v>463</v>
      </c>
      <c r="D6" s="7">
        <f>SUMIFS(Sheet1!$C$2:$C$180,Sheet1!$F$2:$F$180,B6,Sheet1!$E$2:$E$180,C6)</f>
        <v>128</v>
      </c>
      <c r="E6" s="7">
        <f>D6/Sheet1!$I$9*Sheet1!$I$10</f>
        <v>5.7679342170080119</v>
      </c>
      <c r="F6" s="484">
        <f>D6/Sheet1!$I$9*Sheet1!$I$11</f>
        <v>2.9008406558985369E-3</v>
      </c>
      <c r="G6" s="550">
        <f t="shared" si="0"/>
        <v>2.9008406558985369E-3</v>
      </c>
      <c r="H6" s="1000"/>
      <c r="J6" s="1000"/>
      <c r="K6" s="1003" t="s">
        <v>336</v>
      </c>
      <c r="L6" s="549" t="s">
        <v>463</v>
      </c>
      <c r="M6" s="7">
        <f>SUMIFS(Sheet1!$N$2:$N$180,Sheet1!$Q$2:$Q$180,K6,Sheet1!$P$2:$P$180,L6)</f>
        <v>118</v>
      </c>
      <c r="N6" s="7">
        <f>M6/Sheet1!$T$9*Sheet1!$T$10</f>
        <v>5.3042310341641734</v>
      </c>
      <c r="O6" s="484">
        <f>M6/Sheet1!$T$9*Sheet1!$T$11</f>
        <v>2.6712361677875399E-3</v>
      </c>
      <c r="P6" s="550">
        <f t="shared" si="1"/>
        <v>2.6712361677875399E-3</v>
      </c>
      <c r="Q6" s="1000"/>
    </row>
    <row r="7" spans="1:17" ht="15">
      <c r="A7" s="1000"/>
      <c r="B7" s="1005"/>
      <c r="C7" s="549"/>
      <c r="D7" s="7">
        <f>SUMIFS(Sheet1!$C$2:$C$180,Sheet1!$F$2:$F$180,B6,Sheet1!$E$2:$E$180,C7)</f>
        <v>0</v>
      </c>
      <c r="E7" s="7">
        <f>D7/Sheet1!$I$9*Sheet1!$I$10</f>
        <v>0</v>
      </c>
      <c r="F7" s="484">
        <f>D7/Sheet1!$I$9*Sheet1!$I$11</f>
        <v>0</v>
      </c>
      <c r="G7" s="550">
        <f t="shared" si="0"/>
        <v>0</v>
      </c>
      <c r="H7" s="1000"/>
      <c r="J7" s="1000"/>
      <c r="K7" s="1005"/>
      <c r="L7" s="549"/>
      <c r="M7" s="7">
        <f>SUMIFS(Sheet1!$N$2:$N$180,Sheet1!$Q$2:$Q$180,K6,Sheet1!$P$2:$P$180,L7)</f>
        <v>0</v>
      </c>
      <c r="N7" s="7">
        <f>M7/Sheet1!$T$9*Sheet1!$T$10</f>
        <v>0</v>
      </c>
      <c r="O7" s="484">
        <f>M7/Sheet1!$T$9*Sheet1!$T$11</f>
        <v>0</v>
      </c>
      <c r="P7" s="550">
        <f t="shared" si="1"/>
        <v>0</v>
      </c>
      <c r="Q7" s="1000"/>
    </row>
    <row r="8" spans="1:17">
      <c r="A8" s="1000"/>
      <c r="B8" s="1003" t="s">
        <v>335</v>
      </c>
      <c r="C8" s="549" t="s">
        <v>464</v>
      </c>
      <c r="D8" s="7">
        <f>SUMIFS(Sheet1!$C$2:$C$180,Sheet1!$F$2:$F$180,B8,Sheet1!$E$2:$E$180,C8)</f>
        <v>105</v>
      </c>
      <c r="E8" s="7">
        <f>D8/Sheet1!$I$9*Sheet1!$I$10</f>
        <v>4.7315085373893844</v>
      </c>
      <c r="F8" s="484">
        <f>D8/Sheet1!$I$9*Sheet1!$I$11</f>
        <v>2.3795958505417685E-3</v>
      </c>
      <c r="G8" s="472">
        <f t="shared" si="0"/>
        <v>2.3795958505417685E-3</v>
      </c>
      <c r="H8" s="1000"/>
      <c r="J8" s="1000"/>
      <c r="K8" s="1003" t="s">
        <v>335</v>
      </c>
      <c r="L8" s="549" t="s">
        <v>464</v>
      </c>
      <c r="M8" s="7">
        <f>SUMIFS(Sheet1!$N$2:$N$180,Sheet1!$Q$2:$Q$180,K8,Sheet1!$P$2:$P$180,L8)</f>
        <v>105</v>
      </c>
      <c r="N8" s="7">
        <f>M8/Sheet1!$T$9*Sheet1!$T$10</f>
        <v>4.7198665981969334</v>
      </c>
      <c r="O8" s="484">
        <f>M8/Sheet1!$T$9*Sheet1!$T$11</f>
        <v>2.3769474374380653E-3</v>
      </c>
      <c r="P8" s="472">
        <f t="shared" si="1"/>
        <v>2.3769474374380653E-3</v>
      </c>
      <c r="Q8" s="1000"/>
    </row>
    <row r="9" spans="1:17">
      <c r="A9" s="1000"/>
      <c r="B9" s="1005"/>
      <c r="C9" s="549"/>
      <c r="D9" s="7">
        <f>SUMIFS(Sheet1!$C$2:$C$180,Sheet1!$F$2:$F$180,B8,Sheet1!$E$2:$E$180,C9)</f>
        <v>0</v>
      </c>
      <c r="E9" s="7">
        <f>D9/Sheet1!$I$9*Sheet1!$I$10</f>
        <v>0</v>
      </c>
      <c r="F9" s="484">
        <f>D9/Sheet1!$I$9*Sheet1!$I$11</f>
        <v>0</v>
      </c>
      <c r="G9" s="472">
        <f t="shared" si="0"/>
        <v>0</v>
      </c>
      <c r="H9" s="1000"/>
      <c r="J9" s="1000"/>
      <c r="K9" s="1005"/>
      <c r="L9" s="549"/>
      <c r="M9" s="7">
        <f>SUMIFS(Sheet1!$N$2:$N$180,Sheet1!$Q$2:$Q$180,K8,Sheet1!$P$2:$P$180,L9)</f>
        <v>0</v>
      </c>
      <c r="N9" s="7">
        <f>M9/Sheet1!$T$9*Sheet1!$T$10</f>
        <v>0</v>
      </c>
      <c r="O9" s="484">
        <f>M9/Sheet1!$T$9*Sheet1!$T$11</f>
        <v>0</v>
      </c>
      <c r="P9" s="472">
        <f t="shared" si="1"/>
        <v>0</v>
      </c>
      <c r="Q9" s="1000"/>
    </row>
    <row r="10" spans="1:17">
      <c r="A10" s="1000"/>
      <c r="B10" s="1003" t="s">
        <v>402</v>
      </c>
      <c r="C10" s="549" t="s">
        <v>492</v>
      </c>
      <c r="D10" s="7">
        <f>SUMIFS(Sheet1!$C$2:$C$180,Sheet1!$F$2:$F$180,B10,Sheet1!$E$2:$E$180,C10)</f>
        <v>38</v>
      </c>
      <c r="E10" s="7">
        <f>D10/Sheet1!$I$9*Sheet1!$I$10</f>
        <v>1.7123554706742536</v>
      </c>
      <c r="F10" s="484">
        <f>D10/Sheet1!$I$9*Sheet1!$I$11</f>
        <v>8.6118706971987811E-4</v>
      </c>
      <c r="G10" s="472">
        <f t="shared" si="0"/>
        <v>8.6118706971987811E-4</v>
      </c>
      <c r="H10" s="1000"/>
      <c r="J10" s="1000"/>
      <c r="K10" s="1003" t="s">
        <v>402</v>
      </c>
      <c r="L10" s="549" t="s">
        <v>492</v>
      </c>
      <c r="M10" s="7">
        <f>SUMIFS(Sheet1!$N$2:$N$180,Sheet1!$Q$2:$Q$180,K10,Sheet1!$P$2:$P$180,L10)</f>
        <v>0</v>
      </c>
      <c r="N10" s="7">
        <f>M10/Sheet1!$T$9*Sheet1!$T$10</f>
        <v>0</v>
      </c>
      <c r="O10" s="484">
        <f>M10/Sheet1!$T$9*Sheet1!$T$11</f>
        <v>0</v>
      </c>
      <c r="P10" s="472">
        <f t="shared" si="1"/>
        <v>0</v>
      </c>
      <c r="Q10" s="1000"/>
    </row>
    <row r="11" spans="1:17">
      <c r="A11" s="1000"/>
      <c r="B11" s="1005"/>
      <c r="C11" s="549"/>
      <c r="D11" s="7">
        <f>SUMIFS(Sheet1!$C$2:$C$180,Sheet1!$F$2:$F$180,B10,Sheet1!$E$2:$E$180,C11)</f>
        <v>0</v>
      </c>
      <c r="E11" s="7">
        <f>D11/Sheet1!$I$9*Sheet1!$I$10</f>
        <v>0</v>
      </c>
      <c r="F11" s="484">
        <f>D11/Sheet1!$I$9*Sheet1!$I$11</f>
        <v>0</v>
      </c>
      <c r="G11" s="472">
        <f t="shared" si="0"/>
        <v>0</v>
      </c>
      <c r="H11" s="1000"/>
      <c r="J11" s="1000"/>
      <c r="K11" s="1005"/>
      <c r="L11" s="549"/>
      <c r="M11" s="7">
        <f>SUMIFS(Sheet1!$N$2:$N$180,Sheet1!$Q$2:$Q$180,K10,Sheet1!$P$2:$P$180,L11)</f>
        <v>0</v>
      </c>
      <c r="N11" s="7">
        <f>M11/Sheet1!$T$9*Sheet1!$T$10</f>
        <v>0</v>
      </c>
      <c r="O11" s="484">
        <f>M11/Sheet1!$T$9*Sheet1!$T$11</f>
        <v>0</v>
      </c>
      <c r="P11" s="472">
        <f t="shared" si="1"/>
        <v>0</v>
      </c>
      <c r="Q11" s="1000"/>
    </row>
    <row r="12" spans="1:17" ht="15">
      <c r="A12" s="1000" t="s">
        <v>9</v>
      </c>
      <c r="B12" s="546" t="s">
        <v>152</v>
      </c>
      <c r="C12" s="549" t="s">
        <v>152</v>
      </c>
      <c r="D12" s="7"/>
      <c r="E12" s="7">
        <f>+Sheet1!I2</f>
        <v>22.895</v>
      </c>
      <c r="F12" s="484">
        <f>E12/Sheet1!$I$8</f>
        <v>1.1514477162544371E-2</v>
      </c>
      <c r="G12" s="550">
        <f t="shared" si="0"/>
        <v>1.1514477162544371E-2</v>
      </c>
      <c r="H12" s="1014">
        <f>SUM(G12:G13)</f>
        <v>3.8640578776750985E-2</v>
      </c>
      <c r="J12" s="1000" t="s">
        <v>9</v>
      </c>
      <c r="K12" s="546" t="s">
        <v>152</v>
      </c>
      <c r="L12" s="549" t="s">
        <v>152</v>
      </c>
      <c r="M12" s="7"/>
      <c r="N12" s="7">
        <f>+Sheet1!T2</f>
        <v>22.895</v>
      </c>
      <c r="O12" s="484">
        <f>+Sheet1!U2</f>
        <v>1.1530031717619713E-2</v>
      </c>
      <c r="P12" s="550">
        <f t="shared" si="1"/>
        <v>1.1530031717619713E-2</v>
      </c>
      <c r="Q12" s="1014">
        <f>SUM(P12:P13)</f>
        <v>3.8692777152955257E-2</v>
      </c>
    </row>
    <row r="13" spans="1:17" ht="15">
      <c r="A13" s="1000"/>
      <c r="B13" s="546" t="s">
        <v>249</v>
      </c>
      <c r="C13" s="549" t="s">
        <v>250</v>
      </c>
      <c r="D13" s="7"/>
      <c r="E13" s="7">
        <f>+Sheet1!I3</f>
        <v>53.936630182175421</v>
      </c>
      <c r="F13" s="484">
        <f>E13/Sheet1!$I$8</f>
        <v>2.7126101614206612E-2</v>
      </c>
      <c r="G13" s="550">
        <f t="shared" si="0"/>
        <v>2.7126101614206612E-2</v>
      </c>
      <c r="H13" s="1015"/>
      <c r="J13" s="1000"/>
      <c r="K13" s="546" t="s">
        <v>249</v>
      </c>
      <c r="L13" s="549" t="s">
        <v>250</v>
      </c>
      <c r="M13" s="7"/>
      <c r="N13" s="7">
        <f>+Sheet1!T3</f>
        <v>53.936630182175421</v>
      </c>
      <c r="O13" s="484">
        <f>+Sheet1!U3</f>
        <v>2.7162745435335547E-2</v>
      </c>
      <c r="P13" s="550">
        <f t="shared" si="1"/>
        <v>2.7162745435335547E-2</v>
      </c>
      <c r="Q13" s="1015"/>
    </row>
    <row r="14" spans="1:17" ht="15">
      <c r="A14" s="1016" t="s">
        <v>11</v>
      </c>
      <c r="B14" s="546" t="s">
        <v>251</v>
      </c>
      <c r="C14" s="549" t="s">
        <v>251</v>
      </c>
      <c r="D14" s="7"/>
      <c r="E14" s="7">
        <f>+Sheet1!I4</f>
        <v>-4.5432144600222575</v>
      </c>
      <c r="F14" s="484">
        <f>E14/Sheet1!$I$8</f>
        <v>-2.2848979752988705E-3</v>
      </c>
      <c r="G14" s="550">
        <f t="shared" si="0"/>
        <v>-2.2848979752988705E-3</v>
      </c>
      <c r="H14" s="1001">
        <f>SUM(G14:G23)</f>
        <v>0.10501004383464527</v>
      </c>
      <c r="J14" s="1016" t="s">
        <v>11</v>
      </c>
      <c r="K14" s="546" t="s">
        <v>251</v>
      </c>
      <c r="L14" s="549" t="s">
        <v>251</v>
      </c>
      <c r="M14" s="7"/>
      <c r="N14" s="7">
        <f>+Sheet1!T4</f>
        <v>-4.6400794584691614</v>
      </c>
      <c r="O14" s="484">
        <f>+Sheet1!U4</f>
        <v>-2.3367662515145289E-3</v>
      </c>
      <c r="P14" s="550">
        <f t="shared" si="1"/>
        <v>-2.3367662515145289E-3</v>
      </c>
      <c r="Q14" s="1001">
        <f>SUM(P14:P23)</f>
        <v>0.10492940025726002</v>
      </c>
    </row>
    <row r="15" spans="1:17" ht="15">
      <c r="A15" s="1017"/>
      <c r="B15" s="546" t="s">
        <v>252</v>
      </c>
      <c r="C15" s="549" t="s">
        <v>252</v>
      </c>
      <c r="D15" s="7"/>
      <c r="E15" s="7">
        <f>+Sheet1!I5</f>
        <v>77.299525864246348</v>
      </c>
      <c r="F15" s="484">
        <f>E15/Sheet1!$I$8</f>
        <v>3.8875895402462224E-2</v>
      </c>
      <c r="G15" s="550">
        <f>F15</f>
        <v>3.8875895402462224E-2</v>
      </c>
      <c r="H15" s="1001"/>
      <c r="J15" s="1017"/>
      <c r="K15" s="546" t="s">
        <v>252</v>
      </c>
      <c r="L15" s="549" t="s">
        <v>252</v>
      </c>
      <c r="M15" s="7"/>
      <c r="N15" s="7">
        <f>+Sheet1!T5</f>
        <v>77.289312742747242</v>
      </c>
      <c r="O15" s="484">
        <f>+Sheet1!U5</f>
        <v>3.8923268283769609E-2</v>
      </c>
      <c r="P15" s="550">
        <f>O15</f>
        <v>3.8923268283769609E-2</v>
      </c>
      <c r="Q15" s="1001"/>
    </row>
    <row r="16" spans="1:17" ht="25.5">
      <c r="A16" s="1017"/>
      <c r="B16" s="999" t="s">
        <v>253</v>
      </c>
      <c r="C16" s="549" t="s">
        <v>543</v>
      </c>
      <c r="D16" s="7">
        <f>SUMIFS(Sheet1!$C$2:$C$180,Sheet1!$F$2:$F$180,B16,Sheet1!$E$2:$E$180,C16)</f>
        <v>35</v>
      </c>
      <c r="E16" s="7">
        <f>D16/Sheet1!$I$9*Sheet1!$I$10</f>
        <v>1.5771695124631282</v>
      </c>
      <c r="F16" s="484">
        <f>D16/Sheet1!$I$9*Sheet1!$I$11</f>
        <v>7.9319861684725617E-4</v>
      </c>
      <c r="G16" s="1002">
        <f>SUM(F16:F17)</f>
        <v>9.6996859431607331E-3</v>
      </c>
      <c r="H16" s="1001"/>
      <c r="J16" s="1017"/>
      <c r="K16" s="999" t="s">
        <v>253</v>
      </c>
      <c r="L16" s="549" t="s">
        <v>543</v>
      </c>
      <c r="M16" s="7">
        <f>SUMIFS(Sheet1!$N$2:$N$180,Sheet1!$Q$2:$Q$180,K16,Sheet1!$P$2:$P$180,L16)</f>
        <v>35</v>
      </c>
      <c r="N16" s="7">
        <f>M16/Sheet1!$T$9*Sheet1!$T$10</f>
        <v>1.5732888660656446</v>
      </c>
      <c r="O16" s="484">
        <f>M16/Sheet1!$T$9*Sheet1!$T$11</f>
        <v>7.923158124793551E-4</v>
      </c>
      <c r="P16" s="1002">
        <f>SUM(O16:O17)</f>
        <v>9.6888905068903981E-3</v>
      </c>
      <c r="Q16" s="1001"/>
    </row>
    <row r="17" spans="1:17" ht="25.5">
      <c r="A17" s="1017"/>
      <c r="B17" s="999"/>
      <c r="C17" s="549" t="s">
        <v>580</v>
      </c>
      <c r="D17" s="7">
        <f>SUMIFS(Sheet1!$C$2:$C$180,Sheet1!$F$2:$F$180,B16,Sheet1!$E$2:$E$180,C17)</f>
        <v>393</v>
      </c>
      <c r="E17" s="7">
        <f>D17/Sheet1!$I$9*Sheet1!$I$10</f>
        <v>17.709360525657413</v>
      </c>
      <c r="F17" s="484">
        <f>D17/Sheet1!$I$9*Sheet1!$I$11</f>
        <v>8.9064873263134774E-3</v>
      </c>
      <c r="G17" s="1002"/>
      <c r="H17" s="1001"/>
      <c r="J17" s="1017"/>
      <c r="K17" s="999"/>
      <c r="L17" s="549" t="s">
        <v>580</v>
      </c>
      <c r="M17" s="7">
        <f>SUMIFS(Sheet1!$N$2:$N$180,Sheet1!$Q$2:$Q$180,K16,Sheet1!$P$2:$P$180,L17)</f>
        <v>393</v>
      </c>
      <c r="N17" s="7">
        <f>M17/Sheet1!$T$9*Sheet1!$T$10</f>
        <v>17.665786410394237</v>
      </c>
      <c r="O17" s="484">
        <f>M17/Sheet1!$T$9*Sheet1!$T$11</f>
        <v>8.8965746944110434E-3</v>
      </c>
      <c r="P17" s="1002"/>
      <c r="Q17" s="1001"/>
    </row>
    <row r="18" spans="1:17" ht="15">
      <c r="A18" s="1017"/>
      <c r="B18" s="546" t="s">
        <v>254</v>
      </c>
      <c r="C18" s="549" t="s">
        <v>202</v>
      </c>
      <c r="D18" s="7">
        <f>SUMIFS(Sheet1!$C$2:$C$180,Sheet1!$F$2:$F$180,B18,Sheet1!$E$2:$E$180,C18)</f>
        <v>109</v>
      </c>
      <c r="E18" s="7">
        <f>D18/Sheet1!$I$9*Sheet1!$I$10</f>
        <v>4.911756481670885</v>
      </c>
      <c r="F18" s="484">
        <f>D18/Sheet1!$I$9*Sheet1!$I$11</f>
        <v>2.470247121038598E-3</v>
      </c>
      <c r="G18" s="550">
        <f>F18</f>
        <v>2.470247121038598E-3</v>
      </c>
      <c r="H18" s="1001"/>
      <c r="J18" s="1017"/>
      <c r="K18" s="546" t="s">
        <v>254</v>
      </c>
      <c r="L18" s="549" t="s">
        <v>202</v>
      </c>
      <c r="M18" s="7">
        <f>SUMIFS(Sheet1!$N$2:$N$180,Sheet1!$Q$2:$Q$180,K18,Sheet1!$P$2:$P$180,L18)</f>
        <v>109</v>
      </c>
      <c r="N18" s="7">
        <f>M18/Sheet1!$T$9*Sheet1!$T$10</f>
        <v>4.8996710400330068</v>
      </c>
      <c r="O18" s="484">
        <f>M18/Sheet1!$T$9*Sheet1!$T$11</f>
        <v>2.4674978160071342E-3</v>
      </c>
      <c r="P18" s="550">
        <f>O18</f>
        <v>2.4674978160071342E-3</v>
      </c>
      <c r="Q18" s="1001"/>
    </row>
    <row r="19" spans="1:17">
      <c r="A19" s="1017"/>
      <c r="B19" s="1003" t="s">
        <v>255</v>
      </c>
      <c r="C19" s="549" t="s">
        <v>256</v>
      </c>
      <c r="D19" s="7">
        <f>SUMIFS(Sheet1!$C$2:$C$180,Sheet1!$F$2:$F$180,B19,Sheet1!$E$2:$E$180,C19)</f>
        <v>427</v>
      </c>
      <c r="E19" s="7">
        <f>D19/Sheet1!$I$9*Sheet1!$I$10</f>
        <v>19.241468052050163</v>
      </c>
      <c r="F19" s="484">
        <f>D19/Sheet1!$I$9*Sheet1!$I$11</f>
        <v>9.6770231255365255E-3</v>
      </c>
      <c r="G19" s="1006">
        <f>SUM(F19:F23)</f>
        <v>5.6249113343282572E-2</v>
      </c>
      <c r="H19" s="1001"/>
      <c r="J19" s="1017"/>
      <c r="K19" s="1003" t="s">
        <v>255</v>
      </c>
      <c r="L19" s="549" t="s">
        <v>256</v>
      </c>
      <c r="M19" s="7">
        <f>SUMIFS(Sheet1!$N$2:$N$180,Sheet1!$Q$2:$Q$180,$K$19,Sheet1!$P$2:$P$180,L19)</f>
        <v>427</v>
      </c>
      <c r="N19" s="7">
        <f>M19/Sheet1!$T$9*Sheet1!$T$10</f>
        <v>19.194124166000865</v>
      </c>
      <c r="O19" s="484">
        <f>M19/Sheet1!$T$9*Sheet1!$T$11</f>
        <v>9.6662529122481331E-3</v>
      </c>
      <c r="P19" s="1006">
        <f>SUM(O19:O23)</f>
        <v>5.6186509902107412E-2</v>
      </c>
      <c r="Q19" s="1001"/>
    </row>
    <row r="20" spans="1:17">
      <c r="A20" s="1017"/>
      <c r="B20" s="1004"/>
      <c r="C20" s="549" t="s">
        <v>257</v>
      </c>
      <c r="D20" s="7">
        <f>SUMIFS(Sheet1!$C$2:$C$180,Sheet1!$F$2:$F$180,B19,Sheet1!$E$2:$E$180,C20)</f>
        <v>855</v>
      </c>
      <c r="E20" s="7">
        <f>D20/Sheet1!$I$9*Sheet1!$I$10</f>
        <v>38.527998090170705</v>
      </c>
      <c r="F20" s="484">
        <f>D20/Sheet1!$I$9*Sheet1!$I$11</f>
        <v>1.9376709068697259E-2</v>
      </c>
      <c r="G20" s="1007"/>
      <c r="H20" s="1001"/>
      <c r="J20" s="1017"/>
      <c r="K20" s="1004"/>
      <c r="L20" s="549" t="s">
        <v>257</v>
      </c>
      <c r="M20" s="7">
        <f>SUMIFS(Sheet1!$N$2:$N$180,Sheet1!$Q$2:$Q$180,$K$19,Sheet1!$P$2:$P$180,L20)</f>
        <v>855</v>
      </c>
      <c r="N20" s="7">
        <f>M20/Sheet1!$T$9*Sheet1!$T$10</f>
        <v>38.433199442460747</v>
      </c>
      <c r="O20" s="484">
        <f>M20/Sheet1!$T$9*Sheet1!$T$11</f>
        <v>1.9355143419138531E-2</v>
      </c>
      <c r="P20" s="1007"/>
      <c r="Q20" s="1001"/>
    </row>
    <row r="21" spans="1:17">
      <c r="A21" s="1017"/>
      <c r="B21" s="1004"/>
      <c r="C21" s="549" t="s">
        <v>258</v>
      </c>
      <c r="D21" s="7">
        <f>SUMIFS(Sheet1!$C$2:$C$180,Sheet1!$F$2:$F$180,B19,Sheet1!$E$2:$E$180,C21)</f>
        <v>1164</v>
      </c>
      <c r="E21" s="7">
        <f>D21/Sheet1!$I$9*Sheet1!$I$10</f>
        <v>52.452151785916605</v>
      </c>
      <c r="F21" s="484">
        <f>D21/Sheet1!$I$9*Sheet1!$I$11</f>
        <v>2.6379519714577322E-2</v>
      </c>
      <c r="G21" s="1007"/>
      <c r="H21" s="1001"/>
      <c r="J21" s="1017"/>
      <c r="K21" s="1004"/>
      <c r="L21" s="549" t="s">
        <v>258</v>
      </c>
      <c r="M21" s="7">
        <f>SUMIFS(Sheet1!$N$2:$N$180,Sheet1!$Q$2:$Q$180,$K$19,Sheet1!$P$2:$P$180,L21)</f>
        <v>1164</v>
      </c>
      <c r="N21" s="7">
        <f>M21/Sheet1!$T$9*Sheet1!$T$10</f>
        <v>52.323092574297434</v>
      </c>
      <c r="O21" s="484">
        <f>M21/Sheet1!$T$9*Sheet1!$T$11</f>
        <v>2.6350160163599121E-2</v>
      </c>
      <c r="P21" s="1007"/>
      <c r="Q21" s="1001"/>
    </row>
    <row r="22" spans="1:17" ht="25.5">
      <c r="A22" s="1017"/>
      <c r="B22" s="1004"/>
      <c r="C22" s="549" t="s">
        <v>628</v>
      </c>
      <c r="D22" s="7">
        <f>SUMIFS(Sheet1!$C$2:$C$180,Sheet1!$F$2:$F$180,B19,Sheet1!$E$2:$E$180,C22)</f>
        <v>36</v>
      </c>
      <c r="E22" s="7">
        <f>D22/Sheet1!$I$9*Sheet1!$I$10</f>
        <v>1.6222314985335033</v>
      </c>
      <c r="F22" s="484">
        <f>D22/Sheet1!$I$9*Sheet1!$I$11</f>
        <v>8.1586143447146355E-4</v>
      </c>
      <c r="G22" s="1007"/>
      <c r="H22" s="1001"/>
      <c r="J22" s="1017"/>
      <c r="K22" s="1004"/>
      <c r="L22" s="549" t="s">
        <v>628</v>
      </c>
      <c r="M22" s="7">
        <f>SUMIFS(Sheet1!$N$2:$N$180,Sheet1!$Q$2:$Q$180,$K$19,Sheet1!$P$2:$P$180,L22)</f>
        <v>36</v>
      </c>
      <c r="N22" s="7">
        <f>M22/Sheet1!$T$9*Sheet1!$T$10</f>
        <v>1.6182399765246631</v>
      </c>
      <c r="O22" s="484">
        <f>M22/Sheet1!$T$9*Sheet1!$T$11</f>
        <v>8.1495340712162243E-4</v>
      </c>
      <c r="P22" s="1007"/>
      <c r="Q22" s="1001"/>
    </row>
    <row r="23" spans="1:17">
      <c r="A23" s="1017"/>
      <c r="B23" s="1005"/>
      <c r="C23" s="549"/>
      <c r="D23" s="7">
        <f>SUMIFS(Sheet1!$C$2:$C$180,Sheet1!$F$2:$F$180,B19,Sheet1!$E$2:$E$180,C23)</f>
        <v>0</v>
      </c>
      <c r="E23" s="7">
        <f>D23/Sheet1!$I$9*Sheet1!$I$10</f>
        <v>0</v>
      </c>
      <c r="F23" s="484">
        <f>D23/Sheet1!$I$9*Sheet1!$I$11</f>
        <v>0</v>
      </c>
      <c r="G23" s="1008"/>
      <c r="H23" s="1001"/>
      <c r="J23" s="1017"/>
      <c r="K23" s="1005"/>
      <c r="L23" s="549"/>
      <c r="M23" s="7">
        <f>SUMIFS(Sheet1!$N$2:$N$180,Sheet1!$Q$2:$Q$180,$K$19,Sheet1!$P$2:$P$180,L23)</f>
        <v>0</v>
      </c>
      <c r="N23" s="7">
        <f>M23/Sheet1!$T$9*Sheet1!$T$10</f>
        <v>0</v>
      </c>
      <c r="O23" s="484">
        <f>M23/Sheet1!$T$9*Sheet1!$T$11</f>
        <v>0</v>
      </c>
      <c r="P23" s="1008"/>
      <c r="Q23" s="1001"/>
    </row>
    <row r="24" spans="1:17" ht="25.5">
      <c r="A24" s="1000" t="s">
        <v>260</v>
      </c>
      <c r="B24" s="999" t="s">
        <v>261</v>
      </c>
      <c r="C24" s="551" t="s">
        <v>517</v>
      </c>
      <c r="D24" s="7">
        <f>SUMIFS(Sheet1!$C$2:$C$180,Sheet1!$F$2:$F$180,B24,Sheet1!$E$2:$E$180,C24)</f>
        <v>62</v>
      </c>
      <c r="E24" s="7">
        <f>D24/Sheet1!$I$9*Sheet1!$I$10</f>
        <v>2.7938431363632557</v>
      </c>
      <c r="F24" s="484">
        <f>D24/Sheet1!$I$9*Sheet1!$I$11</f>
        <v>1.4050946927008539E-3</v>
      </c>
      <c r="G24" s="1002">
        <f>SUM(F24:F30)</f>
        <v>5.6430415884276223E-3</v>
      </c>
      <c r="H24" s="1001">
        <f>SUM(G24:G38)</f>
        <v>1.0696849918625854E-2</v>
      </c>
      <c r="J24" s="1000" t="s">
        <v>260</v>
      </c>
      <c r="K24" s="999" t="s">
        <v>261</v>
      </c>
      <c r="L24" s="551" t="s">
        <v>517</v>
      </c>
      <c r="M24" s="7">
        <f>SUMIFS(Sheet1!$N$2:$N$180,Sheet1!$Q$2:$Q$180,$K$24,Sheet1!$P$2:$P$180,L24)</f>
        <v>62</v>
      </c>
      <c r="N24" s="7">
        <f>M24/Sheet1!$T$9*Sheet1!$T$10</f>
        <v>2.7869688484591415</v>
      </c>
      <c r="O24" s="484">
        <f>M24/Sheet1!$T$9*Sheet1!$T$11</f>
        <v>1.4035308678205718E-3</v>
      </c>
      <c r="P24" s="1002">
        <f>SUM(O24:O30)</f>
        <v>5.6367610659245546E-3</v>
      </c>
      <c r="Q24" s="1001">
        <f>SUM(P24:P38)</f>
        <v>1.068494467115016E-2</v>
      </c>
    </row>
    <row r="25" spans="1:17">
      <c r="A25" s="1000"/>
      <c r="B25" s="999"/>
      <c r="C25" s="551" t="s">
        <v>544</v>
      </c>
      <c r="D25" s="7">
        <f>SUMIFS(Sheet1!$C$2:$C$180,Sheet1!$F$2:$F$180,B24,Sheet1!$E$2:$E$180,C25)</f>
        <v>33</v>
      </c>
      <c r="E25" s="7">
        <f>D25/Sheet1!$I$9*Sheet1!$I$10</f>
        <v>1.4870455403223779</v>
      </c>
      <c r="F25" s="484">
        <f>D25/Sheet1!$I$9*Sheet1!$I$11</f>
        <v>7.478729815988415E-4</v>
      </c>
      <c r="G25" s="1002"/>
      <c r="H25" s="1001"/>
      <c r="J25" s="1000"/>
      <c r="K25" s="999"/>
      <c r="L25" s="551" t="s">
        <v>544</v>
      </c>
      <c r="M25" s="7">
        <f>SUMIFS(Sheet1!$N$2:$N$180,Sheet1!$Q$2:$Q$180,$K$24,Sheet1!$P$2:$P$180,L25)</f>
        <v>33</v>
      </c>
      <c r="N25" s="7">
        <f>M25/Sheet1!$T$9*Sheet1!$T$10</f>
        <v>1.4833866451476077</v>
      </c>
      <c r="O25" s="484">
        <f>M25/Sheet1!$T$9*Sheet1!$T$11</f>
        <v>7.4704062319482043E-4</v>
      </c>
      <c r="P25" s="1002"/>
      <c r="Q25" s="1001"/>
    </row>
    <row r="26" spans="1:17" ht="25.5">
      <c r="A26" s="1000"/>
      <c r="B26" s="999"/>
      <c r="C26" s="582" t="s">
        <v>581</v>
      </c>
      <c r="D26" s="7">
        <f>SUMIFS(Sheet1!$C$2:$C$180,Sheet1!$F$2:$F$180,B24,Sheet1!$E$2:$E$180,C26)</f>
        <v>119</v>
      </c>
      <c r="E26" s="7">
        <f>D26/Sheet1!$I$9*Sheet1!$I$10</f>
        <v>5.3623763423746356</v>
      </c>
      <c r="F26" s="484">
        <f>D26/Sheet1!$I$9*Sheet1!$I$11</f>
        <v>2.6968752972806711E-3</v>
      </c>
      <c r="G26" s="1002"/>
      <c r="H26" s="1001"/>
      <c r="J26" s="1000"/>
      <c r="K26" s="999"/>
      <c r="L26" s="582" t="s">
        <v>581</v>
      </c>
      <c r="M26" s="7">
        <f>SUMIFS(Sheet1!$N$2:$N$180,Sheet1!$Q$2:$Q$180,$K$24,Sheet1!$P$2:$P$180,L26)</f>
        <v>119</v>
      </c>
      <c r="N26" s="7">
        <f>M26/Sheet1!$T$9*Sheet1!$T$10</f>
        <v>5.3491821446231915</v>
      </c>
      <c r="O26" s="484">
        <f>M26/Sheet1!$T$9*Sheet1!$T$11</f>
        <v>2.6938737624298071E-3</v>
      </c>
      <c r="P26" s="1002"/>
      <c r="Q26" s="1001"/>
    </row>
    <row r="27" spans="1:17" ht="25.5">
      <c r="A27" s="1000"/>
      <c r="B27" s="999"/>
      <c r="C27" s="548" t="s">
        <v>835</v>
      </c>
      <c r="D27" s="7">
        <f>SUMIFS(Sheet1!$C$2:$C$180,Sheet1!$F$2:$F$180,B24,Sheet1!$E$2:$E$180,C27)</f>
        <v>35</v>
      </c>
      <c r="E27" s="7">
        <f>D27/Sheet1!$I$9*Sheet1!$I$10</f>
        <v>1.5771695124631282</v>
      </c>
      <c r="F27" s="484">
        <f>D27/Sheet1!$I$9*Sheet1!$I$11</f>
        <v>7.9319861684725617E-4</v>
      </c>
      <c r="G27" s="1002"/>
      <c r="H27" s="1001"/>
      <c r="J27" s="1000"/>
      <c r="K27" s="999"/>
      <c r="L27" s="548" t="s">
        <v>835</v>
      </c>
      <c r="M27" s="7">
        <f>SUMIFS(Sheet1!$N$2:$N$180,Sheet1!$Q$2:$Q$180,$K$24,Sheet1!$P$2:$P$180,L27)</f>
        <v>35</v>
      </c>
      <c r="N27" s="7">
        <f>M27/Sheet1!$T$9*Sheet1!$T$10</f>
        <v>1.5732888660656446</v>
      </c>
      <c r="O27" s="484">
        <f>M27/Sheet1!$T$9*Sheet1!$T$11</f>
        <v>7.923158124793551E-4</v>
      </c>
      <c r="P27" s="1002"/>
      <c r="Q27" s="1001"/>
    </row>
    <row r="28" spans="1:17">
      <c r="A28" s="1000"/>
      <c r="B28" s="999"/>
      <c r="C28" s="549"/>
      <c r="D28" s="7">
        <f>SUMIFS(Sheet1!$C$2:$C$180,Sheet1!$F$2:$F$180,B24,Sheet1!$E$2:$E$180,C28)</f>
        <v>0</v>
      </c>
      <c r="E28" s="7">
        <f>D28/Sheet1!$I$9*Sheet1!$I$10</f>
        <v>0</v>
      </c>
      <c r="F28" s="484">
        <f>D28/Sheet1!$I$9*Sheet1!$I$11</f>
        <v>0</v>
      </c>
      <c r="G28" s="1002"/>
      <c r="H28" s="1001"/>
      <c r="J28" s="1000"/>
      <c r="K28" s="999"/>
      <c r="L28" s="549"/>
      <c r="M28" s="7">
        <f>SUMIFS(Sheet1!$N$2:$N$180,Sheet1!$Q$2:$Q$180,$K$24,Sheet1!$P$2:$P$180,L28)</f>
        <v>0</v>
      </c>
      <c r="N28" s="7">
        <f>M28/Sheet1!$T$9*Sheet1!$T$10</f>
        <v>0</v>
      </c>
      <c r="O28" s="484">
        <f>M28/Sheet1!$T$9*Sheet1!$T$11</f>
        <v>0</v>
      </c>
      <c r="P28" s="1002"/>
      <c r="Q28" s="1001"/>
    </row>
    <row r="29" spans="1:17">
      <c r="A29" s="1000"/>
      <c r="B29" s="999"/>
      <c r="C29" s="549"/>
      <c r="D29" s="7">
        <f>SUMIFS(Sheet1!$C$2:$C$180,Sheet1!$F$2:$F$180,B24,Sheet1!$E$2:$E$180,C29)</f>
        <v>0</v>
      </c>
      <c r="E29" s="7">
        <f>D29/Sheet1!$I$9*Sheet1!$I$10</f>
        <v>0</v>
      </c>
      <c r="F29" s="484">
        <f>D29/Sheet1!$I$9*Sheet1!$I$11</f>
        <v>0</v>
      </c>
      <c r="G29" s="1002"/>
      <c r="H29" s="1001"/>
      <c r="J29" s="1000"/>
      <c r="K29" s="999"/>
      <c r="L29" s="549"/>
      <c r="M29" s="7">
        <f>SUMIFS(Sheet1!$N$2:$N$180,Sheet1!$Q$2:$Q$180,$K$24,Sheet1!$P$2:$P$180,L29)</f>
        <v>0</v>
      </c>
      <c r="N29" s="7">
        <f>M29/Sheet1!$T$9*Sheet1!$T$10</f>
        <v>0</v>
      </c>
      <c r="O29" s="484">
        <f>M29/Sheet1!$T$9*Sheet1!$T$11</f>
        <v>0</v>
      </c>
      <c r="P29" s="1002"/>
      <c r="Q29" s="1001"/>
    </row>
    <row r="30" spans="1:17">
      <c r="A30" s="1000"/>
      <c r="B30" s="999"/>
      <c r="C30" s="549"/>
      <c r="D30" s="7">
        <f>SUMIFS(Sheet1!$C$2:$C$180,Sheet1!$F$2:$F$180,B24,Sheet1!$E$2:$E$180,C30)</f>
        <v>0</v>
      </c>
      <c r="E30" s="7">
        <f>D30/Sheet1!$I$9*Sheet1!$I$10</f>
        <v>0</v>
      </c>
      <c r="F30" s="484">
        <f>D30/Sheet1!$I$9*Sheet1!$I$11</f>
        <v>0</v>
      </c>
      <c r="G30" s="1002"/>
      <c r="H30" s="1001"/>
      <c r="J30" s="1000"/>
      <c r="K30" s="999"/>
      <c r="L30" s="549"/>
      <c r="M30" s="7">
        <f>SUMIFS(Sheet1!$N$2:$N$180,Sheet1!$Q$2:$Q$180,$K$24,Sheet1!$P$2:$P$180,L30)</f>
        <v>0</v>
      </c>
      <c r="N30" s="7">
        <f>M30/Sheet1!$T$9*Sheet1!$T$10</f>
        <v>0</v>
      </c>
      <c r="O30" s="484">
        <f>M30/Sheet1!$T$9*Sheet1!$T$11</f>
        <v>0</v>
      </c>
      <c r="P30" s="1002"/>
      <c r="Q30" s="1001"/>
    </row>
    <row r="31" spans="1:17">
      <c r="A31" s="1000"/>
      <c r="B31" s="1003" t="s">
        <v>262</v>
      </c>
      <c r="D31" s="7">
        <f>SUMIFS(Sheet1!$C$2:$C$180,Sheet1!$F$2:$F$180,B31,Sheet1!$E$2:$E$180,C31)</f>
        <v>0</v>
      </c>
      <c r="E31" s="7">
        <f>D31/Sheet1!$I$9*Sheet1!$I$10</f>
        <v>0</v>
      </c>
      <c r="F31" s="484">
        <f>D31/Sheet1!$I$9*Sheet1!$I$11</f>
        <v>0</v>
      </c>
      <c r="G31" s="1006">
        <f>SUM(F31:F32)</f>
        <v>0</v>
      </c>
      <c r="H31" s="1001"/>
      <c r="J31" s="1000"/>
      <c r="K31" s="1003" t="s">
        <v>262</v>
      </c>
      <c r="M31" s="7">
        <f>SUMIFS(Sheet1!$N$2:$N$180,Sheet1!$Q$2:$Q$180,$K$31,Sheet1!$P$2:$P$180,L31)</f>
        <v>0</v>
      </c>
      <c r="N31" s="7">
        <f>M31/Sheet1!$T$9*Sheet1!$T$10</f>
        <v>0</v>
      </c>
      <c r="O31" s="484">
        <f>M31/Sheet1!$T$9*Sheet1!$T$11</f>
        <v>0</v>
      </c>
      <c r="P31" s="1006">
        <f>SUM(O31:O32)</f>
        <v>0</v>
      </c>
      <c r="Q31" s="1001"/>
    </row>
    <row r="32" spans="1:17">
      <c r="A32" s="1000"/>
      <c r="B32" s="1005"/>
      <c r="C32" s="549"/>
      <c r="D32" s="7">
        <f>SUMIFS(Sheet1!$C$2:$C$180,Sheet1!$F$2:$F$180,B31,Sheet1!$E$2:$E$180,C32)</f>
        <v>0</v>
      </c>
      <c r="E32" s="7">
        <f>D32/Sheet1!$I$9*Sheet1!$I$10</f>
        <v>0</v>
      </c>
      <c r="F32" s="484">
        <f>D32/Sheet1!$I$9*Sheet1!$I$11</f>
        <v>0</v>
      </c>
      <c r="G32" s="1008"/>
      <c r="H32" s="1001"/>
      <c r="J32" s="1000"/>
      <c r="K32" s="1005"/>
      <c r="L32" s="549"/>
      <c r="M32" s="7">
        <f>SUMIFS(Sheet1!$N$2:$N$180,Sheet1!$Q$2:$Q$180,$K$31,Sheet1!$P$2:$P$180,L32)</f>
        <v>0</v>
      </c>
      <c r="N32" s="7">
        <f>M32/Sheet1!$T$9*Sheet1!$T$10</f>
        <v>0</v>
      </c>
      <c r="O32" s="484">
        <f>M32/Sheet1!$T$9*Sheet1!$T$11</f>
        <v>0</v>
      </c>
      <c r="P32" s="1008"/>
      <c r="Q32" s="1001"/>
    </row>
    <row r="33" spans="1:17" ht="38.25">
      <c r="A33" s="1000"/>
      <c r="B33" s="999" t="s">
        <v>263</v>
      </c>
      <c r="C33" s="549" t="s">
        <v>679</v>
      </c>
      <c r="D33" s="7">
        <f>SUMIFS(Sheet1!$C$2:$C$180,Sheet1!$F$2:$F$180,B33,Sheet1!$E$2:$E$180,C33)</f>
        <v>180</v>
      </c>
      <c r="E33" s="7">
        <f>D33/Sheet1!$I$9*Sheet1!$I$10</f>
        <v>8.1111574926675161</v>
      </c>
      <c r="F33" s="484">
        <f>D33/Sheet1!$I$9*Sheet1!$I$11</f>
        <v>4.0793071723573176E-3</v>
      </c>
      <c r="G33" s="1002">
        <f>SUM(F33:F36)</f>
        <v>5.0538083301982324E-3</v>
      </c>
      <c r="H33" s="1001"/>
      <c r="J33" s="1000"/>
      <c r="K33" s="999" t="s">
        <v>263</v>
      </c>
      <c r="L33" s="549" t="s">
        <v>679</v>
      </c>
      <c r="M33" s="7">
        <f>SUMIFS(Sheet1!$N$2:$N$180,Sheet1!$Q$2:$Q$180,$K$33,Sheet1!$P$2:$P$180,L33)</f>
        <v>180</v>
      </c>
      <c r="N33" s="7">
        <f>M33/Sheet1!$T$9*Sheet1!$T$10</f>
        <v>8.0911998826233145</v>
      </c>
      <c r="O33" s="484">
        <f>M33/Sheet1!$T$9*Sheet1!$T$11</f>
        <v>4.0747670356081119E-3</v>
      </c>
      <c r="P33" s="1002">
        <f>SUM(O33:O36)</f>
        <v>5.0481836052256052E-3</v>
      </c>
      <c r="Q33" s="1001"/>
    </row>
    <row r="34" spans="1:17">
      <c r="A34" s="1000"/>
      <c r="B34" s="999"/>
      <c r="C34" s="549" t="s">
        <v>690</v>
      </c>
      <c r="D34" s="7">
        <f>SUMIFS(Sheet1!$C$2:$C$180,Sheet1!$F$2:$F$180,B33,Sheet1!$E$2:$E$180,C34)</f>
        <v>10</v>
      </c>
      <c r="E34" s="7">
        <f>D34/Sheet1!$I$9*Sheet1!$I$10</f>
        <v>0.45061986070375093</v>
      </c>
      <c r="F34" s="484">
        <f>D34/Sheet1!$I$9*Sheet1!$I$11</f>
        <v>2.2662817624207319E-4</v>
      </c>
      <c r="G34" s="1002"/>
      <c r="H34" s="1001"/>
      <c r="J34" s="1000"/>
      <c r="K34" s="999"/>
      <c r="L34" s="549" t="s">
        <v>690</v>
      </c>
      <c r="M34" s="7">
        <f>SUMIFS(Sheet1!$N$2:$N$180,Sheet1!$Q$2:$Q$180,$K$33,Sheet1!$P$2:$P$180,L34)</f>
        <v>10</v>
      </c>
      <c r="N34" s="7">
        <f>M34/Sheet1!$T$9*Sheet1!$T$10</f>
        <v>0.44951110459018417</v>
      </c>
      <c r="O34" s="484">
        <f>M34/Sheet1!$T$9*Sheet1!$T$11</f>
        <v>2.2637594642267288E-4</v>
      </c>
      <c r="P34" s="1002"/>
      <c r="Q34" s="1001"/>
    </row>
    <row r="35" spans="1:17" ht="25.5">
      <c r="A35" s="1000"/>
      <c r="B35" s="999"/>
      <c r="C35" s="549" t="s">
        <v>762</v>
      </c>
      <c r="D35" s="7">
        <f>SUMIFS(Sheet1!$C$2:$C$180,Sheet1!$F$2:$F$180,B33,Sheet1!$E$2:$E$180,C35)</f>
        <v>18</v>
      </c>
      <c r="E35" s="7">
        <f>D35/Sheet1!$I$9*Sheet1!$I$10</f>
        <v>0.81111574926675167</v>
      </c>
      <c r="F35" s="484">
        <f>D35/Sheet1!$I$9*Sheet1!$I$11</f>
        <v>4.0793071723573178E-4</v>
      </c>
      <c r="G35" s="1002"/>
      <c r="H35" s="1001"/>
      <c r="J35" s="1000"/>
      <c r="K35" s="999"/>
      <c r="L35" s="549" t="s">
        <v>762</v>
      </c>
      <c r="M35" s="7">
        <f>SUMIFS(Sheet1!$N$2:$N$180,Sheet1!$Q$2:$Q$180,$K$33,Sheet1!$P$2:$P$180,L35)</f>
        <v>18</v>
      </c>
      <c r="N35" s="7">
        <f>M35/Sheet1!$T$9*Sheet1!$T$10</f>
        <v>0.80911998826233156</v>
      </c>
      <c r="O35" s="484">
        <f>M35/Sheet1!$T$9*Sheet1!$T$11</f>
        <v>4.0747670356081121E-4</v>
      </c>
      <c r="P35" s="1002"/>
      <c r="Q35" s="1001"/>
    </row>
    <row r="36" spans="1:17" ht="38.25">
      <c r="A36" s="1000"/>
      <c r="B36" s="999"/>
      <c r="C36" s="549" t="s">
        <v>773</v>
      </c>
      <c r="D36" s="7">
        <f>SUMIFS(Sheet1!$C$2:$C$180,Sheet1!$F$2:$F$180,B33,Sheet1!$E$2:$E$180,C36)</f>
        <v>15</v>
      </c>
      <c r="E36" s="7">
        <f>D36/Sheet1!$I$9*Sheet1!$I$10</f>
        <v>0.67592979105562645</v>
      </c>
      <c r="F36" s="484">
        <f>D36/Sheet1!$I$9*Sheet1!$I$11</f>
        <v>3.3994226436310983E-4</v>
      </c>
      <c r="G36" s="1002"/>
      <c r="H36" s="1001"/>
      <c r="J36" s="1000"/>
      <c r="K36" s="999"/>
      <c r="L36" s="549" t="s">
        <v>773</v>
      </c>
      <c r="M36" s="7">
        <f>SUMIFS(Sheet1!$N$2:$N$180,Sheet1!$Q$2:$Q$180,$K$33,Sheet1!$P$2:$P$180,L36)</f>
        <v>15</v>
      </c>
      <c r="N36" s="7">
        <f>M36/Sheet1!$T$9*Sheet1!$T$10</f>
        <v>0.67426665688527632</v>
      </c>
      <c r="O36" s="484">
        <f>M36/Sheet1!$T$9*Sheet1!$T$11</f>
        <v>3.3956391963400933E-4</v>
      </c>
      <c r="P36" s="1002"/>
      <c r="Q36" s="1001"/>
    </row>
    <row r="37" spans="1:17">
      <c r="A37" s="1000"/>
      <c r="B37" s="1003" t="s">
        <v>264</v>
      </c>
      <c r="C37" s="549"/>
      <c r="D37" s="7">
        <f>SUMIFS(Sheet1!$C$2:$C$180,Sheet1!$F$2:$F$180,B37,Sheet1!$E$2:$E$180,C37)</f>
        <v>0</v>
      </c>
      <c r="E37" s="7">
        <f>D37/Sheet1!$I$9*Sheet1!$I$10</f>
        <v>0</v>
      </c>
      <c r="F37" s="484">
        <f>D37/Sheet1!$I$9*Sheet1!$I$11</f>
        <v>0</v>
      </c>
      <c r="G37" s="1006">
        <f>SUM(F37:F38)</f>
        <v>0</v>
      </c>
      <c r="H37" s="1001"/>
      <c r="J37" s="1000"/>
      <c r="K37" s="1003" t="s">
        <v>264</v>
      </c>
      <c r="L37" s="549"/>
      <c r="M37" s="7">
        <f>SUMIFS(Sheet1!$N$2:$N$180,Sheet1!$Q$2:$Q$180,$K$37,Sheet1!$P$2:$P$180,L37)</f>
        <v>0</v>
      </c>
      <c r="N37" s="7">
        <f>M37/Sheet1!$T$9*Sheet1!$T$10</f>
        <v>0</v>
      </c>
      <c r="O37" s="484">
        <f>M37/Sheet1!$T$9*Sheet1!$T$11</f>
        <v>0</v>
      </c>
      <c r="P37" s="1006">
        <f>SUM(O37:O38)</f>
        <v>0</v>
      </c>
      <c r="Q37" s="1001"/>
    </row>
    <row r="38" spans="1:17">
      <c r="A38" s="1000"/>
      <c r="B38" s="1005"/>
      <c r="C38" s="549"/>
      <c r="D38" s="7">
        <f>SUMIFS(Sheet1!$C$2:$C$180,Sheet1!$F$2:$F$180,B37,Sheet1!$E$2:$E$180,C38)</f>
        <v>0</v>
      </c>
      <c r="E38" s="7">
        <f>D38/Sheet1!$I$9*Sheet1!$I$10</f>
        <v>0</v>
      </c>
      <c r="F38" s="484">
        <f>D38/Sheet1!$I$9*Sheet1!$I$11</f>
        <v>0</v>
      </c>
      <c r="G38" s="1008"/>
      <c r="H38" s="1001"/>
      <c r="J38" s="1000"/>
      <c r="K38" s="1005"/>
      <c r="L38" s="549"/>
      <c r="M38" s="7">
        <f>SUMIFS(Sheet1!$N$2:$N$180,Sheet1!$Q$2:$Q$180,$K$37,Sheet1!$P$2:$P$180,L38)</f>
        <v>0</v>
      </c>
      <c r="N38" s="7">
        <f>M38/Sheet1!$T$9*Sheet1!$T$10</f>
        <v>0</v>
      </c>
      <c r="O38" s="484">
        <f>M38/Sheet1!$T$9*Sheet1!$T$11</f>
        <v>0</v>
      </c>
      <c r="P38" s="1008"/>
      <c r="Q38" s="1001"/>
    </row>
    <row r="39" spans="1:17">
      <c r="A39" s="1000" t="s">
        <v>423</v>
      </c>
      <c r="B39" s="1003" t="s">
        <v>265</v>
      </c>
      <c r="C39" s="549" t="s">
        <v>836</v>
      </c>
      <c r="D39" s="7">
        <f>SUMIFS(Sheet1!$C$2:$C$180,Sheet1!$F$2:$F$180,B39,Sheet1!$E$2:$E$180,C39)</f>
        <v>5</v>
      </c>
      <c r="E39" s="7">
        <f>D39/Sheet1!$I$9*Sheet1!$I$10</f>
        <v>0.22530993035187546</v>
      </c>
      <c r="F39" s="484">
        <f>D39/Sheet1!$I$9*Sheet1!$I$11</f>
        <v>1.133140881210366E-4</v>
      </c>
      <c r="G39" s="1006">
        <f>SUM(F39:F40)</f>
        <v>1.133140881210366E-4</v>
      </c>
      <c r="H39" s="1011">
        <f>SUM(G39:G40)</f>
        <v>1.133140881210366E-4</v>
      </c>
      <c r="J39" s="1000" t="s">
        <v>423</v>
      </c>
      <c r="K39" s="1003" t="s">
        <v>265</v>
      </c>
      <c r="L39" s="549" t="s">
        <v>836</v>
      </c>
      <c r="M39" s="7">
        <f>SUMIFS(Sheet1!$N$2:$N$180,Sheet1!$Q$2:$Q$180,K39,Sheet1!$P$2:$P$180,L39)</f>
        <v>5</v>
      </c>
      <c r="N39" s="7">
        <f>M39/Sheet1!$T$9*Sheet1!$T$10</f>
        <v>0.22475555229509209</v>
      </c>
      <c r="O39" s="484">
        <f>M39/Sheet1!$T$9*Sheet1!$T$11</f>
        <v>1.1318797321133644E-4</v>
      </c>
      <c r="P39" s="1006">
        <f>SUM(O39:O40)</f>
        <v>1.1318797321133644E-4</v>
      </c>
      <c r="Q39" s="1011">
        <f>SUM(P39:P40)</f>
        <v>1.1318797321133644E-4</v>
      </c>
    </row>
    <row r="40" spans="1:17">
      <c r="A40" s="1000"/>
      <c r="B40" s="1005"/>
      <c r="C40" s="551"/>
      <c r="D40" s="7">
        <f>SUMIFS(Sheet1!$C$2:$C$180,Sheet1!$F$2:$F$180,B39,Sheet1!$E$2:$E$180,C40)</f>
        <v>0</v>
      </c>
      <c r="E40" s="7">
        <f>D40/Sheet1!$I$9*Sheet1!$I$10</f>
        <v>0</v>
      </c>
      <c r="F40" s="484">
        <f>D40/Sheet1!$I$9*Sheet1!$I$11</f>
        <v>0</v>
      </c>
      <c r="G40" s="1008"/>
      <c r="H40" s="1012"/>
      <c r="J40" s="1000"/>
      <c r="K40" s="1005"/>
      <c r="L40" s="551"/>
      <c r="M40" s="7">
        <f>SUMIFS(Sheet1!$N$2:$N$180,Sheet1!$Q$2:$Q$180,K39,Sheet1!$P$2:$P$180,L40)</f>
        <v>0</v>
      </c>
      <c r="N40" s="7">
        <f>M40/Sheet1!$T$9*Sheet1!$T$10</f>
        <v>0</v>
      </c>
      <c r="O40" s="484">
        <f>M40/Sheet1!$T$9*Sheet1!$T$11</f>
        <v>0</v>
      </c>
      <c r="P40" s="1008"/>
      <c r="Q40" s="1012"/>
    </row>
    <row r="41" spans="1:17" ht="15">
      <c r="A41" s="473"/>
      <c r="B41" s="1013" t="s">
        <v>2</v>
      </c>
      <c r="C41" s="1013"/>
      <c r="D41" s="319">
        <f>SUM(D4:D40)</f>
        <v>3767</v>
      </c>
      <c r="E41" s="319">
        <f>SUM(E4:E40)</f>
        <v>319.33644311350253</v>
      </c>
      <c r="F41" s="474">
        <f>SUM(F4:F40)</f>
        <v>0.16060241019430335</v>
      </c>
      <c r="G41" s="474">
        <f>SUM(G4:G40)</f>
        <v>0.16060241019430332</v>
      </c>
      <c r="H41" s="474">
        <f>SUM(H4:H40)</f>
        <v>0.16060241019430332</v>
      </c>
      <c r="J41" s="473"/>
      <c r="K41" s="1013" t="s">
        <v>2</v>
      </c>
      <c r="L41" s="1013"/>
      <c r="M41" s="319">
        <f>SUM(M4:M40)</f>
        <v>3719</v>
      </c>
      <c r="N41" s="319">
        <f>SUM(N4:N40)</f>
        <v>316.65404326354297</v>
      </c>
      <c r="O41" s="474">
        <f>SUM(O4:O40)</f>
        <v>0.1594684936598024</v>
      </c>
      <c r="P41" s="474">
        <f>SUM(P4:P40)</f>
        <v>0.1594684936598024</v>
      </c>
      <c r="Q41" s="474">
        <f>SUM(Q4:Q40)</f>
        <v>0.1594684936598024</v>
      </c>
    </row>
    <row r="42" spans="1:17" ht="15">
      <c r="A42" s="473"/>
      <c r="B42" s="1013" t="s">
        <v>1</v>
      </c>
      <c r="C42" s="1013"/>
      <c r="D42" s="1013"/>
      <c r="E42" s="1013"/>
      <c r="F42" s="475">
        <f>+Efficiency1!X154</f>
        <v>0.83939758980569679</v>
      </c>
      <c r="G42" s="475">
        <f>+F42</f>
        <v>0.83939758980569679</v>
      </c>
      <c r="H42" s="475">
        <f>+G42</f>
        <v>0.83939758980569679</v>
      </c>
      <c r="J42" s="473"/>
      <c r="K42" s="1013" t="s">
        <v>1</v>
      </c>
      <c r="L42" s="1013"/>
      <c r="M42" s="1013"/>
      <c r="N42" s="1013"/>
      <c r="O42" s="475">
        <f>+Efficiency2!X154</f>
        <v>0.84053150634019769</v>
      </c>
      <c r="P42" s="475">
        <f>+O42</f>
        <v>0.84053150634019769</v>
      </c>
      <c r="Q42" s="475">
        <f>+P42</f>
        <v>0.84053150634019769</v>
      </c>
    </row>
    <row r="43" spans="1:17" ht="15">
      <c r="A43" s="473"/>
      <c r="B43" s="1013" t="s">
        <v>56</v>
      </c>
      <c r="C43" s="1013"/>
      <c r="D43" s="1013"/>
      <c r="E43" s="1013"/>
      <c r="F43" s="476">
        <f>SUM(F41:F42)</f>
        <v>1.0000000000000002</v>
      </c>
      <c r="G43" s="476">
        <f>SUM(G41:G42)</f>
        <v>1</v>
      </c>
      <c r="H43" s="477">
        <f>SUM(H41:H42)</f>
        <v>1</v>
      </c>
      <c r="J43" s="473"/>
      <c r="K43" s="1013" t="s">
        <v>56</v>
      </c>
      <c r="L43" s="1013"/>
      <c r="M43" s="1013"/>
      <c r="N43" s="1013"/>
      <c r="O43" s="476">
        <f>SUM(O41:O42)</f>
        <v>1</v>
      </c>
      <c r="P43" s="476">
        <f>SUM(P41:P42)</f>
        <v>1</v>
      </c>
      <c r="Q43" s="477">
        <f>SUM(Q41:Q42)</f>
        <v>1</v>
      </c>
    </row>
  </sheetData>
  <mergeCells count="66">
    <mergeCell ref="A39:A40"/>
    <mergeCell ref="A12:A13"/>
    <mergeCell ref="H12:H13"/>
    <mergeCell ref="A14:A23"/>
    <mergeCell ref="H14:H23"/>
    <mergeCell ref="B16:B17"/>
    <mergeCell ref="G16:G17"/>
    <mergeCell ref="B19:B23"/>
    <mergeCell ref="G33:G36"/>
    <mergeCell ref="B37:B38"/>
    <mergeCell ref="G37:G38"/>
    <mergeCell ref="H24:H38"/>
    <mergeCell ref="G31:G32"/>
    <mergeCell ref="B33:B36"/>
    <mergeCell ref="G24:G30"/>
    <mergeCell ref="H4:H11"/>
    <mergeCell ref="B6:B7"/>
    <mergeCell ref="B8:B9"/>
    <mergeCell ref="B10:B11"/>
    <mergeCell ref="A24:A38"/>
    <mergeCell ref="B31:B32"/>
    <mergeCell ref="G19:G23"/>
    <mergeCell ref="B43:E43"/>
    <mergeCell ref="K39:K40"/>
    <mergeCell ref="P39:P40"/>
    <mergeCell ref="B39:B40"/>
    <mergeCell ref="G39:G40"/>
    <mergeCell ref="H39:H40"/>
    <mergeCell ref="B41:C41"/>
    <mergeCell ref="B42:E42"/>
    <mergeCell ref="K42:N42"/>
    <mergeCell ref="K43:N43"/>
    <mergeCell ref="J12:J13"/>
    <mergeCell ref="J24:J38"/>
    <mergeCell ref="J39:J40"/>
    <mergeCell ref="Q39:Q40"/>
    <mergeCell ref="K41:L41"/>
    <mergeCell ref="K24:K30"/>
    <mergeCell ref="P24:P30"/>
    <mergeCell ref="Q24:Q38"/>
    <mergeCell ref="K31:K32"/>
    <mergeCell ref="P31:P32"/>
    <mergeCell ref="K33:K36"/>
    <mergeCell ref="P33:P36"/>
    <mergeCell ref="K37:K38"/>
    <mergeCell ref="P37:P38"/>
    <mergeCell ref="Q12:Q13"/>
    <mergeCell ref="J14:J23"/>
    <mergeCell ref="K2:K3"/>
    <mergeCell ref="L2:L3"/>
    <mergeCell ref="J4:J11"/>
    <mergeCell ref="Q4:Q11"/>
    <mergeCell ref="K6:K7"/>
    <mergeCell ref="K8:K9"/>
    <mergeCell ref="K10:K11"/>
    <mergeCell ref="J2:J3"/>
    <mergeCell ref="Q14:Q23"/>
    <mergeCell ref="K16:K17"/>
    <mergeCell ref="P16:P17"/>
    <mergeCell ref="K19:K23"/>
    <mergeCell ref="P19:P23"/>
    <mergeCell ref="A2:A3"/>
    <mergeCell ref="B2:B3"/>
    <mergeCell ref="C2:C3"/>
    <mergeCell ref="B24:B30"/>
    <mergeCell ref="A4:A11"/>
  </mergeCells>
  <conditionalFormatting sqref="D4:D34 D36:D40">
    <cfRule type="cellIs" dxfId="11" priority="11" operator="between">
      <formula>180</formula>
      <formula>360</formula>
    </cfRule>
    <cfRule type="cellIs" dxfId="10" priority="12" operator="greaterThan">
      <formula>360</formula>
    </cfRule>
  </conditionalFormatting>
  <conditionalFormatting sqref="M5:M34 M36:M40">
    <cfRule type="cellIs" dxfId="9" priority="9" operator="between">
      <formula>180</formula>
      <formula>360</formula>
    </cfRule>
    <cfRule type="cellIs" dxfId="8" priority="10" operator="greaterThan">
      <formula>360</formula>
    </cfRule>
  </conditionalFormatting>
  <conditionalFormatting sqref="M4:M34 M36:M40">
    <cfRule type="cellIs" dxfId="7" priority="7" operator="between">
      <formula>180</formula>
      <formula>360</formula>
    </cfRule>
    <cfRule type="cellIs" dxfId="6" priority="8" operator="greaterThan">
      <formula>360</formula>
    </cfRule>
  </conditionalFormatting>
  <conditionalFormatting sqref="D35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35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35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1496062992125984" right="0.31496062992125984" top="0.3543307086614173" bottom="0.3543307086614173" header="0.31496062992125984" footer="0.31496062992125984"/>
  <pageSetup paperSize="9" scale="33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R61"/>
  <sheetViews>
    <sheetView topLeftCell="A39" zoomScale="80" zoomScaleNormal="80" workbookViewId="0">
      <selection activeCell="J56" sqref="J56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4.42578125" style="160" customWidth="1"/>
    <col min="14" max="16384" width="9.140625" style="160"/>
  </cols>
  <sheetData>
    <row r="1" spans="1:16" ht="15.75">
      <c r="A1" s="159"/>
    </row>
    <row r="2" spans="1:16" ht="15.75">
      <c r="A2" s="159" t="s">
        <v>147</v>
      </c>
    </row>
    <row r="3" spans="1:16" ht="15">
      <c r="A3" s="161"/>
    </row>
    <row r="4" spans="1:16" ht="20.25">
      <c r="A4" s="162" t="s">
        <v>3</v>
      </c>
      <c r="B4" s="163"/>
      <c r="F4" s="164" t="s">
        <v>29</v>
      </c>
      <c r="G4" s="165">
        <v>31</v>
      </c>
      <c r="H4" s="165" t="str">
        <f>+'1'!H4</f>
        <v>.06.24</v>
      </c>
    </row>
    <row r="5" spans="1:16" ht="13.5" thickBot="1">
      <c r="C5" s="166"/>
      <c r="D5" s="166"/>
    </row>
    <row r="6" spans="1:16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382+184+103</f>
        <v>669</v>
      </c>
    </row>
    <row r="7" spans="1:16" ht="13.5" customHeight="1" thickBot="1">
      <c r="A7" s="1020" t="s">
        <v>435</v>
      </c>
      <c r="B7" s="226" t="s">
        <v>603</v>
      </c>
      <c r="C7" s="227">
        <v>17934</v>
      </c>
      <c r="D7" s="228"/>
      <c r="E7" s="229"/>
      <c r="F7" s="239">
        <v>5</v>
      </c>
      <c r="G7" s="240" t="s">
        <v>11</v>
      </c>
      <c r="H7" s="241" t="s">
        <v>536</v>
      </c>
      <c r="I7" s="1023" t="s">
        <v>827</v>
      </c>
      <c r="J7" s="225" t="str">
        <f>+'30'!J7</f>
        <v>MG 14 VP HW</v>
      </c>
      <c r="K7" s="249"/>
      <c r="L7" s="253"/>
      <c r="M7" s="128">
        <f>+L7+'30'!M7+K7</f>
        <v>160441</v>
      </c>
    </row>
    <row r="8" spans="1:16" ht="13.5" thickBot="1">
      <c r="A8" s="1021"/>
      <c r="B8" s="226"/>
      <c r="C8" s="227"/>
      <c r="D8" s="228"/>
      <c r="E8" s="230"/>
      <c r="F8" s="242">
        <v>5</v>
      </c>
      <c r="G8" s="243" t="s">
        <v>11</v>
      </c>
      <c r="H8" s="241" t="s">
        <v>600</v>
      </c>
      <c r="I8" s="1024"/>
      <c r="J8" s="225" t="str">
        <f>+'30'!J8</f>
        <v>MG 17 VP HW</v>
      </c>
      <c r="K8" s="250"/>
      <c r="L8" s="250"/>
      <c r="M8" s="128">
        <f>+L8+'30'!M8+K8</f>
        <v>131048</v>
      </c>
      <c r="N8" s="160">
        <v>1610</v>
      </c>
      <c r="O8" s="160">
        <f>+N8-N8*0.24</f>
        <v>1223.5999999999999</v>
      </c>
      <c r="P8" s="160">
        <v>480</v>
      </c>
    </row>
    <row r="9" spans="1:16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455</v>
      </c>
      <c r="I9" s="1024"/>
      <c r="J9" s="225" t="str">
        <f>+'30'!J9</f>
        <v>MG 16 VP HW/OW</v>
      </c>
      <c r="K9" s="250"/>
      <c r="L9" s="250"/>
      <c r="M9" s="128">
        <f>+L9+'30'!M9+K9</f>
        <v>278646</v>
      </c>
      <c r="N9" s="160">
        <v>1610</v>
      </c>
      <c r="O9" s="160">
        <f>+N9-N9*0.24</f>
        <v>1223.5999999999999</v>
      </c>
      <c r="P9" s="160">
        <v>480</v>
      </c>
    </row>
    <row r="10" spans="1:16" ht="13.5" thickBot="1">
      <c r="A10" s="1021"/>
      <c r="B10" s="226"/>
      <c r="C10" s="227"/>
      <c r="D10" s="228"/>
      <c r="E10" s="230"/>
      <c r="F10" s="239"/>
      <c r="G10" s="243"/>
      <c r="H10" s="597" t="s">
        <v>823</v>
      </c>
      <c r="I10" s="1024"/>
      <c r="J10" s="225" t="str">
        <f>+'30'!J10</f>
        <v>MG 22 VP HW</v>
      </c>
      <c r="K10" s="250"/>
      <c r="L10" s="250"/>
      <c r="M10" s="128">
        <f>+L10+'30'!M10+K10</f>
        <v>12128</v>
      </c>
      <c r="N10" s="160">
        <v>1610</v>
      </c>
      <c r="O10" s="160">
        <f>+N10-N10*0.24</f>
        <v>1223.5999999999999</v>
      </c>
      <c r="P10" s="160">
        <v>160</v>
      </c>
    </row>
    <row r="11" spans="1:16" ht="26.25" thickBot="1">
      <c r="A11" s="1021"/>
      <c r="B11" s="226"/>
      <c r="C11" s="227"/>
      <c r="D11" s="228"/>
      <c r="E11" s="230"/>
      <c r="F11" s="239"/>
      <c r="G11" s="243"/>
      <c r="H11" s="244" t="s">
        <v>826</v>
      </c>
      <c r="I11" s="1024"/>
      <c r="J11" s="225" t="str">
        <f>+'30'!J11</f>
        <v>MG 24 VP HW</v>
      </c>
      <c r="K11" s="250"/>
      <c r="L11" s="250"/>
      <c r="M11" s="128">
        <f>+L11+'30'!M11+K11</f>
        <v>5566</v>
      </c>
      <c r="P11" s="160">
        <f>SUM(P8:P10)</f>
        <v>1120</v>
      </c>
    </row>
    <row r="12" spans="1:16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 t="str">
        <f>+'30'!J12</f>
        <v>MG 20 VP HW</v>
      </c>
      <c r="K12" s="250"/>
      <c r="L12" s="250"/>
      <c r="M12" s="128">
        <f>+L12+'30'!M12+K12</f>
        <v>7726</v>
      </c>
    </row>
    <row r="13" spans="1:16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+'30'!J13</f>
        <v>F 12 VP OW</v>
      </c>
      <c r="K13" s="250">
        <f>+C7+C16+C25</f>
        <v>43775</v>
      </c>
      <c r="L13" s="250"/>
      <c r="M13" s="128">
        <f>+L13+'30'!M13+K13</f>
        <v>408071</v>
      </c>
    </row>
    <row r="14" spans="1:16" ht="13.5" thickBot="1">
      <c r="A14" s="1022"/>
      <c r="B14" s="176" t="s">
        <v>2</v>
      </c>
      <c r="C14" s="110">
        <f>SUM(C7:C13)</f>
        <v>17934</v>
      </c>
      <c r="D14" s="122">
        <f>SUM(D7:D13)</f>
        <v>0</v>
      </c>
      <c r="E14" s="123">
        <f>SUM(E5:E13)</f>
        <v>0</v>
      </c>
      <c r="F14" s="127">
        <f>SUM(F7:F13)</f>
        <v>20</v>
      </c>
      <c r="G14" s="170"/>
      <c r="H14" s="177"/>
      <c r="I14" s="178"/>
      <c r="J14" s="225" t="str">
        <f>+'30'!J14</f>
        <v>F 11,5 VP OW</v>
      </c>
      <c r="K14" s="250"/>
      <c r="L14" s="250"/>
      <c r="M14" s="128">
        <f>+L14+'30'!M14+K14</f>
        <v>242575</v>
      </c>
    </row>
    <row r="15" spans="1:16" ht="13.5" customHeight="1" thickBot="1">
      <c r="A15" s="1020" t="s">
        <v>605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827</v>
      </c>
      <c r="J15" s="225" t="str">
        <f>+'30'!J15</f>
        <v>F 10,5 VP OW</v>
      </c>
      <c r="K15" s="250"/>
      <c r="L15" s="250"/>
      <c r="M15" s="128">
        <f>+L15+'30'!M15+K15</f>
        <v>165170</v>
      </c>
    </row>
    <row r="16" spans="1:16" ht="13.5" thickBot="1">
      <c r="A16" s="1026"/>
      <c r="B16" s="232" t="s">
        <v>603</v>
      </c>
      <c r="C16" s="233">
        <v>17091</v>
      </c>
      <c r="D16" s="234"/>
      <c r="E16" s="235"/>
      <c r="F16" s="239">
        <v>8</v>
      </c>
      <c r="G16" s="243" t="s">
        <v>11</v>
      </c>
      <c r="H16" s="241" t="s">
        <v>749</v>
      </c>
      <c r="I16" s="1024"/>
      <c r="J16" s="225" t="str">
        <f>+'30'!J16</f>
        <v>F 10,3 VP OW</v>
      </c>
      <c r="K16" s="240"/>
      <c r="L16" s="240"/>
      <c r="M16" s="128">
        <f>+L16+'30'!M16+K16</f>
        <v>177717</v>
      </c>
    </row>
    <row r="17" spans="1:18" ht="13.5" thickBot="1">
      <c r="A17" s="1026"/>
      <c r="B17" s="226"/>
      <c r="C17" s="227"/>
      <c r="D17" s="228"/>
      <c r="E17" s="236"/>
      <c r="F17" s="239">
        <v>12</v>
      </c>
      <c r="G17" s="243" t="s">
        <v>11</v>
      </c>
      <c r="H17" s="597" t="s">
        <v>623</v>
      </c>
      <c r="I17" s="1024"/>
      <c r="J17" s="225" t="str">
        <f>+'30'!J17</f>
        <v>F 12,5 VP OW</v>
      </c>
      <c r="K17" s="240"/>
      <c r="L17" s="240"/>
      <c r="M17" s="128">
        <f>+L17+'30'!M17+K17</f>
        <v>62781</v>
      </c>
    </row>
    <row r="18" spans="1:18" ht="13.5" thickBot="1">
      <c r="A18" s="1026"/>
      <c r="B18" s="226"/>
      <c r="C18" s="227"/>
      <c r="D18" s="228"/>
      <c r="E18" s="236"/>
      <c r="F18" s="239"/>
      <c r="G18" s="243"/>
      <c r="H18" s="597" t="s">
        <v>823</v>
      </c>
      <c r="I18" s="1024"/>
      <c r="J18" s="225" t="str">
        <f>+'30'!J18</f>
        <v>F 13 VP OW</v>
      </c>
      <c r="K18" s="250"/>
      <c r="L18" s="250"/>
      <c r="M18" s="128">
        <f>+L18+'30'!M18+K18</f>
        <v>10288</v>
      </c>
    </row>
    <row r="19" spans="1:18" ht="26.25" thickBot="1">
      <c r="A19" s="1026"/>
      <c r="B19" s="226"/>
      <c r="C19" s="227"/>
      <c r="D19" s="228"/>
      <c r="E19" s="236"/>
      <c r="F19" s="246"/>
      <c r="G19" s="243"/>
      <c r="H19" s="244" t="s">
        <v>792</v>
      </c>
      <c r="I19" s="1024"/>
      <c r="J19" s="225" t="s">
        <v>834</v>
      </c>
      <c r="K19" s="250">
        <f>+C26</f>
        <v>6873</v>
      </c>
      <c r="L19" s="250"/>
      <c r="M19" s="128">
        <f>+L19+'30'!M19+K19</f>
        <v>6873</v>
      </c>
    </row>
    <row r="20" spans="1:18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+'30'!J20</f>
        <v>0</v>
      </c>
      <c r="K20" s="251"/>
      <c r="L20" s="251"/>
      <c r="M20" s="128">
        <f>+L20+'30'!M20+K20</f>
        <v>0</v>
      </c>
    </row>
    <row r="21" spans="1:18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+'30'!J21</f>
        <v>0</v>
      </c>
      <c r="K21" s="250"/>
      <c r="L21" s="250"/>
      <c r="M21" s="128">
        <f>+L21+'30'!M21+K21</f>
        <v>0</v>
      </c>
    </row>
    <row r="22" spans="1:18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+'30'!J22</f>
        <v>0</v>
      </c>
      <c r="K22" s="250"/>
      <c r="L22" s="250"/>
      <c r="M22" s="128">
        <f>+L22+'30'!M22+K22</f>
        <v>0</v>
      </c>
    </row>
    <row r="23" spans="1:18" ht="13.5" thickBot="1">
      <c r="A23" s="1027"/>
      <c r="B23" s="179" t="s">
        <v>2</v>
      </c>
      <c r="C23" s="111">
        <f>SUM(C16:C22)</f>
        <v>17091</v>
      </c>
      <c r="D23" s="122">
        <f>SUM(D16:D22)</f>
        <v>0</v>
      </c>
      <c r="E23" s="123">
        <f>SUM(E18:E22)</f>
        <v>0</v>
      </c>
      <c r="F23" s="127">
        <f>SUM(F15:F22)</f>
        <v>20</v>
      </c>
      <c r="G23" s="170"/>
      <c r="H23" s="177" t="s">
        <v>234</v>
      </c>
      <c r="I23" s="180"/>
      <c r="J23" s="225">
        <f>+'30'!J23</f>
        <v>0</v>
      </c>
      <c r="K23" s="250"/>
      <c r="L23" s="250"/>
      <c r="M23" s="128">
        <f>+L23+'30'!M23+K23</f>
        <v>0</v>
      </c>
    </row>
    <row r="24" spans="1:18" ht="13.5" customHeight="1" thickBot="1">
      <c r="A24" s="1020" t="s">
        <v>434</v>
      </c>
      <c r="B24" s="181"/>
      <c r="C24" s="124"/>
      <c r="D24" s="125"/>
      <c r="E24" s="126"/>
      <c r="F24" s="247"/>
      <c r="G24" s="240" t="s">
        <v>11</v>
      </c>
      <c r="H24" s="241" t="s">
        <v>473</v>
      </c>
      <c r="I24" s="1023" t="s">
        <v>833</v>
      </c>
      <c r="J24" s="225">
        <f>+'30'!J24</f>
        <v>0</v>
      </c>
      <c r="K24" s="250"/>
      <c r="L24" s="250"/>
      <c r="M24" s="128">
        <f>+L24+'30'!M24+K24</f>
        <v>0</v>
      </c>
      <c r="N24" s="160">
        <v>1610</v>
      </c>
      <c r="O24" s="160">
        <f>+N24-N24*0.24</f>
        <v>1223.5999999999999</v>
      </c>
      <c r="P24" s="160">
        <f>60+40+45+15</f>
        <v>160</v>
      </c>
      <c r="Q24" s="160">
        <f>+N24*P24</f>
        <v>257600</v>
      </c>
      <c r="R24" s="160">
        <f>+O24*P24</f>
        <v>195776</v>
      </c>
    </row>
    <row r="25" spans="1:18" ht="13.5" thickBot="1">
      <c r="A25" s="1028"/>
      <c r="B25" s="226" t="s">
        <v>603</v>
      </c>
      <c r="C25" s="237">
        <f>3940+4810</f>
        <v>8750</v>
      </c>
      <c r="D25" s="228">
        <v>348</v>
      </c>
      <c r="E25" s="236"/>
      <c r="F25" s="242">
        <v>10</v>
      </c>
      <c r="G25" s="243" t="s">
        <v>11</v>
      </c>
      <c r="H25" s="241" t="s">
        <v>749</v>
      </c>
      <c r="I25" s="1024"/>
      <c r="J25" s="225">
        <f>+'30'!J25</f>
        <v>0</v>
      </c>
      <c r="K25" s="250"/>
      <c r="L25" s="250"/>
      <c r="M25" s="128">
        <f>+L25+'30'!M25+K25</f>
        <v>0</v>
      </c>
      <c r="N25" s="160">
        <v>1550</v>
      </c>
      <c r="O25" s="160">
        <f>+N25-N25*0.24</f>
        <v>1178</v>
      </c>
      <c r="P25" s="160">
        <f>45+180+55</f>
        <v>280</v>
      </c>
      <c r="Q25" s="160">
        <f>+N25*P25</f>
        <v>434000</v>
      </c>
      <c r="R25" s="160">
        <f>+O25*P25</f>
        <v>329840</v>
      </c>
    </row>
    <row r="26" spans="1:18" ht="13.5" thickBot="1">
      <c r="A26" s="1028"/>
      <c r="B26" s="226" t="s">
        <v>834</v>
      </c>
      <c r="C26" s="237">
        <v>6873</v>
      </c>
      <c r="D26" s="228"/>
      <c r="E26" s="238"/>
      <c r="F26" s="242">
        <v>10</v>
      </c>
      <c r="G26" s="243" t="s">
        <v>11</v>
      </c>
      <c r="H26" s="597" t="s">
        <v>455</v>
      </c>
      <c r="I26" s="1024"/>
      <c r="J26" s="225">
        <f>+'30'!J26</f>
        <v>0</v>
      </c>
      <c r="K26" s="250"/>
      <c r="L26" s="250"/>
      <c r="M26" s="128">
        <f>+L26+'30'!M26+K26</f>
        <v>0</v>
      </c>
      <c r="P26" s="160">
        <f>SUM(P24:P25)</f>
        <v>440</v>
      </c>
      <c r="Q26" s="160">
        <f t="shared" ref="Q26:R26" si="0">SUM(Q24:Q25)</f>
        <v>691600</v>
      </c>
      <c r="R26" s="160">
        <f t="shared" si="0"/>
        <v>525616</v>
      </c>
    </row>
    <row r="27" spans="1:18" ht="13.5" thickBot="1">
      <c r="A27" s="1028"/>
      <c r="B27" s="226"/>
      <c r="C27" s="227"/>
      <c r="D27" s="228"/>
      <c r="E27" s="236"/>
      <c r="F27" s="242"/>
      <c r="G27" s="243"/>
      <c r="H27" s="597" t="s">
        <v>823</v>
      </c>
      <c r="I27" s="1024"/>
      <c r="J27" s="225">
        <f>+'30'!J27</f>
        <v>0</v>
      </c>
      <c r="K27" s="250"/>
      <c r="L27" s="250"/>
      <c r="M27" s="128">
        <f>+L27+'30'!M27+K27</f>
        <v>0</v>
      </c>
      <c r="Q27" s="160">
        <f>+Q26/P26</f>
        <v>1571.8181818181818</v>
      </c>
      <c r="R27" s="160">
        <f>+R26/P26</f>
        <v>1194.5818181818181</v>
      </c>
    </row>
    <row r="28" spans="1:18" ht="26.25" thickBot="1">
      <c r="A28" s="1028"/>
      <c r="B28" s="226"/>
      <c r="C28" s="227"/>
      <c r="D28" s="228"/>
      <c r="E28" s="236"/>
      <c r="F28" s="242">
        <v>35</v>
      </c>
      <c r="G28" s="243" t="s">
        <v>67</v>
      </c>
      <c r="H28" s="244" t="s">
        <v>830</v>
      </c>
      <c r="I28" s="1024"/>
      <c r="J28" s="225">
        <f>+'30'!J28</f>
        <v>0</v>
      </c>
      <c r="K28" s="250"/>
      <c r="L28" s="250"/>
      <c r="M28" s="128">
        <f>+L28+'30'!M28+K28</f>
        <v>0</v>
      </c>
    </row>
    <row r="29" spans="1:18" ht="39" thickBot="1">
      <c r="A29" s="1028"/>
      <c r="B29" s="226"/>
      <c r="C29" s="227"/>
      <c r="D29" s="228"/>
      <c r="E29" s="236"/>
      <c r="F29" s="247"/>
      <c r="G29" s="243"/>
      <c r="H29" s="244" t="s">
        <v>832</v>
      </c>
      <c r="I29" s="1024"/>
      <c r="J29" s="225">
        <f>+'30'!J29</f>
        <v>0</v>
      </c>
      <c r="K29" s="250"/>
      <c r="L29" s="250"/>
      <c r="M29" s="128">
        <f>+L29+'30'!M29+K29</f>
        <v>0</v>
      </c>
    </row>
    <row r="30" spans="1:18" ht="13.5" thickBot="1">
      <c r="A30" s="1028"/>
      <c r="B30" s="226"/>
      <c r="C30" s="237"/>
      <c r="D30" s="228"/>
      <c r="E30" s="236"/>
      <c r="F30" s="247">
        <v>5</v>
      </c>
      <c r="G30" s="243" t="s">
        <v>831</v>
      </c>
      <c r="H30" s="244" t="s">
        <v>829</v>
      </c>
      <c r="I30" s="1024"/>
      <c r="J30" s="225">
        <f>+'30'!J30</f>
        <v>0</v>
      </c>
      <c r="K30" s="250"/>
      <c r="L30" s="250"/>
      <c r="M30" s="128">
        <f>+L30+'30'!M30+K30</f>
        <v>0</v>
      </c>
      <c r="N30" s="166"/>
    </row>
    <row r="31" spans="1:18" ht="26.25" thickBot="1">
      <c r="A31" s="1028"/>
      <c r="B31" s="226"/>
      <c r="C31" s="237"/>
      <c r="D31" s="228"/>
      <c r="E31" s="236"/>
      <c r="F31" s="247"/>
      <c r="G31" s="248"/>
      <c r="H31" s="464" t="s">
        <v>826</v>
      </c>
      <c r="I31" s="1025"/>
      <c r="J31" s="225">
        <f>+'30'!J31</f>
        <v>0</v>
      </c>
      <c r="K31" s="250"/>
      <c r="L31" s="250"/>
      <c r="M31" s="128">
        <f>+L31+'30'!M31+K31</f>
        <v>0</v>
      </c>
    </row>
    <row r="32" spans="1:18" ht="13.5" thickBot="1">
      <c r="A32" s="1029"/>
      <c r="B32" s="176" t="s">
        <v>2</v>
      </c>
      <c r="C32" s="110">
        <f>SUM(C25:C31)</f>
        <v>15623</v>
      </c>
      <c r="D32" s="111">
        <f>SUM(D25:D31)</f>
        <v>348</v>
      </c>
      <c r="E32" s="112">
        <f>SUM(E25:E31)</f>
        <v>0</v>
      </c>
      <c r="F32" s="113">
        <f>SUM(F24:F31)</f>
        <v>60</v>
      </c>
      <c r="G32" s="182"/>
      <c r="H32" s="183"/>
      <c r="I32" s="180"/>
      <c r="J32" s="225">
        <f>+'30'!J32</f>
        <v>0</v>
      </c>
      <c r="K32" s="252"/>
      <c r="L32" s="254"/>
      <c r="M32" s="128">
        <f>+L32+'30'!M32+K32</f>
        <v>0</v>
      </c>
    </row>
    <row r="33" spans="1:14" ht="13.5" thickBot="1">
      <c r="A33" s="184"/>
      <c r="B33" s="185"/>
      <c r="C33" s="114">
        <f>C32/($C$32+$D$32+$E$32)</f>
        <v>0.97821050654310937</v>
      </c>
      <c r="D33" s="115">
        <f>D32/($C$32+$D$32+$E$32)</f>
        <v>2.1789493456890616E-2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50648</v>
      </c>
      <c r="D34" s="118">
        <f>D14+D23+D32</f>
        <v>348</v>
      </c>
      <c r="E34" s="118">
        <f>E14+E23+E32</f>
        <v>0</v>
      </c>
      <c r="F34" s="119">
        <f>F14+F23+F32</f>
        <v>100</v>
      </c>
      <c r="H34" s="189"/>
      <c r="I34" s="189"/>
      <c r="J34" s="134" t="s">
        <v>27</v>
      </c>
      <c r="K34" s="135">
        <f>SUM(K7:K32)</f>
        <v>50648</v>
      </c>
      <c r="L34" s="223">
        <f>SUM(L7:L32)</f>
        <v>0</v>
      </c>
      <c r="M34" s="131">
        <f>SUM(M7:M32)</f>
        <v>1669030</v>
      </c>
      <c r="N34" s="166"/>
    </row>
    <row r="35" spans="1:14" ht="13.5" thickBot="1">
      <c r="A35" s="190"/>
      <c r="B35" s="191"/>
      <c r="C35" s="115">
        <f>C34/($C$34+$D$34+$E$34)</f>
        <v>0.99317593536747983</v>
      </c>
      <c r="D35" s="115">
        <f>D34/($C$34+$D$34+$E$34)</f>
        <v>6.824064632520198E-3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(12*1120+13.5*280)/1400*G42*2.77*1400/1000000</f>
        <v>57.929967312000002</v>
      </c>
      <c r="J37" s="136">
        <f>+I37+'30'!J37</f>
        <v>1957.6841091349611</v>
      </c>
      <c r="K37" s="137" t="s">
        <v>62</v>
      </c>
      <c r="L37" s="565">
        <f>+I38-L38</f>
        <v>41.33</v>
      </c>
    </row>
    <row r="38" spans="1:14" ht="17.45" customHeight="1">
      <c r="A38" s="1034" t="s">
        <v>11</v>
      </c>
      <c r="B38" s="1035"/>
      <c r="C38" s="175">
        <f>SUMIF($G$7:$G$31,"Process",$F$7:$F$31)</f>
        <v>60</v>
      </c>
      <c r="D38" s="129">
        <f>+C38+'30'!D38</f>
        <v>3019</v>
      </c>
      <c r="E38" s="154">
        <f t="shared" ref="E38:E51" si="1">D38/60</f>
        <v>50.31666666666667</v>
      </c>
      <c r="F38" s="340">
        <v>1610</v>
      </c>
      <c r="G38" s="340">
        <f>+F38-F38*0.24</f>
        <v>1223.5999999999999</v>
      </c>
      <c r="H38" s="198" t="s">
        <v>63</v>
      </c>
      <c r="I38" s="555">
        <f>16.708+18.62+17.901</f>
        <v>53.228999999999999</v>
      </c>
      <c r="J38" s="138">
        <f>+I38+'30'!J38</f>
        <v>1762.306</v>
      </c>
      <c r="K38" s="139" t="s">
        <v>62</v>
      </c>
      <c r="L38" s="160">
        <f>17.901-2.488-1.664-1.85</f>
        <v>11.899000000000001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+C39+'30'!D39</f>
        <v>0</v>
      </c>
      <c r="E39" s="154">
        <f t="shared" si="1"/>
        <v>0</v>
      </c>
      <c r="F39" s="340">
        <v>1610</v>
      </c>
      <c r="G39" s="340">
        <f>+F39-F39*0.24</f>
        <v>1223.5999999999999</v>
      </c>
      <c r="H39" s="198" t="s">
        <v>64</v>
      </c>
      <c r="I39" s="153"/>
      <c r="J39" s="140">
        <f>J37/G4</f>
        <v>63.151100294676162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+C40+'30'!D40</f>
        <v>0</v>
      </c>
      <c r="E40" s="154">
        <f t="shared" si="1"/>
        <v>0</v>
      </c>
      <c r="F40" s="340">
        <v>1571.8181818181818</v>
      </c>
      <c r="G40" s="340">
        <v>1194.5818181818181</v>
      </c>
      <c r="H40" s="198" t="s">
        <v>66</v>
      </c>
      <c r="I40" s="129">
        <f>(K34+L34)/1000</f>
        <v>50.648000000000003</v>
      </c>
      <c r="J40" s="142">
        <f>+I40+'30'!J40</f>
        <v>1669.0300000000004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35</v>
      </c>
      <c r="D41" s="129">
        <f>+C41+'30'!D41</f>
        <v>472</v>
      </c>
      <c r="E41" s="154">
        <f t="shared" si="1"/>
        <v>7.8666666666666663</v>
      </c>
      <c r="F41" s="340"/>
      <c r="G41" s="340"/>
      <c r="H41" s="198" t="s">
        <v>68</v>
      </c>
      <c r="I41" s="153"/>
      <c r="J41" s="140">
        <f>J40/G4</f>
        <v>53.83967741935485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+C42+'30'!D42</f>
        <v>0</v>
      </c>
      <c r="E42" s="154">
        <f t="shared" si="1"/>
        <v>0</v>
      </c>
      <c r="F42" s="340">
        <f>+(F38*480+F39*480+F40*440)/1400</f>
        <v>1598</v>
      </c>
      <c r="G42" s="340">
        <f>+(G38*480+G39*480+G40*440)/1400</f>
        <v>1214.48</v>
      </c>
      <c r="H42" s="198" t="s">
        <v>69</v>
      </c>
      <c r="I42" s="257" t="s">
        <v>827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+C43+'30'!D43</f>
        <v>0</v>
      </c>
      <c r="E43" s="154">
        <f t="shared" si="1"/>
        <v>0</v>
      </c>
      <c r="F43" s="340"/>
      <c r="G43" s="341"/>
      <c r="H43" s="199" t="s">
        <v>72</v>
      </c>
      <c r="I43" s="129">
        <f>+Report1!T39</f>
        <v>124.82300000000001</v>
      </c>
      <c r="J43" s="144">
        <f>+I43+'30'!J43</f>
        <v>4071.078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+C44+'30'!D44</f>
        <v>38</v>
      </c>
      <c r="E44" s="154">
        <f t="shared" si="1"/>
        <v>0.6333333333333333</v>
      </c>
      <c r="F44" s="340"/>
      <c r="G44" s="341"/>
      <c r="H44" s="199" t="s">
        <v>73</v>
      </c>
      <c r="I44" s="129">
        <f>I43/I38</f>
        <v>2.3450186928178249</v>
      </c>
      <c r="J44" s="145">
        <f>J43/J38</f>
        <v>2.310085762631461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+C45+'30'!D45</f>
        <v>0</v>
      </c>
      <c r="E45" s="154">
        <f t="shared" si="1"/>
        <v>0</v>
      </c>
      <c r="F45" s="340"/>
      <c r="G45" s="343"/>
      <c r="H45" s="199" t="s">
        <v>74</v>
      </c>
      <c r="I45" s="129">
        <f>I43/I40</f>
        <v>2.4645198230927186</v>
      </c>
      <c r="J45" s="145">
        <f>J43/J40</f>
        <v>2.4391880313715144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+C46+'30'!D46</f>
        <v>0</v>
      </c>
      <c r="E46" s="154">
        <f t="shared" si="1"/>
        <v>0</v>
      </c>
      <c r="F46" s="340"/>
      <c r="G46" s="341"/>
      <c r="H46" s="199" t="s">
        <v>76</v>
      </c>
      <c r="I46" s="151">
        <f>+SUMIF(Listrik!AR38,"&gt;0")</f>
        <v>52634.020000002209</v>
      </c>
      <c r="J46" s="146">
        <f>+I46+'30'!J46</f>
        <v>1724885.5399999993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+C47+'30'!D47</f>
        <v>0</v>
      </c>
      <c r="E47" s="154">
        <f t="shared" si="1"/>
        <v>0</v>
      </c>
      <c r="F47" s="340"/>
      <c r="G47" s="341"/>
      <c r="H47" s="199" t="s">
        <v>79</v>
      </c>
      <c r="I47" s="129">
        <f>I46/I38</f>
        <v>988.82225854331682</v>
      </c>
      <c r="J47" s="146">
        <f>J46/J38</f>
        <v>978.76619610896137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+C48+'30'!D48</f>
        <v>0</v>
      </c>
      <c r="E48" s="154">
        <f t="shared" si="1"/>
        <v>0</v>
      </c>
      <c r="F48" s="340"/>
      <c r="G48" s="341"/>
      <c r="H48" s="199" t="s">
        <v>80</v>
      </c>
      <c r="I48" s="129">
        <f>I46/I40</f>
        <v>1039.2122097615347</v>
      </c>
      <c r="J48" s="146">
        <f>J46/J40</f>
        <v>1033.4658693971942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+C49+'30'!D49</f>
        <v>233</v>
      </c>
      <c r="E49" s="154">
        <f t="shared" si="1"/>
        <v>3.8833333333333333</v>
      </c>
      <c r="F49" s="196"/>
      <c r="H49" s="199" t="s">
        <v>81</v>
      </c>
      <c r="I49" s="129">
        <v>0</v>
      </c>
      <c r="J49" s="146">
        <f>+I49+'30'!J49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+C50+'30'!D50</f>
        <v>0</v>
      </c>
      <c r="E50" s="154">
        <f t="shared" si="1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5</v>
      </c>
      <c r="D51" s="129">
        <f>+C51+'30'!D51</f>
        <v>5</v>
      </c>
      <c r="E51" s="154">
        <f t="shared" si="1"/>
        <v>8.3333333333333329E-2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100</v>
      </c>
      <c r="D52" s="155">
        <f>SUM(D38:D51)</f>
        <v>3767</v>
      </c>
      <c r="E52" s="156">
        <f>SUM(E38:E51)</f>
        <v>62.783333333333339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6.9444444444444448E-2</v>
      </c>
      <c r="D53" s="157">
        <f>D52/(24*60*G4)</f>
        <v>8.4386200716845883E-2</v>
      </c>
      <c r="E53" s="158">
        <f>E52/(G4*24)</f>
        <v>8.4386200716845883E-2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+D34+'30'!J56</f>
        <v>22895</v>
      </c>
      <c r="K56" s="212">
        <f>J56/(J40+J56/1000)/1000</f>
        <v>1.3531923696381338E-2</v>
      </c>
    </row>
    <row r="57" spans="1:11">
      <c r="A57" s="187"/>
      <c r="I57" s="210" t="s">
        <v>88</v>
      </c>
      <c r="J57" s="211">
        <f>+E34+'30'!J57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O61"/>
  <sheetViews>
    <sheetView topLeftCell="A31" zoomScale="80" zoomScaleNormal="80" workbookViewId="0">
      <selection activeCell="J56" sqref="J56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7.140625" style="160" customWidth="1"/>
    <col min="14" max="16384" width="9.140625" style="160"/>
  </cols>
  <sheetData>
    <row r="1" spans="1:15" ht="15.75">
      <c r="A1" s="159"/>
    </row>
    <row r="2" spans="1:15" ht="15.75">
      <c r="A2" s="159" t="s">
        <v>147</v>
      </c>
    </row>
    <row r="3" spans="1:15" ht="15">
      <c r="A3" s="161"/>
    </row>
    <row r="4" spans="1:15" ht="20.25">
      <c r="A4" s="162" t="s">
        <v>3</v>
      </c>
      <c r="B4" s="163"/>
      <c r="F4" s="164" t="s">
        <v>29</v>
      </c>
      <c r="G4" s="165">
        <v>30</v>
      </c>
      <c r="H4" s="165" t="str">
        <f>+'1'!H4</f>
        <v>.06.24</v>
      </c>
    </row>
    <row r="5" spans="1:15" ht="13.5" thickBot="1">
      <c r="C5" s="166"/>
      <c r="D5" s="166"/>
    </row>
    <row r="6" spans="1:15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167+263+245</f>
        <v>675</v>
      </c>
    </row>
    <row r="7" spans="1:15" ht="13.5" customHeight="1" thickBot="1">
      <c r="A7" s="1020" t="s">
        <v>435</v>
      </c>
      <c r="B7" s="226" t="s">
        <v>603</v>
      </c>
      <c r="C7" s="227">
        <v>16961</v>
      </c>
      <c r="D7" s="228">
        <v>207</v>
      </c>
      <c r="E7" s="229"/>
      <c r="F7" s="239">
        <v>20</v>
      </c>
      <c r="G7" s="240" t="s">
        <v>11</v>
      </c>
      <c r="H7" s="241" t="s">
        <v>504</v>
      </c>
      <c r="I7" s="1023" t="s">
        <v>783</v>
      </c>
      <c r="J7" s="225" t="str">
        <f>+'29'!J7</f>
        <v>MG 14 VP HW</v>
      </c>
      <c r="K7" s="249"/>
      <c r="L7" s="253"/>
      <c r="M7" s="128">
        <f>+K7+'29'!M7+L7</f>
        <v>160441</v>
      </c>
    </row>
    <row r="8" spans="1:15" ht="13.5" thickBot="1">
      <c r="A8" s="1021"/>
      <c r="B8" s="226"/>
      <c r="C8" s="227"/>
      <c r="D8" s="228"/>
      <c r="E8" s="230"/>
      <c r="F8" s="242">
        <v>8</v>
      </c>
      <c r="G8" s="243" t="s">
        <v>11</v>
      </c>
      <c r="H8" s="241" t="s">
        <v>749</v>
      </c>
      <c r="I8" s="1024"/>
      <c r="J8" s="225" t="str">
        <f>+'29'!J8</f>
        <v>MG 17 VP HW</v>
      </c>
      <c r="K8" s="250"/>
      <c r="L8" s="250"/>
      <c r="M8" s="128">
        <f>+K8+'29'!M8+L8</f>
        <v>131048</v>
      </c>
      <c r="N8" s="160">
        <v>1600</v>
      </c>
      <c r="O8" s="160">
        <f>+N8-N8*0.24</f>
        <v>1216</v>
      </c>
    </row>
    <row r="9" spans="1:15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601</v>
      </c>
      <c r="I9" s="1024"/>
      <c r="J9" s="225" t="str">
        <f>+'29'!J9</f>
        <v>MG 16 VP HW/OW</v>
      </c>
      <c r="K9" s="250"/>
      <c r="L9" s="250"/>
      <c r="M9" s="128">
        <f>+K9+'29'!M9+L9</f>
        <v>278646</v>
      </c>
      <c r="N9" s="160">
        <v>1610</v>
      </c>
      <c r="O9" s="160">
        <f>+N9-N9*0.24</f>
        <v>1223.5999999999999</v>
      </c>
    </row>
    <row r="10" spans="1:15" ht="13.5" thickBot="1">
      <c r="A10" s="1021"/>
      <c r="B10" s="226"/>
      <c r="C10" s="227"/>
      <c r="D10" s="228"/>
      <c r="E10" s="230"/>
      <c r="F10" s="239"/>
      <c r="G10" s="243"/>
      <c r="H10" s="597" t="s">
        <v>822</v>
      </c>
      <c r="I10" s="1024"/>
      <c r="J10" s="225" t="str">
        <f>+'29'!J10</f>
        <v>MG 22 VP HW</v>
      </c>
      <c r="K10" s="250"/>
      <c r="L10" s="250"/>
      <c r="M10" s="128">
        <f>+K10+'29'!M10+L10</f>
        <v>12128</v>
      </c>
      <c r="N10" s="160">
        <v>1610</v>
      </c>
      <c r="O10" s="160">
        <f>+N10-N10*0.24</f>
        <v>1223.5999999999999</v>
      </c>
    </row>
    <row r="11" spans="1:15" ht="13.5" thickBot="1">
      <c r="A11" s="1021"/>
      <c r="B11" s="226"/>
      <c r="C11" s="227"/>
      <c r="D11" s="228"/>
      <c r="E11" s="230"/>
      <c r="F11" s="239"/>
      <c r="G11" s="243"/>
      <c r="H11" s="244" t="s">
        <v>814</v>
      </c>
      <c r="I11" s="1024"/>
      <c r="J11" s="225" t="str">
        <f>+'29'!J11</f>
        <v>MG 24 VP HW</v>
      </c>
      <c r="K11" s="250"/>
      <c r="L11" s="250"/>
      <c r="M11" s="128">
        <f>+K11+'29'!M11+L11</f>
        <v>5566</v>
      </c>
    </row>
    <row r="12" spans="1:15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 t="str">
        <f>+'29'!J12</f>
        <v>MG 20 VP HW</v>
      </c>
      <c r="K12" s="250"/>
      <c r="L12" s="250"/>
      <c r="M12" s="128">
        <f>+K12+'29'!M12+L12</f>
        <v>7726</v>
      </c>
    </row>
    <row r="13" spans="1:15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+'29'!J13</f>
        <v>F 12 VP OW</v>
      </c>
      <c r="K13" s="250">
        <f>+C34</f>
        <v>52742</v>
      </c>
      <c r="L13" s="250"/>
      <c r="M13" s="128">
        <f>+K13+'29'!M13+L13</f>
        <v>364296</v>
      </c>
    </row>
    <row r="14" spans="1:15" ht="13.5" thickBot="1">
      <c r="A14" s="1022"/>
      <c r="B14" s="176" t="s">
        <v>2</v>
      </c>
      <c r="C14" s="110">
        <f>SUM(C7:C13)</f>
        <v>16961</v>
      </c>
      <c r="D14" s="122">
        <f>SUM(D7:D13)</f>
        <v>207</v>
      </c>
      <c r="E14" s="123">
        <f>SUM(E5:E13)</f>
        <v>0</v>
      </c>
      <c r="F14" s="127">
        <f>SUM(F7:F13)</f>
        <v>38</v>
      </c>
      <c r="G14" s="170"/>
      <c r="H14" s="177"/>
      <c r="I14" s="178"/>
      <c r="J14" s="225" t="str">
        <f>+'29'!J14</f>
        <v>F 11,5 VP OW</v>
      </c>
      <c r="K14" s="250"/>
      <c r="L14" s="250"/>
      <c r="M14" s="128">
        <f>+K14+'29'!M14+L14</f>
        <v>242575</v>
      </c>
    </row>
    <row r="15" spans="1:15" ht="13.5" customHeight="1" thickBot="1">
      <c r="A15" s="1020" t="s">
        <v>605</v>
      </c>
      <c r="B15" s="176"/>
      <c r="C15" s="124">
        <f>C14/($C$23+$D$23+$E$23)</f>
        <v>0.96489930595062012</v>
      </c>
      <c r="D15" s="125">
        <f>D14/($C$23+$D$23+$E$23)</f>
        <v>1.1776083741039936E-2</v>
      </c>
      <c r="E15" s="126">
        <f>E14/($C$23+$D$23+$E$23)</f>
        <v>0</v>
      </c>
      <c r="F15" s="239"/>
      <c r="G15" s="240" t="s">
        <v>11</v>
      </c>
      <c r="H15" s="241" t="s">
        <v>473</v>
      </c>
      <c r="I15" s="1023" t="s">
        <v>827</v>
      </c>
      <c r="J15" s="225" t="str">
        <f>+'29'!J15</f>
        <v>F 10,5 VP OW</v>
      </c>
      <c r="K15" s="250"/>
      <c r="L15" s="250"/>
      <c r="M15" s="128">
        <f>+K15+'29'!M15+L15</f>
        <v>165170</v>
      </c>
    </row>
    <row r="16" spans="1:15" ht="13.5" thickBot="1">
      <c r="A16" s="1026"/>
      <c r="B16" s="232" t="s">
        <v>603</v>
      </c>
      <c r="C16" s="233">
        <v>17578</v>
      </c>
      <c r="D16" s="234"/>
      <c r="E16" s="235"/>
      <c r="F16" s="239">
        <v>6</v>
      </c>
      <c r="G16" s="243" t="s">
        <v>11</v>
      </c>
      <c r="H16" s="241" t="s">
        <v>622</v>
      </c>
      <c r="I16" s="1024"/>
      <c r="J16" s="225" t="str">
        <f>+'29'!J16</f>
        <v>F 10,3 VP OW</v>
      </c>
      <c r="K16" s="240"/>
      <c r="L16" s="240"/>
      <c r="M16" s="128">
        <f>+K16+'29'!M16+L16</f>
        <v>177717</v>
      </c>
    </row>
    <row r="17" spans="1:14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601</v>
      </c>
      <c r="I17" s="1024"/>
      <c r="J17" s="225" t="str">
        <f>+'29'!J17</f>
        <v>F 12,5 VP OW</v>
      </c>
      <c r="K17" s="240"/>
      <c r="L17" s="240"/>
      <c r="M17" s="128">
        <f>+K17+'29'!M17+L17</f>
        <v>62781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823</v>
      </c>
      <c r="I18" s="1024"/>
      <c r="J18" s="225" t="str">
        <f>+'29'!J18</f>
        <v>F 13 VP OW</v>
      </c>
      <c r="K18" s="250"/>
      <c r="L18" s="250"/>
      <c r="M18" s="128">
        <f>+K18+'29'!M18+L18</f>
        <v>10288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244" t="s">
        <v>824</v>
      </c>
      <c r="I19" s="1024"/>
      <c r="J19" s="225">
        <f>+'29'!J19</f>
        <v>0</v>
      </c>
      <c r="K19" s="250"/>
      <c r="L19" s="250"/>
      <c r="M19" s="128">
        <f>+K19+'29'!M19+L19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 t="s">
        <v>825</v>
      </c>
      <c r="I20" s="1024"/>
      <c r="J20" s="225">
        <f>+'29'!J20</f>
        <v>0</v>
      </c>
      <c r="K20" s="251"/>
      <c r="L20" s="251"/>
      <c r="M20" s="128">
        <f>+K20+'29'!M20+L20</f>
        <v>0</v>
      </c>
    </row>
    <row r="21" spans="1:14" ht="26.25" thickBot="1">
      <c r="A21" s="1026"/>
      <c r="B21" s="226"/>
      <c r="C21" s="227"/>
      <c r="D21" s="228"/>
      <c r="E21" s="236"/>
      <c r="F21" s="242"/>
      <c r="G21" s="243"/>
      <c r="H21" s="244" t="s">
        <v>792</v>
      </c>
      <c r="I21" s="1024"/>
      <c r="J21" s="225">
        <f>+'29'!J21</f>
        <v>0</v>
      </c>
      <c r="K21" s="250"/>
      <c r="L21" s="250"/>
      <c r="M21" s="128">
        <f>+K21+'29'!M21+L21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+'29'!J22</f>
        <v>0</v>
      </c>
      <c r="K22" s="250"/>
      <c r="L22" s="250"/>
      <c r="M22" s="128">
        <f>+K22+'29'!M22+L22</f>
        <v>0</v>
      </c>
    </row>
    <row r="23" spans="1:14" ht="13.5" thickBot="1">
      <c r="A23" s="1027"/>
      <c r="B23" s="179" t="s">
        <v>2</v>
      </c>
      <c r="C23" s="111">
        <f>SUM(C16:C22)</f>
        <v>17578</v>
      </c>
      <c r="D23" s="122">
        <f>SUM(D16:D22)</f>
        <v>0</v>
      </c>
      <c r="E23" s="123">
        <f>SUM(E18:E22)</f>
        <v>0</v>
      </c>
      <c r="F23" s="127">
        <f>SUM(F15:F22)</f>
        <v>16</v>
      </c>
      <c r="G23" s="170"/>
      <c r="H23" s="177"/>
      <c r="I23" s="180"/>
      <c r="J23" s="225">
        <f>+'29'!J23</f>
        <v>0</v>
      </c>
      <c r="K23" s="250"/>
      <c r="L23" s="250"/>
      <c r="M23" s="128">
        <f>+K23+'29'!M23+L23</f>
        <v>0</v>
      </c>
    </row>
    <row r="24" spans="1:14" ht="13.5" customHeight="1" thickBot="1">
      <c r="A24" s="1020" t="s">
        <v>434</v>
      </c>
      <c r="B24" s="181"/>
      <c r="C24" s="124">
        <f>C23/($C$23+$D$23+$E$23)</f>
        <v>1</v>
      </c>
      <c r="D24" s="125">
        <f>D23/($C$23+$D$23+$E$23)</f>
        <v>0</v>
      </c>
      <c r="E24" s="126">
        <f>E23/($C$23+$D$23+$E$23)</f>
        <v>0</v>
      </c>
      <c r="F24" s="247">
        <v>10</v>
      </c>
      <c r="G24" s="240" t="s">
        <v>11</v>
      </c>
      <c r="H24" s="241" t="s">
        <v>418</v>
      </c>
      <c r="I24" s="1023" t="s">
        <v>827</v>
      </c>
      <c r="J24" s="225">
        <f>+'29'!J24</f>
        <v>0</v>
      </c>
      <c r="K24" s="250"/>
      <c r="L24" s="250"/>
      <c r="M24" s="128">
        <f>+K24+'29'!M24+L24</f>
        <v>0</v>
      </c>
    </row>
    <row r="25" spans="1:14" ht="13.5" thickBot="1">
      <c r="A25" s="1028"/>
      <c r="B25" s="226" t="s">
        <v>603</v>
      </c>
      <c r="C25" s="237">
        <v>18203</v>
      </c>
      <c r="D25" s="228"/>
      <c r="E25" s="236"/>
      <c r="F25" s="242">
        <v>8</v>
      </c>
      <c r="G25" s="243" t="s">
        <v>11</v>
      </c>
      <c r="H25" s="241" t="s">
        <v>749</v>
      </c>
      <c r="I25" s="1024"/>
      <c r="J25" s="225">
        <f>+'29'!J25</f>
        <v>0</v>
      </c>
      <c r="K25" s="250"/>
      <c r="L25" s="250"/>
      <c r="M25" s="128">
        <f>+K25+'29'!M25+L25</f>
        <v>0</v>
      </c>
    </row>
    <row r="26" spans="1:14" ht="13.5" thickBot="1">
      <c r="A26" s="1028"/>
      <c r="B26" s="226"/>
      <c r="C26" s="237"/>
      <c r="D26" s="228"/>
      <c r="E26" s="238"/>
      <c r="F26" s="242">
        <v>8</v>
      </c>
      <c r="G26" s="243" t="s">
        <v>11</v>
      </c>
      <c r="H26" s="597" t="s">
        <v>453</v>
      </c>
      <c r="I26" s="1024"/>
      <c r="J26" s="225">
        <f>+'29'!J26</f>
        <v>0</v>
      </c>
      <c r="K26" s="250"/>
      <c r="L26" s="250"/>
      <c r="M26" s="128">
        <f>+K26+'29'!M26+L26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823</v>
      </c>
      <c r="I27" s="1024"/>
      <c r="J27" s="225">
        <f>+'29'!J27</f>
        <v>0</v>
      </c>
      <c r="K27" s="250"/>
      <c r="L27" s="250"/>
      <c r="M27" s="128">
        <f>+K27+'29'!M27+L27</f>
        <v>0</v>
      </c>
    </row>
    <row r="28" spans="1:14" ht="26.25" thickBot="1">
      <c r="A28" s="1028"/>
      <c r="B28" s="226"/>
      <c r="C28" s="227"/>
      <c r="D28" s="228"/>
      <c r="E28" s="236"/>
      <c r="F28" s="242"/>
      <c r="G28" s="243"/>
      <c r="H28" s="244" t="s">
        <v>826</v>
      </c>
      <c r="I28" s="1024"/>
      <c r="J28" s="225">
        <f>+'29'!J28</f>
        <v>0</v>
      </c>
      <c r="K28" s="250"/>
      <c r="L28" s="250"/>
      <c r="M28" s="128">
        <f>+K28+'29'!M28+L28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+'29'!J29</f>
        <v>0</v>
      </c>
      <c r="K29" s="250"/>
      <c r="L29" s="250"/>
      <c r="M29" s="128">
        <f>+K29+'29'!M29+L29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+'29'!J30</f>
        <v>0</v>
      </c>
      <c r="K30" s="250"/>
      <c r="L30" s="250"/>
      <c r="M30" s="128">
        <f>+K30+'29'!M30+L30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+'29'!J31</f>
        <v>0</v>
      </c>
      <c r="K31" s="250"/>
      <c r="L31" s="250"/>
      <c r="M31" s="128">
        <f>+K31+'29'!M31+L31</f>
        <v>0</v>
      </c>
    </row>
    <row r="32" spans="1:14" ht="13.5" thickBot="1">
      <c r="A32" s="1029"/>
      <c r="B32" s="176" t="s">
        <v>2</v>
      </c>
      <c r="C32" s="110">
        <f>SUM(C25:C31)</f>
        <v>18203</v>
      </c>
      <c r="D32" s="111">
        <f>SUM(D25:D31)</f>
        <v>0</v>
      </c>
      <c r="E32" s="112">
        <f>SUM(E25:E31)</f>
        <v>0</v>
      </c>
      <c r="F32" s="113">
        <f>SUM(F24:F31)</f>
        <v>26</v>
      </c>
      <c r="G32" s="182"/>
      <c r="H32" s="183"/>
      <c r="I32" s="180"/>
      <c r="J32" s="225">
        <f>+'29'!J32</f>
        <v>0</v>
      </c>
      <c r="K32" s="252"/>
      <c r="L32" s="254"/>
      <c r="M32" s="128">
        <f>+K32+'29'!M32+L32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52742</v>
      </c>
      <c r="D34" s="118">
        <f>D14+D23+D32</f>
        <v>207</v>
      </c>
      <c r="E34" s="118">
        <f>E14+E23+E32</f>
        <v>0</v>
      </c>
      <c r="F34" s="119">
        <f>F14+F23+F32</f>
        <v>80</v>
      </c>
      <c r="H34" s="189"/>
      <c r="I34" s="189"/>
      <c r="J34" s="134" t="s">
        <v>27</v>
      </c>
      <c r="K34" s="135">
        <f>SUM(K7:K32)</f>
        <v>52742</v>
      </c>
      <c r="L34" s="223">
        <f>SUM(L7:L32)</f>
        <v>0</v>
      </c>
      <c r="M34" s="131">
        <f>SUM(M7:M32)</f>
        <v>1618382</v>
      </c>
      <c r="N34" s="166"/>
    </row>
    <row r="35" spans="1:14" ht="13.5" thickBot="1">
      <c r="A35" s="190"/>
      <c r="B35" s="191"/>
      <c r="C35" s="115">
        <f>C34/($C$34+$D$34+$E$34)</f>
        <v>0.99609057772573606</v>
      </c>
      <c r="D35" s="115">
        <f>D34/($C$34+$D$34+$E$34)</f>
        <v>3.9094222742639146E-3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(12*1440)/1440*G42*2.77*1440/1000000</f>
        <v>58.447088640000004</v>
      </c>
      <c r="J37" s="136">
        <f>+I37+'29'!J37</f>
        <v>1899.7541418229612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80</v>
      </c>
      <c r="D38" s="129">
        <f>+C38+'29'!D38</f>
        <v>2959</v>
      </c>
      <c r="E38" s="154">
        <f t="shared" ref="E38:E51" si="0">D38/60</f>
        <v>49.31666666666667</v>
      </c>
      <c r="F38" s="340">
        <v>1600</v>
      </c>
      <c r="G38" s="340">
        <f>+F38-F38*0.24</f>
        <v>1216</v>
      </c>
      <c r="H38" s="198" t="s">
        <v>63</v>
      </c>
      <c r="I38" s="256">
        <f>18.378+16.711+18.19</f>
        <v>53.278999999999996</v>
      </c>
      <c r="J38" s="138">
        <f>+I38+'29'!J38</f>
        <v>1709.077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+C39+'29'!D39</f>
        <v>0</v>
      </c>
      <c r="E39" s="154">
        <f t="shared" si="0"/>
        <v>0</v>
      </c>
      <c r="F39" s="340">
        <v>1610</v>
      </c>
      <c r="G39" s="340">
        <f>+F39-F39*0.24</f>
        <v>1223.5999999999999</v>
      </c>
      <c r="H39" s="198" t="s">
        <v>64</v>
      </c>
      <c r="I39" s="153"/>
      <c r="J39" s="140">
        <f>J37/G4</f>
        <v>63.325138060765376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+C40+'29'!D40</f>
        <v>0</v>
      </c>
      <c r="E40" s="154">
        <f t="shared" si="0"/>
        <v>0</v>
      </c>
      <c r="F40" s="340">
        <v>1610</v>
      </c>
      <c r="G40" s="340">
        <f>+F40-F40*0.24</f>
        <v>1223.5999999999999</v>
      </c>
      <c r="H40" s="198" t="s">
        <v>66</v>
      </c>
      <c r="I40" s="129">
        <f>(K34+L34)/1000</f>
        <v>52.741999999999997</v>
      </c>
      <c r="J40" s="142">
        <f>+I40+'29'!J40</f>
        <v>1618.3820000000005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+C41+'29'!D41</f>
        <v>437</v>
      </c>
      <c r="E41" s="154">
        <f t="shared" si="0"/>
        <v>7.2833333333333332</v>
      </c>
      <c r="F41" s="340"/>
      <c r="G41" s="340"/>
      <c r="H41" s="198" t="s">
        <v>68</v>
      </c>
      <c r="I41" s="153"/>
      <c r="J41" s="140">
        <f>J40/G4</f>
        <v>53.946066666666681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+C42+'29'!D42</f>
        <v>0</v>
      </c>
      <c r="E42" s="154">
        <f t="shared" si="0"/>
        <v>0</v>
      </c>
      <c r="F42" s="340">
        <f>+(F38*480+F39*480+F40*480)/1440</f>
        <v>1606.6666666666667</v>
      </c>
      <c r="G42" s="340">
        <f>+(G38*480+G39*480+G40*480)/1440</f>
        <v>1221.0666666666666</v>
      </c>
      <c r="H42" s="198" t="s">
        <v>69</v>
      </c>
      <c r="I42" s="257" t="s">
        <v>828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+C43+'29'!D43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+Report1!T38</f>
        <v>126.20099999999999</v>
      </c>
      <c r="J43" s="144">
        <f>+I43+'29'!J43</f>
        <v>3946.2550000000001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+C44+'29'!D44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2.3686818446292159</v>
      </c>
      <c r="J44" s="145">
        <f>J43/J38</f>
        <v>2.3089977806734279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+C45+'29'!D45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2.3927989078912444</v>
      </c>
      <c r="J45" s="145">
        <f>J43/J40</f>
        <v>2.438395261440129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+C46+'29'!D46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+SUMIF(Listrik!AR37,"&gt;0")</f>
        <v>51312.639999999519</v>
      </c>
      <c r="J46" s="146">
        <f>+I46+'29'!J46</f>
        <v>1672251.5199999972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+C47+'29'!D47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963.09315114772278</v>
      </c>
      <c r="J47" s="146">
        <f>J46/J38</f>
        <v>978.45300123984885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+C48+'29'!D48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972.89901786051951</v>
      </c>
      <c r="J48" s="146">
        <f>J46/J40</f>
        <v>1033.286035064649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+C49+'29'!D49</f>
        <v>233</v>
      </c>
      <c r="E49" s="154">
        <f t="shared" si="0"/>
        <v>3.8833333333333333</v>
      </c>
      <c r="F49" s="196"/>
      <c r="H49" s="199" t="s">
        <v>81</v>
      </c>
      <c r="I49" s="129">
        <v>0</v>
      </c>
      <c r="J49" s="146">
        <f>+I49+'29'!J49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+C50+'29'!D50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+C51+'29'!D51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80</v>
      </c>
      <c r="D52" s="155">
        <f>SUM(D38:D51)</f>
        <v>3667</v>
      </c>
      <c r="E52" s="156">
        <f>SUM(E38:E51)</f>
        <v>61.116666666666667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5.5555555555555552E-2</v>
      </c>
      <c r="D53" s="157">
        <f>D52/(24*60*G4)</f>
        <v>8.4884259259259257E-2</v>
      </c>
      <c r="E53" s="158">
        <f>E52/(G4*24)</f>
        <v>8.4884259259259257E-2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+D34+'29'!J56</f>
        <v>22547</v>
      </c>
      <c r="K56" s="212">
        <f>J56/(J40+J56/1000)/1000</f>
        <v>1.3740387304996129E-2</v>
      </c>
    </row>
    <row r="57" spans="1:11">
      <c r="A57" s="187"/>
      <c r="I57" s="210" t="s">
        <v>88</v>
      </c>
      <c r="J57" s="211">
        <f>+E34+'29'!J57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4.140625" style="160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29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184+245+218</f>
        <v>647</v>
      </c>
    </row>
    <row r="7" spans="1:18" ht="13.5" customHeight="1" thickBot="1">
      <c r="A7" s="1020" t="s">
        <v>435</v>
      </c>
      <c r="B7" s="226" t="s">
        <v>657</v>
      </c>
      <c r="C7" s="227">
        <v>14636</v>
      </c>
      <c r="D7" s="228"/>
      <c r="E7" s="229"/>
      <c r="F7" s="239"/>
      <c r="G7" s="240" t="s">
        <v>11</v>
      </c>
      <c r="H7" s="241" t="s">
        <v>473</v>
      </c>
      <c r="I7" s="1023" t="s">
        <v>807</v>
      </c>
      <c r="J7" s="225" t="str">
        <f>+'28'!J7</f>
        <v>MG 14 VP HW</v>
      </c>
      <c r="K7" s="249"/>
      <c r="L7" s="253"/>
      <c r="M7" s="128">
        <f>+K7+'28'!M7+L7</f>
        <v>160441</v>
      </c>
    </row>
    <row r="8" spans="1:18" ht="13.5" thickBot="1">
      <c r="A8" s="1021"/>
      <c r="B8" s="226"/>
      <c r="C8" s="227"/>
      <c r="D8" s="228"/>
      <c r="E8" s="230"/>
      <c r="F8" s="242">
        <v>8</v>
      </c>
      <c r="G8" s="243" t="s">
        <v>11</v>
      </c>
      <c r="H8" s="241" t="s">
        <v>649</v>
      </c>
      <c r="I8" s="1024"/>
      <c r="J8" s="225" t="str">
        <f>+'28'!J8</f>
        <v>MG 17 VP HW</v>
      </c>
      <c r="K8" s="250"/>
      <c r="L8" s="250"/>
      <c r="M8" s="128">
        <f>+K8+'28'!M8+L8</f>
        <v>131048</v>
      </c>
      <c r="N8" s="160">
        <v>1630</v>
      </c>
      <c r="O8" s="160">
        <f>+N8-N8*0.16</f>
        <v>1369.2</v>
      </c>
      <c r="P8" s="160">
        <v>480</v>
      </c>
      <c r="Q8" s="160">
        <f>+N8*P8</f>
        <v>782400</v>
      </c>
      <c r="R8" s="160">
        <f>+O8*P8</f>
        <v>657216</v>
      </c>
    </row>
    <row r="9" spans="1:18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453</v>
      </c>
      <c r="I9" s="1024"/>
      <c r="J9" s="225" t="str">
        <f>+'28'!J9</f>
        <v>MG 16 VP HW/OW</v>
      </c>
      <c r="K9" s="250"/>
      <c r="L9" s="250"/>
      <c r="M9" s="128">
        <f>+K9+'28'!M9+L9</f>
        <v>278646</v>
      </c>
      <c r="N9" s="160">
        <v>1650</v>
      </c>
      <c r="O9" s="160">
        <f>+N9-N9*0.16</f>
        <v>1386</v>
      </c>
      <c r="P9" s="160">
        <v>240</v>
      </c>
      <c r="Q9" s="160">
        <f>+N9*P9</f>
        <v>396000</v>
      </c>
      <c r="R9" s="160">
        <f>+O9*P9</f>
        <v>332640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803</v>
      </c>
      <c r="I10" s="1024"/>
      <c r="J10" s="225" t="str">
        <f>+'28'!J10</f>
        <v>MG 22 VP HW</v>
      </c>
      <c r="K10" s="250"/>
      <c r="L10" s="250"/>
      <c r="M10" s="128">
        <f>+K10+'28'!M10+L10</f>
        <v>12128</v>
      </c>
      <c r="P10" s="160">
        <f>+P8+P9</f>
        <v>720</v>
      </c>
      <c r="Q10" s="160">
        <f t="shared" ref="Q10:R10" si="0">+Q8+Q9</f>
        <v>1178400</v>
      </c>
      <c r="R10" s="160">
        <f t="shared" si="0"/>
        <v>989856</v>
      </c>
    </row>
    <row r="11" spans="1:18" ht="13.5" thickBot="1">
      <c r="A11" s="1021"/>
      <c r="B11" s="226"/>
      <c r="C11" s="227"/>
      <c r="D11" s="228"/>
      <c r="E11" s="230"/>
      <c r="F11" s="239"/>
      <c r="G11" s="243"/>
      <c r="H11" s="244" t="s">
        <v>804</v>
      </c>
      <c r="I11" s="1024"/>
      <c r="J11" s="225" t="str">
        <f>+'28'!J11</f>
        <v>MG 24 VP HW</v>
      </c>
      <c r="K11" s="250"/>
      <c r="L11" s="250"/>
      <c r="M11" s="128">
        <f>+K11+'28'!M11+L11</f>
        <v>5566</v>
      </c>
      <c r="Q11" s="160">
        <f>+Q10/P10</f>
        <v>1636.6666666666667</v>
      </c>
      <c r="R11" s="160">
        <f>+R10/P10</f>
        <v>1374.8</v>
      </c>
    </row>
    <row r="12" spans="1:18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 t="str">
        <f>+'28'!J12</f>
        <v>MG 20 VP HW</v>
      </c>
      <c r="K12" s="250"/>
      <c r="L12" s="250"/>
      <c r="M12" s="128">
        <f>+K12+'28'!M12+L12</f>
        <v>7726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+'28'!J13</f>
        <v>F 12 VP OW</v>
      </c>
      <c r="K13" s="250">
        <f>+C26</f>
        <v>11789</v>
      </c>
      <c r="L13" s="250"/>
      <c r="M13" s="128">
        <f>+K13+'28'!M13+L13</f>
        <v>311554</v>
      </c>
    </row>
    <row r="14" spans="1:18" ht="13.5" thickBot="1">
      <c r="A14" s="1022"/>
      <c r="B14" s="176" t="s">
        <v>2</v>
      </c>
      <c r="C14" s="110">
        <f>SUM(C7:C13)</f>
        <v>14636</v>
      </c>
      <c r="D14" s="122">
        <f>SUM(D7:D13)</f>
        <v>0</v>
      </c>
      <c r="E14" s="123">
        <f>SUM(E5:E13)</f>
        <v>0</v>
      </c>
      <c r="F14" s="127">
        <f>SUM(F7:F13)</f>
        <v>18</v>
      </c>
      <c r="G14" s="170"/>
      <c r="H14" s="177"/>
      <c r="I14" s="178"/>
      <c r="J14" s="225" t="str">
        <f>+'28'!J14</f>
        <v>F 11,5 VP OW</v>
      </c>
      <c r="K14" s="250"/>
      <c r="L14" s="250"/>
      <c r="M14" s="128">
        <f>+K14+'28'!M14+L14</f>
        <v>242575</v>
      </c>
    </row>
    <row r="15" spans="1:18" ht="13.5" customHeight="1" thickBot="1">
      <c r="A15" s="1020" t="s">
        <v>605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817</v>
      </c>
      <c r="J15" s="225" t="str">
        <f>+'28'!J15</f>
        <v>F 10,5 VP OW</v>
      </c>
      <c r="K15" s="250"/>
      <c r="L15" s="250"/>
      <c r="M15" s="128">
        <f>+K15+'28'!M15+L15</f>
        <v>165170</v>
      </c>
    </row>
    <row r="16" spans="1:18" ht="13.5" thickBot="1">
      <c r="A16" s="1026"/>
      <c r="B16" s="226" t="s">
        <v>657</v>
      </c>
      <c r="C16" s="233">
        <v>16863</v>
      </c>
      <c r="D16" s="234"/>
      <c r="E16" s="235"/>
      <c r="F16" s="239">
        <v>8</v>
      </c>
      <c r="G16" s="243" t="s">
        <v>11</v>
      </c>
      <c r="H16" s="241" t="s">
        <v>622</v>
      </c>
      <c r="I16" s="1024"/>
      <c r="J16" s="225" t="str">
        <f>+'28'!J16</f>
        <v>F 10,3 VP OW</v>
      </c>
      <c r="K16" s="240">
        <f>+C7+C16</f>
        <v>31499</v>
      </c>
      <c r="L16" s="240"/>
      <c r="M16" s="128">
        <f>+K16+'28'!M16+L16</f>
        <v>177717</v>
      </c>
    </row>
    <row r="17" spans="1:18" ht="13.5" thickBot="1">
      <c r="A17" s="1026"/>
      <c r="B17" s="226" t="s">
        <v>820</v>
      </c>
      <c r="C17" s="227">
        <v>2348</v>
      </c>
      <c r="D17" s="228"/>
      <c r="E17" s="236"/>
      <c r="F17" s="239">
        <v>5</v>
      </c>
      <c r="G17" s="243" t="s">
        <v>11</v>
      </c>
      <c r="H17" s="597" t="s">
        <v>455</v>
      </c>
      <c r="I17" s="1024"/>
      <c r="J17" s="225" t="str">
        <f>+'28'!J17</f>
        <v>F 12,5 VP OW</v>
      </c>
      <c r="K17" s="240"/>
      <c r="L17" s="240"/>
      <c r="M17" s="128">
        <f>+K17+'28'!M17+L17</f>
        <v>62781</v>
      </c>
    </row>
    <row r="18" spans="1:18" ht="13.5" thickBot="1">
      <c r="A18" s="1026"/>
      <c r="B18" s="226"/>
      <c r="C18" s="227"/>
      <c r="D18" s="228"/>
      <c r="E18" s="236"/>
      <c r="F18" s="239"/>
      <c r="G18" s="243"/>
      <c r="H18" s="597" t="s">
        <v>812</v>
      </c>
      <c r="I18" s="1024"/>
      <c r="J18" s="225" t="s">
        <v>820</v>
      </c>
      <c r="K18" s="250">
        <f>+C17+C25</f>
        <v>10288</v>
      </c>
      <c r="L18" s="250"/>
      <c r="M18" s="128">
        <f>+K18+'28'!M18+L18</f>
        <v>10288</v>
      </c>
      <c r="N18" s="160">
        <v>1650</v>
      </c>
      <c r="O18" s="160">
        <f>+N18-N18*0.16</f>
        <v>1386</v>
      </c>
      <c r="P18" s="160">
        <v>240</v>
      </c>
      <c r="Q18" s="160">
        <f>+N18*P18</f>
        <v>396000</v>
      </c>
      <c r="R18" s="160">
        <f>+O18*P18</f>
        <v>332640</v>
      </c>
    </row>
    <row r="19" spans="1:18" ht="26.25" thickBot="1">
      <c r="A19" s="1026"/>
      <c r="B19" s="226"/>
      <c r="C19" s="227"/>
      <c r="D19" s="228"/>
      <c r="E19" s="236"/>
      <c r="F19" s="239"/>
      <c r="G19" s="243"/>
      <c r="H19" s="244" t="s">
        <v>792</v>
      </c>
      <c r="I19" s="1024"/>
      <c r="J19" s="225">
        <f>+'28'!J19</f>
        <v>0</v>
      </c>
      <c r="K19" s="250"/>
      <c r="L19" s="250"/>
      <c r="M19" s="128">
        <f>+K19+'28'!M19+L19</f>
        <v>0</v>
      </c>
      <c r="N19" s="160">
        <v>1600</v>
      </c>
      <c r="O19" s="160">
        <f>+N19-N19*0.24</f>
        <v>1216</v>
      </c>
      <c r="P19" s="160">
        <v>240</v>
      </c>
      <c r="Q19" s="160">
        <f>+N19*P19</f>
        <v>384000</v>
      </c>
      <c r="R19" s="160">
        <f>+O19*P19</f>
        <v>291840</v>
      </c>
    </row>
    <row r="20" spans="1:18" ht="13.5" thickBot="1">
      <c r="A20" s="1026"/>
      <c r="B20" s="226"/>
      <c r="C20" s="227"/>
      <c r="D20" s="228"/>
      <c r="E20" s="236"/>
      <c r="F20" s="246">
        <v>8</v>
      </c>
      <c r="G20" s="243" t="s">
        <v>11</v>
      </c>
      <c r="H20" s="244" t="s">
        <v>815</v>
      </c>
      <c r="I20" s="1024"/>
      <c r="J20" s="225">
        <f>+'28'!J20</f>
        <v>0</v>
      </c>
      <c r="K20" s="251"/>
      <c r="L20" s="251"/>
      <c r="M20" s="128">
        <f>+K20+'28'!M20+L20</f>
        <v>0</v>
      </c>
      <c r="P20" s="160">
        <f t="shared" ref="P20:Q20" si="1">+P18+P19</f>
        <v>480</v>
      </c>
      <c r="Q20" s="160">
        <f t="shared" si="1"/>
        <v>780000</v>
      </c>
      <c r="R20" s="160">
        <f t="shared" ref="R20" si="2">+R18+R19</f>
        <v>624480</v>
      </c>
    </row>
    <row r="21" spans="1:18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+'28'!J21</f>
        <v>0</v>
      </c>
      <c r="K21" s="250"/>
      <c r="L21" s="250"/>
      <c r="M21" s="128">
        <f>+K21+'28'!M21+L21</f>
        <v>0</v>
      </c>
      <c r="Q21" s="160">
        <f>+Q20/P20</f>
        <v>1625</v>
      </c>
      <c r="R21" s="160">
        <f>+R20/P20</f>
        <v>1301</v>
      </c>
    </row>
    <row r="22" spans="1:18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+'28'!J22</f>
        <v>0</v>
      </c>
      <c r="K22" s="250"/>
      <c r="L22" s="250"/>
      <c r="M22" s="128">
        <f>+K22+'28'!M22+L22</f>
        <v>0</v>
      </c>
    </row>
    <row r="23" spans="1:18" ht="13.5" thickBot="1">
      <c r="A23" s="1027"/>
      <c r="B23" s="179" t="s">
        <v>2</v>
      </c>
      <c r="C23" s="111">
        <f>SUM(C16:C22)</f>
        <v>19211</v>
      </c>
      <c r="D23" s="122">
        <f>SUM(D16:D22)</f>
        <v>0</v>
      </c>
      <c r="E23" s="123">
        <f>SUM(E18:E22)</f>
        <v>0</v>
      </c>
      <c r="F23" s="127">
        <f>SUM(F15:F22)</f>
        <v>21</v>
      </c>
      <c r="G23" s="170"/>
      <c r="H23" s="177" t="s">
        <v>234</v>
      </c>
      <c r="I23" s="180"/>
      <c r="J23" s="225">
        <f>+'28'!J23</f>
        <v>0</v>
      </c>
      <c r="K23" s="250"/>
      <c r="L23" s="250"/>
      <c r="M23" s="128">
        <f>+K23+'28'!M23+L23</f>
        <v>0</v>
      </c>
    </row>
    <row r="24" spans="1:18" ht="13.5" customHeight="1" thickBot="1">
      <c r="A24" s="1020" t="s">
        <v>556</v>
      </c>
      <c r="B24" s="181"/>
      <c r="C24" s="124"/>
      <c r="D24" s="125"/>
      <c r="E24" s="126"/>
      <c r="F24" s="247">
        <v>4</v>
      </c>
      <c r="G24" s="240" t="s">
        <v>11</v>
      </c>
      <c r="H24" s="241" t="s">
        <v>536</v>
      </c>
      <c r="I24" s="1023" t="s">
        <v>783</v>
      </c>
      <c r="J24" s="225">
        <f>+'28'!J24</f>
        <v>0</v>
      </c>
      <c r="K24" s="250"/>
      <c r="L24" s="250"/>
      <c r="M24" s="128">
        <f>+K24+'28'!M24+L24</f>
        <v>0</v>
      </c>
    </row>
    <row r="25" spans="1:18" ht="13.5" customHeight="1" thickBot="1">
      <c r="A25" s="1028"/>
      <c r="B25" s="226" t="s">
        <v>820</v>
      </c>
      <c r="C25" s="237">
        <v>7940</v>
      </c>
      <c r="D25" s="228"/>
      <c r="E25" s="236"/>
      <c r="F25" s="242">
        <v>10</v>
      </c>
      <c r="G25" s="243" t="s">
        <v>11</v>
      </c>
      <c r="H25" s="241" t="s">
        <v>741</v>
      </c>
      <c r="I25" s="1024"/>
      <c r="J25" s="225">
        <f>+'28'!J25</f>
        <v>0</v>
      </c>
      <c r="K25" s="250"/>
      <c r="L25" s="250"/>
      <c r="M25" s="128">
        <f>+K25+'28'!M25+L25</f>
        <v>0</v>
      </c>
      <c r="N25" s="160">
        <v>1600</v>
      </c>
      <c r="O25" s="160">
        <f>+N25-N25*0.24</f>
        <v>1216</v>
      </c>
      <c r="P25" s="160">
        <v>30</v>
      </c>
      <c r="Q25" s="160">
        <f>+N25*P25</f>
        <v>48000</v>
      </c>
      <c r="R25" s="160">
        <f>+O25*P25</f>
        <v>36480</v>
      </c>
    </row>
    <row r="26" spans="1:18" ht="13.5" customHeight="1" thickBot="1">
      <c r="A26" s="1028"/>
      <c r="B26" s="226" t="s">
        <v>603</v>
      </c>
      <c r="C26" s="237">
        <f>6318+5471</f>
        <v>11789</v>
      </c>
      <c r="D26" s="228"/>
      <c r="E26" s="238"/>
      <c r="F26" s="242">
        <v>10</v>
      </c>
      <c r="G26" s="243" t="s">
        <v>11</v>
      </c>
      <c r="H26" s="597" t="s">
        <v>455</v>
      </c>
      <c r="I26" s="1024"/>
      <c r="J26" s="225">
        <f>+'28'!J26</f>
        <v>0</v>
      </c>
      <c r="K26" s="250"/>
      <c r="L26" s="250"/>
      <c r="M26" s="128">
        <f>+K26+'28'!M26+L26</f>
        <v>0</v>
      </c>
      <c r="N26" s="160">
        <v>1600</v>
      </c>
      <c r="O26" s="160">
        <f>+N26-N26*0.24</f>
        <v>1216</v>
      </c>
      <c r="P26" s="160">
        <v>450</v>
      </c>
      <c r="Q26" s="160">
        <f>+N26*P26</f>
        <v>720000</v>
      </c>
      <c r="R26" s="160">
        <f>+O26*P26</f>
        <v>547200</v>
      </c>
    </row>
    <row r="27" spans="1:18" ht="13.5" customHeight="1" thickBot="1">
      <c r="A27" s="1028"/>
      <c r="B27" s="226"/>
      <c r="C27" s="227"/>
      <c r="D27" s="228"/>
      <c r="E27" s="236"/>
      <c r="F27" s="242"/>
      <c r="G27" s="243"/>
      <c r="H27" s="597" t="s">
        <v>816</v>
      </c>
      <c r="I27" s="1024"/>
      <c r="J27" s="225">
        <f>+'28'!J27</f>
        <v>0</v>
      </c>
      <c r="K27" s="250"/>
      <c r="L27" s="250"/>
      <c r="M27" s="128">
        <f>+K27+'28'!M27+L27</f>
        <v>0</v>
      </c>
      <c r="P27" s="160">
        <f>+P25+P26</f>
        <v>480</v>
      </c>
      <c r="Q27" s="160">
        <f t="shared" ref="Q27:R27" si="3">+Q25+Q26</f>
        <v>768000</v>
      </c>
      <c r="R27" s="160">
        <f t="shared" si="3"/>
        <v>583680</v>
      </c>
    </row>
    <row r="28" spans="1:18" ht="13.5" thickBot="1">
      <c r="A28" s="1028"/>
      <c r="B28" s="226"/>
      <c r="C28" s="227"/>
      <c r="D28" s="228"/>
      <c r="E28" s="236"/>
      <c r="F28" s="242"/>
      <c r="G28" s="243"/>
      <c r="H28" s="244" t="s">
        <v>813</v>
      </c>
      <c r="I28" s="1024"/>
      <c r="J28" s="225">
        <f>+'28'!J28</f>
        <v>0</v>
      </c>
      <c r="K28" s="250"/>
      <c r="L28" s="250"/>
      <c r="M28" s="128">
        <f>+K28+'28'!M28+L28</f>
        <v>0</v>
      </c>
      <c r="Q28" s="160">
        <f>+Q27/P27</f>
        <v>1600</v>
      </c>
      <c r="R28" s="160">
        <f>+R27/P27</f>
        <v>1216</v>
      </c>
    </row>
    <row r="29" spans="1:18" ht="13.5" customHeight="1" thickBot="1">
      <c r="A29" s="1028"/>
      <c r="B29" s="226"/>
      <c r="C29" s="227"/>
      <c r="D29" s="228"/>
      <c r="E29" s="236"/>
      <c r="F29" s="247"/>
      <c r="G29" s="243"/>
      <c r="H29" s="244" t="s">
        <v>814</v>
      </c>
      <c r="I29" s="1024"/>
      <c r="J29" s="225">
        <f>+'28'!J29</f>
        <v>0</v>
      </c>
      <c r="K29" s="250"/>
      <c r="L29" s="250"/>
      <c r="M29" s="128">
        <f>+K29+'28'!M29+L29</f>
        <v>0</v>
      </c>
    </row>
    <row r="30" spans="1:18" ht="13.5" customHeight="1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+'28'!J30</f>
        <v>0</v>
      </c>
      <c r="K30" s="250"/>
      <c r="L30" s="250"/>
      <c r="M30" s="128">
        <f>+K30+'28'!M30+L30</f>
        <v>0</v>
      </c>
      <c r="N30" s="166"/>
    </row>
    <row r="31" spans="1:18" ht="13.5" customHeight="1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+'28'!J31</f>
        <v>0</v>
      </c>
      <c r="K31" s="250"/>
      <c r="L31" s="250"/>
      <c r="M31" s="128">
        <f>+K31+'28'!M31+L31</f>
        <v>0</v>
      </c>
    </row>
    <row r="32" spans="1:18" ht="13.5" customHeight="1" thickBot="1">
      <c r="A32" s="1029"/>
      <c r="B32" s="176" t="s">
        <v>2</v>
      </c>
      <c r="C32" s="110">
        <f>SUM(C25:C31)</f>
        <v>19729</v>
      </c>
      <c r="D32" s="111">
        <f>SUM(D25:D31)</f>
        <v>0</v>
      </c>
      <c r="E32" s="112">
        <f>SUM(E25:E31)</f>
        <v>0</v>
      </c>
      <c r="F32" s="113">
        <f>SUM(F24:F31)</f>
        <v>24</v>
      </c>
      <c r="G32" s="182"/>
      <c r="H32" s="183"/>
      <c r="I32" s="180"/>
      <c r="J32" s="225">
        <f>+'28'!J32</f>
        <v>0</v>
      </c>
      <c r="K32" s="252"/>
      <c r="L32" s="254"/>
      <c r="M32" s="128">
        <f>+K32+'28'!M32+L32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53576</v>
      </c>
      <c r="D34" s="118">
        <f>D14+D23+D32</f>
        <v>0</v>
      </c>
      <c r="E34" s="118">
        <f>E14+E23+E32</f>
        <v>0</v>
      </c>
      <c r="F34" s="119">
        <f>F14+F23+F32</f>
        <v>63</v>
      </c>
      <c r="H34" s="189"/>
      <c r="I34" s="189"/>
      <c r="J34" s="134" t="s">
        <v>27</v>
      </c>
      <c r="K34" s="135">
        <f>SUM(K7:K32)</f>
        <v>53576</v>
      </c>
      <c r="L34" s="223">
        <f>SUM(L7:L32)</f>
        <v>0</v>
      </c>
      <c r="M34" s="131">
        <f>SUM(M7:M32)</f>
        <v>1565640</v>
      </c>
      <c r="N34" s="166"/>
    </row>
    <row r="35" spans="1:14" ht="13.5" thickBot="1">
      <c r="A35" s="190"/>
      <c r="B35" s="191"/>
      <c r="C35" s="115">
        <f>C34/($C$34+$D$34+$E$34)</f>
        <v>1</v>
      </c>
      <c r="D35" s="115">
        <f>D34/($C$34+$D$34+$E$34)</f>
        <v>0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(10.3*720+13*270+12*450)/1440*G42*2.77*1440/1000000</f>
        <v>58.581900107999999</v>
      </c>
      <c r="J37" s="136">
        <f>+I37+'28'!J37</f>
        <v>1841.3070531829612</v>
      </c>
      <c r="K37" s="137" t="s">
        <v>62</v>
      </c>
      <c r="L37" s="586">
        <f>+I38-L38-L39</f>
        <v>28.092999999999996</v>
      </c>
    </row>
    <row r="38" spans="1:14" ht="17.45" customHeight="1">
      <c r="A38" s="1034" t="s">
        <v>11</v>
      </c>
      <c r="B38" s="1035"/>
      <c r="C38" s="175">
        <f>SUMIF($G$7:$G$31,"Process",$F$7:$F$31)</f>
        <v>63</v>
      </c>
      <c r="D38" s="129">
        <f>+C38+'28'!D38</f>
        <v>2879</v>
      </c>
      <c r="E38" s="154">
        <f t="shared" ref="E38:E51" si="4">D38/60</f>
        <v>47.983333333333334</v>
      </c>
      <c r="F38" s="340">
        <v>1630</v>
      </c>
      <c r="G38" s="340">
        <v>1369.2</v>
      </c>
      <c r="H38" s="198" t="s">
        <v>63</v>
      </c>
      <c r="I38" s="555">
        <f>17.315+19.896+16.571</f>
        <v>53.781999999999996</v>
      </c>
      <c r="J38" s="138">
        <f>+I38+'28'!J38</f>
        <v>1655.798</v>
      </c>
      <c r="K38" s="139" t="s">
        <v>62</v>
      </c>
      <c r="L38" s="565">
        <f>2.23+2.23+2.618+2.04+1.452</f>
        <v>10.569999999999999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+C39+'28'!D39</f>
        <v>0</v>
      </c>
      <c r="E39" s="154">
        <f t="shared" si="4"/>
        <v>0</v>
      </c>
      <c r="F39" s="340">
        <v>1625</v>
      </c>
      <c r="G39" s="340">
        <v>1301</v>
      </c>
      <c r="H39" s="198" t="s">
        <v>64</v>
      </c>
      <c r="I39" s="153"/>
      <c r="J39" s="140">
        <f>J37/G4</f>
        <v>63.493346661481425</v>
      </c>
      <c r="K39" s="141" t="s">
        <v>62</v>
      </c>
      <c r="L39" s="160">
        <f>16.571-1.452</f>
        <v>15.119000000000002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+C40+'28'!D40</f>
        <v>0</v>
      </c>
      <c r="E40" s="154">
        <f t="shared" si="4"/>
        <v>0</v>
      </c>
      <c r="F40" s="340">
        <v>1600</v>
      </c>
      <c r="G40" s="340">
        <v>1216</v>
      </c>
      <c r="H40" s="198" t="s">
        <v>66</v>
      </c>
      <c r="I40" s="129">
        <f>(K34+L34)/1000</f>
        <v>53.576000000000001</v>
      </c>
      <c r="J40" s="142">
        <f>+I40+'28'!J40</f>
        <v>1565.6400000000006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+C41+'28'!D41</f>
        <v>437</v>
      </c>
      <c r="E41" s="154">
        <f t="shared" si="4"/>
        <v>7.2833333333333332</v>
      </c>
      <c r="F41" s="340"/>
      <c r="G41" s="340"/>
      <c r="H41" s="198" t="s">
        <v>68</v>
      </c>
      <c r="I41" s="153"/>
      <c r="J41" s="140">
        <f>J40/G4</f>
        <v>53.987586206896573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+C42+'28'!D42</f>
        <v>0</v>
      </c>
      <c r="E42" s="154">
        <f t="shared" si="4"/>
        <v>0</v>
      </c>
      <c r="F42" s="340">
        <f>+(F38*480+F39*480+F40*480)/1440</f>
        <v>1618.3333333333333</v>
      </c>
      <c r="G42" s="340">
        <f>+(G38*480+G39*480+G40*480)/1440</f>
        <v>1295.4000000000001</v>
      </c>
      <c r="H42" s="198" t="s">
        <v>69</v>
      </c>
      <c r="I42" s="257" t="s">
        <v>818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+C43+'28'!D43</f>
        <v>0</v>
      </c>
      <c r="E43" s="154">
        <f t="shared" si="4"/>
        <v>0</v>
      </c>
      <c r="F43" s="340"/>
      <c r="G43" s="341"/>
      <c r="H43" s="199" t="s">
        <v>72</v>
      </c>
      <c r="I43" s="129">
        <f>+Report1!T37</f>
        <v>129.78299999999999</v>
      </c>
      <c r="J43" s="144">
        <f>+I43+'28'!J43</f>
        <v>3820.0540000000001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+C44+'28'!D44</f>
        <v>38</v>
      </c>
      <c r="E44" s="154">
        <f t="shared" si="4"/>
        <v>0.6333333333333333</v>
      </c>
      <c r="F44" s="340"/>
      <c r="G44" s="341"/>
      <c r="H44" s="199" t="s">
        <v>73</v>
      </c>
      <c r="I44" s="129">
        <f>I43/I38</f>
        <v>2.4131307872522405</v>
      </c>
      <c r="J44" s="145">
        <f>J43/J38</f>
        <v>2.3070773125707364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+C45+'28'!D45</f>
        <v>0</v>
      </c>
      <c r="E45" s="154">
        <f t="shared" si="4"/>
        <v>0</v>
      </c>
      <c r="F45" s="340"/>
      <c r="G45" s="343"/>
      <c r="H45" s="199" t="s">
        <v>74</v>
      </c>
      <c r="I45" s="129">
        <f>I43/I40</f>
        <v>2.4224092877407792</v>
      </c>
      <c r="J45" s="145">
        <f>J43/J40</f>
        <v>2.4399312741115446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+C46+'28'!D46</f>
        <v>0</v>
      </c>
      <c r="E46" s="154">
        <f t="shared" si="4"/>
        <v>0</v>
      </c>
      <c r="F46" s="340"/>
      <c r="G46" s="341"/>
      <c r="H46" s="199" t="s">
        <v>76</v>
      </c>
      <c r="I46" s="151">
        <f>+SUMIF(Listrik!AR36,"&gt;0")</f>
        <v>56776.899999999339</v>
      </c>
      <c r="J46" s="146">
        <f>+I46+'28'!J46</f>
        <v>1620938.8799999978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+C47+'28'!D47</f>
        <v>0</v>
      </c>
      <c r="E47" s="154">
        <f t="shared" si="4"/>
        <v>0</v>
      </c>
      <c r="F47" s="340"/>
      <c r="G47" s="341"/>
      <c r="H47" s="199" t="s">
        <v>79</v>
      </c>
      <c r="I47" s="129">
        <f>I46/I38</f>
        <v>1055.6859172213631</v>
      </c>
      <c r="J47" s="146">
        <f>J46/J38</f>
        <v>978.94723873322573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+C48+'28'!D48</f>
        <v>0</v>
      </c>
      <c r="E48" s="154">
        <f t="shared" si="4"/>
        <v>0</v>
      </c>
      <c r="F48" s="340"/>
      <c r="G48" s="341"/>
      <c r="H48" s="199" t="s">
        <v>80</v>
      </c>
      <c r="I48" s="129">
        <f>I46/I40</f>
        <v>1059.7450350903266</v>
      </c>
      <c r="J48" s="146">
        <f>J46/J40</f>
        <v>1035.3203035180484</v>
      </c>
      <c r="K48" s="141" t="s">
        <v>23</v>
      </c>
    </row>
    <row r="49" spans="1:11" ht="17.45" customHeight="1">
      <c r="A49" s="1040" t="s">
        <v>19</v>
      </c>
      <c r="B49" s="1019"/>
      <c r="C49" s="175">
        <f>SUMIF($G$7:$G$31,"Others",$F$7:$F$31)</f>
        <v>0</v>
      </c>
      <c r="D49" s="129">
        <f>+C49+'28'!D49</f>
        <v>233</v>
      </c>
      <c r="E49" s="154">
        <f t="shared" si="4"/>
        <v>3.8833333333333333</v>
      </c>
      <c r="F49" s="196"/>
      <c r="H49" s="199" t="s">
        <v>81</v>
      </c>
      <c r="I49" s="129">
        <v>0</v>
      </c>
      <c r="J49" s="146">
        <f>+I49+'28'!J49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+C50+'28'!D50</f>
        <v>0</v>
      </c>
      <c r="E50" s="154">
        <f t="shared" si="4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+C51+'28'!D51</f>
        <v>0</v>
      </c>
      <c r="E51" s="154">
        <f t="shared" si="4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63</v>
      </c>
      <c r="D52" s="155">
        <f>SUM(D38:D51)</f>
        <v>3587</v>
      </c>
      <c r="E52" s="156">
        <f>SUM(E38:E51)</f>
        <v>59.783333333333331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4.3749999999999997E-2</v>
      </c>
      <c r="D53" s="157">
        <f>D52/(24*60*G4)</f>
        <v>8.5895593869731807E-2</v>
      </c>
      <c r="E53" s="158">
        <f>E52/(G4*24)</f>
        <v>8.5895593869731793E-2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+D34+'28'!J56</f>
        <v>22340</v>
      </c>
      <c r="K56" s="212">
        <f>J56/(J40+J56/1000)/1000</f>
        <v>1.4068187256766453E-2</v>
      </c>
    </row>
    <row r="57" spans="1:11">
      <c r="A57" s="187"/>
      <c r="I57" s="210" t="s">
        <v>88</v>
      </c>
      <c r="J57" s="211">
        <f>+E34+'28'!J57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R61"/>
  <sheetViews>
    <sheetView zoomScale="80" zoomScaleNormal="80" workbookViewId="0">
      <selection activeCell="C7" sqref="C7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5.42578125" style="160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28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216+247+163</f>
        <v>626</v>
      </c>
    </row>
    <row r="7" spans="1:18" ht="13.5" customHeight="1" thickBot="1">
      <c r="A7" s="1020" t="s">
        <v>435</v>
      </c>
      <c r="B7" s="226" t="s">
        <v>603</v>
      </c>
      <c r="C7" s="227">
        <f>6254+7571</f>
        <v>13825</v>
      </c>
      <c r="D7" s="228">
        <v>250</v>
      </c>
      <c r="E7" s="229"/>
      <c r="F7" s="239">
        <v>30</v>
      </c>
      <c r="G7" s="240" t="s">
        <v>11</v>
      </c>
      <c r="H7" s="241" t="s">
        <v>459</v>
      </c>
      <c r="I7" s="1023" t="s">
        <v>783</v>
      </c>
      <c r="J7" s="225" t="str">
        <f>+'27'!J7</f>
        <v>MG 14 VP HW</v>
      </c>
      <c r="K7" s="249"/>
      <c r="L7" s="253"/>
      <c r="M7" s="128">
        <f>+K7+'27'!M7+L7</f>
        <v>160441</v>
      </c>
    </row>
    <row r="8" spans="1:18" ht="13.5" thickBot="1">
      <c r="A8" s="1021"/>
      <c r="B8" s="226" t="s">
        <v>656</v>
      </c>
      <c r="C8" s="227">
        <v>489</v>
      </c>
      <c r="D8" s="228"/>
      <c r="E8" s="230"/>
      <c r="F8" s="242">
        <v>8</v>
      </c>
      <c r="G8" s="243" t="s">
        <v>11</v>
      </c>
      <c r="H8" s="241" t="s">
        <v>749</v>
      </c>
      <c r="I8" s="1024"/>
      <c r="J8" s="225" t="str">
        <f>+'27'!J8</f>
        <v>MG 17 VP HW</v>
      </c>
      <c r="K8" s="250"/>
      <c r="L8" s="250"/>
      <c r="M8" s="128">
        <f>+K8+'27'!M8+L8</f>
        <v>131048</v>
      </c>
      <c r="N8" s="160">
        <v>1600</v>
      </c>
      <c r="O8" s="160">
        <f>+N8-N8*0.24</f>
        <v>1216</v>
      </c>
      <c r="P8" s="160">
        <v>329</v>
      </c>
      <c r="Q8" s="160">
        <f>+N8*P8</f>
        <v>526400</v>
      </c>
      <c r="R8" s="160">
        <f>+O8*P8</f>
        <v>400064</v>
      </c>
    </row>
    <row r="9" spans="1:18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455</v>
      </c>
      <c r="I9" s="1024"/>
      <c r="J9" s="225" t="str">
        <f>+'27'!J9</f>
        <v>MG 16 VP HW/OW</v>
      </c>
      <c r="K9" s="250"/>
      <c r="L9" s="250"/>
      <c r="M9" s="128">
        <f>+K9+'27'!M9+L9</f>
        <v>278646</v>
      </c>
      <c r="N9" s="160">
        <v>1600</v>
      </c>
      <c r="O9" s="160">
        <f>+N9-N9*0.24</f>
        <v>1216</v>
      </c>
      <c r="P9" s="160">
        <f>31+120</f>
        <v>151</v>
      </c>
      <c r="Q9" s="160">
        <f>+N9*P9</f>
        <v>241600</v>
      </c>
      <c r="R9" s="160">
        <f>+O9*P9</f>
        <v>183616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793</v>
      </c>
      <c r="I10" s="1024"/>
      <c r="J10" s="225" t="str">
        <f>+'27'!J10</f>
        <v>MG 22 VP HW</v>
      </c>
      <c r="K10" s="250"/>
      <c r="L10" s="250"/>
      <c r="M10" s="128">
        <f>+K10+'27'!M10+L10</f>
        <v>12128</v>
      </c>
      <c r="P10" s="160">
        <f>+P8+P9</f>
        <v>480</v>
      </c>
      <c r="Q10" s="160">
        <f t="shared" ref="Q10:R10" si="0">+Q8+Q9</f>
        <v>768000</v>
      </c>
      <c r="R10" s="160">
        <f t="shared" si="0"/>
        <v>583680</v>
      </c>
    </row>
    <row r="11" spans="1:18" ht="13.5" thickBot="1">
      <c r="A11" s="1021"/>
      <c r="B11" s="226"/>
      <c r="C11" s="227"/>
      <c r="D11" s="228"/>
      <c r="E11" s="230"/>
      <c r="F11" s="239">
        <v>10</v>
      </c>
      <c r="G11" s="243" t="s">
        <v>11</v>
      </c>
      <c r="H11" s="244" t="s">
        <v>805</v>
      </c>
      <c r="I11" s="1024"/>
      <c r="J11" s="225" t="str">
        <f>+'27'!J11</f>
        <v>MG 24 VP HW</v>
      </c>
      <c r="K11" s="250"/>
      <c r="L11" s="250"/>
      <c r="M11" s="128">
        <f>+K11+'27'!M11+L11</f>
        <v>5566</v>
      </c>
      <c r="Q11" s="160">
        <f>+Q10/P10</f>
        <v>1600</v>
      </c>
      <c r="R11" s="160">
        <f>+R10/P10</f>
        <v>1216</v>
      </c>
    </row>
    <row r="12" spans="1:18" ht="26.25" thickBot="1">
      <c r="A12" s="1021"/>
      <c r="B12" s="226"/>
      <c r="C12" s="227"/>
      <c r="D12" s="228"/>
      <c r="E12" s="230"/>
      <c r="F12" s="239"/>
      <c r="G12" s="243"/>
      <c r="H12" s="244" t="s">
        <v>800</v>
      </c>
      <c r="I12" s="1024"/>
      <c r="J12" s="225" t="str">
        <f>+'27'!J12</f>
        <v>MG 20 VP HW</v>
      </c>
      <c r="K12" s="250"/>
      <c r="L12" s="250"/>
      <c r="M12" s="128">
        <f>+K12+'27'!M12+L12</f>
        <v>7726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 t="s">
        <v>801</v>
      </c>
      <c r="I13" s="1025"/>
      <c r="J13" s="225" t="str">
        <f>+'27'!J13</f>
        <v>F 12 VP OW</v>
      </c>
      <c r="K13" s="250">
        <f>+C7+C17</f>
        <v>15896</v>
      </c>
      <c r="L13" s="250"/>
      <c r="M13" s="128">
        <f>+K13+'27'!M13+L13</f>
        <v>299765</v>
      </c>
    </row>
    <row r="14" spans="1:18" ht="13.5" thickBot="1">
      <c r="A14" s="1022"/>
      <c r="B14" s="176" t="s">
        <v>2</v>
      </c>
      <c r="C14" s="110">
        <f>SUM(C7:C13)</f>
        <v>14314</v>
      </c>
      <c r="D14" s="122">
        <f>SUM(D7:D13)</f>
        <v>250</v>
      </c>
      <c r="E14" s="123">
        <f>SUM(E5:E13)</f>
        <v>0</v>
      </c>
      <c r="F14" s="127">
        <f>SUM(F7:F13)</f>
        <v>58</v>
      </c>
      <c r="G14" s="170"/>
      <c r="H14" s="177"/>
      <c r="I14" s="178"/>
      <c r="J14" s="225" t="str">
        <f>+'27'!J14</f>
        <v>F 11,5 VP OW</v>
      </c>
      <c r="K14" s="250"/>
      <c r="L14" s="250"/>
      <c r="M14" s="128">
        <f>+K14+'27'!M14+L14</f>
        <v>242575</v>
      </c>
    </row>
    <row r="15" spans="1:18" ht="13.5" customHeight="1" thickBot="1">
      <c r="A15" s="1020" t="s">
        <v>605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806</v>
      </c>
      <c r="J15" s="225" t="str">
        <f>+'27'!J15</f>
        <v>F 10,5 VP OW</v>
      </c>
      <c r="K15" s="250">
        <f>+C8+C16</f>
        <v>14126</v>
      </c>
      <c r="L15" s="250"/>
      <c r="M15" s="128">
        <f>+K15+'27'!M15+L15</f>
        <v>165170</v>
      </c>
      <c r="N15" s="160">
        <v>1600</v>
      </c>
      <c r="O15" s="160">
        <f>+N15-N15*0.24</f>
        <v>1216</v>
      </c>
      <c r="P15" s="160">
        <f>40+300</f>
        <v>340</v>
      </c>
      <c r="Q15" s="160">
        <f>+N15*P15</f>
        <v>544000</v>
      </c>
      <c r="R15" s="160">
        <f>+O15*P15</f>
        <v>413440</v>
      </c>
    </row>
    <row r="16" spans="1:18" ht="13.5" thickBot="1">
      <c r="A16" s="1026"/>
      <c r="B16" s="226" t="s">
        <v>656</v>
      </c>
      <c r="C16" s="233">
        <f>12684+953</f>
        <v>13637</v>
      </c>
      <c r="D16" s="234">
        <v>295</v>
      </c>
      <c r="E16" s="235"/>
      <c r="F16" s="239">
        <v>3</v>
      </c>
      <c r="G16" s="243" t="s">
        <v>11</v>
      </c>
      <c r="H16" s="241" t="s">
        <v>749</v>
      </c>
      <c r="I16" s="1024"/>
      <c r="J16" s="225" t="str">
        <f>+'27'!J16</f>
        <v>F 10,3 VP OW</v>
      </c>
      <c r="K16" s="240">
        <f>+C25</f>
        <v>18230</v>
      </c>
      <c r="L16" s="240"/>
      <c r="M16" s="128">
        <f>+K16+'27'!M16+L16</f>
        <v>146218</v>
      </c>
      <c r="N16" s="160">
        <v>1630</v>
      </c>
      <c r="O16" s="160">
        <f>+N16-N16*0.16</f>
        <v>1369.2</v>
      </c>
      <c r="P16" s="160">
        <f>20+120</f>
        <v>140</v>
      </c>
      <c r="Q16" s="160">
        <f>+N16*P16</f>
        <v>228200</v>
      </c>
      <c r="R16" s="160">
        <f>+O16*P16</f>
        <v>191688</v>
      </c>
    </row>
    <row r="17" spans="1:18" ht="13.5" thickBot="1">
      <c r="A17" s="1026"/>
      <c r="B17" s="226" t="s">
        <v>603</v>
      </c>
      <c r="C17" s="227">
        <f>956+1115</f>
        <v>2071</v>
      </c>
      <c r="D17" s="228"/>
      <c r="E17" s="236"/>
      <c r="F17" s="239">
        <v>5</v>
      </c>
      <c r="G17" s="243" t="s">
        <v>11</v>
      </c>
      <c r="H17" s="597" t="s">
        <v>455</v>
      </c>
      <c r="I17" s="1024"/>
      <c r="J17" s="225" t="str">
        <f>+'27'!J17</f>
        <v>F 12,5 VP OW</v>
      </c>
      <c r="K17" s="240"/>
      <c r="L17" s="240"/>
      <c r="M17" s="128">
        <f>+K17+'27'!M17+L17</f>
        <v>62781</v>
      </c>
      <c r="P17" s="160">
        <f>+P15+P16</f>
        <v>480</v>
      </c>
      <c r="Q17" s="160">
        <f t="shared" ref="Q17" si="1">+Q15+Q16</f>
        <v>772200</v>
      </c>
      <c r="R17" s="160">
        <f t="shared" ref="R17" si="2">+R15+R16</f>
        <v>605128</v>
      </c>
    </row>
    <row r="18" spans="1:18" ht="13.5" thickBot="1">
      <c r="A18" s="1026"/>
      <c r="B18" s="226"/>
      <c r="C18" s="227"/>
      <c r="D18" s="228"/>
      <c r="E18" s="236"/>
      <c r="F18" s="239"/>
      <c r="G18" s="243"/>
      <c r="H18" s="597" t="s">
        <v>808</v>
      </c>
      <c r="I18" s="1024"/>
      <c r="J18" s="225">
        <f>+'27'!J18</f>
        <v>0</v>
      </c>
      <c r="K18" s="250"/>
      <c r="L18" s="250"/>
      <c r="M18" s="128">
        <f>+K18+'27'!M18+L18</f>
        <v>0</v>
      </c>
      <c r="Q18" s="160">
        <f>+Q17/P17</f>
        <v>1608.75</v>
      </c>
      <c r="R18" s="160">
        <f>+R17/P17</f>
        <v>1260.6833333333334</v>
      </c>
    </row>
    <row r="19" spans="1:18" ht="13.5" thickBot="1">
      <c r="A19" s="1026"/>
      <c r="B19" s="226"/>
      <c r="C19" s="227"/>
      <c r="D19" s="228"/>
      <c r="E19" s="236"/>
      <c r="F19" s="246">
        <v>4</v>
      </c>
      <c r="G19" s="243" t="s">
        <v>11</v>
      </c>
      <c r="H19" s="244" t="s">
        <v>802</v>
      </c>
      <c r="I19" s="1024"/>
      <c r="J19" s="225">
        <f>+'27'!J19</f>
        <v>0</v>
      </c>
      <c r="K19" s="250"/>
      <c r="L19" s="250"/>
      <c r="M19" s="128">
        <f>+K19+'27'!M19+L19</f>
        <v>0</v>
      </c>
    </row>
    <row r="20" spans="1:18" ht="26.25" thickBot="1">
      <c r="A20" s="1026"/>
      <c r="B20" s="226"/>
      <c r="C20" s="227"/>
      <c r="D20" s="228"/>
      <c r="E20" s="236"/>
      <c r="F20" s="239"/>
      <c r="G20" s="243"/>
      <c r="H20" s="244" t="s">
        <v>792</v>
      </c>
      <c r="I20" s="1024"/>
      <c r="J20" s="225">
        <f>+'27'!J20</f>
        <v>0</v>
      </c>
      <c r="K20" s="251"/>
      <c r="L20" s="251"/>
      <c r="M20" s="128">
        <f>+K20+'27'!M20+L20</f>
        <v>0</v>
      </c>
    </row>
    <row r="21" spans="1:18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+'27'!J21</f>
        <v>0</v>
      </c>
      <c r="K21" s="250"/>
      <c r="L21" s="250"/>
      <c r="M21" s="128">
        <f>+K21+'27'!M21+L21</f>
        <v>0</v>
      </c>
    </row>
    <row r="22" spans="1:18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+'27'!J22</f>
        <v>0</v>
      </c>
      <c r="K22" s="250"/>
      <c r="L22" s="250"/>
      <c r="M22" s="128">
        <f>+K22+'27'!M22+L22</f>
        <v>0</v>
      </c>
    </row>
    <row r="23" spans="1:18" ht="13.5" thickBot="1">
      <c r="A23" s="1027"/>
      <c r="B23" s="179" t="s">
        <v>2</v>
      </c>
      <c r="C23" s="111">
        <f>SUM(C16:C22)</f>
        <v>15708</v>
      </c>
      <c r="D23" s="122">
        <f>SUM(D16:D22)</f>
        <v>295</v>
      </c>
      <c r="E23" s="123">
        <f>SUM(E18:E22)</f>
        <v>0</v>
      </c>
      <c r="F23" s="127">
        <f>SUM(F15:F22)</f>
        <v>12</v>
      </c>
      <c r="G23" s="170"/>
      <c r="H23" s="177" t="s">
        <v>234</v>
      </c>
      <c r="I23" s="180"/>
      <c r="J23" s="225">
        <f>+'27'!J23</f>
        <v>0</v>
      </c>
      <c r="K23" s="250"/>
      <c r="L23" s="250"/>
      <c r="M23" s="128">
        <f>+K23+'27'!M23+L23</f>
        <v>0</v>
      </c>
    </row>
    <row r="24" spans="1:18" ht="13.5" customHeight="1" thickBot="1">
      <c r="A24" s="1020" t="s">
        <v>556</v>
      </c>
      <c r="B24" s="181"/>
      <c r="C24" s="124"/>
      <c r="D24" s="125"/>
      <c r="E24" s="126"/>
      <c r="F24" s="247"/>
      <c r="G24" s="240" t="s">
        <v>11</v>
      </c>
      <c r="H24" s="241" t="s">
        <v>473</v>
      </c>
      <c r="I24" s="1023" t="s">
        <v>807</v>
      </c>
      <c r="J24" s="225">
        <f>+'27'!J24</f>
        <v>0</v>
      </c>
      <c r="K24" s="250"/>
      <c r="L24" s="250"/>
      <c r="M24" s="128">
        <f>+K24+'27'!M24+L24</f>
        <v>0</v>
      </c>
    </row>
    <row r="25" spans="1:18" ht="13.5" customHeight="1" thickBot="1">
      <c r="A25" s="1028"/>
      <c r="B25" s="226" t="s">
        <v>657</v>
      </c>
      <c r="C25" s="237">
        <v>18230</v>
      </c>
      <c r="D25" s="228"/>
      <c r="E25" s="236"/>
      <c r="F25" s="242">
        <v>6</v>
      </c>
      <c r="G25" s="243" t="s">
        <v>11</v>
      </c>
      <c r="H25" s="241" t="s">
        <v>602</v>
      </c>
      <c r="I25" s="1024"/>
      <c r="J25" s="225">
        <f>+'27'!J25</f>
        <v>0</v>
      </c>
      <c r="K25" s="250"/>
      <c r="L25" s="250"/>
      <c r="M25" s="128">
        <f>+K25+'27'!M25+L25</f>
        <v>0</v>
      </c>
    </row>
    <row r="26" spans="1:18" ht="13.5" customHeight="1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576</v>
      </c>
      <c r="I26" s="1024"/>
      <c r="J26" s="225">
        <f>+'27'!J26</f>
        <v>0</v>
      </c>
      <c r="K26" s="250"/>
      <c r="L26" s="250"/>
      <c r="M26" s="128">
        <f>+K26+'27'!M26+L26</f>
        <v>0</v>
      </c>
    </row>
    <row r="27" spans="1:18" ht="13.5" customHeight="1" thickBot="1">
      <c r="A27" s="1028"/>
      <c r="B27" s="226"/>
      <c r="C27" s="227"/>
      <c r="D27" s="228"/>
      <c r="E27" s="236"/>
      <c r="F27" s="242"/>
      <c r="G27" s="243"/>
      <c r="H27" s="597" t="s">
        <v>803</v>
      </c>
      <c r="I27" s="1024"/>
      <c r="J27" s="225">
        <f>+'27'!J27</f>
        <v>0</v>
      </c>
      <c r="K27" s="250"/>
      <c r="L27" s="250"/>
      <c r="M27" s="128">
        <f>+K27+'27'!M27+L27</f>
        <v>0</v>
      </c>
    </row>
    <row r="28" spans="1:18" ht="13.5" customHeight="1" thickBot="1">
      <c r="A28" s="1028"/>
      <c r="B28" s="226"/>
      <c r="C28" s="227"/>
      <c r="D28" s="228"/>
      <c r="E28" s="236"/>
      <c r="F28" s="242"/>
      <c r="G28" s="243"/>
      <c r="H28" s="244" t="s">
        <v>804</v>
      </c>
      <c r="I28" s="1024"/>
      <c r="J28" s="225">
        <f>+'27'!J28</f>
        <v>0</v>
      </c>
      <c r="K28" s="250"/>
      <c r="L28" s="250"/>
      <c r="M28" s="128">
        <f>+K28+'27'!M28+L28</f>
        <v>0</v>
      </c>
    </row>
    <row r="29" spans="1:18" ht="13.5" customHeight="1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+'27'!J29</f>
        <v>0</v>
      </c>
      <c r="K29" s="250"/>
      <c r="L29" s="250"/>
      <c r="M29" s="128">
        <f>+K29+'27'!M29+L29</f>
        <v>0</v>
      </c>
    </row>
    <row r="30" spans="1:18" ht="13.5" customHeight="1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+'27'!J30</f>
        <v>0</v>
      </c>
      <c r="K30" s="250"/>
      <c r="L30" s="250"/>
      <c r="M30" s="128">
        <f>+K30+'27'!M30+L30</f>
        <v>0</v>
      </c>
      <c r="N30" s="166"/>
    </row>
    <row r="31" spans="1:18" ht="13.5" customHeight="1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+'27'!J31</f>
        <v>0</v>
      </c>
      <c r="K31" s="250"/>
      <c r="L31" s="250"/>
      <c r="M31" s="128">
        <f>+K31+'27'!M31+L31</f>
        <v>0</v>
      </c>
    </row>
    <row r="32" spans="1:18" ht="13.5" customHeight="1" thickBot="1">
      <c r="A32" s="1029"/>
      <c r="B32" s="176" t="s">
        <v>2</v>
      </c>
      <c r="C32" s="110">
        <f>SUM(C25:C31)</f>
        <v>18230</v>
      </c>
      <c r="D32" s="111">
        <f>SUM(D25:D31)</f>
        <v>0</v>
      </c>
      <c r="E32" s="112">
        <f>SUM(E25:E31)</f>
        <v>0</v>
      </c>
      <c r="F32" s="113">
        <f>SUM(F24:F31)</f>
        <v>16</v>
      </c>
      <c r="G32" s="182"/>
      <c r="H32" s="183"/>
      <c r="I32" s="180"/>
      <c r="J32" s="225">
        <f>+'27'!J32</f>
        <v>0</v>
      </c>
      <c r="K32" s="252"/>
      <c r="L32" s="254"/>
      <c r="M32" s="128">
        <f>+K32+'27'!M32+L32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48252</v>
      </c>
      <c r="D34" s="118">
        <f>D14+D23+D32</f>
        <v>545</v>
      </c>
      <c r="E34" s="118">
        <f>E14+E23+E32</f>
        <v>0</v>
      </c>
      <c r="F34" s="119">
        <f>F14+F23+F32</f>
        <v>86</v>
      </c>
      <c r="H34" s="189"/>
      <c r="I34" s="189"/>
      <c r="J34" s="134" t="s">
        <v>27</v>
      </c>
      <c r="K34" s="135">
        <f>SUM(K7:K32)</f>
        <v>48252</v>
      </c>
      <c r="L34" s="223">
        <f>SUM(L7:L32)</f>
        <v>0</v>
      </c>
      <c r="M34" s="131">
        <f>SUM(M7:M32)</f>
        <v>1512064</v>
      </c>
      <c r="N34" s="166"/>
    </row>
    <row r="35" spans="1:14" ht="13.5" thickBot="1">
      <c r="A35" s="190"/>
      <c r="B35" s="191"/>
      <c r="C35" s="115">
        <f>C34/($C$34+$D$34+$E$34)</f>
        <v>0.98883128061151304</v>
      </c>
      <c r="D35" s="115">
        <f>D34/($C$34+$D$34+$E$34)</f>
        <v>1.1168719388486997E-2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(12*329+10.5*491+10.3*620)/1440*G42*2.77*1440/1000000</f>
        <v>55.00371446663889</v>
      </c>
      <c r="J37" s="136">
        <f>+I37+'27'!J37</f>
        <v>1782.7251530749613</v>
      </c>
      <c r="K37" s="137" t="s">
        <v>62</v>
      </c>
      <c r="L37" s="620">
        <v>10.619</v>
      </c>
    </row>
    <row r="38" spans="1:14" ht="17.45" customHeight="1">
      <c r="A38" s="1034" t="s">
        <v>11</v>
      </c>
      <c r="B38" s="1035"/>
      <c r="C38" s="175">
        <f>SUMIF($G$7:$G$31,"Process",$F$7:$F$31)</f>
        <v>86</v>
      </c>
      <c r="D38" s="129">
        <f>+C38+'27'!D38</f>
        <v>2816</v>
      </c>
      <c r="E38" s="154">
        <f t="shared" ref="E38:E51" si="3">D38/60</f>
        <v>46.93333333333333</v>
      </c>
      <c r="F38" s="340">
        <v>1600</v>
      </c>
      <c r="G38" s="340">
        <v>1216</v>
      </c>
      <c r="H38" s="198" t="s">
        <v>63</v>
      </c>
      <c r="I38" s="555">
        <f>16.537+17.524+18.132</f>
        <v>52.192999999999998</v>
      </c>
      <c r="J38" s="138">
        <f>+I38+'27'!J38</f>
        <v>1602.0160000000001</v>
      </c>
      <c r="K38" s="139" t="s">
        <v>62</v>
      </c>
      <c r="L38" s="565">
        <v>18.812000000000001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+C39+'27'!D39</f>
        <v>0</v>
      </c>
      <c r="E39" s="154">
        <f t="shared" si="3"/>
        <v>0</v>
      </c>
      <c r="F39" s="340">
        <v>1608.75</v>
      </c>
      <c r="G39" s="340">
        <v>1260.6833333333334</v>
      </c>
      <c r="H39" s="198" t="s">
        <v>64</v>
      </c>
      <c r="I39" s="153"/>
      <c r="J39" s="140">
        <f>J37/G4</f>
        <v>63.668755466962907</v>
      </c>
      <c r="K39" s="141" t="s">
        <v>62</v>
      </c>
      <c r="L39" s="586">
        <f>4.63+18.132</f>
        <v>22.762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+C40+'27'!D40</f>
        <v>0</v>
      </c>
      <c r="E40" s="154">
        <f t="shared" si="3"/>
        <v>0</v>
      </c>
      <c r="F40" s="340">
        <v>1630</v>
      </c>
      <c r="G40" s="340">
        <v>1369.2</v>
      </c>
      <c r="H40" s="198" t="s">
        <v>66</v>
      </c>
      <c r="I40" s="129">
        <f>(K34+L34)/1000</f>
        <v>48.252000000000002</v>
      </c>
      <c r="J40" s="142">
        <f>+I40+'27'!J40</f>
        <v>1512.0640000000005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+C41+'27'!D41</f>
        <v>437</v>
      </c>
      <c r="E41" s="154">
        <f t="shared" si="3"/>
        <v>7.2833333333333332</v>
      </c>
      <c r="F41" s="340"/>
      <c r="G41" s="340"/>
      <c r="H41" s="198" t="s">
        <v>68</v>
      </c>
      <c r="I41" s="153"/>
      <c r="J41" s="140">
        <f>J40/G4</f>
        <v>54.002285714285733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+C42+'27'!D42</f>
        <v>0</v>
      </c>
      <c r="E42" s="154">
        <f t="shared" si="3"/>
        <v>0</v>
      </c>
      <c r="F42" s="340">
        <f>+(F38*480+F39*480+F40*480)/1440</f>
        <v>1612.9166666666667</v>
      </c>
      <c r="G42" s="340">
        <f>+(G38*480+G39*480+G40*480)/1440</f>
        <v>1281.9611111111112</v>
      </c>
      <c r="H42" s="198" t="s">
        <v>69</v>
      </c>
      <c r="I42" s="257" t="s">
        <v>809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+C43+'27'!D43</f>
        <v>0</v>
      </c>
      <c r="E43" s="154">
        <f t="shared" si="3"/>
        <v>0</v>
      </c>
      <c r="F43" s="340"/>
      <c r="G43" s="341"/>
      <c r="H43" s="199" t="s">
        <v>72</v>
      </c>
      <c r="I43" s="129">
        <f>+Report1!T36</f>
        <v>126.02500000000001</v>
      </c>
      <c r="J43" s="144">
        <f>+I43+'27'!J43</f>
        <v>3690.2710000000002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+C44+'27'!D44</f>
        <v>38</v>
      </c>
      <c r="E44" s="154">
        <f t="shared" si="3"/>
        <v>0.6333333333333333</v>
      </c>
      <c r="F44" s="340"/>
      <c r="G44" s="341"/>
      <c r="H44" s="199" t="s">
        <v>73</v>
      </c>
      <c r="I44" s="129">
        <f>I43/I38</f>
        <v>2.4145958270266128</v>
      </c>
      <c r="J44" s="145">
        <f>J43/J38</f>
        <v>2.3035169436509997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+C45+'27'!D45</f>
        <v>0</v>
      </c>
      <c r="E45" s="154">
        <f t="shared" si="3"/>
        <v>0</v>
      </c>
      <c r="F45" s="340"/>
      <c r="G45" s="343"/>
      <c r="H45" s="199" t="s">
        <v>74</v>
      </c>
      <c r="I45" s="129">
        <f>I43/I40</f>
        <v>2.6118088369394012</v>
      </c>
      <c r="J45" s="145">
        <f>J43/J40</f>
        <v>2.440552119487005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+C46+'27'!D46</f>
        <v>0</v>
      </c>
      <c r="E46" s="154">
        <f t="shared" si="3"/>
        <v>0</v>
      </c>
      <c r="F46" s="340"/>
      <c r="G46" s="341"/>
      <c r="H46" s="199" t="s">
        <v>76</v>
      </c>
      <c r="I46" s="151">
        <f>+SUMIF(Listrik!AR35,"&gt;0")</f>
        <v>48398.499999997155</v>
      </c>
      <c r="J46" s="146">
        <f>+I46+'27'!J46</f>
        <v>1564161.9799999984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+C47+'27'!D47</f>
        <v>0</v>
      </c>
      <c r="E47" s="154">
        <f t="shared" si="3"/>
        <v>0</v>
      </c>
      <c r="F47" s="340"/>
      <c r="G47" s="341"/>
      <c r="H47" s="199" t="s">
        <v>79</v>
      </c>
      <c r="I47" s="129">
        <f>I46/I38</f>
        <v>927.29867989954892</v>
      </c>
      <c r="J47" s="146">
        <f>J46/J38</f>
        <v>976.37101002736449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+C48+'27'!D48</f>
        <v>0</v>
      </c>
      <c r="E48" s="154">
        <f t="shared" si="3"/>
        <v>0</v>
      </c>
      <c r="F48" s="340"/>
      <c r="G48" s="341"/>
      <c r="H48" s="199" t="s">
        <v>80</v>
      </c>
      <c r="I48" s="129">
        <f>I46/I40</f>
        <v>1003.0361435794817</v>
      </c>
      <c r="J48" s="146">
        <f>J46/J40</f>
        <v>1034.4548775713183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+C49+'27'!D49</f>
        <v>233</v>
      </c>
      <c r="E49" s="154">
        <f t="shared" si="3"/>
        <v>3.8833333333333333</v>
      </c>
      <c r="F49" s="196"/>
      <c r="H49" s="199" t="s">
        <v>81</v>
      </c>
      <c r="I49" s="129">
        <v>0</v>
      </c>
      <c r="J49" s="146">
        <f>+I49+'27'!J49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+C50+'27'!D50</f>
        <v>0</v>
      </c>
      <c r="E50" s="154">
        <f t="shared" si="3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+C51+'27'!D51</f>
        <v>0</v>
      </c>
      <c r="E51" s="154">
        <f t="shared" si="3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86</v>
      </c>
      <c r="D52" s="155">
        <f>SUM(D38:D51)</f>
        <v>3524</v>
      </c>
      <c r="E52" s="156">
        <f>SUM(E38:E51)</f>
        <v>58.733333333333327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5.9722222222222225E-2</v>
      </c>
      <c r="D53" s="157">
        <f>D52/(24*60*G4)</f>
        <v>8.7400793650793646E-2</v>
      </c>
      <c r="E53" s="158">
        <f>E52/(G4*24)</f>
        <v>8.7400793650793646E-2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+D34+'27'!J56</f>
        <v>22340</v>
      </c>
      <c r="K56" s="212">
        <f>J56/(J40+J56/1000)/1000</f>
        <v>1.4559398958813972E-2</v>
      </c>
    </row>
    <row r="57" spans="1:11">
      <c r="A57" s="187"/>
      <c r="I57" s="210" t="s">
        <v>88</v>
      </c>
      <c r="J57" s="211">
        <f>+E34+'27'!J57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60" customWidth="1"/>
    <col min="2" max="2" width="10.7109375" style="160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8.42578125" style="160" customWidth="1"/>
    <col min="11" max="11" width="12.5703125" style="160" bestFit="1" customWidth="1"/>
    <col min="12" max="12" width="8.28515625" style="160" customWidth="1"/>
    <col min="13" max="13" width="14.28515625" style="160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27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173+197+210</f>
        <v>580</v>
      </c>
    </row>
    <row r="7" spans="1:18" ht="13.5" customHeight="1" thickBot="1">
      <c r="A7" s="1020" t="s">
        <v>434</v>
      </c>
      <c r="B7" s="226" t="s">
        <v>603</v>
      </c>
      <c r="C7" s="227">
        <v>17774</v>
      </c>
      <c r="D7" s="228"/>
      <c r="E7" s="229"/>
      <c r="F7" s="239">
        <v>10</v>
      </c>
      <c r="G7" s="240" t="s">
        <v>11</v>
      </c>
      <c r="H7" s="241" t="s">
        <v>418</v>
      </c>
      <c r="I7" s="1023" t="s">
        <v>783</v>
      </c>
      <c r="J7" s="225" t="str">
        <f>+'26'!J7</f>
        <v>MG 14 VP HW</v>
      </c>
      <c r="K7" s="249"/>
      <c r="L7" s="253"/>
      <c r="M7" s="128">
        <f>+K7+'26'!M7+L7</f>
        <v>160441</v>
      </c>
    </row>
    <row r="8" spans="1:18" ht="13.5" thickBot="1">
      <c r="A8" s="1021"/>
      <c r="B8" s="226"/>
      <c r="C8" s="227"/>
      <c r="D8" s="228"/>
      <c r="E8" s="230"/>
      <c r="F8" s="242">
        <v>10</v>
      </c>
      <c r="G8" s="243" t="s">
        <v>11</v>
      </c>
      <c r="H8" s="241" t="s">
        <v>622</v>
      </c>
      <c r="I8" s="1024"/>
      <c r="J8" s="225" t="str">
        <f>+'26'!J8</f>
        <v>MG 17 VP HW</v>
      </c>
      <c r="K8" s="250"/>
      <c r="L8" s="250"/>
      <c r="M8" s="128">
        <f>+K8+'26'!M8+L8</f>
        <v>131048</v>
      </c>
      <c r="N8" s="160">
        <v>1600</v>
      </c>
      <c r="O8" s="160">
        <f>+N8-N8*0.24</f>
        <v>1216</v>
      </c>
      <c r="Q8" s="160">
        <f>+N8*P8</f>
        <v>0</v>
      </c>
      <c r="R8" s="160">
        <f>+O8*P8</f>
        <v>0</v>
      </c>
    </row>
    <row r="9" spans="1:18" ht="13.5" thickBot="1">
      <c r="A9" s="1021"/>
      <c r="B9" s="226"/>
      <c r="C9" s="227"/>
      <c r="D9" s="228"/>
      <c r="E9" s="231"/>
      <c r="F9" s="239">
        <v>11</v>
      </c>
      <c r="G9" s="243" t="s">
        <v>11</v>
      </c>
      <c r="H9" s="597" t="s">
        <v>453</v>
      </c>
      <c r="I9" s="1024"/>
      <c r="J9" s="225" t="str">
        <f>+'26'!J9</f>
        <v>MG 16 VP HW/OW</v>
      </c>
      <c r="K9" s="250"/>
      <c r="L9" s="250"/>
      <c r="M9" s="128">
        <f>+K9+'26'!M9+L9</f>
        <v>278646</v>
      </c>
      <c r="Q9" s="160">
        <f>+N9*P9</f>
        <v>0</v>
      </c>
      <c r="R9" s="160">
        <f>+O9*P9</f>
        <v>0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793</v>
      </c>
      <c r="I10" s="1024"/>
      <c r="J10" s="225" t="str">
        <f>+'26'!J10</f>
        <v>MG 22 VP HW</v>
      </c>
      <c r="K10" s="250"/>
      <c r="L10" s="250"/>
      <c r="M10" s="128">
        <f>+K10+'26'!M10+L10</f>
        <v>12128</v>
      </c>
      <c r="Q10" s="160">
        <f>+Q8+Q9</f>
        <v>0</v>
      </c>
      <c r="R10" s="160">
        <f>+R8+R9</f>
        <v>0</v>
      </c>
    </row>
    <row r="11" spans="1:18" ht="13.5" thickBot="1">
      <c r="A11" s="1021"/>
      <c r="B11" s="226"/>
      <c r="C11" s="227"/>
      <c r="D11" s="228"/>
      <c r="E11" s="230"/>
      <c r="F11" s="239"/>
      <c r="G11" s="243"/>
      <c r="H11" s="244" t="s">
        <v>789</v>
      </c>
      <c r="I11" s="1024"/>
      <c r="J11" s="225" t="str">
        <f>+'26'!J11</f>
        <v>MG 24 VP HW</v>
      </c>
      <c r="K11" s="250"/>
      <c r="L11" s="250"/>
      <c r="M11" s="128">
        <f>+K11+'26'!M11+L11</f>
        <v>5566</v>
      </c>
      <c r="Q11" s="160" t="e">
        <f>+Q10/P10</f>
        <v>#DIV/0!</v>
      </c>
      <c r="R11" s="160" t="e">
        <f>+R10/P10</f>
        <v>#DIV/0!</v>
      </c>
    </row>
    <row r="12" spans="1:18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 t="str">
        <f>+'26'!J12</f>
        <v>MG 20 VP HW</v>
      </c>
      <c r="K12" s="250"/>
      <c r="L12" s="250"/>
      <c r="M12" s="128">
        <f>+K12+'26'!M12+L12</f>
        <v>7726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+'26'!J13</f>
        <v>F 12 VP OW</v>
      </c>
      <c r="K13" s="250">
        <f>+C34</f>
        <v>51790</v>
      </c>
      <c r="L13" s="250"/>
      <c r="M13" s="128">
        <f>+K13+'26'!M13+L13</f>
        <v>283869</v>
      </c>
    </row>
    <row r="14" spans="1:18" ht="13.5" thickBot="1">
      <c r="A14" s="1022"/>
      <c r="B14" s="176" t="s">
        <v>2</v>
      </c>
      <c r="C14" s="110">
        <f>SUM(C7:C13)</f>
        <v>17774</v>
      </c>
      <c r="D14" s="122">
        <f>SUM(D7:D13)</f>
        <v>0</v>
      </c>
      <c r="E14" s="123">
        <f>SUM(E5:E13)</f>
        <v>0</v>
      </c>
      <c r="F14" s="127">
        <f>SUM(F7:F13)</f>
        <v>31</v>
      </c>
      <c r="G14" s="170"/>
      <c r="H14" s="177"/>
      <c r="I14" s="178"/>
      <c r="J14" s="225" t="str">
        <f>+'26'!J14</f>
        <v>F 11,5 VP OW</v>
      </c>
      <c r="K14" s="250"/>
      <c r="L14" s="250"/>
      <c r="M14" s="128">
        <f>+K14+'26'!M14+L14</f>
        <v>242575</v>
      </c>
    </row>
    <row r="15" spans="1:18" ht="13.5" customHeight="1" thickBot="1">
      <c r="A15" s="1020" t="s">
        <v>605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783</v>
      </c>
      <c r="J15" s="225" t="str">
        <f>+'26'!J15</f>
        <v>F 10,5 VP OW</v>
      </c>
      <c r="K15" s="250"/>
      <c r="L15" s="250"/>
      <c r="M15" s="128">
        <f>+K15+'26'!M15+L15</f>
        <v>151044</v>
      </c>
    </row>
    <row r="16" spans="1:18" ht="13.5" thickBot="1">
      <c r="A16" s="1026"/>
      <c r="B16" s="226" t="s">
        <v>603</v>
      </c>
      <c r="C16" s="233">
        <v>17018</v>
      </c>
      <c r="D16" s="234"/>
      <c r="E16" s="235"/>
      <c r="F16" s="239">
        <v>6</v>
      </c>
      <c r="G16" s="243" t="s">
        <v>11</v>
      </c>
      <c r="H16" s="241" t="s">
        <v>622</v>
      </c>
      <c r="I16" s="1024"/>
      <c r="J16" s="225" t="str">
        <f>+'26'!J16</f>
        <v>F 10,3 VP OW</v>
      </c>
      <c r="K16" s="250"/>
      <c r="L16" s="240"/>
      <c r="M16" s="128">
        <f>+K16+'26'!M16+L16</f>
        <v>127988</v>
      </c>
    </row>
    <row r="17" spans="1:14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455</v>
      </c>
      <c r="I17" s="1024"/>
      <c r="J17" s="225" t="str">
        <f>+'26'!J17</f>
        <v>F 12,5 VP OW</v>
      </c>
      <c r="K17" s="250"/>
      <c r="L17" s="240"/>
      <c r="M17" s="128">
        <f>+K17+'26'!M17+L17</f>
        <v>62781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793</v>
      </c>
      <c r="I18" s="1024"/>
      <c r="J18" s="225">
        <f>+'26'!J18</f>
        <v>0</v>
      </c>
      <c r="K18" s="250"/>
      <c r="L18" s="250"/>
      <c r="M18" s="128">
        <f>+K18+'26'!M18+L18</f>
        <v>0</v>
      </c>
    </row>
    <row r="19" spans="1:14" ht="26.25" thickBot="1">
      <c r="A19" s="1026"/>
      <c r="B19" s="226"/>
      <c r="C19" s="227"/>
      <c r="D19" s="228"/>
      <c r="E19" s="236"/>
      <c r="F19" s="246"/>
      <c r="G19" s="243"/>
      <c r="H19" s="244" t="s">
        <v>792</v>
      </c>
      <c r="I19" s="1024"/>
      <c r="J19" s="225">
        <f>+'26'!J19</f>
        <v>0</v>
      </c>
      <c r="K19" s="250"/>
      <c r="L19" s="250"/>
      <c r="M19" s="128">
        <f>+K19+'26'!M19+L19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+'26'!J20</f>
        <v>0</v>
      </c>
      <c r="K20" s="250"/>
      <c r="L20" s="251"/>
      <c r="M20" s="128">
        <f>+K20+'26'!M20+L20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+'26'!J21</f>
        <v>0</v>
      </c>
      <c r="K21" s="250"/>
      <c r="L21" s="250"/>
      <c r="M21" s="128">
        <f>+K21+'26'!M21+L21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+'26'!J22</f>
        <v>0</v>
      </c>
      <c r="K22" s="250"/>
      <c r="L22" s="250"/>
      <c r="M22" s="128">
        <f>+K22+'26'!M22+L22</f>
        <v>0</v>
      </c>
    </row>
    <row r="23" spans="1:14" ht="13.5" thickBot="1">
      <c r="A23" s="1027"/>
      <c r="B23" s="179" t="s">
        <v>2</v>
      </c>
      <c r="C23" s="111">
        <f>SUM(C16:C22)</f>
        <v>17018</v>
      </c>
      <c r="D23" s="122">
        <f>SUM(D16:D22)</f>
        <v>0</v>
      </c>
      <c r="E23" s="123">
        <f>SUM(E18:E22)</f>
        <v>0</v>
      </c>
      <c r="F23" s="127">
        <f>SUM(F15:F22)</f>
        <v>16</v>
      </c>
      <c r="G23" s="170"/>
      <c r="H23" s="177" t="s">
        <v>234</v>
      </c>
      <c r="I23" s="180"/>
      <c r="J23" s="225">
        <f>+'26'!J23</f>
        <v>0</v>
      </c>
      <c r="K23" s="250"/>
      <c r="L23" s="250"/>
      <c r="M23" s="128">
        <f>+K23+'26'!M23+L23</f>
        <v>0</v>
      </c>
    </row>
    <row r="24" spans="1:14" ht="13.5" customHeight="1" thickBot="1">
      <c r="A24" s="1020" t="s">
        <v>556</v>
      </c>
      <c r="B24" s="181"/>
      <c r="C24" s="124"/>
      <c r="D24" s="125"/>
      <c r="E24" s="126"/>
      <c r="F24" s="247"/>
      <c r="G24" s="240" t="s">
        <v>11</v>
      </c>
      <c r="H24" s="241" t="s">
        <v>473</v>
      </c>
      <c r="I24" s="1023" t="s">
        <v>783</v>
      </c>
      <c r="J24" s="225">
        <f>+'26'!J24</f>
        <v>0</v>
      </c>
      <c r="K24" s="250"/>
      <c r="L24" s="250"/>
      <c r="M24" s="128">
        <f>+K24+'26'!M24+L24</f>
        <v>0</v>
      </c>
    </row>
    <row r="25" spans="1:14" ht="13.5" thickBot="1">
      <c r="A25" s="1028"/>
      <c r="B25" s="226" t="s">
        <v>603</v>
      </c>
      <c r="C25" s="237">
        <v>16998</v>
      </c>
      <c r="D25" s="228">
        <v>218</v>
      </c>
      <c r="E25" s="236"/>
      <c r="F25" s="242">
        <v>7</v>
      </c>
      <c r="G25" s="243" t="s">
        <v>11</v>
      </c>
      <c r="H25" s="241" t="s">
        <v>749</v>
      </c>
      <c r="I25" s="1024"/>
      <c r="J25" s="225">
        <f>+'26'!J25</f>
        <v>0</v>
      </c>
      <c r="K25" s="250"/>
      <c r="L25" s="250"/>
      <c r="M25" s="128">
        <f>+K25+'26'!M25+L25</f>
        <v>0</v>
      </c>
    </row>
    <row r="26" spans="1:14" ht="13.5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455</v>
      </c>
      <c r="I26" s="1024"/>
      <c r="J26" s="225">
        <f>+'26'!J26</f>
        <v>0</v>
      </c>
      <c r="K26" s="250"/>
      <c r="L26" s="250"/>
      <c r="M26" s="128">
        <f>+K26+'26'!M26+L26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793</v>
      </c>
      <c r="I27" s="1024"/>
      <c r="J27" s="225">
        <f>+'26'!J27</f>
        <v>0</v>
      </c>
      <c r="K27" s="250"/>
      <c r="L27" s="250"/>
      <c r="M27" s="128">
        <f>+K27+'26'!M27+L27</f>
        <v>0</v>
      </c>
    </row>
    <row r="28" spans="1:14" ht="13.5" thickBot="1">
      <c r="A28" s="1028"/>
      <c r="B28" s="226"/>
      <c r="C28" s="227"/>
      <c r="D28" s="228"/>
      <c r="E28" s="236"/>
      <c r="F28" s="242"/>
      <c r="G28" s="243"/>
      <c r="H28" s="244" t="s">
        <v>591</v>
      </c>
      <c r="I28" s="1024"/>
      <c r="J28" s="225">
        <f>+'26'!J28</f>
        <v>0</v>
      </c>
      <c r="K28" s="250"/>
      <c r="L28" s="250"/>
      <c r="M28" s="128">
        <f>+K28+'26'!M28+L28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 t="s">
        <v>794</v>
      </c>
      <c r="I29" s="1024"/>
      <c r="J29" s="225">
        <f>+'26'!J29</f>
        <v>0</v>
      </c>
      <c r="K29" s="250"/>
      <c r="L29" s="250"/>
      <c r="M29" s="128">
        <f>+K29+'26'!M29+L29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 t="s">
        <v>795</v>
      </c>
      <c r="I30" s="1024"/>
      <c r="J30" s="225">
        <f>+'26'!J30</f>
        <v>0</v>
      </c>
      <c r="K30" s="250"/>
      <c r="L30" s="250"/>
      <c r="M30" s="128">
        <f>+K30+'26'!M30+L30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+'26'!J31</f>
        <v>0</v>
      </c>
      <c r="K31" s="250"/>
      <c r="L31" s="250"/>
      <c r="M31" s="128">
        <f>+K31+'26'!M31+L31</f>
        <v>0</v>
      </c>
    </row>
    <row r="32" spans="1:14" ht="13.5" thickBot="1">
      <c r="A32" s="1029"/>
      <c r="B32" s="176" t="s">
        <v>2</v>
      </c>
      <c r="C32" s="110">
        <f>SUM(C25:C31)</f>
        <v>16998</v>
      </c>
      <c r="D32" s="111">
        <f>SUM(D25:D31)</f>
        <v>218</v>
      </c>
      <c r="E32" s="112">
        <f>SUM(E25:E31)</f>
        <v>0</v>
      </c>
      <c r="F32" s="113">
        <f>SUM(F24:F31)</f>
        <v>17</v>
      </c>
      <c r="G32" s="182"/>
      <c r="H32" s="183"/>
      <c r="I32" s="180"/>
      <c r="J32" s="225">
        <f>+'26'!J32</f>
        <v>0</v>
      </c>
      <c r="K32" s="252"/>
      <c r="L32" s="254"/>
      <c r="M32" s="128">
        <f>+K32+'26'!M32+L32</f>
        <v>0</v>
      </c>
    </row>
    <row r="33" spans="1:14" ht="13.5" thickBot="1">
      <c r="A33" s="184"/>
      <c r="B33" s="185"/>
      <c r="C33" s="114">
        <f>C32/($C$32+$D$32+$E$32)</f>
        <v>0.98733736059479549</v>
      </c>
      <c r="D33" s="115">
        <f>D32/($C$32+$D$32+$E$32)</f>
        <v>1.266263940520446E-2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51790</v>
      </c>
      <c r="D34" s="118">
        <f>D14+D23+D32</f>
        <v>218</v>
      </c>
      <c r="E34" s="118">
        <f>E14+E23+E32</f>
        <v>0</v>
      </c>
      <c r="F34" s="119">
        <f>F14+F23+F32</f>
        <v>64</v>
      </c>
      <c r="H34" s="189"/>
      <c r="I34" s="189"/>
      <c r="J34" s="134" t="s">
        <v>27</v>
      </c>
      <c r="K34" s="135">
        <f>SUM(K7:K32)</f>
        <v>51790</v>
      </c>
      <c r="L34" s="223">
        <f>SUM(L7:L32)</f>
        <v>0</v>
      </c>
      <c r="M34" s="131">
        <f>SUM(M7:M32)</f>
        <v>1463812</v>
      </c>
      <c r="N34" s="166"/>
    </row>
    <row r="35" spans="1:14" ht="13.5" thickBot="1">
      <c r="A35" s="190"/>
      <c r="B35" s="191"/>
      <c r="C35" s="115">
        <f>C34/($C$34+$D$34+$E$34)</f>
        <v>0.99580833717889561</v>
      </c>
      <c r="D35" s="115">
        <f>D34/($C$34+$D$34+$E$34)</f>
        <v>4.1916628211044454E-3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9"/>
      <c r="G37" s="342"/>
      <c r="H37" s="197" t="s">
        <v>61</v>
      </c>
      <c r="I37" s="255">
        <f>(12*1440)/1440*G42*2.77*1440/1000000</f>
        <v>58.204569600000006</v>
      </c>
      <c r="J37" s="136">
        <f>+I37+'26'!J37</f>
        <v>1727.7214386083224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64</v>
      </c>
      <c r="D38" s="129">
        <f>+C38+'26'!D38</f>
        <v>2730</v>
      </c>
      <c r="E38" s="154">
        <f t="shared" ref="E38:E51" si="0">D38/60</f>
        <v>45.5</v>
      </c>
      <c r="F38" s="340">
        <v>1600</v>
      </c>
      <c r="G38" s="340">
        <f t="shared" ref="G38:G40" si="1">+F38-F38*0.24</f>
        <v>1216</v>
      </c>
      <c r="H38" s="198" t="s">
        <v>63</v>
      </c>
      <c r="I38" s="555">
        <f>17.731+17.508+15.752</f>
        <v>50.991000000000007</v>
      </c>
      <c r="J38" s="138">
        <f>+I38+'26'!J38</f>
        <v>1549.8230000000001</v>
      </c>
      <c r="K38" s="139" t="s">
        <v>62</v>
      </c>
      <c r="L38" s="565"/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+C39+'26'!D39</f>
        <v>0</v>
      </c>
      <c r="E39" s="154">
        <f t="shared" si="0"/>
        <v>0</v>
      </c>
      <c r="F39" s="340">
        <v>1600</v>
      </c>
      <c r="G39" s="340">
        <f t="shared" si="1"/>
        <v>1216</v>
      </c>
      <c r="H39" s="198" t="s">
        <v>64</v>
      </c>
      <c r="I39" s="153"/>
      <c r="J39" s="140">
        <f>J37/G4</f>
        <v>63.989682911419351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+C40+'26'!D40</f>
        <v>0</v>
      </c>
      <c r="E40" s="154">
        <f t="shared" si="0"/>
        <v>0</v>
      </c>
      <c r="F40" s="340">
        <v>1600</v>
      </c>
      <c r="G40" s="340">
        <f t="shared" si="1"/>
        <v>1216</v>
      </c>
      <c r="H40" s="198" t="s">
        <v>66</v>
      </c>
      <c r="I40" s="129">
        <f>(K34+L34)/1000</f>
        <v>51.79</v>
      </c>
      <c r="J40" s="142">
        <f>+I40+'26'!J40</f>
        <v>1463.8120000000006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+C41+'26'!D41</f>
        <v>437</v>
      </c>
      <c r="E41" s="154">
        <f t="shared" si="0"/>
        <v>7.2833333333333332</v>
      </c>
      <c r="F41" s="340"/>
      <c r="G41" s="340"/>
      <c r="H41" s="198" t="s">
        <v>68</v>
      </c>
      <c r="I41" s="153"/>
      <c r="J41" s="140">
        <f>J40/G4</f>
        <v>54.215259259259284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+C42+'26'!D42</f>
        <v>0</v>
      </c>
      <c r="E42" s="154">
        <f t="shared" si="0"/>
        <v>0</v>
      </c>
      <c r="F42" s="340">
        <f>+(F38*480+F39*480+F40*480)/1440</f>
        <v>1600</v>
      </c>
      <c r="G42" s="340">
        <f>+(G38*480+G39*480+G40*480)/1440</f>
        <v>1216</v>
      </c>
      <c r="H42" s="198" t="s">
        <v>69</v>
      </c>
      <c r="I42" s="257" t="s">
        <v>783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+C43+'26'!D43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+Report1!T35</f>
        <v>123.26300000000001</v>
      </c>
      <c r="J43" s="144">
        <f>+I43+'26'!J43</f>
        <v>3564.2460000000001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+C44+'26'!D44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2.4173481594791237</v>
      </c>
      <c r="J44" s="145">
        <f>J43/J38</f>
        <v>2.2997761679882154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+C45+'26'!D45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2.3800540644912145</v>
      </c>
      <c r="J45" s="145">
        <f>J43/J40</f>
        <v>2.4349069416017897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+C46+'26'!D46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+SUMIF(Listrik!AR34,"&gt;0")</f>
        <v>55551.340000000906</v>
      </c>
      <c r="J46" s="146">
        <f>+I46+'26'!J46</f>
        <v>1515763.4800000011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+C47+'26'!D47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1089.4342138808986</v>
      </c>
      <c r="J47" s="146">
        <f>J46/J38</f>
        <v>978.023606566686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+C48+'26'!D48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1072.6267619231687</v>
      </c>
      <c r="J48" s="146">
        <f>J46/J40</f>
        <v>1035.4905411350642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+C49+'26'!D49</f>
        <v>233</v>
      </c>
      <c r="E49" s="154">
        <f t="shared" si="0"/>
        <v>3.8833333333333333</v>
      </c>
      <c r="F49" s="196"/>
      <c r="H49" s="199" t="s">
        <v>81</v>
      </c>
      <c r="I49" s="129">
        <v>0</v>
      </c>
      <c r="J49" s="146">
        <f>+I49+'26'!J49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+C50+'26'!D50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+C51+'26'!D51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64</v>
      </c>
      <c r="D52" s="155">
        <f>SUM(D38:D51)</f>
        <v>3438</v>
      </c>
      <c r="E52" s="156">
        <f>SUM(E38:E51)</f>
        <v>57.3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4.4444444444444446E-2</v>
      </c>
      <c r="D53" s="157">
        <f>D52/(24*60*G4)</f>
        <v>8.8425925925925922E-2</v>
      </c>
      <c r="E53" s="158">
        <f>E52/(G4*24)</f>
        <v>8.8425925925925922E-2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+D34+'26'!J56</f>
        <v>21795</v>
      </c>
      <c r="K56" s="212">
        <f>J56/(J40+J56/1000)/1000</f>
        <v>1.4670770937401338E-2</v>
      </c>
    </row>
    <row r="57" spans="1:11">
      <c r="A57" s="187"/>
      <c r="I57" s="210" t="s">
        <v>88</v>
      </c>
      <c r="J57" s="211">
        <f>+E34+'26'!J57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Q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5.140625" style="160" bestFit="1" customWidth="1"/>
    <col min="8" max="8" width="64.85546875" style="160" customWidth="1"/>
    <col min="9" max="9" width="14.7109375" style="160" bestFit="1" customWidth="1"/>
    <col min="10" max="10" width="18.42578125" style="160" customWidth="1"/>
    <col min="11" max="11" width="14" style="160" bestFit="1" customWidth="1"/>
    <col min="12" max="12" width="8.28515625" style="160" customWidth="1"/>
    <col min="13" max="13" width="17.140625" style="160" customWidth="1"/>
    <col min="14" max="16384" width="9.140625" style="160"/>
  </cols>
  <sheetData>
    <row r="1" spans="1:17" ht="15.75">
      <c r="A1" s="159"/>
    </row>
    <row r="2" spans="1:17" ht="15.75">
      <c r="A2" s="159" t="s">
        <v>147</v>
      </c>
    </row>
    <row r="3" spans="1:17" ht="15">
      <c r="A3" s="161"/>
    </row>
    <row r="4" spans="1:17" ht="20.25">
      <c r="A4" s="162" t="s">
        <v>3</v>
      </c>
      <c r="B4" s="163"/>
      <c r="F4" s="164" t="s">
        <v>29</v>
      </c>
      <c r="G4" s="165">
        <v>26</v>
      </c>
      <c r="H4" s="165" t="str">
        <f>+'1'!H4</f>
        <v>.06.24</v>
      </c>
    </row>
    <row r="5" spans="1:17" ht="13.5" thickBot="1">
      <c r="C5" s="166"/>
      <c r="D5" s="166"/>
    </row>
    <row r="6" spans="1:17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230+206+208</f>
        <v>644</v>
      </c>
    </row>
    <row r="7" spans="1:17" ht="13.5" customHeight="1" thickBot="1">
      <c r="A7" s="1020" t="s">
        <v>434</v>
      </c>
      <c r="B7" s="226" t="s">
        <v>771</v>
      </c>
      <c r="C7" s="227">
        <f>8486+7355</f>
        <v>15841</v>
      </c>
      <c r="D7" s="228"/>
      <c r="E7" s="229"/>
      <c r="F7" s="239">
        <v>15</v>
      </c>
      <c r="G7" s="240" t="s">
        <v>11</v>
      </c>
      <c r="H7" s="241" t="s">
        <v>577</v>
      </c>
      <c r="I7" s="1023" t="s">
        <v>783</v>
      </c>
      <c r="J7" s="225" t="str">
        <f>+'25'!J7</f>
        <v>MG 14 VP HW</v>
      </c>
      <c r="K7" s="249"/>
      <c r="L7" s="253"/>
      <c r="M7" s="128">
        <f>+K7+'25'!M7+L7</f>
        <v>160441</v>
      </c>
    </row>
    <row r="8" spans="1:17" ht="13.5" thickBot="1">
      <c r="A8" s="1021"/>
      <c r="B8" s="226" t="s">
        <v>603</v>
      </c>
      <c r="C8" s="227">
        <f>2910+3377</f>
        <v>6287</v>
      </c>
      <c r="D8" s="228"/>
      <c r="E8" s="230"/>
      <c r="F8" s="242">
        <v>7</v>
      </c>
      <c r="G8" s="243" t="s">
        <v>11</v>
      </c>
      <c r="H8" s="241" t="s">
        <v>749</v>
      </c>
      <c r="I8" s="1024"/>
      <c r="J8" s="225" t="str">
        <f>+'25'!J8</f>
        <v>MG 17 VP HW</v>
      </c>
      <c r="K8" s="250"/>
      <c r="L8" s="250"/>
      <c r="M8" s="128">
        <f>+K8+'25'!M8+L8</f>
        <v>131048</v>
      </c>
      <c r="N8" s="160">
        <v>1600</v>
      </c>
      <c r="O8" s="160">
        <f>+N8-N8*0.24</f>
        <v>1216</v>
      </c>
      <c r="Q8" s="160">
        <v>120</v>
      </c>
    </row>
    <row r="9" spans="1:17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453</v>
      </c>
      <c r="I9" s="1024"/>
      <c r="J9" s="225" t="str">
        <f>+'25'!J9</f>
        <v>MG 16 VP HW/OW</v>
      </c>
      <c r="K9" s="250"/>
      <c r="L9" s="250"/>
      <c r="M9" s="128">
        <f>+K9+'25'!M9+L9</f>
        <v>278646</v>
      </c>
      <c r="N9" s="160">
        <v>1600</v>
      </c>
      <c r="O9" s="160">
        <f>+N9-N9*0.24</f>
        <v>1216</v>
      </c>
      <c r="Q9" s="160">
        <v>360</v>
      </c>
    </row>
    <row r="10" spans="1:17" ht="13.5" thickBot="1">
      <c r="A10" s="1021"/>
      <c r="B10" s="226"/>
      <c r="C10" s="227"/>
      <c r="D10" s="228"/>
      <c r="E10" s="230"/>
      <c r="F10" s="239"/>
      <c r="G10" s="243"/>
      <c r="H10" s="597" t="s">
        <v>790</v>
      </c>
      <c r="I10" s="1024"/>
      <c r="J10" s="225" t="str">
        <f>+'25'!J10</f>
        <v>MG 22 VP HW</v>
      </c>
      <c r="K10" s="250"/>
      <c r="L10" s="250"/>
      <c r="M10" s="128">
        <f>+K10+'25'!M10+L10</f>
        <v>12128</v>
      </c>
      <c r="Q10" s="160">
        <f>SUM(Q8:Q9)</f>
        <v>480</v>
      </c>
    </row>
    <row r="11" spans="1:17" ht="13.5" thickBot="1">
      <c r="A11" s="1021"/>
      <c r="B11" s="226"/>
      <c r="C11" s="227"/>
      <c r="D11" s="228"/>
      <c r="E11" s="230"/>
      <c r="F11" s="239"/>
      <c r="G11" s="243"/>
      <c r="H11" s="244" t="s">
        <v>788</v>
      </c>
      <c r="I11" s="1024"/>
      <c r="J11" s="225" t="str">
        <f>+'25'!J11</f>
        <v>MG 24 VP HW</v>
      </c>
      <c r="K11" s="250"/>
      <c r="L11" s="250"/>
      <c r="M11" s="128">
        <f>+K11+'25'!M11+L11</f>
        <v>5566</v>
      </c>
    </row>
    <row r="12" spans="1:17" ht="13.5" thickBot="1">
      <c r="A12" s="1021"/>
      <c r="B12" s="226"/>
      <c r="C12" s="227"/>
      <c r="D12" s="228"/>
      <c r="E12" s="230"/>
      <c r="F12" s="239"/>
      <c r="G12" s="243"/>
      <c r="H12" s="244" t="s">
        <v>789</v>
      </c>
      <c r="I12" s="1024"/>
      <c r="J12" s="225" t="str">
        <f>+'25'!J12</f>
        <v>MG 20 VP HW</v>
      </c>
      <c r="K12" s="250"/>
      <c r="L12" s="250"/>
      <c r="M12" s="128">
        <f>+K12+'25'!M12+L12</f>
        <v>7726</v>
      </c>
    </row>
    <row r="13" spans="1:17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+'25'!J13</f>
        <v>F 12 VP OW</v>
      </c>
      <c r="K13" s="250">
        <f>+C8+C16+C25</f>
        <v>43674</v>
      </c>
      <c r="L13" s="250"/>
      <c r="M13" s="128">
        <f>+K13+'25'!M13+L13</f>
        <v>232079</v>
      </c>
    </row>
    <row r="14" spans="1:17" ht="13.5" thickBot="1">
      <c r="A14" s="1022"/>
      <c r="B14" s="176" t="s">
        <v>2</v>
      </c>
      <c r="C14" s="110">
        <f>SUM(C7:C13)</f>
        <v>22128</v>
      </c>
      <c r="D14" s="122">
        <f>SUM(D7:D13)</f>
        <v>0</v>
      </c>
      <c r="E14" s="123">
        <f>SUM(E5:E13)</f>
        <v>0</v>
      </c>
      <c r="F14" s="127">
        <f>SUM(F7:F13)</f>
        <v>32</v>
      </c>
      <c r="G14" s="170"/>
      <c r="H14" s="177"/>
      <c r="I14" s="178"/>
      <c r="J14" s="225" t="str">
        <f>+'25'!J14</f>
        <v>F 11,5 VP OW</v>
      </c>
      <c r="K14" s="250"/>
      <c r="L14" s="250"/>
      <c r="M14" s="128">
        <f>+K14+'25'!M14+L14</f>
        <v>242575</v>
      </c>
    </row>
    <row r="15" spans="1:17" ht="13.5" customHeight="1" thickBot="1">
      <c r="A15" s="1020" t="s">
        <v>605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783</v>
      </c>
      <c r="J15" s="225" t="str">
        <f>+'25'!J15</f>
        <v>F 10,5 VP OW</v>
      </c>
      <c r="K15" s="250"/>
      <c r="L15" s="250"/>
      <c r="M15" s="128">
        <f>+K15+'25'!M15+L15</f>
        <v>151044</v>
      </c>
    </row>
    <row r="16" spans="1:17" ht="13.5" thickBot="1">
      <c r="A16" s="1026"/>
      <c r="B16" s="226" t="s">
        <v>603</v>
      </c>
      <c r="C16" s="233">
        <v>19604</v>
      </c>
      <c r="D16" s="234">
        <v>218</v>
      </c>
      <c r="E16" s="235"/>
      <c r="F16" s="239">
        <v>8</v>
      </c>
      <c r="G16" s="243" t="s">
        <v>11</v>
      </c>
      <c r="H16" s="241" t="s">
        <v>622</v>
      </c>
      <c r="I16" s="1024"/>
      <c r="J16" s="225" t="str">
        <f>+'25'!J16</f>
        <v>F 10,3 VP OW</v>
      </c>
      <c r="K16" s="250"/>
      <c r="L16" s="240"/>
      <c r="M16" s="128">
        <f>+K16+'25'!M16+L16</f>
        <v>127988</v>
      </c>
    </row>
    <row r="17" spans="1:14" ht="13.5" thickBot="1">
      <c r="A17" s="1026"/>
      <c r="B17" s="226"/>
      <c r="C17" s="227"/>
      <c r="D17" s="228"/>
      <c r="E17" s="236"/>
      <c r="F17" s="239">
        <v>5</v>
      </c>
      <c r="G17" s="243" t="s">
        <v>11</v>
      </c>
      <c r="H17" s="597" t="s">
        <v>455</v>
      </c>
      <c r="I17" s="1024"/>
      <c r="J17" s="225" t="str">
        <f>+'25'!J17</f>
        <v>F 12,5 VP OW</v>
      </c>
      <c r="K17" s="250">
        <f>+C7</f>
        <v>15841</v>
      </c>
      <c r="L17" s="240"/>
      <c r="M17" s="128">
        <f>+K17+'25'!M17+L17</f>
        <v>62781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793</v>
      </c>
      <c r="I18" s="1024"/>
      <c r="J18" s="225">
        <f>+'25'!J18</f>
        <v>0</v>
      </c>
      <c r="K18" s="250"/>
      <c r="L18" s="250"/>
      <c r="M18" s="128">
        <f>+K18+'25'!M18+L18</f>
        <v>0</v>
      </c>
    </row>
    <row r="19" spans="1:14" ht="26.25" thickBot="1">
      <c r="A19" s="1026"/>
      <c r="B19" s="226"/>
      <c r="C19" s="227"/>
      <c r="D19" s="228"/>
      <c r="E19" s="236"/>
      <c r="F19" s="246"/>
      <c r="G19" s="243"/>
      <c r="H19" s="244" t="s">
        <v>792</v>
      </c>
      <c r="I19" s="1024"/>
      <c r="J19" s="225">
        <f>+'25'!J19</f>
        <v>0</v>
      </c>
      <c r="K19" s="250"/>
      <c r="L19" s="250"/>
      <c r="M19" s="128">
        <f>+K19+'25'!M19+L19</f>
        <v>0</v>
      </c>
    </row>
    <row r="20" spans="1:14" ht="13.5" customHeight="1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+'25'!J20</f>
        <v>0</v>
      </c>
      <c r="K20" s="250"/>
      <c r="L20" s="251"/>
      <c r="M20" s="128">
        <f>+K20+'25'!M20+L20</f>
        <v>0</v>
      </c>
    </row>
    <row r="21" spans="1:14" ht="13.5" customHeight="1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+'25'!J21</f>
        <v>0</v>
      </c>
      <c r="K21" s="250"/>
      <c r="L21" s="250"/>
      <c r="M21" s="128">
        <f>+K21+'25'!M21+L21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+'25'!J22</f>
        <v>0</v>
      </c>
      <c r="K22" s="250"/>
      <c r="L22" s="250"/>
      <c r="M22" s="128">
        <f>+K22+'25'!M22+L22</f>
        <v>0</v>
      </c>
    </row>
    <row r="23" spans="1:14" ht="13.5" thickBot="1">
      <c r="A23" s="1027"/>
      <c r="B23" s="179" t="s">
        <v>2</v>
      </c>
      <c r="C23" s="111">
        <f>SUM(C16:C22)</f>
        <v>19604</v>
      </c>
      <c r="D23" s="122">
        <f>SUM(D16:D22)</f>
        <v>218</v>
      </c>
      <c r="E23" s="123">
        <f>SUM(E18:E22)</f>
        <v>0</v>
      </c>
      <c r="F23" s="127">
        <f>SUM(F15:F22)</f>
        <v>13</v>
      </c>
      <c r="G23" s="170"/>
      <c r="H23" s="177" t="s">
        <v>234</v>
      </c>
      <c r="I23" s="180"/>
      <c r="J23" s="225">
        <f>+'25'!J23</f>
        <v>0</v>
      </c>
      <c r="K23" s="250"/>
      <c r="L23" s="250"/>
      <c r="M23" s="128">
        <f>+K23+'25'!M23+L23</f>
        <v>0</v>
      </c>
    </row>
    <row r="24" spans="1:14" ht="13.5" customHeight="1" thickBot="1">
      <c r="A24" s="1020" t="s">
        <v>556</v>
      </c>
      <c r="B24" s="181"/>
      <c r="C24" s="124"/>
      <c r="D24" s="125"/>
      <c r="E24" s="126"/>
      <c r="F24" s="247">
        <v>15</v>
      </c>
      <c r="G24" s="240" t="s">
        <v>11</v>
      </c>
      <c r="H24" s="241" t="s">
        <v>577</v>
      </c>
      <c r="I24" s="1023" t="s">
        <v>783</v>
      </c>
      <c r="J24" s="225">
        <f>+'25'!J24</f>
        <v>0</v>
      </c>
      <c r="K24" s="250"/>
      <c r="L24" s="250"/>
      <c r="M24" s="128">
        <f>+K24+'25'!M24+L24</f>
        <v>0</v>
      </c>
    </row>
    <row r="25" spans="1:14" ht="13.5" thickBot="1">
      <c r="A25" s="1028"/>
      <c r="B25" s="226" t="s">
        <v>603</v>
      </c>
      <c r="C25" s="237">
        <v>17783</v>
      </c>
      <c r="D25" s="228"/>
      <c r="E25" s="236"/>
      <c r="F25" s="242">
        <v>8</v>
      </c>
      <c r="G25" s="243" t="s">
        <v>11</v>
      </c>
      <c r="H25" s="241" t="s">
        <v>749</v>
      </c>
      <c r="I25" s="1024"/>
      <c r="J25" s="225">
        <f>+'25'!J25</f>
        <v>0</v>
      </c>
      <c r="K25" s="250"/>
      <c r="L25" s="250"/>
      <c r="M25" s="128">
        <f>+K25+'25'!M25+L25</f>
        <v>0</v>
      </c>
    </row>
    <row r="26" spans="1:14" ht="13.5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601</v>
      </c>
      <c r="I26" s="1024"/>
      <c r="J26" s="225">
        <f>+'25'!J26</f>
        <v>0</v>
      </c>
      <c r="K26" s="250"/>
      <c r="L26" s="250"/>
      <c r="M26" s="128">
        <f>+K26+'25'!M26+L26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793</v>
      </c>
      <c r="I27" s="1024"/>
      <c r="J27" s="225">
        <f>+'25'!J27</f>
        <v>0</v>
      </c>
      <c r="K27" s="250"/>
      <c r="L27" s="250"/>
      <c r="M27" s="128">
        <f>+K27+'25'!M27+L27</f>
        <v>0</v>
      </c>
    </row>
    <row r="28" spans="1:14" ht="26.25" thickBot="1">
      <c r="A28" s="1028"/>
      <c r="B28" s="226"/>
      <c r="C28" s="227"/>
      <c r="D28" s="228"/>
      <c r="E28" s="236"/>
      <c r="F28" s="242"/>
      <c r="G28" s="243"/>
      <c r="H28" s="244" t="s">
        <v>792</v>
      </c>
      <c r="I28" s="1024"/>
      <c r="J28" s="225">
        <f>+'25'!J28</f>
        <v>0</v>
      </c>
      <c r="K28" s="250"/>
      <c r="L28" s="250"/>
      <c r="M28" s="128">
        <f>+K28+'25'!M28+L28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+'25'!J29</f>
        <v>0</v>
      </c>
      <c r="K29" s="250"/>
      <c r="L29" s="250"/>
      <c r="M29" s="128">
        <f>+K29+'25'!M29+L29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+'25'!J30</f>
        <v>0</v>
      </c>
      <c r="K30" s="250"/>
      <c r="L30" s="250"/>
      <c r="M30" s="128">
        <f>+K30+'25'!M30+L30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+'25'!J31</f>
        <v>0</v>
      </c>
      <c r="K31" s="250"/>
      <c r="L31" s="250"/>
      <c r="M31" s="128">
        <f>+K31+'25'!M31+L31</f>
        <v>0</v>
      </c>
    </row>
    <row r="32" spans="1:14" ht="13.5" thickBot="1">
      <c r="A32" s="1029"/>
      <c r="B32" s="176" t="s">
        <v>2</v>
      </c>
      <c r="C32" s="110">
        <f>SUM(C25:C31)</f>
        <v>17783</v>
      </c>
      <c r="D32" s="111">
        <f>SUM(D25:D31)</f>
        <v>0</v>
      </c>
      <c r="E32" s="112">
        <f>SUM(E25:E31)</f>
        <v>0</v>
      </c>
      <c r="F32" s="113">
        <f>SUM(F24:F31)</f>
        <v>33</v>
      </c>
      <c r="G32" s="182"/>
      <c r="H32" s="183"/>
      <c r="I32" s="180"/>
      <c r="J32" s="225">
        <f>+'25'!J32</f>
        <v>0</v>
      </c>
      <c r="K32" s="252"/>
      <c r="L32" s="254"/>
      <c r="M32" s="128">
        <f>+K32+'25'!M32+L32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59515</v>
      </c>
      <c r="D34" s="118">
        <f>D14+D23+D32</f>
        <v>218</v>
      </c>
      <c r="E34" s="118">
        <f>E14+E23+E32</f>
        <v>0</v>
      </c>
      <c r="F34" s="119">
        <f>F14+F23+F32</f>
        <v>78</v>
      </c>
      <c r="H34" s="189"/>
      <c r="I34" s="189"/>
      <c r="J34" s="134" t="s">
        <v>27</v>
      </c>
      <c r="K34" s="135">
        <f>SUM(K7:K32)</f>
        <v>59515</v>
      </c>
      <c r="L34" s="223">
        <f>SUM(L7:L32)</f>
        <v>0</v>
      </c>
      <c r="M34" s="131">
        <f>SUM(M7:M32)</f>
        <v>1412022</v>
      </c>
      <c r="N34" s="166"/>
    </row>
    <row r="35" spans="1:14" ht="13.5" thickBot="1">
      <c r="A35" s="190"/>
      <c r="B35" s="191"/>
      <c r="C35" s="115">
        <f>C34/($C$34+$D$34+$E$34)</f>
        <v>0.99635042606264546</v>
      </c>
      <c r="D35" s="115">
        <f>D34/($C$34+$D$34+$E$34)</f>
        <v>3.6495739373545613E-3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(12.5*120+12*1320)/1440*G42*2.77*1440/1000000</f>
        <v>58.406668800000006</v>
      </c>
      <c r="J37" s="136">
        <f>+I37+'25'!J37</f>
        <v>1669.5168690083224</v>
      </c>
      <c r="K37" s="137" t="s">
        <v>62</v>
      </c>
      <c r="L37" s="160">
        <f>2.34+2.145</f>
        <v>4.4849999999999994</v>
      </c>
    </row>
    <row r="38" spans="1:14" ht="17.45" customHeight="1">
      <c r="A38" s="1034" t="s">
        <v>11</v>
      </c>
      <c r="B38" s="1035"/>
      <c r="C38" s="175">
        <f>SUMIF($G$7:$G$31,"Process",$F$7:$F$31)</f>
        <v>78</v>
      </c>
      <c r="D38" s="129">
        <f>+C38+'25'!D38</f>
        <v>2666</v>
      </c>
      <c r="E38" s="154">
        <f t="shared" ref="E38:E51" si="0">D38/60</f>
        <v>44.43333333333333</v>
      </c>
      <c r="F38" s="340">
        <v>1600</v>
      </c>
      <c r="G38" s="340">
        <f>+F38-F38*0.24</f>
        <v>1216</v>
      </c>
      <c r="H38" s="198" t="s">
        <v>63</v>
      </c>
      <c r="I38" s="555">
        <f>16.82+17.731+18.179</f>
        <v>52.730000000000004</v>
      </c>
      <c r="J38" s="138">
        <f>+I38+'25'!J38</f>
        <v>1498.8320000000001</v>
      </c>
      <c r="K38" s="139" t="s">
        <v>62</v>
      </c>
      <c r="L38" s="565">
        <f>+I38-L37</f>
        <v>48.245000000000005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+C39+'25'!D39</f>
        <v>0</v>
      </c>
      <c r="E39" s="154">
        <f t="shared" si="0"/>
        <v>0</v>
      </c>
      <c r="F39" s="340">
        <v>1600</v>
      </c>
      <c r="G39" s="340">
        <f>+F39-F39*0.24</f>
        <v>1216</v>
      </c>
      <c r="H39" s="198" t="s">
        <v>64</v>
      </c>
      <c r="I39" s="153"/>
      <c r="J39" s="140">
        <f>J37/G4</f>
        <v>64.212187269550867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+C40+'25'!D40</f>
        <v>0</v>
      </c>
      <c r="E40" s="154">
        <f t="shared" si="0"/>
        <v>0</v>
      </c>
      <c r="F40" s="340">
        <v>1600</v>
      </c>
      <c r="G40" s="340">
        <f>+F40-F40*0.24</f>
        <v>1216</v>
      </c>
      <c r="H40" s="198" t="s">
        <v>66</v>
      </c>
      <c r="I40" s="129">
        <f>(K34+L34)/1000</f>
        <v>59.515000000000001</v>
      </c>
      <c r="J40" s="142">
        <f>+I40+'25'!J40</f>
        <v>1412.0220000000006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+C41+'25'!D41</f>
        <v>437</v>
      </c>
      <c r="E41" s="154">
        <f t="shared" si="0"/>
        <v>7.2833333333333332</v>
      </c>
      <c r="F41" s="340"/>
      <c r="G41" s="340"/>
      <c r="H41" s="198" t="s">
        <v>68</v>
      </c>
      <c r="I41" s="153"/>
      <c r="J41" s="140">
        <f>J40/G4</f>
        <v>54.308538461538483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+C42+'25'!D42</f>
        <v>0</v>
      </c>
      <c r="E42" s="154">
        <f t="shared" si="0"/>
        <v>0</v>
      </c>
      <c r="F42" s="340">
        <f>+(F38*480+F39*480+F40*480)/1440</f>
        <v>1600</v>
      </c>
      <c r="G42" s="340">
        <f>+(G38*480+G39*480+G40*480)/1440</f>
        <v>1216</v>
      </c>
      <c r="H42" s="198" t="s">
        <v>69</v>
      </c>
      <c r="I42" s="257" t="s">
        <v>783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+C43+'25'!D43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+Report1!T34</f>
        <v>123.29</v>
      </c>
      <c r="J43" s="144">
        <f>+I43+'25'!J43</f>
        <v>3440.9830000000002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+C44+'25'!D44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2.3381376825336622</v>
      </c>
      <c r="J44" s="145">
        <f>J43/J38</f>
        <v>2.2957763111542855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+C45+'25'!D45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2.0715785936318576</v>
      </c>
      <c r="J45" s="145">
        <f>J43/J40</f>
        <v>2.4369188298765874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+C46+'25'!D46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+SUMIF(Listrik!AR33,"&gt;0")</f>
        <v>56571.34000000127</v>
      </c>
      <c r="J46" s="146">
        <f>+I46+'25'!J46</f>
        <v>1460212.1400000001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+C47+'25'!D47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1072.8492319363031</v>
      </c>
      <c r="J47" s="146">
        <f>J46/J38</f>
        <v>974.23336304535803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+C48+'25'!D48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950.53919180040782</v>
      </c>
      <c r="J48" s="146">
        <f>J46/J40</f>
        <v>1034.1284625876931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+C49+'25'!D49</f>
        <v>233</v>
      </c>
      <c r="E49" s="154">
        <f t="shared" si="0"/>
        <v>3.8833333333333333</v>
      </c>
      <c r="F49" s="196"/>
      <c r="H49" s="199" t="s">
        <v>81</v>
      </c>
      <c r="I49" s="129">
        <v>0</v>
      </c>
      <c r="J49" s="146">
        <f>+I49+'25'!J49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+C50+'25'!D50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+C51+'25'!D51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78</v>
      </c>
      <c r="D52" s="155">
        <f>SUM(D38:D51)</f>
        <v>3374</v>
      </c>
      <c r="E52" s="156">
        <f>SUM(E38:E51)</f>
        <v>56.233333333333327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5.4166666666666669E-2</v>
      </c>
      <c r="D53" s="157">
        <f>D52/(24*60*G4)</f>
        <v>9.0117521367521367E-2</v>
      </c>
      <c r="E53" s="158">
        <f>E52/(G4*24)</f>
        <v>9.0117521367521353E-2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+D34+'25'!J56</f>
        <v>21577</v>
      </c>
      <c r="K56" s="212">
        <f>J56/(J40+J56/1000)/1000</f>
        <v>1.5050931257625034E-2</v>
      </c>
    </row>
    <row r="57" spans="1:11">
      <c r="A57" s="187"/>
      <c r="I57" s="210" t="s">
        <v>88</v>
      </c>
      <c r="J57" s="211">
        <f>+E34+'25'!J57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R61"/>
  <sheetViews>
    <sheetView topLeftCell="A7" zoomScale="80" zoomScaleNormal="80" workbookViewId="0">
      <selection activeCell="A7" sqref="A7:B32"/>
    </sheetView>
  </sheetViews>
  <sheetFormatPr defaultColWidth="9.140625" defaultRowHeight="12.75"/>
  <cols>
    <col min="1" max="1" width="8" style="160" customWidth="1"/>
    <col min="2" max="2" width="8.28515625" style="160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4.42578125" style="160" bestFit="1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25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250+185+205</f>
        <v>640</v>
      </c>
    </row>
    <row r="7" spans="1:18" ht="13.5" customHeight="1" thickBot="1">
      <c r="A7" s="1020" t="s">
        <v>434</v>
      </c>
      <c r="B7" s="226" t="s">
        <v>771</v>
      </c>
      <c r="C7" s="227">
        <v>13246</v>
      </c>
      <c r="D7" s="228">
        <v>470</v>
      </c>
      <c r="E7" s="229"/>
      <c r="F7" s="239">
        <v>70</v>
      </c>
      <c r="G7" s="240" t="s">
        <v>11</v>
      </c>
      <c r="H7" s="241" t="s">
        <v>750</v>
      </c>
      <c r="I7" s="1023" t="s">
        <v>782</v>
      </c>
      <c r="J7" s="225" t="str">
        <f>+'24'!J7</f>
        <v>MG 14 VP HW</v>
      </c>
      <c r="K7" s="249"/>
      <c r="L7" s="253"/>
      <c r="M7" s="128">
        <f>+K7+'24'!M7+L7</f>
        <v>160441</v>
      </c>
    </row>
    <row r="8" spans="1:18" ht="13.5" thickBot="1">
      <c r="A8" s="1021"/>
      <c r="B8" s="226"/>
      <c r="C8" s="227"/>
      <c r="D8" s="228"/>
      <c r="E8" s="230"/>
      <c r="F8" s="242">
        <v>4</v>
      </c>
      <c r="G8" s="243" t="s">
        <v>11</v>
      </c>
      <c r="H8" s="241" t="s">
        <v>602</v>
      </c>
      <c r="I8" s="1024"/>
      <c r="J8" s="225" t="str">
        <f>+'24'!J8</f>
        <v>MG 17 VP HW</v>
      </c>
      <c r="K8" s="250"/>
      <c r="L8" s="250"/>
      <c r="M8" s="128">
        <f>+K8+'24'!M8+L8</f>
        <v>131048</v>
      </c>
      <c r="N8" s="160">
        <v>1680</v>
      </c>
      <c r="O8" s="160">
        <f>+N8-N8*0.24</f>
        <v>1276.8</v>
      </c>
      <c r="P8" s="160">
        <f>180+30</f>
        <v>210</v>
      </c>
      <c r="Q8" s="160">
        <f>+N8*P8</f>
        <v>352800</v>
      </c>
      <c r="R8" s="160">
        <f>+O8*P8</f>
        <v>268128</v>
      </c>
    </row>
    <row r="9" spans="1:18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453</v>
      </c>
      <c r="I9" s="1024"/>
      <c r="J9" s="225" t="str">
        <f>+'24'!J9</f>
        <v>MG 16 VP HW/OW</v>
      </c>
      <c r="K9" s="250"/>
      <c r="L9" s="250"/>
      <c r="M9" s="128">
        <f>+K9+'24'!M9+L9</f>
        <v>278646</v>
      </c>
      <c r="N9" s="160">
        <v>1600</v>
      </c>
      <c r="O9" s="160">
        <f>+N9-N9*0.24</f>
        <v>1216</v>
      </c>
      <c r="P9" s="160">
        <f>30+240</f>
        <v>270</v>
      </c>
      <c r="Q9" s="160">
        <f>+N9*P9</f>
        <v>432000</v>
      </c>
      <c r="R9" s="160">
        <f>+O9*P9</f>
        <v>328320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791</v>
      </c>
      <c r="I10" s="1024"/>
      <c r="J10" s="225" t="str">
        <f>+'24'!J10</f>
        <v>MG 22 VP HW</v>
      </c>
      <c r="K10" s="250"/>
      <c r="L10" s="250"/>
      <c r="M10" s="128">
        <f>+K10+'24'!M10+L10</f>
        <v>12128</v>
      </c>
      <c r="P10" s="160">
        <f>SUM(P8:P9)</f>
        <v>480</v>
      </c>
      <c r="Q10" s="160">
        <f t="shared" ref="Q10:R10" si="0">SUM(Q8:Q9)</f>
        <v>784800</v>
      </c>
      <c r="R10" s="160">
        <f t="shared" si="0"/>
        <v>596448</v>
      </c>
    </row>
    <row r="11" spans="1:18" ht="26.25" thickBot="1">
      <c r="A11" s="1021"/>
      <c r="B11" s="226"/>
      <c r="C11" s="227"/>
      <c r="D11" s="228"/>
      <c r="E11" s="230"/>
      <c r="F11" s="239"/>
      <c r="G11" s="243"/>
      <c r="H11" s="244" t="s">
        <v>775</v>
      </c>
      <c r="I11" s="1024"/>
      <c r="J11" s="225" t="str">
        <f>+'24'!J11</f>
        <v>MG 24 VP HW</v>
      </c>
      <c r="K11" s="250"/>
      <c r="L11" s="250"/>
      <c r="M11" s="128">
        <f>+K11+'24'!M11+L11</f>
        <v>5566</v>
      </c>
      <c r="Q11" s="160">
        <f>+Q10/P10</f>
        <v>1635</v>
      </c>
      <c r="R11" s="160">
        <f>+R10/P10</f>
        <v>1242.5999999999999</v>
      </c>
    </row>
    <row r="12" spans="1:18" ht="13.5" thickBot="1">
      <c r="A12" s="1021"/>
      <c r="B12" s="226"/>
      <c r="C12" s="227"/>
      <c r="D12" s="228"/>
      <c r="E12" s="230"/>
      <c r="F12" s="239"/>
      <c r="G12" s="243"/>
      <c r="H12" s="244" t="s">
        <v>776</v>
      </c>
      <c r="I12" s="1024"/>
      <c r="J12" s="225" t="str">
        <f>+'24'!J12</f>
        <v>MG 20 VP HW</v>
      </c>
      <c r="K12" s="250"/>
      <c r="L12" s="250"/>
      <c r="M12" s="128">
        <f>+K12+'24'!M12+L12</f>
        <v>7726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+'24'!J13</f>
        <v>F 12 VP OW</v>
      </c>
      <c r="K13" s="250"/>
      <c r="L13" s="250"/>
      <c r="M13" s="128">
        <f>+K13+'24'!M13+L13</f>
        <v>188405</v>
      </c>
    </row>
    <row r="14" spans="1:18" ht="13.5" thickBot="1">
      <c r="A14" s="1022"/>
      <c r="B14" s="176" t="s">
        <v>2</v>
      </c>
      <c r="C14" s="110">
        <f>SUM(C7:C13)</f>
        <v>13246</v>
      </c>
      <c r="D14" s="122">
        <f>SUM(D7:D13)</f>
        <v>470</v>
      </c>
      <c r="E14" s="123">
        <f>SUM(E5:E13)</f>
        <v>0</v>
      </c>
      <c r="F14" s="127">
        <f>SUM(F7:F13)</f>
        <v>84</v>
      </c>
      <c r="G14" s="170"/>
      <c r="H14" s="177"/>
      <c r="I14" s="178"/>
      <c r="J14" s="225" t="str">
        <f>+'24'!J14</f>
        <v>F 11,5 VP OW</v>
      </c>
      <c r="K14" s="250"/>
      <c r="L14" s="250"/>
      <c r="M14" s="128">
        <f>+K14+'24'!M14+L14</f>
        <v>242575</v>
      </c>
    </row>
    <row r="15" spans="1:18" ht="13.5" customHeight="1" thickBot="1">
      <c r="A15" s="1020" t="s">
        <v>435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783</v>
      </c>
      <c r="J15" s="225" t="str">
        <f>+'24'!J15</f>
        <v>F 10,5 VP OW</v>
      </c>
      <c r="K15" s="250"/>
      <c r="L15" s="250"/>
      <c r="M15" s="128">
        <f>+K15+'24'!M15+L15</f>
        <v>151044</v>
      </c>
    </row>
    <row r="16" spans="1:18" ht="13.5" thickBot="1">
      <c r="A16" s="1026"/>
      <c r="B16" s="226" t="s">
        <v>771</v>
      </c>
      <c r="C16" s="233">
        <v>13471</v>
      </c>
      <c r="D16" s="234"/>
      <c r="E16" s="235"/>
      <c r="F16" s="239">
        <v>7</v>
      </c>
      <c r="G16" s="243" t="s">
        <v>11</v>
      </c>
      <c r="H16" s="241" t="s">
        <v>749</v>
      </c>
      <c r="I16" s="1024"/>
      <c r="J16" s="225" t="str">
        <f>+'24'!J16</f>
        <v>F 10,3 VP OW</v>
      </c>
      <c r="K16" s="240"/>
      <c r="L16" s="240"/>
      <c r="M16" s="128">
        <f>+K16+'24'!M16+L16</f>
        <v>127988</v>
      </c>
    </row>
    <row r="17" spans="1:14" ht="13.5" thickBot="1">
      <c r="A17" s="1026"/>
      <c r="B17" s="226"/>
      <c r="C17" s="227"/>
      <c r="D17" s="228"/>
      <c r="E17" s="236"/>
      <c r="F17" s="239">
        <v>7</v>
      </c>
      <c r="G17" s="243" t="s">
        <v>11</v>
      </c>
      <c r="H17" s="597" t="s">
        <v>453</v>
      </c>
      <c r="I17" s="1024"/>
      <c r="J17" s="225" t="str">
        <f>+'24'!J17</f>
        <v>F 12,5 VP OW</v>
      </c>
      <c r="K17" s="240">
        <f>+C34</f>
        <v>41303</v>
      </c>
      <c r="L17" s="240"/>
      <c r="M17" s="128">
        <f>+K17+'24'!M17+L17</f>
        <v>46940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791</v>
      </c>
      <c r="I18" s="1024"/>
      <c r="J18" s="225">
        <f>+'24'!J18</f>
        <v>0</v>
      </c>
      <c r="K18" s="250"/>
      <c r="L18" s="250"/>
      <c r="M18" s="128">
        <f>+K18+'24'!M18+L18</f>
        <v>0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244" t="s">
        <v>777</v>
      </c>
      <c r="I19" s="1024"/>
      <c r="J19" s="225">
        <f>+'24'!J19</f>
        <v>0</v>
      </c>
      <c r="K19" s="250"/>
      <c r="L19" s="250"/>
      <c r="M19" s="128">
        <f>+K19+'24'!M19+L19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 t="s">
        <v>778</v>
      </c>
      <c r="I20" s="1024"/>
      <c r="J20" s="225">
        <f>+'24'!J20</f>
        <v>0</v>
      </c>
      <c r="K20" s="251"/>
      <c r="L20" s="251"/>
      <c r="M20" s="128">
        <f>+K20+'24'!M20+L20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 t="s">
        <v>779</v>
      </c>
      <c r="I21" s="1024"/>
      <c r="J21" s="225">
        <f>+'24'!J21</f>
        <v>0</v>
      </c>
      <c r="K21" s="250"/>
      <c r="L21" s="250"/>
      <c r="M21" s="128">
        <f>+K21+'24'!M21+L21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+'24'!J22</f>
        <v>0</v>
      </c>
      <c r="K22" s="250"/>
      <c r="L22" s="250"/>
      <c r="M22" s="128">
        <f>+K22+'24'!M22+L22</f>
        <v>0</v>
      </c>
    </row>
    <row r="23" spans="1:14" ht="13.5" thickBot="1">
      <c r="A23" s="1027"/>
      <c r="B23" s="179" t="s">
        <v>2</v>
      </c>
      <c r="C23" s="111">
        <f>SUM(C16:C22)</f>
        <v>13471</v>
      </c>
      <c r="D23" s="122">
        <f>SUM(D16:D22)</f>
        <v>0</v>
      </c>
      <c r="E23" s="123">
        <f>SUM(E18:E22)</f>
        <v>0</v>
      </c>
      <c r="F23" s="127">
        <f>SUM(F15:F22)</f>
        <v>14</v>
      </c>
      <c r="G23" s="170"/>
      <c r="H23" s="177" t="s">
        <v>234</v>
      </c>
      <c r="I23" s="180"/>
      <c r="J23" s="225">
        <f>+'24'!J23</f>
        <v>0</v>
      </c>
      <c r="K23" s="250"/>
      <c r="L23" s="250"/>
      <c r="M23" s="128">
        <f>+K23+'24'!M23+L23</f>
        <v>0</v>
      </c>
    </row>
    <row r="24" spans="1:14" ht="13.5" customHeight="1" thickBot="1">
      <c r="A24" s="1020" t="s">
        <v>556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 t="s">
        <v>783</v>
      </c>
      <c r="J24" s="225">
        <f>+'24'!J24</f>
        <v>0</v>
      </c>
      <c r="K24" s="250"/>
      <c r="L24" s="250"/>
      <c r="M24" s="128">
        <f>+K24+'24'!M24+L24</f>
        <v>0</v>
      </c>
    </row>
    <row r="25" spans="1:14" ht="13.5" thickBot="1">
      <c r="A25" s="1028"/>
      <c r="B25" s="226" t="s">
        <v>771</v>
      </c>
      <c r="C25" s="237">
        <v>14586</v>
      </c>
      <c r="D25" s="228"/>
      <c r="E25" s="236"/>
      <c r="F25" s="242">
        <v>8</v>
      </c>
      <c r="G25" s="243" t="s">
        <v>11</v>
      </c>
      <c r="H25" s="241" t="s">
        <v>622</v>
      </c>
      <c r="I25" s="1024"/>
      <c r="J25" s="225">
        <f>+'24'!J25</f>
        <v>0</v>
      </c>
      <c r="K25" s="250"/>
      <c r="L25" s="250"/>
      <c r="M25" s="128">
        <f>+K25+'24'!M25+L25</f>
        <v>0</v>
      </c>
    </row>
    <row r="26" spans="1:14" ht="13.5" thickBot="1">
      <c r="A26" s="1028"/>
      <c r="B26" s="226"/>
      <c r="C26" s="237"/>
      <c r="D26" s="228"/>
      <c r="E26" s="238"/>
      <c r="F26" s="242">
        <v>8</v>
      </c>
      <c r="G26" s="243" t="s">
        <v>11</v>
      </c>
      <c r="H26" s="597" t="s">
        <v>453</v>
      </c>
      <c r="I26" s="1024"/>
      <c r="J26" s="225">
        <f>+'24'!J26</f>
        <v>0</v>
      </c>
      <c r="K26" s="250"/>
      <c r="L26" s="250"/>
      <c r="M26" s="128">
        <f>+K26+'24'!M26+L26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791</v>
      </c>
      <c r="I27" s="1024"/>
      <c r="J27" s="225">
        <f>+'24'!J27</f>
        <v>0</v>
      </c>
      <c r="K27" s="250"/>
      <c r="L27" s="250"/>
      <c r="M27" s="128">
        <f>+K27+'24'!M27+L27</f>
        <v>0</v>
      </c>
    </row>
    <row r="28" spans="1:14" ht="13.5" thickBot="1">
      <c r="A28" s="1028"/>
      <c r="B28" s="226"/>
      <c r="C28" s="227"/>
      <c r="D28" s="228"/>
      <c r="E28" s="236"/>
      <c r="F28" s="242"/>
      <c r="G28" s="243"/>
      <c r="H28" s="244" t="s">
        <v>780</v>
      </c>
      <c r="I28" s="1024"/>
      <c r="J28" s="225">
        <f>+'24'!J28</f>
        <v>0</v>
      </c>
      <c r="K28" s="250"/>
      <c r="L28" s="250"/>
      <c r="M28" s="128">
        <f>+K28+'24'!M28+L28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 t="s">
        <v>781</v>
      </c>
      <c r="I29" s="1024"/>
      <c r="J29" s="225">
        <f>+'24'!J29</f>
        <v>0</v>
      </c>
      <c r="K29" s="250"/>
      <c r="L29" s="250"/>
      <c r="M29" s="128">
        <f>+K29+'24'!M29+L29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+'24'!J30</f>
        <v>0</v>
      </c>
      <c r="K30" s="250"/>
      <c r="L30" s="250"/>
      <c r="M30" s="128">
        <f>+K30+'24'!M30+L30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+'24'!J31</f>
        <v>0</v>
      </c>
      <c r="K31" s="250"/>
      <c r="L31" s="250"/>
      <c r="M31" s="128">
        <f>+K31+'24'!M31+L31</f>
        <v>0</v>
      </c>
    </row>
    <row r="32" spans="1:14" ht="13.5" thickBot="1">
      <c r="A32" s="1029"/>
      <c r="B32" s="176" t="s">
        <v>2</v>
      </c>
      <c r="C32" s="110">
        <f>SUM(C25:C31)</f>
        <v>14586</v>
      </c>
      <c r="D32" s="111">
        <f>SUM(D25:D31)</f>
        <v>0</v>
      </c>
      <c r="E32" s="112">
        <f>SUM(E25:E31)</f>
        <v>0</v>
      </c>
      <c r="F32" s="113">
        <f>SUM(F24:F31)</f>
        <v>26</v>
      </c>
      <c r="G32" s="182"/>
      <c r="H32" s="183"/>
      <c r="I32" s="180"/>
      <c r="J32" s="225">
        <f>+'24'!J32</f>
        <v>0</v>
      </c>
      <c r="K32" s="252"/>
      <c r="L32" s="254"/>
      <c r="M32" s="128">
        <f>+K32+'24'!M32+L32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41303</v>
      </c>
      <c r="D34" s="118">
        <f>D14+D23+D32</f>
        <v>470</v>
      </c>
      <c r="E34" s="118">
        <f>E14+E23+E32</f>
        <v>0</v>
      </c>
      <c r="F34" s="119">
        <f>F14+F23+F32</f>
        <v>124</v>
      </c>
      <c r="H34" s="189"/>
      <c r="I34" s="189"/>
      <c r="J34" s="134" t="s">
        <v>27</v>
      </c>
      <c r="K34" s="135">
        <f>SUM(K7:K32)</f>
        <v>41303</v>
      </c>
      <c r="L34" s="223">
        <f>SUM(L7:L32)</f>
        <v>0</v>
      </c>
      <c r="M34" s="131">
        <f>SUM(M7:M32)</f>
        <v>1352507</v>
      </c>
      <c r="N34" s="166"/>
    </row>
    <row r="35" spans="1:14" ht="13.5" thickBot="1">
      <c r="A35" s="190"/>
      <c r="B35" s="191"/>
      <c r="C35" s="115">
        <f>C34/($C$34+$D$34+$E$34)</f>
        <v>0.98874871328369995</v>
      </c>
      <c r="D35" s="115">
        <f>D34/($C$34+$D$34+$E$34)</f>
        <v>1.1251286716300003E-2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(12.5*1440)/1440*G42*2.77*1440/1000000</f>
        <v>61.071852</v>
      </c>
      <c r="J37" s="136">
        <f>+I37+'24'!J37</f>
        <v>1611.1102002083223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124</v>
      </c>
      <c r="D38" s="129">
        <f>+C38+'24'!D38</f>
        <v>2588</v>
      </c>
      <c r="E38" s="154">
        <f t="shared" ref="E38:E51" si="1">D38/60</f>
        <v>43.133333333333333</v>
      </c>
      <c r="F38" s="340">
        <v>1635</v>
      </c>
      <c r="G38" s="340">
        <v>1242.5999999999999</v>
      </c>
      <c r="H38" s="198" t="s">
        <v>63</v>
      </c>
      <c r="I38" s="555">
        <f>15.357+18.553+18.36</f>
        <v>52.269999999999996</v>
      </c>
      <c r="J38" s="138">
        <f>+I38+'24'!J38</f>
        <v>1446.1020000000001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+C39+'24'!D39</f>
        <v>0</v>
      </c>
      <c r="E39" s="154">
        <f t="shared" si="1"/>
        <v>0</v>
      </c>
      <c r="F39" s="340">
        <v>1600</v>
      </c>
      <c r="G39" s="340">
        <f t="shared" ref="G39:G40" si="2">+F39-F39*0.24</f>
        <v>1216</v>
      </c>
      <c r="H39" s="198" t="s">
        <v>64</v>
      </c>
      <c r="I39" s="153"/>
      <c r="J39" s="140">
        <f>J37/G4</f>
        <v>64.4444080083329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+C40+'24'!D40</f>
        <v>0</v>
      </c>
      <c r="E40" s="154">
        <f t="shared" si="1"/>
        <v>0</v>
      </c>
      <c r="F40" s="340">
        <v>1600</v>
      </c>
      <c r="G40" s="340">
        <f t="shared" si="2"/>
        <v>1216</v>
      </c>
      <c r="H40" s="198" t="s">
        <v>66</v>
      </c>
      <c r="I40" s="129">
        <f>(K34+L34)/1000</f>
        <v>41.302999999999997</v>
      </c>
      <c r="J40" s="142">
        <f>+I40+'24'!J40</f>
        <v>1352.5070000000005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+C41+'24'!D41</f>
        <v>437</v>
      </c>
      <c r="E41" s="154">
        <f t="shared" si="1"/>
        <v>7.2833333333333332</v>
      </c>
      <c r="F41" s="340"/>
      <c r="G41" s="340"/>
      <c r="H41" s="198" t="s">
        <v>68</v>
      </c>
      <c r="I41" s="153"/>
      <c r="J41" s="140">
        <f>J40/G4</f>
        <v>54.100280000000019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+C42+'24'!D42</f>
        <v>0</v>
      </c>
      <c r="E42" s="154">
        <f t="shared" si="1"/>
        <v>0</v>
      </c>
      <c r="F42" s="340">
        <f>+(F38*480+F39*480+F40*480)/1440</f>
        <v>1611.6666666666667</v>
      </c>
      <c r="G42" s="340">
        <f>+(G38*480+G39*480+G40*480)/1440</f>
        <v>1224.8666666666666</v>
      </c>
      <c r="H42" s="198" t="s">
        <v>69</v>
      </c>
      <c r="I42" s="257" t="s">
        <v>784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+C43+'24'!D43</f>
        <v>0</v>
      </c>
      <c r="E43" s="154">
        <f t="shared" si="1"/>
        <v>0</v>
      </c>
      <c r="F43" s="340"/>
      <c r="G43" s="341"/>
      <c r="H43" s="199" t="s">
        <v>72</v>
      </c>
      <c r="I43" s="129">
        <f>+Report1!T33</f>
        <v>127.14699999999999</v>
      </c>
      <c r="J43" s="144">
        <f>+I43+'24'!J43</f>
        <v>3317.6930000000002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+C44+'24'!D44</f>
        <v>38</v>
      </c>
      <c r="E44" s="154">
        <f t="shared" si="1"/>
        <v>0.6333333333333333</v>
      </c>
      <c r="F44" s="340"/>
      <c r="G44" s="341"/>
      <c r="H44" s="199" t="s">
        <v>73</v>
      </c>
      <c r="I44" s="129">
        <f>I43/I38</f>
        <v>2.4325043045724124</v>
      </c>
      <c r="J44" s="145">
        <f>J43/J38</f>
        <v>2.2942316655394985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+C45+'24'!D45</f>
        <v>0</v>
      </c>
      <c r="E45" s="154">
        <f t="shared" si="1"/>
        <v>0</v>
      </c>
      <c r="F45" s="340"/>
      <c r="G45" s="343"/>
      <c r="H45" s="199" t="s">
        <v>74</v>
      </c>
      <c r="I45" s="129">
        <f>I43/I40</f>
        <v>3.0783962424036995</v>
      </c>
      <c r="J45" s="145">
        <f>J43/J40</f>
        <v>2.4529950676780223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+C46+'24'!D46</f>
        <v>0</v>
      </c>
      <c r="E46" s="154">
        <f t="shared" si="1"/>
        <v>0</v>
      </c>
      <c r="F46" s="340"/>
      <c r="G46" s="341"/>
      <c r="H46" s="199" t="s">
        <v>76</v>
      </c>
      <c r="I46" s="151">
        <f>+SUMIF(Listrik!AR32,"&gt;0")</f>
        <v>55168.819999998392</v>
      </c>
      <c r="J46" s="146">
        <f>+I46+'24'!J46</f>
        <v>1403640.7999999989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+C47+'24'!D47</f>
        <v>0</v>
      </c>
      <c r="E47" s="154">
        <f t="shared" si="1"/>
        <v>0</v>
      </c>
      <c r="F47" s="340"/>
      <c r="G47" s="341"/>
      <c r="H47" s="199" t="s">
        <v>79</v>
      </c>
      <c r="I47" s="129">
        <f>I46/I38</f>
        <v>1055.4585804476449</v>
      </c>
      <c r="J47" s="146">
        <f>J46/J38</f>
        <v>970.6374792372867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+C48+'24'!D48</f>
        <v>0</v>
      </c>
      <c r="E48" s="154">
        <f t="shared" si="1"/>
        <v>0</v>
      </c>
      <c r="F48" s="340"/>
      <c r="G48" s="341"/>
      <c r="H48" s="199" t="s">
        <v>80</v>
      </c>
      <c r="I48" s="129">
        <f>I46/I40</f>
        <v>1335.7097547393264</v>
      </c>
      <c r="J48" s="146">
        <f>J46/J40</f>
        <v>1037.8066804829834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+C49+'24'!D49</f>
        <v>233</v>
      </c>
      <c r="E49" s="154">
        <f t="shared" si="1"/>
        <v>3.8833333333333333</v>
      </c>
      <c r="F49" s="196"/>
      <c r="H49" s="199" t="s">
        <v>81</v>
      </c>
      <c r="I49" s="129">
        <v>0</v>
      </c>
      <c r="J49" s="146">
        <f>+I49+'24'!J49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+C50+'24'!D50</f>
        <v>0</v>
      </c>
      <c r="E50" s="154">
        <f t="shared" si="1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+C51+'24'!D51</f>
        <v>0</v>
      </c>
      <c r="E51" s="154">
        <f t="shared" si="1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124</v>
      </c>
      <c r="D52" s="155">
        <f>SUM(D38:D51)</f>
        <v>3296</v>
      </c>
      <c r="E52" s="156">
        <f>SUM(E38:E51)</f>
        <v>54.93333333333333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8.611111111111111E-2</v>
      </c>
      <c r="D53" s="157">
        <f>D52/(24*60*G4)</f>
        <v>9.1555555555555557E-2</v>
      </c>
      <c r="E53" s="158">
        <f>E52/(G4*24)</f>
        <v>9.1555555555555557E-2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+D34+'24'!J56</f>
        <v>21359</v>
      </c>
      <c r="K56" s="212">
        <f>J56/(J40+J56/1000)/1000</f>
        <v>1.5546639919759271E-2</v>
      </c>
    </row>
    <row r="57" spans="1:11">
      <c r="A57" s="187"/>
      <c r="I57" s="210" t="s">
        <v>88</v>
      </c>
      <c r="J57" s="211">
        <f>+E34+'24'!J57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3.5703125" style="160" customWidth="1"/>
    <col min="14" max="16384" width="9.140625" style="160"/>
  </cols>
  <sheetData>
    <row r="1" spans="1:15" ht="15.75">
      <c r="A1" s="159"/>
    </row>
    <row r="2" spans="1:15" ht="15.75">
      <c r="A2" s="159" t="s">
        <v>147</v>
      </c>
    </row>
    <row r="3" spans="1:15" ht="15">
      <c r="A3" s="161"/>
    </row>
    <row r="4" spans="1:15" ht="20.25">
      <c r="A4" s="162" t="s">
        <v>3</v>
      </c>
      <c r="B4" s="163"/>
      <c r="F4" s="164" t="s">
        <v>29</v>
      </c>
      <c r="G4" s="165">
        <v>24</v>
      </c>
      <c r="H4" s="165" t="str">
        <f>+'1'!H4</f>
        <v>.06.24</v>
      </c>
    </row>
    <row r="5" spans="1:15" ht="13.5" thickBot="1">
      <c r="C5" s="166"/>
      <c r="D5" s="166"/>
    </row>
    <row r="6" spans="1:15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195+196+208</f>
        <v>599</v>
      </c>
    </row>
    <row r="7" spans="1:15" ht="13.5" customHeight="1" thickBot="1">
      <c r="A7" s="1020" t="s">
        <v>434</v>
      </c>
      <c r="B7" s="226" t="s">
        <v>603</v>
      </c>
      <c r="C7" s="227">
        <v>19021</v>
      </c>
      <c r="D7" s="228">
        <v>320</v>
      </c>
      <c r="E7" s="229"/>
      <c r="F7" s="239">
        <v>30</v>
      </c>
      <c r="G7" s="240" t="s">
        <v>11</v>
      </c>
      <c r="H7" s="241" t="s">
        <v>459</v>
      </c>
      <c r="I7" s="1023" t="s">
        <v>758</v>
      </c>
      <c r="J7" s="225" t="str">
        <f>+'23'!J7</f>
        <v>MG 14 VP HW</v>
      </c>
      <c r="K7" s="249"/>
      <c r="L7" s="253"/>
      <c r="M7" s="128">
        <f>+K7+'23'!M7+L7</f>
        <v>160441</v>
      </c>
    </row>
    <row r="8" spans="1:15" ht="13.5" thickBot="1">
      <c r="A8" s="1021"/>
      <c r="B8" s="226"/>
      <c r="C8" s="227"/>
      <c r="D8" s="228"/>
      <c r="E8" s="230"/>
      <c r="F8" s="242">
        <v>6</v>
      </c>
      <c r="G8" s="243" t="s">
        <v>11</v>
      </c>
      <c r="H8" s="241" t="s">
        <v>649</v>
      </c>
      <c r="I8" s="1024"/>
      <c r="J8" s="225" t="str">
        <f>+'23'!J8</f>
        <v>MG 17 VP HW</v>
      </c>
      <c r="K8" s="250"/>
      <c r="L8" s="250"/>
      <c r="M8" s="128">
        <f>+K8+'23'!M8+L8</f>
        <v>131048</v>
      </c>
      <c r="N8" s="160">
        <v>1700</v>
      </c>
      <c r="O8" s="160">
        <f>+N8-N8*0.24</f>
        <v>1292</v>
      </c>
    </row>
    <row r="9" spans="1:15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453</v>
      </c>
      <c r="I9" s="1024"/>
      <c r="J9" s="225" t="str">
        <f>+'23'!J9</f>
        <v>MG 16 VP HW/OW</v>
      </c>
      <c r="K9" s="250"/>
      <c r="L9" s="250"/>
      <c r="M9" s="128">
        <f>+K9+'23'!M9+L9</f>
        <v>278646</v>
      </c>
    </row>
    <row r="10" spans="1:15" ht="13.5" thickBot="1">
      <c r="A10" s="1021"/>
      <c r="B10" s="226"/>
      <c r="C10" s="227"/>
      <c r="D10" s="228"/>
      <c r="E10" s="230"/>
      <c r="F10" s="239"/>
      <c r="G10" s="243"/>
      <c r="H10" s="597" t="s">
        <v>754</v>
      </c>
      <c r="I10" s="1024"/>
      <c r="J10" s="225" t="str">
        <f>+'23'!J10</f>
        <v>MG 22 VP HW</v>
      </c>
      <c r="K10" s="250"/>
      <c r="L10" s="250"/>
      <c r="M10" s="128">
        <f>+K10+'23'!M10+L10</f>
        <v>12128</v>
      </c>
    </row>
    <row r="11" spans="1:15" ht="13.5" thickBot="1">
      <c r="A11" s="1021"/>
      <c r="B11" s="226"/>
      <c r="C11" s="227"/>
      <c r="D11" s="228"/>
      <c r="E11" s="230"/>
      <c r="F11" s="239"/>
      <c r="G11" s="243"/>
      <c r="H11" s="244"/>
      <c r="I11" s="1024"/>
      <c r="J11" s="225" t="str">
        <f>+'23'!J11</f>
        <v>MG 24 VP HW</v>
      </c>
      <c r="K11" s="250"/>
      <c r="L11" s="250"/>
      <c r="M11" s="128">
        <f>+K11+'23'!M11+L11</f>
        <v>5566</v>
      </c>
    </row>
    <row r="12" spans="1:15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 t="str">
        <f>+'23'!J12</f>
        <v>MG 20 VP HW</v>
      </c>
      <c r="K12" s="250"/>
      <c r="L12" s="250"/>
      <c r="M12" s="128">
        <f>+K12+'23'!M12+L12</f>
        <v>7726</v>
      </c>
    </row>
    <row r="13" spans="1:15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+'23'!J13</f>
        <v>F 12 VP OW</v>
      </c>
      <c r="K13" s="250">
        <f>+C7+C16+C25</f>
        <v>49802</v>
      </c>
      <c r="L13" s="250"/>
      <c r="M13" s="128">
        <f>+K13+'23'!M13+L13</f>
        <v>188405</v>
      </c>
    </row>
    <row r="14" spans="1:15" ht="13.5" thickBot="1">
      <c r="A14" s="1022"/>
      <c r="B14" s="176" t="s">
        <v>2</v>
      </c>
      <c r="C14" s="110">
        <f>SUM(C7:C13)</f>
        <v>19021</v>
      </c>
      <c r="D14" s="122">
        <f>SUM(D7:D13)</f>
        <v>320</v>
      </c>
      <c r="E14" s="123">
        <f>SUM(E5:E13)</f>
        <v>0</v>
      </c>
      <c r="F14" s="127">
        <f>SUM(F7:F13)</f>
        <v>46</v>
      </c>
      <c r="G14" s="170"/>
      <c r="H14" s="177"/>
      <c r="I14" s="178"/>
      <c r="J14" s="225" t="str">
        <f>+'23'!J14</f>
        <v>F 11,5 VP OW</v>
      </c>
      <c r="K14" s="250"/>
      <c r="L14" s="250"/>
      <c r="M14" s="128">
        <f>+K14+'23'!M14+L14</f>
        <v>242575</v>
      </c>
    </row>
    <row r="15" spans="1:15" ht="13.5" customHeight="1" thickBot="1">
      <c r="A15" s="1020" t="s">
        <v>435</v>
      </c>
      <c r="B15" s="176"/>
      <c r="C15" s="124"/>
      <c r="D15" s="125"/>
      <c r="E15" s="126"/>
      <c r="F15" s="239">
        <v>20</v>
      </c>
      <c r="G15" s="240" t="s">
        <v>11</v>
      </c>
      <c r="H15" s="241" t="s">
        <v>504</v>
      </c>
      <c r="I15" s="1023" t="s">
        <v>758</v>
      </c>
      <c r="J15" s="225" t="str">
        <f>+'23'!J15</f>
        <v>F 10,5 VP OW</v>
      </c>
      <c r="K15" s="250"/>
      <c r="L15" s="250"/>
      <c r="M15" s="128">
        <f>+K15+'23'!M15+L15</f>
        <v>151044</v>
      </c>
      <c r="N15" s="160">
        <v>1700</v>
      </c>
      <c r="O15" s="160">
        <f>+N15-N15*0.24</f>
        <v>1292</v>
      </c>
    </row>
    <row r="16" spans="1:15" ht="13.5" thickBot="1">
      <c r="A16" s="1026"/>
      <c r="B16" s="226" t="s">
        <v>603</v>
      </c>
      <c r="C16" s="233">
        <v>18260</v>
      </c>
      <c r="D16" s="234"/>
      <c r="E16" s="235"/>
      <c r="F16" s="239">
        <v>6</v>
      </c>
      <c r="G16" s="243" t="s">
        <v>11</v>
      </c>
      <c r="H16" s="241" t="s">
        <v>749</v>
      </c>
      <c r="I16" s="1024"/>
      <c r="J16" s="225" t="str">
        <f>+'23'!J16</f>
        <v>F 10,3 VP OW</v>
      </c>
      <c r="K16" s="250"/>
      <c r="L16" s="250"/>
      <c r="M16" s="128">
        <f>+K16+'23'!M16+L16</f>
        <v>127988</v>
      </c>
    </row>
    <row r="17" spans="1:18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455</v>
      </c>
      <c r="I17" s="1024"/>
      <c r="J17" s="225" t="s">
        <v>771</v>
      </c>
      <c r="K17" s="250">
        <f>+C26</f>
        <v>5637</v>
      </c>
      <c r="L17" s="250"/>
      <c r="M17" s="128">
        <f>+K17+'23'!M17+L17</f>
        <v>5637</v>
      </c>
    </row>
    <row r="18" spans="1:18" ht="13.5" thickBot="1">
      <c r="A18" s="1026"/>
      <c r="B18" s="226"/>
      <c r="C18" s="227"/>
      <c r="D18" s="228"/>
      <c r="E18" s="236"/>
      <c r="F18" s="239"/>
      <c r="G18" s="243"/>
      <c r="H18" s="597" t="s">
        <v>754</v>
      </c>
      <c r="I18" s="1024"/>
      <c r="J18" s="225">
        <f>+'23'!J18</f>
        <v>0</v>
      </c>
      <c r="K18" s="250"/>
      <c r="L18" s="250"/>
      <c r="M18" s="128">
        <f>+K18+'23'!M18+L18</f>
        <v>0</v>
      </c>
    </row>
    <row r="19" spans="1:18" ht="26.25" thickBot="1">
      <c r="A19" s="1026"/>
      <c r="B19" s="226"/>
      <c r="C19" s="227"/>
      <c r="D19" s="228"/>
      <c r="E19" s="236" t="s">
        <v>668</v>
      </c>
      <c r="F19" s="246">
        <v>15</v>
      </c>
      <c r="G19" s="243" t="s">
        <v>67</v>
      </c>
      <c r="H19" s="244" t="s">
        <v>763</v>
      </c>
      <c r="I19" s="1024"/>
      <c r="J19" s="225">
        <f>+'23'!J19</f>
        <v>0</v>
      </c>
      <c r="K19" s="250"/>
      <c r="L19" s="250"/>
      <c r="M19" s="128">
        <f>+K19+'23'!M19+L19</f>
        <v>0</v>
      </c>
    </row>
    <row r="20" spans="1:18" ht="13.5" thickBot="1">
      <c r="A20" s="1026"/>
      <c r="B20" s="226"/>
      <c r="C20" s="227"/>
      <c r="D20" s="228"/>
      <c r="E20" s="236"/>
      <c r="F20" s="239"/>
      <c r="G20" s="243"/>
      <c r="H20" s="244" t="s">
        <v>764</v>
      </c>
      <c r="I20" s="1024"/>
      <c r="J20" s="225">
        <f>+'23'!J20</f>
        <v>0</v>
      </c>
      <c r="K20" s="250"/>
      <c r="L20" s="250"/>
      <c r="M20" s="128">
        <f>+K20+'23'!M20+L20</f>
        <v>0</v>
      </c>
    </row>
    <row r="21" spans="1:18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+'23'!J21</f>
        <v>0</v>
      </c>
      <c r="K21" s="250"/>
      <c r="L21" s="250"/>
      <c r="M21" s="128">
        <f>+K21+'23'!M21+L21</f>
        <v>0</v>
      </c>
    </row>
    <row r="22" spans="1:18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+'23'!J22</f>
        <v>0</v>
      </c>
      <c r="K22" s="250"/>
      <c r="L22" s="250"/>
      <c r="M22" s="128">
        <f>+K22+'23'!M22+L22</f>
        <v>0</v>
      </c>
    </row>
    <row r="23" spans="1:18" ht="13.5" thickBot="1">
      <c r="A23" s="1027"/>
      <c r="B23" s="179" t="s">
        <v>2</v>
      </c>
      <c r="C23" s="111">
        <f>SUM(C16:C22)</f>
        <v>18260</v>
      </c>
      <c r="D23" s="122">
        <f>SUM(D16:D22)</f>
        <v>0</v>
      </c>
      <c r="E23" s="123">
        <f>SUM(E18:E22)</f>
        <v>0</v>
      </c>
      <c r="F23" s="127">
        <f>SUM(F15:F22)</f>
        <v>51</v>
      </c>
      <c r="G23" s="170"/>
      <c r="H23" s="177" t="s">
        <v>234</v>
      </c>
      <c r="I23" s="180"/>
      <c r="J23" s="225">
        <f>+'23'!J23</f>
        <v>0</v>
      </c>
      <c r="K23" s="250"/>
      <c r="L23" s="250"/>
      <c r="M23" s="128">
        <f>+K23+'23'!M23+L23</f>
        <v>0</v>
      </c>
    </row>
    <row r="24" spans="1:18" ht="13.5" customHeight="1" thickBot="1">
      <c r="A24" s="1020" t="s">
        <v>556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 t="s">
        <v>768</v>
      </c>
      <c r="J24" s="225">
        <f>+'23'!J24</f>
        <v>0</v>
      </c>
      <c r="K24" s="250"/>
      <c r="L24" s="250"/>
      <c r="M24" s="128">
        <f>+K24+'23'!M24+L24</f>
        <v>0</v>
      </c>
      <c r="N24" s="160">
        <v>1700</v>
      </c>
      <c r="O24" s="160">
        <f t="shared" ref="O24:O25" si="0">+N24-N24*0.24</f>
        <v>1292</v>
      </c>
      <c r="P24" s="160">
        <f>120+23</f>
        <v>143</v>
      </c>
      <c r="Q24" s="160">
        <f>+N24*P24</f>
        <v>243100</v>
      </c>
      <c r="R24" s="160">
        <f>+O24*P24</f>
        <v>184756</v>
      </c>
    </row>
    <row r="25" spans="1:18" ht="13.5" thickBot="1">
      <c r="A25" s="1028"/>
      <c r="B25" s="226" t="s">
        <v>603</v>
      </c>
      <c r="C25" s="237">
        <f>6687+5834</f>
        <v>12521</v>
      </c>
      <c r="D25" s="228"/>
      <c r="E25" s="236"/>
      <c r="F25" s="242">
        <v>13</v>
      </c>
      <c r="G25" s="243" t="s">
        <v>11</v>
      </c>
      <c r="H25" s="241" t="s">
        <v>770</v>
      </c>
      <c r="I25" s="1024"/>
      <c r="J25" s="225">
        <f>+'23'!J25</f>
        <v>0</v>
      </c>
      <c r="K25" s="250"/>
      <c r="L25" s="250"/>
      <c r="M25" s="128">
        <f>+K25+'23'!M25+L25</f>
        <v>0</v>
      </c>
      <c r="N25" s="160">
        <v>1680</v>
      </c>
      <c r="O25" s="160">
        <f t="shared" si="0"/>
        <v>1276.8</v>
      </c>
      <c r="P25" s="160">
        <f>37+300</f>
        <v>337</v>
      </c>
      <c r="Q25" s="160">
        <f>+N25*P25</f>
        <v>566160</v>
      </c>
      <c r="R25" s="160">
        <f>+O25*P25</f>
        <v>430281.6</v>
      </c>
    </row>
    <row r="26" spans="1:18" ht="13.5" thickBot="1">
      <c r="A26" s="1028"/>
      <c r="B26" s="226" t="s">
        <v>771</v>
      </c>
      <c r="C26" s="237">
        <f>18158-C25</f>
        <v>5637</v>
      </c>
      <c r="D26" s="228"/>
      <c r="E26" s="238"/>
      <c r="F26" s="242">
        <v>15</v>
      </c>
      <c r="G26" s="243" t="s">
        <v>11</v>
      </c>
      <c r="H26" s="597" t="s">
        <v>623</v>
      </c>
      <c r="I26" s="1024"/>
      <c r="J26" s="225">
        <f>+'23'!J26</f>
        <v>0</v>
      </c>
      <c r="K26" s="250"/>
      <c r="L26" s="250"/>
      <c r="M26" s="128">
        <f>+K26+'23'!M26+L26</f>
        <v>0</v>
      </c>
      <c r="P26" s="160">
        <f>+P24+P25</f>
        <v>480</v>
      </c>
      <c r="Q26" s="160">
        <f t="shared" ref="Q26:R26" si="1">+Q24+Q25</f>
        <v>809260</v>
      </c>
      <c r="R26" s="160">
        <f t="shared" si="1"/>
        <v>615037.6</v>
      </c>
    </row>
    <row r="27" spans="1:18" ht="13.5" thickBot="1">
      <c r="A27" s="1028"/>
      <c r="B27" s="226"/>
      <c r="C27" s="227"/>
      <c r="D27" s="228"/>
      <c r="E27" s="236"/>
      <c r="F27" s="242"/>
      <c r="G27" s="243"/>
      <c r="H27" s="597" t="s">
        <v>754</v>
      </c>
      <c r="I27" s="1024"/>
      <c r="J27" s="225">
        <f>+'23'!J27</f>
        <v>0</v>
      </c>
      <c r="K27" s="250"/>
      <c r="L27" s="250"/>
      <c r="M27" s="128">
        <f>+K27+'23'!M27+L27</f>
        <v>0</v>
      </c>
      <c r="Q27" s="160">
        <f>+Q26/P26</f>
        <v>1685.9583333333333</v>
      </c>
      <c r="R27" s="160">
        <f>+R26/P26</f>
        <v>1281.3283333333334</v>
      </c>
    </row>
    <row r="28" spans="1:18" ht="13.5" thickBot="1">
      <c r="A28" s="1028"/>
      <c r="B28" s="226"/>
      <c r="C28" s="227"/>
      <c r="D28" s="228"/>
      <c r="E28" s="236"/>
      <c r="F28" s="242"/>
      <c r="G28" s="243"/>
      <c r="H28" s="244" t="s">
        <v>765</v>
      </c>
      <c r="I28" s="1024"/>
      <c r="J28" s="225">
        <f>+'23'!J28</f>
        <v>0</v>
      </c>
      <c r="K28" s="250"/>
      <c r="L28" s="250"/>
      <c r="M28" s="128">
        <f>+K28+'23'!M28+L28</f>
        <v>0</v>
      </c>
    </row>
    <row r="29" spans="1:18" ht="39" thickBot="1">
      <c r="A29" s="1028"/>
      <c r="B29" s="226"/>
      <c r="C29" s="227"/>
      <c r="D29" s="228"/>
      <c r="E29" s="236"/>
      <c r="F29" s="247"/>
      <c r="G29" s="243"/>
      <c r="H29" s="244" t="s">
        <v>766</v>
      </c>
      <c r="I29" s="1024"/>
      <c r="J29" s="225">
        <f>+'23'!J29</f>
        <v>0</v>
      </c>
      <c r="K29" s="250"/>
      <c r="L29" s="250"/>
      <c r="M29" s="128">
        <f>+K29+'23'!M29+L29</f>
        <v>0</v>
      </c>
    </row>
    <row r="30" spans="1:18" ht="13.5" thickBot="1">
      <c r="A30" s="1028"/>
      <c r="B30" s="226"/>
      <c r="C30" s="237"/>
      <c r="D30" s="228"/>
      <c r="E30" s="236"/>
      <c r="F30" s="247"/>
      <c r="G30" s="243"/>
      <c r="H30" s="244" t="s">
        <v>767</v>
      </c>
      <c r="I30" s="1024"/>
      <c r="J30" s="225">
        <f>+'23'!J30</f>
        <v>0</v>
      </c>
      <c r="K30" s="250"/>
      <c r="L30" s="250"/>
      <c r="M30" s="128">
        <f>+K30+'23'!M30+L30</f>
        <v>0</v>
      </c>
      <c r="N30" s="166"/>
    </row>
    <row r="31" spans="1:18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+'23'!J31</f>
        <v>0</v>
      </c>
      <c r="K31" s="250"/>
      <c r="L31" s="250"/>
      <c r="M31" s="128">
        <f>+K31+'23'!M31+L31</f>
        <v>0</v>
      </c>
    </row>
    <row r="32" spans="1:18" ht="13.5" thickBot="1">
      <c r="A32" s="1029"/>
      <c r="B32" s="176" t="s">
        <v>2</v>
      </c>
      <c r="C32" s="110">
        <f>SUM(C25:C31)</f>
        <v>18158</v>
      </c>
      <c r="D32" s="111">
        <f>SUM(D25:D31)</f>
        <v>0</v>
      </c>
      <c r="E32" s="112">
        <f>SUM(E25:E31)</f>
        <v>0</v>
      </c>
      <c r="F32" s="113">
        <f>SUM(F24:F31)</f>
        <v>38</v>
      </c>
      <c r="G32" s="182"/>
      <c r="H32" s="183"/>
      <c r="I32" s="180"/>
      <c r="J32" s="225">
        <f>+'23'!J32</f>
        <v>0</v>
      </c>
      <c r="K32" s="252"/>
      <c r="L32" s="254"/>
      <c r="M32" s="128">
        <f>+K32+'23'!M32+L32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55439</v>
      </c>
      <c r="D34" s="118">
        <f>D14+D23+D32</f>
        <v>320</v>
      </c>
      <c r="E34" s="118">
        <f>E14+E23+E32</f>
        <v>0</v>
      </c>
      <c r="F34" s="119">
        <f>F14+F23+F32</f>
        <v>135</v>
      </c>
      <c r="H34" s="189"/>
      <c r="I34" s="189"/>
      <c r="J34" s="134" t="s">
        <v>27</v>
      </c>
      <c r="K34" s="135">
        <f>SUM(K7:K32)</f>
        <v>55439</v>
      </c>
      <c r="L34" s="223">
        <f>SUM(L7:L32)</f>
        <v>0</v>
      </c>
      <c r="M34" s="131">
        <f>SUM(M7:M32)</f>
        <v>1311204</v>
      </c>
      <c r="N34" s="166"/>
    </row>
    <row r="35" spans="1:14" ht="13.5" thickBot="1">
      <c r="A35" s="190"/>
      <c r="B35" s="191"/>
      <c r="C35" s="115">
        <f>C34/($C$34+$D$34+$E$34)</f>
        <v>0.99426101615882634</v>
      </c>
      <c r="D35" s="115">
        <f>D34/($C$34+$D$34+$E$34)</f>
        <v>5.7389838411736225E-3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(12*1103+12.5*337)/1440*G42*2.77*1440/1000000</f>
        <v>62.273460848313889</v>
      </c>
      <c r="J37" s="136">
        <f>+I37+'23'!J37</f>
        <v>1550.0383482083223</v>
      </c>
      <c r="K37" s="137" t="s">
        <v>62</v>
      </c>
      <c r="L37" s="160">
        <f>16.646+17.522+2.934+2.934+2.934</f>
        <v>42.969999999999992</v>
      </c>
    </row>
    <row r="38" spans="1:14" ht="17.45" customHeight="1">
      <c r="A38" s="1034" t="s">
        <v>11</v>
      </c>
      <c r="B38" s="1035"/>
      <c r="C38" s="175">
        <f>SUMIF($G$7:$G$31,"Process",$F$7:$F$31)</f>
        <v>120</v>
      </c>
      <c r="D38" s="129">
        <f>+C38+'23'!D38</f>
        <v>2464</v>
      </c>
      <c r="E38" s="154">
        <f t="shared" ref="E38:E51" si="2">D38/60</f>
        <v>41.06666666666667</v>
      </c>
      <c r="F38" s="340">
        <v>1700</v>
      </c>
      <c r="G38" s="340">
        <f>+F38-F38*0.24</f>
        <v>1292</v>
      </c>
      <c r="H38" s="198" t="s">
        <v>63</v>
      </c>
      <c r="I38" s="555">
        <f>16.646+17.522+19.206</f>
        <v>53.373999999999995</v>
      </c>
      <c r="J38" s="138">
        <f>+I38+'23'!J38</f>
        <v>1393.8320000000001</v>
      </c>
      <c r="K38" s="139" t="s">
        <v>62</v>
      </c>
      <c r="L38" s="565">
        <f>+I38-L37</f>
        <v>10.404000000000003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+C39+'23'!D39</f>
        <v>0</v>
      </c>
      <c r="E39" s="154">
        <f t="shared" si="2"/>
        <v>0</v>
      </c>
      <c r="F39" s="340">
        <v>1700</v>
      </c>
      <c r="G39" s="340">
        <f>+F39-F39*0.24</f>
        <v>1292</v>
      </c>
      <c r="H39" s="198" t="s">
        <v>64</v>
      </c>
      <c r="I39" s="153"/>
      <c r="J39" s="140">
        <f>J37/G4</f>
        <v>64.584931175346767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+C40+'23'!D40</f>
        <v>0</v>
      </c>
      <c r="E40" s="154">
        <f t="shared" si="2"/>
        <v>0</v>
      </c>
      <c r="F40" s="340">
        <v>1685.9583333333333</v>
      </c>
      <c r="G40" s="340">
        <v>1281.3283333333334</v>
      </c>
      <c r="H40" s="198" t="s">
        <v>66</v>
      </c>
      <c r="I40" s="129">
        <f>(K34+L34)/1000</f>
        <v>55.439</v>
      </c>
      <c r="J40" s="142">
        <f>+I40+'23'!J40</f>
        <v>1311.2040000000004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15</v>
      </c>
      <c r="D41" s="129">
        <f>+C41+'23'!D41</f>
        <v>437</v>
      </c>
      <c r="E41" s="154">
        <f t="shared" si="2"/>
        <v>7.2833333333333332</v>
      </c>
      <c r="F41" s="340"/>
      <c r="G41" s="340"/>
      <c r="H41" s="198" t="s">
        <v>68</v>
      </c>
      <c r="I41" s="153"/>
      <c r="J41" s="140">
        <f>J40/G4</f>
        <v>54.633500000000019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+C42+'23'!D42</f>
        <v>0</v>
      </c>
      <c r="E42" s="154">
        <f t="shared" si="2"/>
        <v>0</v>
      </c>
      <c r="F42" s="340">
        <f>+(F38*480+F39*480+F40*480)/1440</f>
        <v>1695.3194444444443</v>
      </c>
      <c r="G42" s="340">
        <f>+(G38*480+G39*480+G40*480)/1440</f>
        <v>1288.4427777777778</v>
      </c>
      <c r="H42" s="198" t="s">
        <v>69</v>
      </c>
      <c r="I42" s="257" t="s">
        <v>769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+C43+'23'!D43</f>
        <v>0</v>
      </c>
      <c r="E43" s="154">
        <f t="shared" si="2"/>
        <v>0</v>
      </c>
      <c r="F43" s="340"/>
      <c r="G43" s="341"/>
      <c r="H43" s="199" t="s">
        <v>72</v>
      </c>
      <c r="I43" s="129">
        <f>+Report1!T32</f>
        <v>128.89099999999999</v>
      </c>
      <c r="J43" s="144">
        <f>+I43+'23'!J43</f>
        <v>3190.5460000000003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+C44+'23'!D44</f>
        <v>38</v>
      </c>
      <c r="E44" s="154">
        <f t="shared" si="2"/>
        <v>0.6333333333333333</v>
      </c>
      <c r="F44" s="340"/>
      <c r="G44" s="341"/>
      <c r="H44" s="199" t="s">
        <v>73</v>
      </c>
      <c r="I44" s="129">
        <f>I43/I38</f>
        <v>2.4148649155019299</v>
      </c>
      <c r="J44" s="145">
        <f>J43/J38</f>
        <v>2.2890463126115628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+C45+'23'!D45</f>
        <v>0</v>
      </c>
      <c r="E45" s="154">
        <f t="shared" si="2"/>
        <v>0</v>
      </c>
      <c r="F45" s="340"/>
      <c r="G45" s="343"/>
      <c r="H45" s="199" t="s">
        <v>74</v>
      </c>
      <c r="I45" s="129">
        <f>I43/I40</f>
        <v>2.3249156730821263</v>
      </c>
      <c r="J45" s="145">
        <f>J43/J40</f>
        <v>2.433294895378598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+C46+'23'!D46</f>
        <v>0</v>
      </c>
      <c r="E46" s="154">
        <f t="shared" si="2"/>
        <v>0</v>
      </c>
      <c r="F46" s="340"/>
      <c r="G46" s="341"/>
      <c r="H46" s="199" t="s">
        <v>76</v>
      </c>
      <c r="I46" s="151">
        <f>+SUMIF(Listrik!AR31,"&gt;0")</f>
        <v>57465.700000002726</v>
      </c>
      <c r="J46" s="146">
        <f>+I46+'23'!J46</f>
        <v>1348471.9800000004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+C47+'23'!D47</f>
        <v>0</v>
      </c>
      <c r="E47" s="154">
        <f t="shared" si="2"/>
        <v>0</v>
      </c>
      <c r="F47" s="340"/>
      <c r="G47" s="341"/>
      <c r="H47" s="199" t="s">
        <v>79</v>
      </c>
      <c r="I47" s="129">
        <f>I46/I38</f>
        <v>1076.6609210477523</v>
      </c>
      <c r="J47" s="146">
        <f>J46/J38</f>
        <v>967.4566088309067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+C48+'23'!D48</f>
        <v>0</v>
      </c>
      <c r="E48" s="154">
        <f t="shared" si="2"/>
        <v>0</v>
      </c>
      <c r="F48" s="340"/>
      <c r="G48" s="341"/>
      <c r="H48" s="199" t="s">
        <v>80</v>
      </c>
      <c r="I48" s="129">
        <f>I46/I40</f>
        <v>1036.5572972095947</v>
      </c>
      <c r="J48" s="146">
        <f>J46/J40</f>
        <v>1028.4227168312482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+C49+'23'!D49</f>
        <v>233</v>
      </c>
      <c r="E49" s="154">
        <f t="shared" si="2"/>
        <v>3.8833333333333333</v>
      </c>
      <c r="F49" s="196"/>
      <c r="H49" s="199" t="s">
        <v>81</v>
      </c>
      <c r="I49" s="129">
        <v>0</v>
      </c>
      <c r="J49" s="146">
        <f>+I49+'23'!J49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+C50+'23'!D50</f>
        <v>0</v>
      </c>
      <c r="E50" s="154">
        <f t="shared" si="2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+C51+'23'!D51</f>
        <v>0</v>
      </c>
      <c r="E51" s="154">
        <f t="shared" si="2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135</v>
      </c>
      <c r="D52" s="155">
        <f>SUM(D38:D51)</f>
        <v>3172</v>
      </c>
      <c r="E52" s="156">
        <f>SUM(E38:E51)</f>
        <v>52.866666666666667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9.375E-2</v>
      </c>
      <c r="D53" s="157">
        <f>D52/(24*60*G4)</f>
        <v>9.178240740740741E-2</v>
      </c>
      <c r="E53" s="158">
        <f>E52/(G4*24)</f>
        <v>9.178240740740741E-2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+D34+'23'!J56</f>
        <v>20889</v>
      </c>
      <c r="K56" s="212">
        <f>J56/(J40+J56/1000)/1000</f>
        <v>1.5681337564269159E-2</v>
      </c>
    </row>
    <row r="57" spans="1:11">
      <c r="A57" s="187"/>
      <c r="I57" s="210" t="s">
        <v>88</v>
      </c>
      <c r="J57" s="211">
        <f>+E34+'23'!J57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61"/>
  <sheetViews>
    <sheetView topLeftCell="A16" zoomScale="80" zoomScaleNormal="80" workbookViewId="0">
      <selection activeCell="A7" sqref="A7:A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3.7109375" style="160" customWidth="1"/>
    <col min="14" max="16384" width="9.140625" style="160"/>
  </cols>
  <sheetData>
    <row r="1" spans="1:16" ht="15.75">
      <c r="A1" s="159"/>
    </row>
    <row r="2" spans="1:16" ht="15.75">
      <c r="A2" s="159" t="s">
        <v>147</v>
      </c>
    </row>
    <row r="3" spans="1:16" ht="15">
      <c r="A3" s="161"/>
    </row>
    <row r="4" spans="1:16" ht="20.25">
      <c r="A4" s="162" t="s">
        <v>3</v>
      </c>
      <c r="B4" s="163"/>
      <c r="F4" s="164" t="s">
        <v>29</v>
      </c>
      <c r="G4" s="165">
        <v>23</v>
      </c>
      <c r="H4" s="165" t="str">
        <f>+'1'!H4</f>
        <v>.06.24</v>
      </c>
    </row>
    <row r="5" spans="1:16" ht="13.5" thickBot="1">
      <c r="C5" s="166"/>
      <c r="D5" s="166"/>
    </row>
    <row r="6" spans="1:16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205+206+271</f>
        <v>682</v>
      </c>
    </row>
    <row r="7" spans="1:16" ht="13.5" customHeight="1" thickBot="1">
      <c r="A7" s="1020" t="s">
        <v>434</v>
      </c>
      <c r="B7" s="226" t="s">
        <v>603</v>
      </c>
      <c r="C7" s="227">
        <v>12963</v>
      </c>
      <c r="D7" s="228"/>
      <c r="E7" s="229"/>
      <c r="F7" s="239">
        <v>30</v>
      </c>
      <c r="G7" s="240" t="s">
        <v>11</v>
      </c>
      <c r="H7" s="241" t="s">
        <v>459</v>
      </c>
      <c r="I7" s="1023" t="s">
        <v>746</v>
      </c>
      <c r="J7" s="225" t="str">
        <f>+'22'!J7</f>
        <v>MG 14 VP HW</v>
      </c>
      <c r="K7" s="249"/>
      <c r="L7" s="253"/>
      <c r="M7" s="128">
        <f>+K7+'22'!M7+L7</f>
        <v>160441</v>
      </c>
    </row>
    <row r="8" spans="1:16" ht="13.5" thickBot="1">
      <c r="A8" s="1021"/>
      <c r="B8" s="226"/>
      <c r="C8" s="227"/>
      <c r="D8" s="228"/>
      <c r="E8" s="230"/>
      <c r="F8" s="242">
        <v>10</v>
      </c>
      <c r="G8" s="243" t="s">
        <v>11</v>
      </c>
      <c r="H8" s="241" t="s">
        <v>602</v>
      </c>
      <c r="I8" s="1024"/>
      <c r="J8" s="225" t="str">
        <f>+'22'!J8</f>
        <v>MG 17 VP HW</v>
      </c>
      <c r="K8" s="250"/>
      <c r="L8" s="250"/>
      <c r="M8" s="128">
        <f>+K8+'22'!M8+L8</f>
        <v>131048</v>
      </c>
      <c r="N8" s="160">
        <v>1680</v>
      </c>
      <c r="O8" s="160">
        <f t="shared" ref="O8:O9" si="0">+N8-N8*0.24</f>
        <v>1276.8</v>
      </c>
      <c r="P8" s="160">
        <v>480</v>
      </c>
    </row>
    <row r="9" spans="1:16" ht="13.5" thickBot="1">
      <c r="A9" s="1021"/>
      <c r="B9" s="226"/>
      <c r="C9" s="227"/>
      <c r="D9" s="228"/>
      <c r="E9" s="231"/>
      <c r="F9" s="239">
        <v>11</v>
      </c>
      <c r="G9" s="243" t="s">
        <v>11</v>
      </c>
      <c r="H9" s="597" t="s">
        <v>576</v>
      </c>
      <c r="I9" s="1024"/>
      <c r="J9" s="225" t="str">
        <f>+'22'!J9</f>
        <v>MG 16 VP HW/OW</v>
      </c>
      <c r="K9" s="250"/>
      <c r="L9" s="250"/>
      <c r="M9" s="128">
        <f>+K9+'22'!M9+L9</f>
        <v>278646</v>
      </c>
      <c r="N9" s="160">
        <v>1700</v>
      </c>
      <c r="O9" s="160">
        <f t="shared" si="0"/>
        <v>1292</v>
      </c>
      <c r="P9" s="160">
        <v>480</v>
      </c>
    </row>
    <row r="10" spans="1:16" ht="13.5" thickBot="1">
      <c r="A10" s="1021"/>
      <c r="B10" s="226"/>
      <c r="C10" s="227"/>
      <c r="D10" s="228"/>
      <c r="E10" s="230"/>
      <c r="F10" s="239"/>
      <c r="G10" s="243"/>
      <c r="H10" s="597" t="s">
        <v>745</v>
      </c>
      <c r="I10" s="1024"/>
      <c r="J10" s="225" t="str">
        <f>+'22'!J10</f>
        <v>MG 22 VP HW</v>
      </c>
      <c r="K10" s="250"/>
      <c r="L10" s="250"/>
      <c r="M10" s="128">
        <f>+K10+'22'!M10+L10</f>
        <v>12128</v>
      </c>
      <c r="N10" s="160">
        <v>1700</v>
      </c>
      <c r="O10" s="160">
        <f>+N10-N10*0.24</f>
        <v>1292</v>
      </c>
      <c r="P10" s="160">
        <v>480</v>
      </c>
    </row>
    <row r="11" spans="1:16" ht="13.5" thickBot="1">
      <c r="A11" s="1021"/>
      <c r="B11" s="226"/>
      <c r="C11" s="227"/>
      <c r="D11" s="228"/>
      <c r="E11" s="230"/>
      <c r="F11" s="239"/>
      <c r="G11" s="243"/>
      <c r="H11" s="244" t="s">
        <v>752</v>
      </c>
      <c r="I11" s="1024"/>
      <c r="J11" s="225" t="str">
        <f>+'22'!J11</f>
        <v>MG 24 VP HW</v>
      </c>
      <c r="K11" s="250"/>
      <c r="L11" s="250"/>
      <c r="M11" s="128">
        <f>+K11+'22'!M11+L11</f>
        <v>5566</v>
      </c>
    </row>
    <row r="12" spans="1:16" ht="13.5" thickBot="1">
      <c r="A12" s="1021"/>
      <c r="B12" s="226"/>
      <c r="C12" s="227"/>
      <c r="D12" s="228"/>
      <c r="E12" s="230"/>
      <c r="F12" s="239"/>
      <c r="G12" s="243"/>
      <c r="H12" s="244" t="s">
        <v>753</v>
      </c>
      <c r="I12" s="1024"/>
      <c r="J12" s="225" t="str">
        <f>+'22'!J12</f>
        <v>MG 20 VP HW</v>
      </c>
      <c r="K12" s="250"/>
      <c r="L12" s="250"/>
      <c r="M12" s="128">
        <f>+K12+'22'!M12+L12</f>
        <v>7726</v>
      </c>
    </row>
    <row r="13" spans="1:16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+'22'!J13</f>
        <v>F 12 VP OW</v>
      </c>
      <c r="K13" s="250">
        <f>+C34</f>
        <v>42928</v>
      </c>
      <c r="L13" s="250"/>
      <c r="M13" s="128">
        <f>+K13+'22'!M13+L13</f>
        <v>138603</v>
      </c>
    </row>
    <row r="14" spans="1:16" ht="13.5" thickBot="1">
      <c r="A14" s="1022"/>
      <c r="B14" s="176" t="s">
        <v>2</v>
      </c>
      <c r="C14" s="110">
        <f>SUM(C7:C13)</f>
        <v>12963</v>
      </c>
      <c r="D14" s="122">
        <f>SUM(D7:D13)</f>
        <v>0</v>
      </c>
      <c r="E14" s="123">
        <f>SUM(E5:E13)</f>
        <v>0</v>
      </c>
      <c r="F14" s="127">
        <f>SUM(F7:F13)</f>
        <v>51</v>
      </c>
      <c r="G14" s="170"/>
      <c r="H14" s="177"/>
      <c r="I14" s="178"/>
      <c r="J14" s="225" t="str">
        <f>+'22'!J14</f>
        <v>F 11,5 VP OW</v>
      </c>
      <c r="K14" s="250"/>
      <c r="L14" s="250"/>
      <c r="M14" s="128">
        <f>+K14+'22'!M14+L14</f>
        <v>242575</v>
      </c>
    </row>
    <row r="15" spans="1:16" ht="13.5" customHeight="1" thickBot="1">
      <c r="A15" s="1020" t="s">
        <v>435</v>
      </c>
      <c r="B15" s="176"/>
      <c r="C15" s="124"/>
      <c r="D15" s="125"/>
      <c r="E15" s="126"/>
      <c r="F15" s="239">
        <v>35</v>
      </c>
      <c r="G15" s="240" t="s">
        <v>11</v>
      </c>
      <c r="H15" s="241" t="s">
        <v>538</v>
      </c>
      <c r="I15" s="1023" t="s">
        <v>758</v>
      </c>
      <c r="J15" s="225" t="str">
        <f>+'22'!J15</f>
        <v>F 10,5 VP OW</v>
      </c>
      <c r="K15" s="250"/>
      <c r="L15" s="250"/>
      <c r="M15" s="128">
        <f>+K15+'22'!M15+L15</f>
        <v>151044</v>
      </c>
    </row>
    <row r="16" spans="1:16" ht="13.5" thickBot="1">
      <c r="A16" s="1026"/>
      <c r="B16" s="226" t="s">
        <v>603</v>
      </c>
      <c r="C16" s="233">
        <v>12817</v>
      </c>
      <c r="D16" s="234"/>
      <c r="E16" s="235"/>
      <c r="F16" s="239">
        <v>5</v>
      </c>
      <c r="G16" s="243" t="s">
        <v>11</v>
      </c>
      <c r="H16" s="241" t="s">
        <v>602</v>
      </c>
      <c r="I16" s="1024"/>
      <c r="J16" s="225" t="str">
        <f>+'22'!J16</f>
        <v>F 10,3 VP OW</v>
      </c>
      <c r="K16" s="250"/>
      <c r="L16" s="240"/>
      <c r="M16" s="128">
        <f>+K16+'22'!M16+L16</f>
        <v>127988</v>
      </c>
    </row>
    <row r="17" spans="1:23" ht="13.5" thickBot="1">
      <c r="A17" s="1026"/>
      <c r="B17" s="226"/>
      <c r="C17" s="227"/>
      <c r="D17" s="228"/>
      <c r="E17" s="236"/>
      <c r="F17" s="239">
        <v>11</v>
      </c>
      <c r="G17" s="243" t="s">
        <v>11</v>
      </c>
      <c r="H17" s="597" t="s">
        <v>453</v>
      </c>
      <c r="I17" s="1024"/>
      <c r="J17" s="225">
        <f>+'22'!J17</f>
        <v>0</v>
      </c>
      <c r="K17" s="250"/>
      <c r="L17" s="240"/>
      <c r="M17" s="128">
        <f>+K17+'22'!M17+L17</f>
        <v>0</v>
      </c>
    </row>
    <row r="18" spans="1:23" ht="13.5" thickBot="1">
      <c r="A18" s="1026"/>
      <c r="B18" s="226"/>
      <c r="C18" s="227"/>
      <c r="D18" s="228"/>
      <c r="E18" s="236"/>
      <c r="F18" s="239"/>
      <c r="G18" s="243"/>
      <c r="H18" s="597" t="s">
        <v>754</v>
      </c>
      <c r="I18" s="1024"/>
      <c r="J18" s="225">
        <f>+'22'!J18</f>
        <v>0</v>
      </c>
      <c r="K18" s="250"/>
      <c r="L18" s="250"/>
      <c r="M18" s="128">
        <f>+K18+'22'!M18+L18</f>
        <v>0</v>
      </c>
    </row>
    <row r="19" spans="1:23" ht="13.5" thickBot="1">
      <c r="A19" s="1026"/>
      <c r="B19" s="226"/>
      <c r="C19" s="227"/>
      <c r="D19" s="228"/>
      <c r="E19" s="236"/>
      <c r="F19" s="246"/>
      <c r="G19" s="243"/>
      <c r="H19" s="244" t="s">
        <v>755</v>
      </c>
      <c r="I19" s="1024"/>
      <c r="J19" s="225">
        <f>+'22'!J19</f>
        <v>0</v>
      </c>
      <c r="K19" s="250"/>
      <c r="L19" s="250"/>
      <c r="M19" s="128">
        <f>+K19+'22'!M19+L19</f>
        <v>0</v>
      </c>
    </row>
    <row r="20" spans="1:23" ht="13.5" thickBot="1">
      <c r="A20" s="1026"/>
      <c r="B20" s="226"/>
      <c r="C20" s="227"/>
      <c r="D20" s="228"/>
      <c r="E20" s="236"/>
      <c r="F20" s="239"/>
      <c r="G20" s="243"/>
      <c r="H20" s="244" t="s">
        <v>756</v>
      </c>
      <c r="I20" s="1024"/>
      <c r="J20" s="225">
        <f>+'22'!J20</f>
        <v>0</v>
      </c>
      <c r="K20" s="250"/>
      <c r="L20" s="251"/>
      <c r="M20" s="128">
        <f>+K20+'22'!M20+L20</f>
        <v>0</v>
      </c>
    </row>
    <row r="21" spans="1:23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+'22'!J21</f>
        <v>0</v>
      </c>
      <c r="K21" s="250"/>
      <c r="L21" s="250"/>
      <c r="M21" s="128">
        <f>+K21+'22'!M21+L21</f>
        <v>0</v>
      </c>
    </row>
    <row r="22" spans="1:23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+'22'!J22</f>
        <v>0</v>
      </c>
      <c r="K22" s="250"/>
      <c r="L22" s="250"/>
      <c r="M22" s="128">
        <f>+K22+'22'!M22+L22</f>
        <v>0</v>
      </c>
    </row>
    <row r="23" spans="1:23" ht="13.5" thickBot="1">
      <c r="A23" s="1027"/>
      <c r="B23" s="179" t="s">
        <v>2</v>
      </c>
      <c r="C23" s="111">
        <f>SUM(C16:C22)</f>
        <v>12817</v>
      </c>
      <c r="D23" s="122">
        <f>SUM(D16:D22)</f>
        <v>0</v>
      </c>
      <c r="E23" s="123">
        <f>SUM(E18:E22)</f>
        <v>0</v>
      </c>
      <c r="F23" s="127">
        <f>SUM(F15:F22)</f>
        <v>51</v>
      </c>
      <c r="G23" s="170"/>
      <c r="H23" s="177" t="s">
        <v>234</v>
      </c>
      <c r="I23" s="180"/>
      <c r="J23" s="225">
        <f>+'22'!J23</f>
        <v>0</v>
      </c>
      <c r="K23" s="250"/>
      <c r="L23" s="250"/>
      <c r="M23" s="128">
        <f>+K23+'22'!M23+L23</f>
        <v>0</v>
      </c>
    </row>
    <row r="24" spans="1:23" ht="13.5" customHeight="1" thickBot="1">
      <c r="A24" s="1020" t="s">
        <v>605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 t="s">
        <v>758</v>
      </c>
      <c r="J24" s="225">
        <f>+'22'!J24</f>
        <v>0</v>
      </c>
      <c r="K24" s="250"/>
      <c r="L24" s="250"/>
      <c r="M24" s="128">
        <f>+K24+'22'!M24+L24</f>
        <v>0</v>
      </c>
    </row>
    <row r="25" spans="1:23" ht="13.5" thickBot="1">
      <c r="A25" s="1028"/>
      <c r="B25" s="226" t="s">
        <v>603</v>
      </c>
      <c r="C25" s="237">
        <v>17148</v>
      </c>
      <c r="D25" s="228">
        <v>780</v>
      </c>
      <c r="E25" s="236"/>
      <c r="F25" s="242">
        <v>7</v>
      </c>
      <c r="G25" s="243" t="s">
        <v>11</v>
      </c>
      <c r="H25" s="241" t="s">
        <v>622</v>
      </c>
      <c r="I25" s="1024"/>
      <c r="J25" s="225">
        <f>+'22'!J25</f>
        <v>0</v>
      </c>
      <c r="K25" s="250"/>
      <c r="L25" s="250"/>
      <c r="M25" s="128">
        <f>+K25+'22'!M25+L25</f>
        <v>0</v>
      </c>
    </row>
    <row r="26" spans="1:23" ht="13.5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455</v>
      </c>
      <c r="I26" s="1024"/>
      <c r="J26" s="225">
        <f>+'22'!J26</f>
        <v>0</v>
      </c>
      <c r="K26" s="250"/>
      <c r="L26" s="250"/>
      <c r="M26" s="128">
        <f>+K26+'22'!M26+L26</f>
        <v>0</v>
      </c>
    </row>
    <row r="27" spans="1:23" ht="13.5" thickBot="1">
      <c r="A27" s="1028"/>
      <c r="B27" s="226"/>
      <c r="C27" s="227"/>
      <c r="D27" s="228"/>
      <c r="E27" s="236"/>
      <c r="F27" s="242"/>
      <c r="G27" s="243"/>
      <c r="H27" s="597" t="s">
        <v>754</v>
      </c>
      <c r="I27" s="1024"/>
      <c r="J27" s="225">
        <f>+'22'!J27</f>
        <v>0</v>
      </c>
      <c r="K27" s="250"/>
      <c r="L27" s="250"/>
      <c r="M27" s="128">
        <f>+K27+'22'!M27+L27</f>
        <v>0</v>
      </c>
      <c r="N27" s="192" t="s">
        <v>92</v>
      </c>
      <c r="O27" s="605" t="s">
        <v>437</v>
      </c>
      <c r="P27" s="605" t="s">
        <v>437</v>
      </c>
      <c r="Q27" s="605" t="s">
        <v>438</v>
      </c>
      <c r="R27" s="605" t="s">
        <v>439</v>
      </c>
      <c r="S27" s="605" t="s">
        <v>440</v>
      </c>
      <c r="T27" s="605" t="s">
        <v>441</v>
      </c>
      <c r="U27" s="606" t="s">
        <v>442</v>
      </c>
      <c r="V27" s="605" t="s">
        <v>443</v>
      </c>
      <c r="W27" s="605" t="s">
        <v>444</v>
      </c>
    </row>
    <row r="28" spans="1:23" ht="13.5" thickBot="1">
      <c r="A28" s="1028"/>
      <c r="B28" s="226"/>
      <c r="C28" s="227"/>
      <c r="D28" s="228"/>
      <c r="E28" s="236"/>
      <c r="F28" s="242">
        <v>18</v>
      </c>
      <c r="G28" s="243" t="s">
        <v>67</v>
      </c>
      <c r="H28" s="244" t="s">
        <v>760</v>
      </c>
      <c r="I28" s="1024"/>
      <c r="J28" s="225">
        <f>+'22'!J28</f>
        <v>0</v>
      </c>
      <c r="K28" s="250"/>
      <c r="L28" s="250"/>
      <c r="M28" s="128">
        <f>+K28+'22'!M28+L28</f>
        <v>0</v>
      </c>
      <c r="N28" s="607">
        <v>12</v>
      </c>
      <c r="O28" s="210">
        <v>1700</v>
      </c>
      <c r="P28" s="210">
        <v>1700</v>
      </c>
      <c r="Q28" s="210">
        <f>+P28-P28*0.24</f>
        <v>1292</v>
      </c>
      <c r="R28" s="608">
        <f>1-(Q28/P28)</f>
        <v>0.24</v>
      </c>
      <c r="S28" s="609">
        <v>18</v>
      </c>
      <c r="T28" s="610">
        <f>+'Trim Rwd'!H81</f>
        <v>262.5</v>
      </c>
      <c r="U28" s="611">
        <f>(O28*(1-R28)*N28*T28*S28)/100000000</f>
        <v>0.73256399999999999</v>
      </c>
      <c r="V28" s="612">
        <f>+C35/1000</f>
        <v>9.8215429669625703E-4</v>
      </c>
      <c r="W28" s="613">
        <f>SUM(V28:V30)/SUM(U28:U30)</f>
        <v>6.7152910689464323E-4</v>
      </c>
    </row>
    <row r="29" spans="1:23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+'22'!J29</f>
        <v>0</v>
      </c>
      <c r="K29" s="250"/>
      <c r="L29" s="250"/>
      <c r="M29" s="128">
        <f>+K29+'22'!M29+L29</f>
        <v>0</v>
      </c>
      <c r="U29" s="160">
        <v>0.73</v>
      </c>
    </row>
    <row r="30" spans="1:23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+'22'!J30</f>
        <v>0</v>
      </c>
      <c r="K30" s="250"/>
      <c r="L30" s="250"/>
      <c r="M30" s="128">
        <f>+K30+'22'!M30+L30</f>
        <v>0</v>
      </c>
      <c r="N30" s="166"/>
    </row>
    <row r="31" spans="1:23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+'22'!J31</f>
        <v>0</v>
      </c>
      <c r="K31" s="250"/>
      <c r="L31" s="250"/>
      <c r="M31" s="128">
        <f>+K31+'22'!M31+L31</f>
        <v>0</v>
      </c>
    </row>
    <row r="32" spans="1:23" ht="13.5" thickBot="1">
      <c r="A32" s="1029"/>
      <c r="B32" s="176" t="s">
        <v>2</v>
      </c>
      <c r="C32" s="110">
        <f>SUM(C25:C31)</f>
        <v>17148</v>
      </c>
      <c r="D32" s="111">
        <f>SUM(D25:D31)</f>
        <v>780</v>
      </c>
      <c r="E32" s="112">
        <f>SUM(E25:E31)</f>
        <v>0</v>
      </c>
      <c r="F32" s="113">
        <f>SUM(F24:F31)</f>
        <v>45</v>
      </c>
      <c r="G32" s="182"/>
      <c r="H32" s="183"/>
      <c r="I32" s="180"/>
      <c r="J32" s="225">
        <f>+'22'!J32</f>
        <v>0</v>
      </c>
      <c r="K32" s="252"/>
      <c r="L32" s="254"/>
      <c r="M32" s="128">
        <f>+K32+'22'!M32+L32</f>
        <v>0</v>
      </c>
    </row>
    <row r="33" spans="1:14" ht="13.5" thickBot="1">
      <c r="A33" s="184"/>
      <c r="B33" s="185"/>
      <c r="C33" s="114">
        <f>C32/($C$32+$D$32+$E$32)</f>
        <v>0.9564926372155288</v>
      </c>
      <c r="D33" s="115">
        <f>D32/($C$32+$D$32+$E$32)</f>
        <v>4.3507362784471218E-2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42928</v>
      </c>
      <c r="D34" s="118">
        <f>D14+D23+D32</f>
        <v>780</v>
      </c>
      <c r="E34" s="118">
        <f>E14+E23+E32</f>
        <v>0</v>
      </c>
      <c r="F34" s="119">
        <f>F14+F23+F32</f>
        <v>147</v>
      </c>
      <c r="H34" s="189"/>
      <c r="I34" s="189"/>
      <c r="J34" s="134" t="s">
        <v>27</v>
      </c>
      <c r="K34" s="135">
        <f>SUM(K7:K32)</f>
        <v>42928</v>
      </c>
      <c r="L34" s="223">
        <f>SUM(L7:L32)</f>
        <v>0</v>
      </c>
      <c r="M34" s="131">
        <f>SUM(M7:M32)</f>
        <v>1255765</v>
      </c>
      <c r="N34" s="166"/>
    </row>
    <row r="35" spans="1:14" ht="13.5" thickBot="1">
      <c r="A35" s="190"/>
      <c r="B35" s="191"/>
      <c r="C35" s="115">
        <f>C34/($C$34+$D$34+$E$34)</f>
        <v>0.98215429669625698</v>
      </c>
      <c r="D35" s="115">
        <f>D34/($C$34+$D$34+$E$34)</f>
        <v>1.7845703303743021E-2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(12*1440)/1440*G42*2.77*1440/1000000</f>
        <v>61.599836160000002</v>
      </c>
      <c r="J37" s="136">
        <f>+I37+'22'!J37</f>
        <v>1487.7648873600085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129</v>
      </c>
      <c r="D38" s="129">
        <f>+C38+'22'!D38</f>
        <v>2344</v>
      </c>
      <c r="E38" s="154">
        <f t="shared" ref="E38:E51" si="1">D38/60</f>
        <v>39.06666666666667</v>
      </c>
      <c r="F38" s="340">
        <v>1680</v>
      </c>
      <c r="G38" s="340">
        <f t="shared" ref="G38:G39" si="2">+F38-F38*0.24</f>
        <v>1276.8</v>
      </c>
      <c r="H38" s="198" t="s">
        <v>63</v>
      </c>
      <c r="I38" s="555">
        <f>16.983+15.748+19.73</f>
        <v>52.460999999999999</v>
      </c>
      <c r="J38" s="138">
        <f>+I38+'22'!J38</f>
        <v>1340.4580000000001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+C39+'22'!D39</f>
        <v>0</v>
      </c>
      <c r="E39" s="154">
        <f t="shared" si="1"/>
        <v>0</v>
      </c>
      <c r="F39" s="340">
        <v>1700</v>
      </c>
      <c r="G39" s="340">
        <f t="shared" si="2"/>
        <v>1292</v>
      </c>
      <c r="H39" s="198" t="s">
        <v>64</v>
      </c>
      <c r="I39" s="153"/>
      <c r="J39" s="140">
        <f>J37/G4</f>
        <v>64.685429885217758</v>
      </c>
      <c r="K39" s="141" t="s">
        <v>62</v>
      </c>
      <c r="L39" s="565"/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+C40+'22'!D40</f>
        <v>0</v>
      </c>
      <c r="E40" s="154">
        <f t="shared" si="1"/>
        <v>0</v>
      </c>
      <c r="F40" s="340">
        <v>1700</v>
      </c>
      <c r="G40" s="340">
        <f>+F40-F40*0.24</f>
        <v>1292</v>
      </c>
      <c r="H40" s="198" t="s">
        <v>66</v>
      </c>
      <c r="I40" s="129">
        <f>(K34+L34)/1000</f>
        <v>42.927999999999997</v>
      </c>
      <c r="J40" s="142">
        <f>+I40+'22'!J40</f>
        <v>1255.7650000000003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18</v>
      </c>
      <c r="D41" s="129">
        <f>+C41+'22'!D41</f>
        <v>422</v>
      </c>
      <c r="E41" s="154">
        <f t="shared" si="1"/>
        <v>7.0333333333333332</v>
      </c>
      <c r="F41" s="340"/>
      <c r="G41" s="340"/>
      <c r="H41" s="198" t="s">
        <v>68</v>
      </c>
      <c r="I41" s="153"/>
      <c r="J41" s="140">
        <f>J40/G4</f>
        <v>54.598478260869577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+C42+'22'!D42</f>
        <v>0</v>
      </c>
      <c r="E42" s="154">
        <f t="shared" si="1"/>
        <v>0</v>
      </c>
      <c r="F42" s="340">
        <f>+(F38*480+F39*480+F40*480)/1440</f>
        <v>1693.3333333333333</v>
      </c>
      <c r="G42" s="340">
        <f>+(G38*480+G39*480+G40*480)/1440</f>
        <v>1286.9333333333334</v>
      </c>
      <c r="H42" s="198" t="s">
        <v>69</v>
      </c>
      <c r="I42" s="257" t="s">
        <v>757</v>
      </c>
      <c r="J42" s="143"/>
      <c r="K42" s="141" t="s">
        <v>70</v>
      </c>
    </row>
    <row r="43" spans="1:14" ht="17.45" customHeight="1">
      <c r="A43" s="1018" t="s">
        <v>202</v>
      </c>
      <c r="B43" s="1019"/>
      <c r="C43" s="175">
        <f>SUMIF($G$7:$G$31,"Change Grade",$F$7:$F$31)</f>
        <v>0</v>
      </c>
      <c r="D43" s="129">
        <f>+C43+'22'!D43</f>
        <v>0</v>
      </c>
      <c r="E43" s="154">
        <f t="shared" si="1"/>
        <v>0</v>
      </c>
      <c r="F43" s="340"/>
      <c r="G43" s="341"/>
      <c r="H43" s="199" t="s">
        <v>72</v>
      </c>
      <c r="I43" s="129">
        <f>+Report1!T31</f>
        <v>128.71099999999998</v>
      </c>
      <c r="J43" s="144">
        <f>+I43+'22'!J43</f>
        <v>3061.6550000000002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+C44+'22'!D44</f>
        <v>38</v>
      </c>
      <c r="E44" s="154">
        <f t="shared" si="1"/>
        <v>0.6333333333333333</v>
      </c>
      <c r="F44" s="340"/>
      <c r="G44" s="341"/>
      <c r="H44" s="199" t="s">
        <v>73</v>
      </c>
      <c r="I44" s="129">
        <f>I43/I38</f>
        <v>2.4534606660185658</v>
      </c>
      <c r="J44" s="145">
        <f>J43/J38</f>
        <v>2.2840365009571357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+C45+'22'!D45</f>
        <v>0</v>
      </c>
      <c r="E45" s="154">
        <f t="shared" si="1"/>
        <v>0</v>
      </c>
      <c r="F45" s="340"/>
      <c r="G45" s="343"/>
      <c r="H45" s="199" t="s">
        <v>74</v>
      </c>
      <c r="I45" s="129">
        <f>I43/I40</f>
        <v>2.9982994781960488</v>
      </c>
      <c r="J45" s="145">
        <f>J43/J40</f>
        <v>2.4380795769909174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+C46+'22'!D46</f>
        <v>0</v>
      </c>
      <c r="E46" s="154">
        <f t="shared" si="1"/>
        <v>0</v>
      </c>
      <c r="F46" s="340"/>
      <c r="G46" s="341"/>
      <c r="H46" s="199" t="s">
        <v>76</v>
      </c>
      <c r="I46" s="151">
        <f>+SUMIF(Listrik!AR30,"&gt;0")</f>
        <v>58413.460000000297</v>
      </c>
      <c r="J46" s="146">
        <f>+I46+'22'!J46</f>
        <v>1291006.2799999977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+C47+'22'!D47</f>
        <v>0</v>
      </c>
      <c r="E47" s="154">
        <f t="shared" si="1"/>
        <v>0</v>
      </c>
      <c r="F47" s="340"/>
      <c r="G47" s="341"/>
      <c r="H47" s="199" t="s">
        <v>79</v>
      </c>
      <c r="I47" s="129">
        <f>I46/I38</f>
        <v>1113.4644783744172</v>
      </c>
      <c r="J47" s="146">
        <f>J46/J38</f>
        <v>963.10834058209775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+C48+'22'!D48</f>
        <v>0</v>
      </c>
      <c r="E48" s="154">
        <f t="shared" si="1"/>
        <v>0</v>
      </c>
      <c r="F48" s="340"/>
      <c r="G48" s="341"/>
      <c r="H48" s="199" t="s">
        <v>80</v>
      </c>
      <c r="I48" s="129">
        <f>I46/I40</f>
        <v>1360.7309914275136</v>
      </c>
      <c r="J48" s="146">
        <f>J46/J40</f>
        <v>1028.0635947012358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+C49+'22'!D49</f>
        <v>233</v>
      </c>
      <c r="E49" s="154">
        <f t="shared" si="1"/>
        <v>3.8833333333333333</v>
      </c>
      <c r="F49" s="196"/>
      <c r="H49" s="199" t="s">
        <v>81</v>
      </c>
      <c r="I49" s="129">
        <v>0</v>
      </c>
      <c r="J49" s="146">
        <f>+I49+'22'!J49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+C50+'22'!D50</f>
        <v>0</v>
      </c>
      <c r="E50" s="154">
        <f t="shared" si="1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+C51+'22'!D51</f>
        <v>0</v>
      </c>
      <c r="E51" s="154">
        <f t="shared" si="1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147</v>
      </c>
      <c r="D52" s="155">
        <f>SUM(D38:D51)</f>
        <v>3037</v>
      </c>
      <c r="E52" s="156">
        <f>SUM(E38:E51)</f>
        <v>50.616666666666667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0.10208333333333333</v>
      </c>
      <c r="D53" s="157">
        <f>D52/(24*60*G4)</f>
        <v>9.1696859903381639E-2</v>
      </c>
      <c r="E53" s="158">
        <f>E52/(G4*24)</f>
        <v>9.1696859903381639E-2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+D34+'22'!J56</f>
        <v>20569</v>
      </c>
      <c r="K56" s="212">
        <f>J56/(J40+J56/1000)/1000</f>
        <v>1.6115687586478144E-2</v>
      </c>
    </row>
    <row r="57" spans="1:11">
      <c r="A57" s="187"/>
      <c r="I57" s="210" t="s">
        <v>88</v>
      </c>
      <c r="J57" s="211">
        <f>+E34+'22'!J57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1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R61"/>
  <sheetViews>
    <sheetView topLeftCell="A4" zoomScale="80" zoomScaleNormal="80" workbookViewId="0">
      <selection activeCell="B25" sqref="B25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7109375" style="160" bestFit="1" customWidth="1"/>
    <col min="12" max="12" width="8.28515625" style="160" customWidth="1"/>
    <col min="13" max="13" width="15.28515625" style="160" customWidth="1"/>
    <col min="14" max="16384" width="9.140625" style="160"/>
  </cols>
  <sheetData>
    <row r="1" spans="1:18" ht="15.75">
      <c r="A1" s="159"/>
    </row>
    <row r="2" spans="1:18" ht="15.75">
      <c r="A2" s="347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22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237+-198+280</f>
        <v>319</v>
      </c>
    </row>
    <row r="7" spans="1:18" ht="13.5" customHeight="1" thickBot="1">
      <c r="A7" s="1020" t="s">
        <v>434</v>
      </c>
      <c r="B7" s="226" t="s">
        <v>624</v>
      </c>
      <c r="C7" s="227">
        <f>1823+1597</f>
        <v>3420</v>
      </c>
      <c r="D7" s="228"/>
      <c r="E7" s="229"/>
      <c r="F7" s="239">
        <v>40</v>
      </c>
      <c r="G7" s="240" t="s">
        <v>11</v>
      </c>
      <c r="H7" s="241" t="s">
        <v>688</v>
      </c>
      <c r="I7" s="1023" t="s">
        <v>721</v>
      </c>
      <c r="J7" s="225" t="str">
        <f>+'21'!J7</f>
        <v>MG 14 VP HW</v>
      </c>
      <c r="K7" s="249"/>
      <c r="L7" s="253"/>
      <c r="M7" s="128">
        <f>+K7+'21'!M7+L7</f>
        <v>160441</v>
      </c>
    </row>
    <row r="8" spans="1:18" ht="13.5" thickBot="1">
      <c r="A8" s="1021"/>
      <c r="B8" s="226" t="s">
        <v>603</v>
      </c>
      <c r="C8" s="227">
        <f>6727+5904</f>
        <v>12631</v>
      </c>
      <c r="D8" s="228"/>
      <c r="E8" s="230"/>
      <c r="F8" s="242">
        <v>4</v>
      </c>
      <c r="G8" s="243" t="s">
        <v>11</v>
      </c>
      <c r="H8" s="241" t="s">
        <v>602</v>
      </c>
      <c r="I8" s="1024"/>
      <c r="J8" s="225" t="str">
        <f>+'21'!J8</f>
        <v>MG 17 VP HW</v>
      </c>
      <c r="K8" s="250"/>
      <c r="L8" s="250"/>
      <c r="M8" s="128">
        <f>+K8+'21'!M8+L8</f>
        <v>131048</v>
      </c>
      <c r="N8" s="160">
        <v>1650</v>
      </c>
      <c r="O8" s="160">
        <f>+N8-N8*0.24</f>
        <v>1254</v>
      </c>
    </row>
    <row r="9" spans="1:18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576</v>
      </c>
      <c r="I9" s="1024"/>
      <c r="J9" s="225" t="str">
        <f>+'21'!J9</f>
        <v>MG 16 VP HW/OW</v>
      </c>
      <c r="K9" s="250"/>
      <c r="L9" s="250"/>
      <c r="M9" s="128">
        <f>+K9+'21'!M9+L9</f>
        <v>278646</v>
      </c>
      <c r="N9" s="160">
        <v>1650</v>
      </c>
      <c r="O9" s="160">
        <f>+N9-N9*0.24</f>
        <v>1254</v>
      </c>
      <c r="P9" s="160">
        <v>480</v>
      </c>
      <c r="Q9" s="160">
        <f>+N9*P9</f>
        <v>792000</v>
      </c>
      <c r="R9" s="160">
        <f>+O9*P9</f>
        <v>601920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716</v>
      </c>
      <c r="I10" s="1024"/>
      <c r="J10" s="225" t="str">
        <f>+'21'!J10</f>
        <v>MG 22 VP HW</v>
      </c>
      <c r="K10" s="250"/>
      <c r="L10" s="250"/>
      <c r="M10" s="128">
        <f>+K10+'21'!M10+L10</f>
        <v>12128</v>
      </c>
      <c r="N10" s="160">
        <v>1680</v>
      </c>
      <c r="O10" s="160">
        <f>+N10-N10*0.24</f>
        <v>1276.8</v>
      </c>
      <c r="P10" s="160">
        <v>480</v>
      </c>
      <c r="Q10" s="160">
        <f>+N10*P10</f>
        <v>806400</v>
      </c>
      <c r="R10" s="160">
        <f>+O10*P10</f>
        <v>612864</v>
      </c>
    </row>
    <row r="11" spans="1:18" ht="13.5" thickBot="1">
      <c r="A11" s="1021"/>
      <c r="B11" s="226"/>
      <c r="C11" s="227"/>
      <c r="D11" s="228"/>
      <c r="E11" s="230"/>
      <c r="F11" s="239"/>
      <c r="G11" s="243"/>
      <c r="H11" s="244" t="s">
        <v>743</v>
      </c>
      <c r="I11" s="1024"/>
      <c r="J11" s="225" t="str">
        <f>+'21'!J11</f>
        <v>MG 24 VP HW</v>
      </c>
      <c r="K11" s="250"/>
      <c r="L11" s="250"/>
      <c r="M11" s="128">
        <f>+K11+'21'!M11+L11</f>
        <v>5566</v>
      </c>
      <c r="P11" s="160">
        <f>+P9+P10</f>
        <v>960</v>
      </c>
      <c r="Q11" s="160">
        <f t="shared" ref="Q11:R11" si="0">+Q9+Q10</f>
        <v>1598400</v>
      </c>
      <c r="R11" s="160">
        <f t="shared" si="0"/>
        <v>1214784</v>
      </c>
    </row>
    <row r="12" spans="1:18" ht="13.5" thickBot="1">
      <c r="A12" s="1021"/>
      <c r="B12" s="226"/>
      <c r="C12" s="227"/>
      <c r="D12" s="228"/>
      <c r="E12" s="230"/>
      <c r="F12" s="239"/>
      <c r="G12" s="243"/>
      <c r="H12" s="244" t="s">
        <v>744</v>
      </c>
      <c r="I12" s="1024"/>
      <c r="J12" s="225" t="str">
        <f>+'21'!J12</f>
        <v>MG 20 VP HW</v>
      </c>
      <c r="K12" s="250"/>
      <c r="L12" s="250"/>
      <c r="M12" s="128">
        <f>+K12+'21'!M12+L12</f>
        <v>7726</v>
      </c>
      <c r="Q12" s="160">
        <f>+Q11/P11</f>
        <v>1665</v>
      </c>
      <c r="R12" s="160">
        <f>+R11/P11</f>
        <v>1265.4000000000001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+'21'!J13</f>
        <v>F 12 VP OW</v>
      </c>
      <c r="K13" s="250">
        <f>+C8+C16+C25</f>
        <v>44259</v>
      </c>
      <c r="L13" s="250"/>
      <c r="M13" s="128">
        <f>+K13+'21'!M13+L13</f>
        <v>95675</v>
      </c>
    </row>
    <row r="14" spans="1:18" ht="13.5" thickBot="1">
      <c r="A14" s="1022"/>
      <c r="B14" s="176" t="s">
        <v>2</v>
      </c>
      <c r="C14" s="110">
        <f>SUM(C7:C13)</f>
        <v>16051</v>
      </c>
      <c r="D14" s="122">
        <f>SUM(D7:D13)</f>
        <v>0</v>
      </c>
      <c r="E14" s="123">
        <f>SUM(E5:E13)</f>
        <v>0</v>
      </c>
      <c r="F14" s="127">
        <f>SUM(F7:F13)</f>
        <v>54</v>
      </c>
      <c r="G14" s="170"/>
      <c r="H14" s="177"/>
      <c r="I14" s="178"/>
      <c r="J14" s="225" t="str">
        <f>+'21'!J14</f>
        <v>F 11,5 VP OW</v>
      </c>
      <c r="K14" s="250">
        <f>+C7</f>
        <v>3420</v>
      </c>
      <c r="L14" s="250"/>
      <c r="M14" s="128">
        <f>+K14+'21'!M14+L14</f>
        <v>242575</v>
      </c>
    </row>
    <row r="15" spans="1:18" ht="13.5" customHeight="1" thickBot="1">
      <c r="A15" s="1020" t="s">
        <v>435</v>
      </c>
      <c r="B15" s="176"/>
      <c r="C15" s="124"/>
      <c r="D15" s="125"/>
      <c r="E15" s="126"/>
      <c r="F15" s="239">
        <v>10</v>
      </c>
      <c r="G15" s="240" t="s">
        <v>11</v>
      </c>
      <c r="H15" s="241" t="s">
        <v>418</v>
      </c>
      <c r="I15" s="1023" t="s">
        <v>721</v>
      </c>
      <c r="J15" s="225" t="str">
        <f>+'21'!J15</f>
        <v>F 10,5 VP OW</v>
      </c>
      <c r="K15" s="250"/>
      <c r="L15" s="250"/>
      <c r="M15" s="128">
        <f>+K15+'21'!M15+L15</f>
        <v>151044</v>
      </c>
    </row>
    <row r="16" spans="1:18" ht="13.5" thickBot="1">
      <c r="A16" s="1026"/>
      <c r="B16" s="226" t="s">
        <v>603</v>
      </c>
      <c r="C16" s="233">
        <v>12972</v>
      </c>
      <c r="D16" s="234">
        <v>224</v>
      </c>
      <c r="E16" s="235"/>
      <c r="F16" s="239">
        <v>4</v>
      </c>
      <c r="G16" s="243" t="s">
        <v>11</v>
      </c>
      <c r="H16" s="241" t="s">
        <v>694</v>
      </c>
      <c r="I16" s="1024"/>
      <c r="J16" s="225" t="str">
        <f>+'21'!J16</f>
        <v>F 10,3 VP OW</v>
      </c>
      <c r="K16" s="250"/>
      <c r="L16" s="240"/>
      <c r="M16" s="128">
        <f>+K16+'21'!M16+L16</f>
        <v>127988</v>
      </c>
    </row>
    <row r="17" spans="1:14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601</v>
      </c>
      <c r="I17" s="1024"/>
      <c r="J17" s="225">
        <f>+'21'!J17</f>
        <v>0</v>
      </c>
      <c r="K17" s="250"/>
      <c r="L17" s="240"/>
      <c r="M17" s="128">
        <f>+K17+'21'!M17+L17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748</v>
      </c>
      <c r="I18" s="1024"/>
      <c r="J18" s="225">
        <f>+'21'!J18</f>
        <v>0</v>
      </c>
      <c r="K18" s="250"/>
      <c r="L18" s="250"/>
      <c r="M18" s="128">
        <f>+K18+'21'!M18+L18</f>
        <v>0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244"/>
      <c r="I19" s="1024"/>
      <c r="J19" s="225">
        <f>+'21'!J19</f>
        <v>0</v>
      </c>
      <c r="K19" s="240"/>
      <c r="L19" s="250"/>
      <c r="M19" s="128">
        <f>+K19+'21'!M19+L19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+'21'!J20</f>
        <v>0</v>
      </c>
      <c r="K20" s="240"/>
      <c r="L20" s="251"/>
      <c r="M20" s="128">
        <f>+K20+'21'!M20+L20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+'21'!J21</f>
        <v>0</v>
      </c>
      <c r="K21" s="240"/>
      <c r="L21" s="250"/>
      <c r="M21" s="128">
        <f>+K21+'21'!M21+L21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+'21'!J22</f>
        <v>0</v>
      </c>
      <c r="K22" s="240"/>
      <c r="L22" s="250"/>
      <c r="M22" s="128">
        <f>+K22+'21'!M22+L22</f>
        <v>0</v>
      </c>
    </row>
    <row r="23" spans="1:14" ht="13.5" thickBot="1">
      <c r="A23" s="1027"/>
      <c r="B23" s="179" t="s">
        <v>2</v>
      </c>
      <c r="C23" s="111">
        <f>SUM(C16:C22)</f>
        <v>12972</v>
      </c>
      <c r="D23" s="122">
        <f>SUM(D16:D22)</f>
        <v>224</v>
      </c>
      <c r="E23" s="123">
        <f>SUM(E18:E22)</f>
        <v>0</v>
      </c>
      <c r="F23" s="127">
        <f>SUM(F15:F22)</f>
        <v>24</v>
      </c>
      <c r="G23" s="170"/>
      <c r="H23" s="177" t="s">
        <v>234</v>
      </c>
      <c r="I23" s="180"/>
      <c r="J23" s="225">
        <f>+'21'!J23</f>
        <v>0</v>
      </c>
      <c r="K23" s="240"/>
      <c r="L23" s="250"/>
      <c r="M23" s="128">
        <f>+K23+'21'!M23+L23</f>
        <v>0</v>
      </c>
    </row>
    <row r="24" spans="1:14" ht="13.5" customHeight="1" thickBot="1">
      <c r="A24" s="1020" t="s">
        <v>605</v>
      </c>
      <c r="B24" s="181"/>
      <c r="C24" s="124"/>
      <c r="D24" s="125"/>
      <c r="E24" s="126"/>
      <c r="F24" s="247">
        <v>20</v>
      </c>
      <c r="G24" s="240" t="s">
        <v>11</v>
      </c>
      <c r="H24" s="241" t="s">
        <v>504</v>
      </c>
      <c r="I24" s="1023" t="s">
        <v>746</v>
      </c>
      <c r="J24" s="225">
        <f>+'21'!J24</f>
        <v>0</v>
      </c>
      <c r="K24" s="240"/>
      <c r="L24" s="250"/>
      <c r="M24" s="128">
        <f>+K24+'21'!M24+L24</f>
        <v>0</v>
      </c>
    </row>
    <row r="25" spans="1:14" ht="13.5" thickBot="1">
      <c r="A25" s="1028"/>
      <c r="B25" s="226" t="s">
        <v>603</v>
      </c>
      <c r="C25" s="237">
        <v>18656</v>
      </c>
      <c r="D25" s="228"/>
      <c r="E25" s="236"/>
      <c r="F25" s="242">
        <v>7</v>
      </c>
      <c r="G25" s="243" t="s">
        <v>11</v>
      </c>
      <c r="H25" s="241" t="s">
        <v>749</v>
      </c>
      <c r="I25" s="1024"/>
      <c r="J25" s="225">
        <f>+'21'!J25</f>
        <v>0</v>
      </c>
      <c r="K25" s="240"/>
      <c r="L25" s="250"/>
      <c r="M25" s="128">
        <f>+K25+'21'!M25+L25</f>
        <v>0</v>
      </c>
    </row>
    <row r="26" spans="1:14" ht="13.5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455</v>
      </c>
      <c r="I26" s="1024"/>
      <c r="J26" s="225">
        <f>+'21'!J26</f>
        <v>0</v>
      </c>
      <c r="K26" s="240"/>
      <c r="L26" s="250"/>
      <c r="M26" s="128">
        <f>+K26+'21'!M26+L26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745</v>
      </c>
      <c r="I27" s="1024"/>
      <c r="J27" s="225">
        <f>+'21'!J27</f>
        <v>0</v>
      </c>
      <c r="K27" s="240"/>
      <c r="L27" s="250"/>
      <c r="M27" s="128">
        <f>+K27+'21'!M27+L27</f>
        <v>0</v>
      </c>
    </row>
    <row r="28" spans="1:14" ht="13.5" thickBot="1">
      <c r="A28" s="1028"/>
      <c r="B28" s="226"/>
      <c r="C28" s="227"/>
      <c r="D28" s="228"/>
      <c r="E28" s="236"/>
      <c r="F28" s="242"/>
      <c r="G28" s="243"/>
      <c r="H28" s="244"/>
      <c r="I28" s="1024"/>
      <c r="J28" s="225">
        <f>+'21'!J28</f>
        <v>0</v>
      </c>
      <c r="K28" s="240"/>
      <c r="L28" s="250"/>
      <c r="M28" s="128">
        <f>+K28+'21'!M28+L28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+'21'!J29</f>
        <v>0</v>
      </c>
      <c r="K29" s="240"/>
      <c r="L29" s="250"/>
      <c r="M29" s="128">
        <f>+K29+'21'!M29+L29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+'21'!J30</f>
        <v>0</v>
      </c>
      <c r="K30" s="250"/>
      <c r="L30" s="250"/>
      <c r="M30" s="128">
        <f>+K30+'21'!M30+L30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+'21'!J31</f>
        <v>0</v>
      </c>
      <c r="K31" s="250"/>
      <c r="L31" s="250"/>
      <c r="M31" s="128">
        <f>+K31+'21'!M31+L31</f>
        <v>0</v>
      </c>
    </row>
    <row r="32" spans="1:14" ht="13.5" thickBot="1">
      <c r="A32" s="1029"/>
      <c r="B32" s="176" t="s">
        <v>2</v>
      </c>
      <c r="C32" s="110">
        <f>SUM(C25:C31)</f>
        <v>18656</v>
      </c>
      <c r="D32" s="111">
        <f>SUM(D25:D31)</f>
        <v>0</v>
      </c>
      <c r="E32" s="112">
        <f>SUM(E25:E31)</f>
        <v>0</v>
      </c>
      <c r="F32" s="113">
        <f>SUM(F24:F31)</f>
        <v>37</v>
      </c>
      <c r="G32" s="182"/>
      <c r="H32" s="183"/>
      <c r="I32" s="180"/>
      <c r="J32" s="225">
        <f>+'21'!J32</f>
        <v>0</v>
      </c>
      <c r="K32" s="252"/>
      <c r="L32" s="254"/>
      <c r="M32" s="128">
        <f>+K32+'21'!M32+L32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47679</v>
      </c>
      <c r="D34" s="118">
        <f>D14+D23+D32</f>
        <v>224</v>
      </c>
      <c r="E34" s="118">
        <f>E14+E23+E32</f>
        <v>0</v>
      </c>
      <c r="F34" s="119">
        <f>F14+F23+F32</f>
        <v>115</v>
      </c>
      <c r="H34" s="189"/>
      <c r="I34" s="189"/>
      <c r="J34" s="134" t="s">
        <v>27</v>
      </c>
      <c r="K34" s="135">
        <f>SUM(K7:K32)</f>
        <v>47679</v>
      </c>
      <c r="L34" s="223">
        <f>SUM(L7:L32)</f>
        <v>0</v>
      </c>
      <c r="M34" s="131">
        <f>SUM(M7:M32)</f>
        <v>1212837</v>
      </c>
      <c r="N34" s="166"/>
    </row>
    <row r="35" spans="1:14" ht="13.5" thickBot="1">
      <c r="A35" s="190"/>
      <c r="B35" s="191"/>
      <c r="C35" s="115">
        <f>C34/($C$34+$D$34+$E$34)</f>
        <v>0.99532388368160662</v>
      </c>
      <c r="D35" s="115">
        <f>D34/($C$34+$D$34+$E$34)</f>
        <v>4.6761163183934203E-3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(11.5*480+12*960)/1440*G42*2.77*1440/1000000</f>
        <v>59.548529280000004</v>
      </c>
      <c r="J37" s="136">
        <f>+I37+'21'!J37</f>
        <v>1426.1650512000085</v>
      </c>
      <c r="K37" s="137" t="s">
        <v>62</v>
      </c>
      <c r="L37" s="160">
        <f>17.653</f>
        <v>17.652999999999999</v>
      </c>
    </row>
    <row r="38" spans="1:14" ht="17.45" customHeight="1">
      <c r="A38" s="1034" t="s">
        <v>11</v>
      </c>
      <c r="B38" s="1035"/>
      <c r="C38" s="175">
        <f>SUMIF($G$7:$G$31,"Process",$F$7:$F$31)</f>
        <v>115</v>
      </c>
      <c r="D38" s="129">
        <f>+C38+'21'!D38</f>
        <v>2215</v>
      </c>
      <c r="E38" s="154">
        <f t="shared" ref="E38:E51" si="1">D38/60</f>
        <v>36.916666666666664</v>
      </c>
      <c r="F38" s="340">
        <v>1650</v>
      </c>
      <c r="G38" s="340">
        <f>+F38-F38*0.24</f>
        <v>1254</v>
      </c>
      <c r="H38" s="198" t="s">
        <v>63</v>
      </c>
      <c r="I38" s="555">
        <f>17.653+18.266+17.446</f>
        <v>53.364999999999995</v>
      </c>
      <c r="J38" s="138">
        <f>+I38+'21'!J38</f>
        <v>1287.9970000000001</v>
      </c>
      <c r="K38" s="139" t="s">
        <v>62</v>
      </c>
      <c r="L38" s="565">
        <f>+I38-L37</f>
        <v>35.711999999999996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+C39+'21'!D39</f>
        <v>0</v>
      </c>
      <c r="E39" s="154">
        <f t="shared" si="1"/>
        <v>0</v>
      </c>
      <c r="F39" s="340">
        <v>1650</v>
      </c>
      <c r="G39" s="340">
        <f>+F39-F39*0.24</f>
        <v>1254</v>
      </c>
      <c r="H39" s="198" t="s">
        <v>64</v>
      </c>
      <c r="I39" s="153"/>
      <c r="J39" s="140">
        <f>J37/G4</f>
        <v>64.825684145454929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+C40+'21'!D40</f>
        <v>0</v>
      </c>
      <c r="E40" s="154">
        <f t="shared" si="1"/>
        <v>0</v>
      </c>
      <c r="F40" s="340">
        <v>1680</v>
      </c>
      <c r="G40" s="340">
        <f>+F40-F40*0.24</f>
        <v>1276.8</v>
      </c>
      <c r="H40" s="198" t="s">
        <v>66</v>
      </c>
      <c r="I40" s="129">
        <f>(K34+L34)/1000</f>
        <v>47.679000000000002</v>
      </c>
      <c r="J40" s="142">
        <f>+I40+'21'!J40</f>
        <v>1212.8370000000002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+C41+'21'!D41</f>
        <v>404</v>
      </c>
      <c r="E41" s="154">
        <f t="shared" si="1"/>
        <v>6.7333333333333334</v>
      </c>
      <c r="F41" s="340"/>
      <c r="G41" s="340"/>
      <c r="H41" s="198" t="s">
        <v>68</v>
      </c>
      <c r="I41" s="153"/>
      <c r="J41" s="140">
        <f>J40/G4</f>
        <v>55.128954545454555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+C42+'21'!D42</f>
        <v>0</v>
      </c>
      <c r="E42" s="154">
        <f t="shared" si="1"/>
        <v>0</v>
      </c>
      <c r="F42" s="340">
        <f>+(F38*480+F39*480+F40*480)/1440</f>
        <v>1660</v>
      </c>
      <c r="G42" s="340">
        <f>+(G38*480+G39*480+G40*480)/1440</f>
        <v>1261.5999999999999</v>
      </c>
      <c r="H42" s="198" t="s">
        <v>69</v>
      </c>
      <c r="I42" s="257" t="s">
        <v>747</v>
      </c>
      <c r="J42" s="143"/>
      <c r="K42" s="141" t="s">
        <v>70</v>
      </c>
    </row>
    <row r="43" spans="1:14" ht="17.45" customHeight="1">
      <c r="A43" s="1018" t="s">
        <v>202</v>
      </c>
      <c r="B43" s="1019"/>
      <c r="C43" s="175">
        <f>SUMIF($G$7:$G$31,"Change Grade",$F$7:$F$31)</f>
        <v>0</v>
      </c>
      <c r="D43" s="129">
        <f>+C43+'21'!D43</f>
        <v>0</v>
      </c>
      <c r="E43" s="154">
        <f t="shared" si="1"/>
        <v>0</v>
      </c>
      <c r="F43" s="340"/>
      <c r="G43" s="341"/>
      <c r="H43" s="199" t="s">
        <v>72</v>
      </c>
      <c r="I43" s="129">
        <f>+Report1!T30</f>
        <v>124.45699999999999</v>
      </c>
      <c r="J43" s="144">
        <f>+I43+'21'!J43</f>
        <v>2932.9440000000004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+C44+'21'!D44</f>
        <v>38</v>
      </c>
      <c r="E44" s="154">
        <f t="shared" si="1"/>
        <v>0.6333333333333333</v>
      </c>
      <c r="F44" s="340"/>
      <c r="G44" s="341"/>
      <c r="H44" s="199" t="s">
        <v>73</v>
      </c>
      <c r="I44" s="129">
        <f>I43/I38</f>
        <v>2.3321840157406539</v>
      </c>
      <c r="J44" s="145">
        <f>J43/J38</f>
        <v>2.2771357386701991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+C45+'21'!D45</f>
        <v>0</v>
      </c>
      <c r="E45" s="154">
        <f t="shared" si="1"/>
        <v>0</v>
      </c>
      <c r="F45" s="340"/>
      <c r="G45" s="343"/>
      <c r="H45" s="199" t="s">
        <v>74</v>
      </c>
      <c r="I45" s="129">
        <f>I43/I40</f>
        <v>2.6103106189307659</v>
      </c>
      <c r="J45" s="145">
        <f>J43/J40</f>
        <v>2.4182507624684932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+C46+'21'!D46</f>
        <v>0</v>
      </c>
      <c r="E46" s="154">
        <f t="shared" si="1"/>
        <v>0</v>
      </c>
      <c r="F46" s="340"/>
      <c r="G46" s="341"/>
      <c r="H46" s="199" t="s">
        <v>76</v>
      </c>
      <c r="I46" s="151">
        <f>+SUMIF(Listrik!AR29,"&gt;0")</f>
        <v>57384.980000000127</v>
      </c>
      <c r="J46" s="146">
        <f>+I46+'21'!J46</f>
        <v>1232592.8199999975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+C47+'21'!D47</f>
        <v>0</v>
      </c>
      <c r="E47" s="154">
        <f t="shared" si="1"/>
        <v>0</v>
      </c>
      <c r="F47" s="340"/>
      <c r="G47" s="341"/>
      <c r="H47" s="199" t="s">
        <v>79</v>
      </c>
      <c r="I47" s="129">
        <f>I46/I38</f>
        <v>1075.3298978731402</v>
      </c>
      <c r="J47" s="146">
        <f>J46/J38</f>
        <v>956.98423210612873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+C48+'21'!D48</f>
        <v>0</v>
      </c>
      <c r="E48" s="154">
        <f t="shared" si="1"/>
        <v>0</v>
      </c>
      <c r="F48" s="340"/>
      <c r="G48" s="341"/>
      <c r="H48" s="199" t="s">
        <v>80</v>
      </c>
      <c r="I48" s="129">
        <f>I46/I40</f>
        <v>1203.5692862685905</v>
      </c>
      <c r="J48" s="146">
        <f>J46/J40</f>
        <v>1016.2889324781461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+C49+'21'!D49</f>
        <v>233</v>
      </c>
      <c r="E49" s="154">
        <f t="shared" si="1"/>
        <v>3.8833333333333333</v>
      </c>
      <c r="F49" s="196"/>
      <c r="H49" s="199" t="s">
        <v>81</v>
      </c>
      <c r="I49" s="129">
        <v>0</v>
      </c>
      <c r="J49" s="146">
        <f>+I49+'21'!J49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+C50+'21'!D50</f>
        <v>0</v>
      </c>
      <c r="E50" s="154">
        <f t="shared" si="1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+C51+'21'!D51</f>
        <v>0</v>
      </c>
      <c r="E51" s="154">
        <f t="shared" si="1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115</v>
      </c>
      <c r="D52" s="155">
        <f>SUM(D38:D51)</f>
        <v>2890</v>
      </c>
      <c r="E52" s="156">
        <f>SUM(E38:E51)</f>
        <v>48.166666666666664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7.9861111111111105E-2</v>
      </c>
      <c r="D53" s="157">
        <f>D52/(24*60*G4)</f>
        <v>9.1224747474747472E-2</v>
      </c>
      <c r="E53" s="158">
        <f>E52/(G4*24)</f>
        <v>9.1224747474747472E-2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+D34+'21'!J56</f>
        <v>19789</v>
      </c>
      <c r="K56" s="212">
        <f>J56/(J40+J56/1000)/1000</f>
        <v>1.6054342517519506E-2</v>
      </c>
    </row>
    <row r="57" spans="1:11">
      <c r="A57" s="187"/>
      <c r="I57" s="210" t="s">
        <v>88</v>
      </c>
      <c r="J57" s="211">
        <f>+E34+'21'!J57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O61"/>
  <sheetViews>
    <sheetView zoomScale="80" zoomScaleNormal="80" workbookViewId="0">
      <selection activeCell="A15" sqref="A15:A23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710937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4.7109375" style="160" customWidth="1"/>
    <col min="14" max="16384" width="9.140625" style="160"/>
  </cols>
  <sheetData>
    <row r="1" spans="1:15" ht="15.75">
      <c r="A1" s="159"/>
    </row>
    <row r="2" spans="1:15" ht="15.75">
      <c r="A2" s="347" t="s">
        <v>147</v>
      </c>
    </row>
    <row r="3" spans="1:15" ht="15">
      <c r="A3" s="161"/>
    </row>
    <row r="4" spans="1:15" ht="20.25">
      <c r="A4" s="162" t="s">
        <v>3</v>
      </c>
      <c r="B4" s="163"/>
      <c r="F4" s="164" t="s">
        <v>29</v>
      </c>
      <c r="G4" s="165">
        <v>21</v>
      </c>
      <c r="H4" s="165" t="str">
        <f>+'1'!H4</f>
        <v>.06.24</v>
      </c>
    </row>
    <row r="5" spans="1:15" ht="13.5" thickBot="1">
      <c r="C5" s="166"/>
      <c r="D5" s="166"/>
    </row>
    <row r="6" spans="1:15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208+265+265</f>
        <v>738</v>
      </c>
    </row>
    <row r="7" spans="1:15" ht="13.5" customHeight="1" thickBot="1">
      <c r="A7" s="1020" t="s">
        <v>436</v>
      </c>
      <c r="B7" s="226" t="s">
        <v>624</v>
      </c>
      <c r="C7" s="227">
        <v>13156</v>
      </c>
      <c r="D7" s="228"/>
      <c r="E7" s="229"/>
      <c r="F7" s="239">
        <v>5</v>
      </c>
      <c r="G7" s="240" t="s">
        <v>11</v>
      </c>
      <c r="H7" s="241" t="s">
        <v>536</v>
      </c>
      <c r="I7" s="1023" t="s">
        <v>721</v>
      </c>
      <c r="J7" s="345" t="str">
        <f>+'20'!J7</f>
        <v>MG 14 VP HW</v>
      </c>
      <c r="K7" s="249"/>
      <c r="L7" s="253"/>
      <c r="M7" s="128">
        <f>+K7+'20'!M7+L7</f>
        <v>160441</v>
      </c>
    </row>
    <row r="8" spans="1:15" ht="13.5" thickBot="1">
      <c r="A8" s="1021"/>
      <c r="B8" s="226"/>
      <c r="C8" s="227"/>
      <c r="D8" s="228"/>
      <c r="E8" s="230"/>
      <c r="F8" s="242">
        <v>4</v>
      </c>
      <c r="G8" s="243" t="s">
        <v>11</v>
      </c>
      <c r="H8" s="241" t="s">
        <v>694</v>
      </c>
      <c r="I8" s="1024"/>
      <c r="J8" s="225" t="str">
        <f>+'20'!J8</f>
        <v>MG 17 VP HW</v>
      </c>
      <c r="K8" s="250"/>
      <c r="L8" s="250"/>
      <c r="M8" s="128">
        <f>+K8+'20'!M8+L8</f>
        <v>131048</v>
      </c>
    </row>
    <row r="9" spans="1:15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455</v>
      </c>
      <c r="I9" s="1024"/>
      <c r="J9" s="225" t="str">
        <f>+'20'!J9</f>
        <v>MG 16 VP HW/OW</v>
      </c>
      <c r="K9" s="250"/>
      <c r="L9" s="250"/>
      <c r="M9" s="128">
        <f>+K9+'20'!M9+L9</f>
        <v>278646</v>
      </c>
      <c r="N9" s="160">
        <v>1650</v>
      </c>
      <c r="O9" s="160">
        <f>+N9-N9*0.24</f>
        <v>1254</v>
      </c>
    </row>
    <row r="10" spans="1:15" ht="13.5" thickBot="1">
      <c r="A10" s="1021"/>
      <c r="B10" s="226"/>
      <c r="C10" s="227"/>
      <c r="D10" s="228"/>
      <c r="E10" s="230"/>
      <c r="F10" s="239"/>
      <c r="G10" s="243"/>
      <c r="H10" s="597" t="s">
        <v>716</v>
      </c>
      <c r="I10" s="1024"/>
      <c r="J10" s="225" t="str">
        <f>+'20'!J10</f>
        <v>MG 22 VP HW</v>
      </c>
      <c r="K10" s="250"/>
      <c r="L10" s="250"/>
      <c r="M10" s="128">
        <f>+K10+'20'!M10+L10</f>
        <v>12128</v>
      </c>
      <c r="N10" s="160">
        <v>1650</v>
      </c>
      <c r="O10" s="160">
        <f>+N10-N10*0.24</f>
        <v>1254</v>
      </c>
    </row>
    <row r="11" spans="1:15" ht="13.5" thickBot="1">
      <c r="A11" s="1021"/>
      <c r="B11" s="226"/>
      <c r="C11" s="227"/>
      <c r="D11" s="228"/>
      <c r="E11" s="230"/>
      <c r="F11" s="239"/>
      <c r="G11" s="243"/>
      <c r="H11" s="244"/>
      <c r="I11" s="1024"/>
      <c r="J11" s="225" t="str">
        <f>+'20'!J11</f>
        <v>MG 24 VP HW</v>
      </c>
      <c r="K11" s="250"/>
      <c r="L11" s="250"/>
      <c r="M11" s="128">
        <f>+K11+'20'!M11+L11</f>
        <v>5566</v>
      </c>
      <c r="N11" s="160">
        <v>1650</v>
      </c>
      <c r="O11" s="160">
        <f>+N11-N11*0.24</f>
        <v>1254</v>
      </c>
    </row>
    <row r="12" spans="1:15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 t="str">
        <f>+'20'!J12</f>
        <v>MG 20 VP HW</v>
      </c>
      <c r="K12" s="250"/>
      <c r="L12" s="250"/>
      <c r="M12" s="128">
        <f>+K12+'20'!M12+L12</f>
        <v>7726</v>
      </c>
    </row>
    <row r="13" spans="1:15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+'20'!J13</f>
        <v>F 12 VP OW</v>
      </c>
      <c r="K13" s="250"/>
      <c r="L13" s="250"/>
      <c r="M13" s="128">
        <f>+K13+'20'!M13+L13</f>
        <v>51416</v>
      </c>
    </row>
    <row r="14" spans="1:15" ht="13.5" thickBot="1">
      <c r="A14" s="1022"/>
      <c r="B14" s="176" t="s">
        <v>2</v>
      </c>
      <c r="C14" s="110">
        <f>SUM(C7:C13)</f>
        <v>13156</v>
      </c>
      <c r="D14" s="122">
        <f>SUM(D7:D13)</f>
        <v>0</v>
      </c>
      <c r="E14" s="123">
        <f>SUM(E5:E13)</f>
        <v>0</v>
      </c>
      <c r="F14" s="127">
        <f>SUM(F7:F13)</f>
        <v>19</v>
      </c>
      <c r="G14" s="170"/>
      <c r="H14" s="177"/>
      <c r="I14" s="178"/>
      <c r="J14" s="225" t="str">
        <f>+'20'!J14</f>
        <v>F 11,5 VP OW</v>
      </c>
      <c r="K14" s="250">
        <f>+C34</f>
        <v>44090</v>
      </c>
      <c r="L14" s="250"/>
      <c r="M14" s="128">
        <f>+K14+'20'!M14+L14</f>
        <v>239155</v>
      </c>
    </row>
    <row r="15" spans="1:15" ht="13.5" customHeight="1" thickBot="1">
      <c r="A15" s="1020" t="s">
        <v>435</v>
      </c>
      <c r="B15" s="176"/>
      <c r="C15" s="124"/>
      <c r="D15" s="125"/>
      <c r="E15" s="126"/>
      <c r="F15" s="239">
        <v>60</v>
      </c>
      <c r="G15" s="240" t="s">
        <v>11</v>
      </c>
      <c r="H15" s="241" t="s">
        <v>739</v>
      </c>
      <c r="I15" s="1023" t="s">
        <v>721</v>
      </c>
      <c r="J15" s="225" t="str">
        <f>+'20'!J15</f>
        <v>F 10,5 VP OW</v>
      </c>
      <c r="K15" s="250"/>
      <c r="L15" s="250"/>
      <c r="M15" s="128">
        <f>+K15+'20'!M15+L15</f>
        <v>151044</v>
      </c>
    </row>
    <row r="16" spans="1:15" ht="13.5" thickBot="1">
      <c r="A16" s="1026"/>
      <c r="B16" s="226" t="s">
        <v>624</v>
      </c>
      <c r="C16" s="233">
        <v>15388</v>
      </c>
      <c r="D16" s="234"/>
      <c r="E16" s="235"/>
      <c r="F16" s="239">
        <v>7</v>
      </c>
      <c r="G16" s="243" t="s">
        <v>11</v>
      </c>
      <c r="H16" s="241" t="s">
        <v>694</v>
      </c>
      <c r="I16" s="1024"/>
      <c r="J16" s="225" t="str">
        <f>+'20'!J16</f>
        <v>F 10,3 VP OW</v>
      </c>
      <c r="K16" s="250"/>
      <c r="L16" s="240"/>
      <c r="M16" s="128">
        <f>+K16+'20'!M16+L16</f>
        <v>127988</v>
      </c>
    </row>
    <row r="17" spans="1:14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455</v>
      </c>
      <c r="I17" s="1024"/>
      <c r="J17" s="225">
        <f>+'20'!J17</f>
        <v>0</v>
      </c>
      <c r="K17" s="250"/>
      <c r="L17" s="240"/>
      <c r="M17" s="128">
        <f>+K17+'20'!M17+L17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716</v>
      </c>
      <c r="I18" s="1024"/>
      <c r="J18" s="225">
        <f>+'20'!J18</f>
        <v>0</v>
      </c>
      <c r="K18" s="250"/>
      <c r="L18" s="250"/>
      <c r="M18" s="128">
        <f>+K18+'20'!M18+L18</f>
        <v>0</v>
      </c>
    </row>
    <row r="19" spans="1:14" ht="26.25" thickBot="1">
      <c r="A19" s="1026"/>
      <c r="B19" s="226"/>
      <c r="C19" s="227"/>
      <c r="D19" s="228"/>
      <c r="E19" s="236"/>
      <c r="F19" s="246"/>
      <c r="G19" s="243"/>
      <c r="H19" s="244" t="s">
        <v>738</v>
      </c>
      <c r="I19" s="1024"/>
      <c r="J19" s="225">
        <f>+'20'!J19</f>
        <v>0</v>
      </c>
      <c r="K19" s="250"/>
      <c r="L19" s="250"/>
      <c r="M19" s="128">
        <f>+K19+'20'!M19+L19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+'20'!J20</f>
        <v>0</v>
      </c>
      <c r="K20" s="250"/>
      <c r="L20" s="251"/>
      <c r="M20" s="128">
        <f>+K20+'20'!M20+L20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+'20'!J21</f>
        <v>0</v>
      </c>
      <c r="K21" s="250"/>
      <c r="L21" s="250"/>
      <c r="M21" s="128">
        <f>+K21+'20'!M21+L21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+'20'!J22</f>
        <v>0</v>
      </c>
      <c r="K22" s="250"/>
      <c r="L22" s="250"/>
      <c r="M22" s="128">
        <f>+K22+'20'!M22+L22</f>
        <v>0</v>
      </c>
    </row>
    <row r="23" spans="1:14" ht="13.5" thickBot="1">
      <c r="A23" s="1027"/>
      <c r="B23" s="179" t="s">
        <v>2</v>
      </c>
      <c r="C23" s="111">
        <f>SUM(C16:C22)</f>
        <v>15388</v>
      </c>
      <c r="D23" s="122">
        <f>SUM(D16:D22)</f>
        <v>0</v>
      </c>
      <c r="E23" s="123">
        <f>SUM(E18:E22)</f>
        <v>0</v>
      </c>
      <c r="F23" s="127">
        <f>SUM(F15:F22)</f>
        <v>77</v>
      </c>
      <c r="G23" s="170"/>
      <c r="H23" s="177" t="s">
        <v>234</v>
      </c>
      <c r="I23" s="180"/>
      <c r="J23" s="225">
        <f>+'20'!J23</f>
        <v>0</v>
      </c>
      <c r="K23" s="250"/>
      <c r="L23" s="250"/>
      <c r="M23" s="128">
        <f>+K23+'20'!M23+L23</f>
        <v>0</v>
      </c>
    </row>
    <row r="24" spans="1:14" ht="13.5" customHeight="1" thickBot="1">
      <c r="A24" s="1020" t="s">
        <v>605</v>
      </c>
      <c r="B24" s="181"/>
      <c r="C24" s="124"/>
      <c r="D24" s="125"/>
      <c r="E24" s="126"/>
      <c r="F24" s="247">
        <v>30</v>
      </c>
      <c r="G24" s="240" t="s">
        <v>11</v>
      </c>
      <c r="H24" s="241" t="s">
        <v>459</v>
      </c>
      <c r="I24" s="1023" t="s">
        <v>721</v>
      </c>
      <c r="J24" s="225">
        <f>+'20'!J24</f>
        <v>0</v>
      </c>
      <c r="K24" s="250"/>
      <c r="L24" s="250"/>
      <c r="M24" s="128">
        <f>+K24+'20'!M24+L24</f>
        <v>0</v>
      </c>
    </row>
    <row r="25" spans="1:14" ht="13.5" thickBot="1">
      <c r="A25" s="1028"/>
      <c r="B25" s="226" t="s">
        <v>624</v>
      </c>
      <c r="C25" s="237">
        <v>15546</v>
      </c>
      <c r="D25" s="228">
        <v>320</v>
      </c>
      <c r="E25" s="236"/>
      <c r="F25" s="242">
        <v>8</v>
      </c>
      <c r="G25" s="243" t="s">
        <v>11</v>
      </c>
      <c r="H25" s="241" t="s">
        <v>602</v>
      </c>
      <c r="I25" s="1024"/>
      <c r="J25" s="225">
        <f>+'20'!J25</f>
        <v>0</v>
      </c>
      <c r="K25" s="250"/>
      <c r="L25" s="250"/>
      <c r="M25" s="128">
        <f>+K25+'20'!M25+L25</f>
        <v>0</v>
      </c>
    </row>
    <row r="26" spans="1:14" ht="13.5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623</v>
      </c>
      <c r="I26" s="1024"/>
      <c r="J26" s="225">
        <f>+'20'!J26</f>
        <v>0</v>
      </c>
      <c r="K26" s="250"/>
      <c r="L26" s="250"/>
      <c r="M26" s="128">
        <f>+K26+'20'!M26+L26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716</v>
      </c>
      <c r="I27" s="1024"/>
      <c r="J27" s="225">
        <f>+'20'!J27</f>
        <v>0</v>
      </c>
      <c r="K27" s="250"/>
      <c r="L27" s="250"/>
      <c r="M27" s="128">
        <f>+K27+'20'!M27+L27</f>
        <v>0</v>
      </c>
    </row>
    <row r="28" spans="1:14" ht="13.5" thickBot="1">
      <c r="A28" s="1028"/>
      <c r="B28" s="226"/>
      <c r="C28" s="227"/>
      <c r="D28" s="228"/>
      <c r="E28" s="236"/>
      <c r="F28" s="242"/>
      <c r="G28" s="243"/>
      <c r="H28" s="244" t="s">
        <v>737</v>
      </c>
      <c r="I28" s="1024"/>
      <c r="J28" s="225">
        <f>+'20'!J28</f>
        <v>0</v>
      </c>
      <c r="K28" s="250"/>
      <c r="L28" s="250"/>
      <c r="M28" s="128">
        <f>+K28+'20'!M28+L28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+'20'!J29</f>
        <v>0</v>
      </c>
      <c r="K29" s="250"/>
      <c r="L29" s="250"/>
      <c r="M29" s="128">
        <f>+K29+'20'!M29+L29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+'20'!J30</f>
        <v>0</v>
      </c>
      <c r="K30" s="250"/>
      <c r="L30" s="250"/>
      <c r="M30" s="128">
        <f>+K30+'20'!M30+L30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+'20'!J31</f>
        <v>0</v>
      </c>
      <c r="K31" s="250"/>
      <c r="L31" s="250"/>
      <c r="M31" s="128">
        <f>+K31+'20'!M31+L31</f>
        <v>0</v>
      </c>
    </row>
    <row r="32" spans="1:14" ht="13.5" thickBot="1">
      <c r="A32" s="1029"/>
      <c r="B32" s="176" t="s">
        <v>2</v>
      </c>
      <c r="C32" s="110">
        <f>SUM(C25:C31)</f>
        <v>15546</v>
      </c>
      <c r="D32" s="111">
        <f>SUM(D25:D31)</f>
        <v>320</v>
      </c>
      <c r="E32" s="112">
        <f>SUM(E25:E31)</f>
        <v>0</v>
      </c>
      <c r="F32" s="113">
        <f>SUM(F24:F31)</f>
        <v>48</v>
      </c>
      <c r="G32" s="182"/>
      <c r="H32" s="183"/>
      <c r="I32" s="180"/>
      <c r="J32" s="225">
        <f>+'20'!J32</f>
        <v>0</v>
      </c>
      <c r="K32" s="252"/>
      <c r="L32" s="254"/>
      <c r="M32" s="128">
        <f>+K32+'20'!M32+L32</f>
        <v>0</v>
      </c>
    </row>
    <row r="33" spans="1:14" ht="13.5" thickBot="1">
      <c r="A33" s="184"/>
      <c r="B33" s="185"/>
      <c r="C33" s="114">
        <f>C32/($C$32+$D$32+$E$32)</f>
        <v>0.97983108533972019</v>
      </c>
      <c r="D33" s="115">
        <f>D32/($C$32+$D$32+$E$32)</f>
        <v>2.0168914660279844E-2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44090</v>
      </c>
      <c r="D34" s="118">
        <f>D14+D23+D32</f>
        <v>320</v>
      </c>
      <c r="E34" s="118">
        <f>E14+E23+E32</f>
        <v>0</v>
      </c>
      <c r="F34" s="119">
        <f>F14+F23+F32</f>
        <v>144</v>
      </c>
      <c r="H34" s="189"/>
      <c r="I34" s="189"/>
      <c r="J34" s="134" t="s">
        <v>27</v>
      </c>
      <c r="K34" s="135">
        <f>SUM(K7:K32)</f>
        <v>44090</v>
      </c>
      <c r="L34" s="223">
        <f>SUM(L7:L32)</f>
        <v>0</v>
      </c>
      <c r="M34" s="131">
        <f>SUM(M7:M32)</f>
        <v>1165158</v>
      </c>
      <c r="N34" s="166"/>
    </row>
    <row r="35" spans="1:14" ht="13.5" thickBot="1">
      <c r="A35" s="190"/>
      <c r="B35" s="191"/>
      <c r="C35" s="115">
        <f>C34/($C$34+$D$34+$E$34)</f>
        <v>0.99279441567214588</v>
      </c>
      <c r="D35" s="115">
        <f>D34/($C$34+$D$34+$E$34)</f>
        <v>7.2055843278540869E-3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(11.5*1440)/1440*G42*2.77*1440/1000000</f>
        <v>57.522484799999994</v>
      </c>
      <c r="J37" s="136">
        <f>+I37+'20'!J37</f>
        <v>1366.6165219200086</v>
      </c>
      <c r="K37" s="137" t="s">
        <v>62</v>
      </c>
      <c r="L37" s="565"/>
    </row>
    <row r="38" spans="1:14" ht="17.45" customHeight="1">
      <c r="A38" s="1034" t="s">
        <v>11</v>
      </c>
      <c r="B38" s="1035"/>
      <c r="C38" s="175">
        <f>SUMIF($G$7:$G$31,"Process",$F$7:$F$31)</f>
        <v>144</v>
      </c>
      <c r="D38" s="129">
        <f>+C38+'20'!D38</f>
        <v>2100</v>
      </c>
      <c r="E38" s="154">
        <f t="shared" ref="E38:E51" si="0">D38/60</f>
        <v>35</v>
      </c>
      <c r="F38" s="340">
        <v>1650</v>
      </c>
      <c r="G38" s="340">
        <f>+F38-F38*0.24</f>
        <v>1254</v>
      </c>
      <c r="H38" s="198" t="s">
        <v>63</v>
      </c>
      <c r="I38" s="555">
        <f>17.021+17.264+16.003</f>
        <v>50.287999999999997</v>
      </c>
      <c r="J38" s="138">
        <f>+I38+'20'!J38</f>
        <v>1234.6320000000001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+C39+'20'!D39</f>
        <v>0</v>
      </c>
      <c r="E39" s="154">
        <f t="shared" si="0"/>
        <v>0</v>
      </c>
      <c r="F39" s="340">
        <v>1650</v>
      </c>
      <c r="G39" s="340">
        <f>+F39-F39*0.24</f>
        <v>1254</v>
      </c>
      <c r="H39" s="198" t="s">
        <v>64</v>
      </c>
      <c r="I39" s="153"/>
      <c r="J39" s="140">
        <f>J37/G4</f>
        <v>65.076977234286119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+C40+'20'!D40</f>
        <v>0</v>
      </c>
      <c r="E40" s="154">
        <f t="shared" si="0"/>
        <v>0</v>
      </c>
      <c r="F40" s="340">
        <v>1650</v>
      </c>
      <c r="G40" s="340">
        <f>+F40-F40*0.24</f>
        <v>1254</v>
      </c>
      <c r="H40" s="198" t="s">
        <v>66</v>
      </c>
      <c r="I40" s="129">
        <f>(K34+L34)/1000</f>
        <v>44.09</v>
      </c>
      <c r="J40" s="142">
        <f>+I40+'20'!J40</f>
        <v>1165.1580000000001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+C41+'20'!D41</f>
        <v>404</v>
      </c>
      <c r="E41" s="154">
        <f t="shared" si="0"/>
        <v>6.7333333333333334</v>
      </c>
      <c r="F41" s="340"/>
      <c r="G41" s="340"/>
      <c r="H41" s="198" t="s">
        <v>68</v>
      </c>
      <c r="I41" s="153"/>
      <c r="J41" s="140">
        <f>J40/G4</f>
        <v>55.483714285714292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+C42+'20'!D42</f>
        <v>0</v>
      </c>
      <c r="E42" s="154">
        <f t="shared" si="0"/>
        <v>0</v>
      </c>
      <c r="F42" s="340">
        <f>+(F38*480+F39*480+F40*480)/1440</f>
        <v>1650</v>
      </c>
      <c r="G42" s="340">
        <f>+(G38*480+G39*480+G40*480)/1440</f>
        <v>1254</v>
      </c>
      <c r="H42" s="198" t="s">
        <v>69</v>
      </c>
      <c r="I42" s="257" t="s">
        <v>721</v>
      </c>
      <c r="J42" s="143"/>
      <c r="K42" s="141" t="s">
        <v>70</v>
      </c>
    </row>
    <row r="43" spans="1:14" ht="17.45" customHeight="1">
      <c r="A43" s="1018" t="s">
        <v>202</v>
      </c>
      <c r="B43" s="1019"/>
      <c r="C43" s="175">
        <f>SUMIF($G$7:$G$31,"Change Grade",$F$7:$F$31)</f>
        <v>0</v>
      </c>
      <c r="D43" s="129">
        <f>+C43+'20'!D43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+Report1!T29</f>
        <v>120.27</v>
      </c>
      <c r="J43" s="144">
        <f>+I43+'20'!J43</f>
        <v>2808.4870000000005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+C44+'20'!D44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2.3916242443525295</v>
      </c>
      <c r="J44" s="145">
        <f>J43/J38</f>
        <v>2.2747563646495479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+C45+'20'!D45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2.7278294397822633</v>
      </c>
      <c r="J45" s="145">
        <f>J43/J40</f>
        <v>2.4103915520470185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+C46+'20'!D46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+SUMIF(Listrik!AR28,"&gt;0")</f>
        <v>56830.480000000294</v>
      </c>
      <c r="J46" s="146">
        <f>+I46+'20'!J46</f>
        <v>1175207.8399999973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+C47+'20'!D47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1130.1002227171552</v>
      </c>
      <c r="J47" s="146">
        <f>J46/J38</f>
        <v>951.86892936518507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+C48+'20'!D48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1288.9652982535788</v>
      </c>
      <c r="J48" s="146">
        <f>J46/J40</f>
        <v>1008.6253023195113</v>
      </c>
      <c r="K48" s="141" t="s">
        <v>23</v>
      </c>
    </row>
    <row r="49" spans="1:11" ht="17.45" customHeight="1">
      <c r="A49" s="1040" t="s">
        <v>19</v>
      </c>
      <c r="B49" s="1019"/>
      <c r="C49" s="175">
        <f>SUMIF($G$7:$G$31,"Others",$F$7:$F$31)</f>
        <v>0</v>
      </c>
      <c r="D49" s="129">
        <f>+C49+'20'!D49</f>
        <v>233</v>
      </c>
      <c r="E49" s="154">
        <f t="shared" si="0"/>
        <v>3.8833333333333333</v>
      </c>
      <c r="F49" s="196"/>
      <c r="H49" s="199" t="s">
        <v>81</v>
      </c>
      <c r="I49" s="129">
        <v>0</v>
      </c>
      <c r="J49" s="146">
        <f>+I49+'20'!J49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+C50+'20'!D50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+C51+'20'!D51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144</v>
      </c>
      <c r="D52" s="155">
        <f>SUM(D38:D51)</f>
        <v>2775</v>
      </c>
      <c r="E52" s="156">
        <f>SUM(E38:E51)</f>
        <v>46.25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0.1</v>
      </c>
      <c r="D53" s="157">
        <f>D52/(24*60*G4)</f>
        <v>9.1765873015873009E-2</v>
      </c>
      <c r="E53" s="158">
        <f>E52/(G4*24)</f>
        <v>9.1765873015873009E-2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+D34+'20'!J56</f>
        <v>19565</v>
      </c>
      <c r="K56" s="212">
        <f>J56/(J40+J56/1000)/1000</f>
        <v>1.651440885337754E-2</v>
      </c>
    </row>
    <row r="57" spans="1:11">
      <c r="A57" s="187"/>
      <c r="I57" s="210" t="s">
        <v>88</v>
      </c>
      <c r="J57" s="211">
        <f>+E34+'20'!J57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1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5.42578125" style="160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20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295+187+262</f>
        <v>744</v>
      </c>
    </row>
    <row r="7" spans="1:18" ht="13.5" customHeight="1" thickBot="1">
      <c r="A7" s="1020" t="s">
        <v>436</v>
      </c>
      <c r="B7" s="226" t="s">
        <v>624</v>
      </c>
      <c r="C7" s="227">
        <v>15770</v>
      </c>
      <c r="D7" s="228">
        <v>331</v>
      </c>
      <c r="E7" s="229"/>
      <c r="F7" s="239">
        <v>40</v>
      </c>
      <c r="G7" s="240" t="s">
        <v>11</v>
      </c>
      <c r="H7" s="241" t="s">
        <v>688</v>
      </c>
      <c r="I7" s="1023" t="s">
        <v>726</v>
      </c>
      <c r="J7" s="225" t="str">
        <f>+'19'!J7</f>
        <v>MG 14 VP HW</v>
      </c>
      <c r="K7" s="249"/>
      <c r="L7" s="253"/>
      <c r="M7" s="128">
        <f>+K7+'19'!M7+L7</f>
        <v>160441</v>
      </c>
    </row>
    <row r="8" spans="1:18" ht="13.5" thickBot="1">
      <c r="A8" s="1021"/>
      <c r="B8" s="226"/>
      <c r="C8" s="227"/>
      <c r="D8" s="228"/>
      <c r="E8" s="230"/>
      <c r="F8" s="242">
        <v>5</v>
      </c>
      <c r="G8" s="243" t="s">
        <v>11</v>
      </c>
      <c r="H8" s="241" t="s">
        <v>649</v>
      </c>
      <c r="I8" s="1024"/>
      <c r="J8" s="225" t="str">
        <f>+'19'!J8</f>
        <v>MG 17 VP HW</v>
      </c>
      <c r="K8" s="250"/>
      <c r="L8" s="250"/>
      <c r="M8" s="128">
        <f>+K8+'19'!M8+L8</f>
        <v>131048</v>
      </c>
      <c r="N8" s="160">
        <v>1660</v>
      </c>
      <c r="O8" s="160">
        <f>+N8-N8*0.24</f>
        <v>1261.5999999999999</v>
      </c>
      <c r="P8" s="160">
        <f>60+50</f>
        <v>110</v>
      </c>
      <c r="Q8" s="160">
        <f>+N8*P8</f>
        <v>182600</v>
      </c>
      <c r="R8" s="160">
        <f>+O8*P8</f>
        <v>138776</v>
      </c>
    </row>
    <row r="9" spans="1:18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623</v>
      </c>
      <c r="I9" s="1024"/>
      <c r="J9" s="225" t="str">
        <f>+'19'!J9</f>
        <v>MG 16 VP HW/OW</v>
      </c>
      <c r="K9" s="250"/>
      <c r="L9" s="250"/>
      <c r="M9" s="128">
        <f>+K9+'19'!M9+L9</f>
        <v>278646</v>
      </c>
      <c r="N9" s="160">
        <v>1650</v>
      </c>
      <c r="O9" s="160">
        <f>+N9-N9*0.24</f>
        <v>1254</v>
      </c>
      <c r="P9" s="160">
        <f>480-P8</f>
        <v>370</v>
      </c>
      <c r="Q9" s="160">
        <f>+N9*P9</f>
        <v>610500</v>
      </c>
      <c r="R9" s="160">
        <f>+O9*P9</f>
        <v>463980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724</v>
      </c>
      <c r="I10" s="1024"/>
      <c r="J10" s="225" t="str">
        <f>+'19'!J10</f>
        <v>MG 22 VP HW</v>
      </c>
      <c r="K10" s="250"/>
      <c r="L10" s="250"/>
      <c r="M10" s="128">
        <f>+K10+'19'!M10+L10</f>
        <v>12128</v>
      </c>
      <c r="P10" s="160">
        <f>SUM(P8:P9)</f>
        <v>480</v>
      </c>
      <c r="Q10" s="160">
        <f>SUM(Q8:Q9)</f>
        <v>793100</v>
      </c>
      <c r="R10" s="160">
        <f>SUM(R8:R9)</f>
        <v>602756</v>
      </c>
    </row>
    <row r="11" spans="1:18" ht="13.5" thickBot="1">
      <c r="A11" s="1021"/>
      <c r="B11" s="226"/>
      <c r="C11" s="227"/>
      <c r="D11" s="228"/>
      <c r="E11" s="230"/>
      <c r="F11" s="239"/>
      <c r="G11" s="243"/>
      <c r="H11" s="244" t="s">
        <v>717</v>
      </c>
      <c r="I11" s="1024"/>
      <c r="J11" s="225" t="str">
        <f>+'19'!J11</f>
        <v>MG 24 VP HW</v>
      </c>
      <c r="K11" s="250"/>
      <c r="L11" s="250"/>
      <c r="M11" s="128">
        <f>+K11+'19'!M11+L11</f>
        <v>5566</v>
      </c>
      <c r="Q11" s="160">
        <f>+Q10/P10</f>
        <v>1652.2916666666667</v>
      </c>
      <c r="R11" s="160">
        <f>+R10/P10</f>
        <v>1255.7416666666666</v>
      </c>
    </row>
    <row r="12" spans="1:18" ht="13.5" thickBot="1">
      <c r="A12" s="1021"/>
      <c r="B12" s="226"/>
      <c r="C12" s="227"/>
      <c r="D12" s="228"/>
      <c r="E12" s="230"/>
      <c r="F12" s="239"/>
      <c r="G12" s="243"/>
      <c r="H12" s="244" t="s">
        <v>725</v>
      </c>
      <c r="I12" s="1024"/>
      <c r="J12" s="225" t="str">
        <f>+'19'!J12</f>
        <v>MG 20 VP HW</v>
      </c>
      <c r="K12" s="250"/>
      <c r="L12" s="250"/>
      <c r="M12" s="128">
        <f>+K12+'19'!M12+L12</f>
        <v>7726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+'19'!J13</f>
        <v>F 12 VP OW</v>
      </c>
      <c r="K13" s="250"/>
      <c r="L13" s="250"/>
      <c r="M13" s="128">
        <f>+K13+'19'!M13+L13</f>
        <v>51416</v>
      </c>
    </row>
    <row r="14" spans="1:18" ht="13.5" thickBot="1">
      <c r="A14" s="1022"/>
      <c r="B14" s="176" t="s">
        <v>2</v>
      </c>
      <c r="C14" s="110">
        <f>SUM(C7:C13)</f>
        <v>15770</v>
      </c>
      <c r="D14" s="122">
        <f>SUM(D7:D13)</f>
        <v>331</v>
      </c>
      <c r="E14" s="123">
        <f>SUM(E5:E13)</f>
        <v>0</v>
      </c>
      <c r="F14" s="127">
        <f>SUM(F7:F13)</f>
        <v>55</v>
      </c>
      <c r="G14" s="170"/>
      <c r="H14" s="177"/>
      <c r="I14" s="178"/>
      <c r="J14" s="225" t="str">
        <f>+'19'!J14</f>
        <v>F 11,5 VP OW</v>
      </c>
      <c r="K14" s="250">
        <f>+C34</f>
        <v>45068</v>
      </c>
      <c r="L14" s="250"/>
      <c r="M14" s="128">
        <f>+K14+'19'!M14+L14</f>
        <v>195065</v>
      </c>
    </row>
    <row r="15" spans="1:18" ht="13.5" customHeight="1" thickBot="1">
      <c r="A15" s="1020" t="s">
        <v>435</v>
      </c>
      <c r="B15" s="176"/>
      <c r="C15" s="124"/>
      <c r="D15" s="125"/>
      <c r="E15" s="126"/>
      <c r="F15" s="239">
        <v>20</v>
      </c>
      <c r="G15" s="240" t="s">
        <v>11</v>
      </c>
      <c r="H15" s="241" t="s">
        <v>504</v>
      </c>
      <c r="I15" s="1023" t="s">
        <v>721</v>
      </c>
      <c r="J15" s="225" t="str">
        <f>+'19'!J15</f>
        <v>F 10,5 VP OW</v>
      </c>
      <c r="K15" s="250"/>
      <c r="L15" s="250"/>
      <c r="M15" s="128">
        <f>+K15+'19'!M15+L15</f>
        <v>151044</v>
      </c>
    </row>
    <row r="16" spans="1:18" ht="13.5" thickBot="1">
      <c r="A16" s="1026"/>
      <c r="B16" s="226" t="s">
        <v>624</v>
      </c>
      <c r="C16" s="233">
        <v>14807</v>
      </c>
      <c r="D16" s="234"/>
      <c r="E16" s="235"/>
      <c r="F16" s="239">
        <v>6</v>
      </c>
      <c r="G16" s="243" t="s">
        <v>11</v>
      </c>
      <c r="H16" s="241" t="s">
        <v>602</v>
      </c>
      <c r="I16" s="1024"/>
      <c r="J16" s="225" t="str">
        <f>+'19'!J16</f>
        <v>F 10,3 VP OW</v>
      </c>
      <c r="K16" s="250"/>
      <c r="L16" s="240"/>
      <c r="M16" s="128">
        <f>+K16+'19'!M16+L16</f>
        <v>127988</v>
      </c>
    </row>
    <row r="17" spans="1:14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727</v>
      </c>
      <c r="I17" s="1024"/>
      <c r="J17" s="225">
        <f>+'19'!J17</f>
        <v>0</v>
      </c>
      <c r="K17" s="250"/>
      <c r="L17" s="240"/>
      <c r="M17" s="128">
        <f>+K17+'19'!M17+L17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716</v>
      </c>
      <c r="I18" s="1024"/>
      <c r="J18" s="225">
        <f>+'19'!J18</f>
        <v>0</v>
      </c>
      <c r="K18" s="250"/>
      <c r="L18" s="250"/>
      <c r="M18" s="128">
        <f>+K18+'19'!M18+L18</f>
        <v>0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244"/>
      <c r="I19" s="1024"/>
      <c r="J19" s="225">
        <f>+'19'!J19</f>
        <v>0</v>
      </c>
      <c r="K19" s="250"/>
      <c r="L19" s="250"/>
      <c r="M19" s="128">
        <f>+K19+'19'!M19+L19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+'19'!J20</f>
        <v>0</v>
      </c>
      <c r="K20" s="251"/>
      <c r="L20" s="251"/>
      <c r="M20" s="128">
        <f>+K20+'19'!M20+L20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+'19'!J21</f>
        <v>0</v>
      </c>
      <c r="K21" s="251"/>
      <c r="L21" s="250"/>
      <c r="M21" s="128">
        <f>+K21+'19'!M21+L21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+'19'!J22</f>
        <v>0</v>
      </c>
      <c r="K22" s="251"/>
      <c r="L22" s="250"/>
      <c r="M22" s="128">
        <f>+K22+'19'!M22+L22</f>
        <v>0</v>
      </c>
    </row>
    <row r="23" spans="1:14" ht="13.5" thickBot="1">
      <c r="A23" s="1027"/>
      <c r="B23" s="179" t="s">
        <v>2</v>
      </c>
      <c r="C23" s="111">
        <f>SUM(C16:C22)</f>
        <v>14807</v>
      </c>
      <c r="D23" s="122">
        <f>SUM(D16:D22)</f>
        <v>0</v>
      </c>
      <c r="E23" s="123">
        <f>SUM(E18:E22)</f>
        <v>0</v>
      </c>
      <c r="F23" s="127">
        <f>SUM(F15:F22)</f>
        <v>36</v>
      </c>
      <c r="G23" s="170"/>
      <c r="H23" s="177" t="s">
        <v>234</v>
      </c>
      <c r="I23" s="180"/>
      <c r="J23" s="225">
        <f>+'19'!J23</f>
        <v>0</v>
      </c>
      <c r="K23" s="251"/>
      <c r="L23" s="250"/>
      <c r="M23" s="128">
        <f>+K23+'19'!M23+L23</f>
        <v>0</v>
      </c>
    </row>
    <row r="24" spans="1:14" ht="13.5" customHeight="1" thickBot="1">
      <c r="A24" s="1020" t="s">
        <v>605</v>
      </c>
      <c r="B24" s="181"/>
      <c r="C24" s="124"/>
      <c r="D24" s="125"/>
      <c r="E24" s="126"/>
      <c r="F24" s="247">
        <v>20</v>
      </c>
      <c r="G24" s="240" t="s">
        <v>11</v>
      </c>
      <c r="H24" s="241" t="s">
        <v>504</v>
      </c>
      <c r="I24" s="1023" t="s">
        <v>721</v>
      </c>
      <c r="J24" s="225">
        <f>+'19'!J24</f>
        <v>0</v>
      </c>
      <c r="K24" s="251"/>
      <c r="L24" s="250"/>
      <c r="M24" s="128">
        <f>+K24+'19'!M24+L24</f>
        <v>0</v>
      </c>
    </row>
    <row r="25" spans="1:14" ht="13.5" thickBot="1">
      <c r="A25" s="1028"/>
      <c r="B25" s="226" t="s">
        <v>624</v>
      </c>
      <c r="C25" s="237">
        <v>14491</v>
      </c>
      <c r="D25" s="228"/>
      <c r="E25" s="236"/>
      <c r="F25" s="242">
        <v>7</v>
      </c>
      <c r="G25" s="243" t="s">
        <v>11</v>
      </c>
      <c r="H25" s="241" t="s">
        <v>600</v>
      </c>
      <c r="I25" s="1024"/>
      <c r="J25" s="225">
        <f>+'19'!J25</f>
        <v>0</v>
      </c>
      <c r="K25" s="251"/>
      <c r="L25" s="250"/>
      <c r="M25" s="128">
        <f>+K25+'19'!M25+L25</f>
        <v>0</v>
      </c>
    </row>
    <row r="26" spans="1:14" ht="13.5" thickBot="1">
      <c r="A26" s="1028"/>
      <c r="B26" s="226"/>
      <c r="C26" s="237"/>
      <c r="D26" s="228"/>
      <c r="E26" s="238"/>
      <c r="F26" s="242">
        <v>15</v>
      </c>
      <c r="G26" s="243" t="s">
        <v>11</v>
      </c>
      <c r="H26" s="597" t="s">
        <v>601</v>
      </c>
      <c r="I26" s="1024"/>
      <c r="J26" s="225">
        <f>+'19'!J26</f>
        <v>0</v>
      </c>
      <c r="K26" s="251"/>
      <c r="L26" s="250"/>
      <c r="M26" s="128">
        <f>+K26+'19'!M26+L26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716</v>
      </c>
      <c r="I27" s="1024"/>
      <c r="J27" s="225">
        <f>+'19'!J27</f>
        <v>0</v>
      </c>
      <c r="K27" s="250"/>
      <c r="L27" s="250"/>
      <c r="M27" s="128">
        <f>+K27+'19'!M27+L27</f>
        <v>0</v>
      </c>
    </row>
    <row r="28" spans="1:14" ht="13.5" thickBot="1">
      <c r="A28" s="1028"/>
      <c r="B28" s="226"/>
      <c r="C28" s="227"/>
      <c r="D28" s="228"/>
      <c r="E28" s="236"/>
      <c r="F28" s="242"/>
      <c r="G28" s="243"/>
      <c r="H28" s="244"/>
      <c r="I28" s="1024"/>
      <c r="J28" s="225">
        <f>+'19'!J28</f>
        <v>0</v>
      </c>
      <c r="K28" s="250"/>
      <c r="L28" s="250"/>
      <c r="M28" s="128">
        <f>+K28+'19'!M28+L28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+'19'!J29</f>
        <v>0</v>
      </c>
      <c r="K29" s="250"/>
      <c r="L29" s="250"/>
      <c r="M29" s="128">
        <f>+K29+'19'!M29+L29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+'19'!J30</f>
        <v>0</v>
      </c>
      <c r="K30" s="250"/>
      <c r="L30" s="250"/>
      <c r="M30" s="128">
        <f>+K30+'19'!M30+L30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+'19'!J31</f>
        <v>0</v>
      </c>
      <c r="K31" s="250"/>
      <c r="L31" s="250"/>
      <c r="M31" s="128">
        <f>+K31+'19'!M31+L31</f>
        <v>0</v>
      </c>
    </row>
    <row r="32" spans="1:14" ht="13.5" thickBot="1">
      <c r="A32" s="1029"/>
      <c r="B32" s="176" t="s">
        <v>2</v>
      </c>
      <c r="C32" s="110">
        <f>SUM(C25:C31)</f>
        <v>14491</v>
      </c>
      <c r="D32" s="111">
        <f>SUM(D25:D31)</f>
        <v>0</v>
      </c>
      <c r="E32" s="112">
        <f>SUM(E25:E31)</f>
        <v>0</v>
      </c>
      <c r="F32" s="113">
        <f>SUM(F24:F31)</f>
        <v>42</v>
      </c>
      <c r="G32" s="182"/>
      <c r="H32" s="183"/>
      <c r="I32" s="180"/>
      <c r="J32" s="225">
        <f>+'19'!J32</f>
        <v>0</v>
      </c>
      <c r="K32" s="252"/>
      <c r="L32" s="254"/>
      <c r="M32" s="128">
        <f>+K32+'19'!M32+L32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45068</v>
      </c>
      <c r="D34" s="118">
        <f>D14+D23+D32</f>
        <v>331</v>
      </c>
      <c r="E34" s="118">
        <f>E14+E23+E32</f>
        <v>0</v>
      </c>
      <c r="F34" s="119">
        <f>F14+F23+F32</f>
        <v>133</v>
      </c>
      <c r="H34" s="189"/>
      <c r="I34" s="189"/>
      <c r="J34" s="134" t="s">
        <v>27</v>
      </c>
      <c r="K34" s="135">
        <f>SUM(K7:K32)</f>
        <v>45068</v>
      </c>
      <c r="L34" s="223">
        <f>SUM(L7:L32)</f>
        <v>0</v>
      </c>
      <c r="M34" s="131">
        <f>SUM(M7:M32)</f>
        <v>1121068</v>
      </c>
      <c r="N34" s="166"/>
    </row>
    <row r="35" spans="1:14" ht="13.5" thickBot="1">
      <c r="A35" s="190"/>
      <c r="B35" s="191"/>
      <c r="C35" s="115">
        <f>C34/($C$34+$D$34+$E$34)</f>
        <v>0.99270909050860157</v>
      </c>
      <c r="D35" s="115">
        <f>D34/($C$34+$D$34+$E$34)</f>
        <v>7.2909094913984887E-3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(11.5*1440)/1440*G42*2.77*1440/1000000</f>
        <v>57.549115579999999</v>
      </c>
      <c r="J37" s="136">
        <f>+I37+'19'!J37</f>
        <v>1309.0940371200086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133</v>
      </c>
      <c r="D38" s="129">
        <f>+C38+'19'!D38</f>
        <v>1956</v>
      </c>
      <c r="E38" s="154">
        <f t="shared" ref="E38:E51" si="0">D38/60</f>
        <v>32.6</v>
      </c>
      <c r="F38" s="340">
        <v>1652.2916666666667</v>
      </c>
      <c r="G38" s="340">
        <v>1255.7416666666666</v>
      </c>
      <c r="H38" s="198" t="s">
        <v>63</v>
      </c>
      <c r="I38" s="555">
        <f>14.483+17.927+15.186</f>
        <v>47.595999999999997</v>
      </c>
      <c r="J38" s="138">
        <f>+I38+'19'!J38</f>
        <v>1184.3440000000001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+C39+'19'!D39</f>
        <v>0</v>
      </c>
      <c r="E39" s="154">
        <f t="shared" si="0"/>
        <v>0</v>
      </c>
      <c r="F39" s="340">
        <v>1650</v>
      </c>
      <c r="G39" s="340">
        <f t="shared" ref="G39:G40" si="1">+F39-F39*0.24</f>
        <v>1254</v>
      </c>
      <c r="H39" s="198" t="s">
        <v>64</v>
      </c>
      <c r="I39" s="153"/>
      <c r="J39" s="140">
        <f>J37/G4</f>
        <v>65.454701856000426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+C40+'19'!D40</f>
        <v>0</v>
      </c>
      <c r="E40" s="154">
        <f t="shared" si="0"/>
        <v>0</v>
      </c>
      <c r="F40" s="340">
        <v>1650</v>
      </c>
      <c r="G40" s="340">
        <f t="shared" si="1"/>
        <v>1254</v>
      </c>
      <c r="H40" s="198" t="s">
        <v>66</v>
      </c>
      <c r="I40" s="129">
        <f>(K34+L34)/1000</f>
        <v>45.067999999999998</v>
      </c>
      <c r="J40" s="142">
        <f>+I40+'19'!J40</f>
        <v>1121.0680000000002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+C41+'19'!D41</f>
        <v>404</v>
      </c>
      <c r="E41" s="154">
        <f t="shared" si="0"/>
        <v>6.7333333333333334</v>
      </c>
      <c r="F41" s="340"/>
      <c r="G41" s="340"/>
      <c r="H41" s="198" t="s">
        <v>68</v>
      </c>
      <c r="I41" s="153"/>
      <c r="J41" s="140">
        <f>J40/G4</f>
        <v>56.053400000000011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+C42+'19'!D42</f>
        <v>0</v>
      </c>
      <c r="E42" s="154">
        <f t="shared" si="0"/>
        <v>0</v>
      </c>
      <c r="F42" s="340">
        <f>+(F38*480+F39*480+F40*480)/1440</f>
        <v>1650.7638888888889</v>
      </c>
      <c r="G42" s="340">
        <f>+(G38*480+G39*480+G40*480)/1440</f>
        <v>1254.5805555555555</v>
      </c>
      <c r="H42" s="198" t="s">
        <v>69</v>
      </c>
      <c r="I42" s="257" t="s">
        <v>721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+C43+'19'!D43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+Report1!T28</f>
        <v>120.901</v>
      </c>
      <c r="J43" s="144">
        <f>+I43+'19'!J43</f>
        <v>2688.2170000000006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+C44+'19'!D44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2.5401504328094799</v>
      </c>
      <c r="J44" s="145">
        <f>J43/J38</f>
        <v>2.2697940800983503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+C45+'19'!D45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2.6826351291381911</v>
      </c>
      <c r="J45" s="145">
        <f>J43/J40</f>
        <v>2.3979071742302875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+C46+'19'!D46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+SUMIF(Listrik!AR27,"&gt;0")</f>
        <v>56851.219999999099</v>
      </c>
      <c r="J46" s="146">
        <f>+I46+'19'!J46</f>
        <v>1118377.3599999971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+C47+'19'!D47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1194.4537356080154</v>
      </c>
      <c r="J47" s="146">
        <f>J46/J38</f>
        <v>944.30111521652236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+C48+'19'!D48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1261.4542469157518</v>
      </c>
      <c r="J48" s="146">
        <f>J46/J40</f>
        <v>997.59993149389413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+C49+'19'!D49</f>
        <v>233</v>
      </c>
      <c r="E49" s="154">
        <f t="shared" si="0"/>
        <v>3.8833333333333333</v>
      </c>
      <c r="F49" s="196"/>
      <c r="H49" s="199" t="s">
        <v>81</v>
      </c>
      <c r="I49" s="129">
        <v>0</v>
      </c>
      <c r="J49" s="146">
        <f>+I49+'19'!J49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+C50+'19'!D50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+C51+'19'!D51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133</v>
      </c>
      <c r="D52" s="155">
        <f>SUM(D38:D51)</f>
        <v>2631</v>
      </c>
      <c r="E52" s="156">
        <f>SUM(E38:E51)</f>
        <v>43.85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9.2361111111111116E-2</v>
      </c>
      <c r="D53" s="157">
        <f>D52/(24*60*G4)</f>
        <v>9.1354166666666667E-2</v>
      </c>
      <c r="E53" s="158">
        <f>E52/(G4*24)</f>
        <v>9.1354166666666667E-2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+D34+'19'!J56</f>
        <v>19245</v>
      </c>
      <c r="K56" s="212">
        <f>J56/(J40+J56/1000)/1000</f>
        <v>1.6876945189610217E-2</v>
      </c>
    </row>
    <row r="57" spans="1:11">
      <c r="A57" s="187"/>
      <c r="I57" s="210" t="s">
        <v>88</v>
      </c>
      <c r="J57" s="211">
        <f>+E34+'19'!J57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0" customWidth="1"/>
    <col min="2" max="2" width="8.7109375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9.42578125" style="160" bestFit="1" customWidth="1"/>
    <col min="11" max="11" width="12.5703125" style="160" bestFit="1" customWidth="1"/>
    <col min="12" max="12" width="8.28515625" style="160" customWidth="1"/>
    <col min="13" max="13" width="14.140625" style="160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19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213+283+238</f>
        <v>734</v>
      </c>
    </row>
    <row r="7" spans="1:18" ht="13.5" customHeight="1" thickBot="1">
      <c r="A7" s="1020" t="s">
        <v>436</v>
      </c>
      <c r="B7" s="226" t="s">
        <v>624</v>
      </c>
      <c r="C7" s="227">
        <v>17126</v>
      </c>
      <c r="D7" s="228">
        <v>710</v>
      </c>
      <c r="E7" s="229"/>
      <c r="F7" s="239">
        <v>15</v>
      </c>
      <c r="G7" s="240" t="s">
        <v>11</v>
      </c>
      <c r="H7" s="241" t="s">
        <v>577</v>
      </c>
      <c r="I7" s="1023" t="s">
        <v>719</v>
      </c>
      <c r="J7" s="225" t="str">
        <f>+'18'!J7</f>
        <v>MG 14 VP HW</v>
      </c>
      <c r="K7" s="249"/>
      <c r="L7" s="253"/>
      <c r="M7" s="128">
        <f>+K7+'18'!M7+L7</f>
        <v>160441</v>
      </c>
    </row>
    <row r="8" spans="1:18" ht="13.5" thickBot="1">
      <c r="A8" s="1021"/>
      <c r="B8" s="226" t="s">
        <v>657</v>
      </c>
      <c r="C8" s="227"/>
      <c r="D8" s="228"/>
      <c r="E8" s="230"/>
      <c r="F8" s="242">
        <v>5</v>
      </c>
      <c r="G8" s="243" t="s">
        <v>11</v>
      </c>
      <c r="H8" s="241" t="s">
        <v>602</v>
      </c>
      <c r="I8" s="1024"/>
      <c r="J8" s="225" t="str">
        <f>+'18'!J8</f>
        <v>MG 17 VP HW</v>
      </c>
      <c r="K8" s="250"/>
      <c r="L8" s="250"/>
      <c r="M8" s="128">
        <f>+K8+'18'!M8+L8</f>
        <v>131048</v>
      </c>
      <c r="N8" s="160">
        <v>1650</v>
      </c>
      <c r="O8" s="160">
        <f>+N8-N8*0.24</f>
        <v>1254</v>
      </c>
      <c r="P8" s="160">
        <v>308</v>
      </c>
      <c r="Q8" s="160">
        <f>+N8*P8</f>
        <v>508200</v>
      </c>
      <c r="R8" s="160">
        <f>+O8*P8</f>
        <v>386232</v>
      </c>
    </row>
    <row r="9" spans="1:18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453</v>
      </c>
      <c r="I9" s="1024"/>
      <c r="J9" s="225" t="str">
        <f>+'18'!J9</f>
        <v>MG 16 VP HW/OW</v>
      </c>
      <c r="K9" s="250"/>
      <c r="L9" s="250"/>
      <c r="M9" s="128">
        <f>+K9+'18'!M9+L9</f>
        <v>278646</v>
      </c>
      <c r="N9" s="160">
        <v>1700</v>
      </c>
      <c r="O9" s="160">
        <f>+N9-N9*0.2</f>
        <v>1360</v>
      </c>
      <c r="P9" s="160">
        <f>480-P8</f>
        <v>172</v>
      </c>
      <c r="Q9" s="160">
        <f>+N9*P9</f>
        <v>292400</v>
      </c>
      <c r="R9" s="160">
        <f>+O9*P9</f>
        <v>233920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714</v>
      </c>
      <c r="I10" s="1024"/>
      <c r="J10" s="225" t="str">
        <f>+'18'!J10</f>
        <v>MG 22 VP HW</v>
      </c>
      <c r="K10" s="250"/>
      <c r="L10" s="250"/>
      <c r="M10" s="128">
        <f>+K10+'18'!M10+L10</f>
        <v>12128</v>
      </c>
      <c r="P10" s="160">
        <f>SUM(P8:P9)</f>
        <v>480</v>
      </c>
      <c r="Q10" s="160">
        <f t="shared" ref="Q10:R10" si="0">SUM(Q8:Q9)</f>
        <v>800600</v>
      </c>
      <c r="R10" s="160">
        <f t="shared" si="0"/>
        <v>620152</v>
      </c>
    </row>
    <row r="11" spans="1:18" ht="13.5" thickBot="1">
      <c r="A11" s="1021"/>
      <c r="B11" s="226"/>
      <c r="C11" s="227"/>
      <c r="D11" s="228"/>
      <c r="E11" s="230"/>
      <c r="F11" s="239"/>
      <c r="G11" s="243"/>
      <c r="H11" s="244" t="s">
        <v>718</v>
      </c>
      <c r="I11" s="1024"/>
      <c r="J11" s="225" t="str">
        <f>+'18'!J11</f>
        <v>MG 24 VP HW</v>
      </c>
      <c r="K11" s="250"/>
      <c r="L11" s="250"/>
      <c r="M11" s="128">
        <f>+K11+'18'!M11+L11</f>
        <v>5566</v>
      </c>
      <c r="Q11" s="160">
        <f>+Q10/P10</f>
        <v>1667.9166666666667</v>
      </c>
      <c r="R11" s="160">
        <f>+R10/P10</f>
        <v>1291.9833333333333</v>
      </c>
    </row>
    <row r="12" spans="1:18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 t="str">
        <f>+'18'!J12</f>
        <v>MG 20 VP HW</v>
      </c>
      <c r="K12" s="250"/>
      <c r="L12" s="250"/>
      <c r="M12" s="128">
        <f>+K12+'18'!M12+L12</f>
        <v>7726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+'18'!J13</f>
        <v>F 12 VP OW</v>
      </c>
      <c r="K13" s="250"/>
      <c r="L13" s="250"/>
      <c r="M13" s="128">
        <f>+K13+'18'!M13+L13</f>
        <v>51416</v>
      </c>
    </row>
    <row r="14" spans="1:18" ht="13.5" thickBot="1">
      <c r="A14" s="1022"/>
      <c r="B14" s="176" t="s">
        <v>2</v>
      </c>
      <c r="C14" s="110">
        <f>SUM(C7:C13)</f>
        <v>17126</v>
      </c>
      <c r="D14" s="122">
        <f>SUM(D7:D13)</f>
        <v>710</v>
      </c>
      <c r="E14" s="123">
        <f>SUM(E5:E13)</f>
        <v>0</v>
      </c>
      <c r="F14" s="127">
        <f>SUM(F7:F13)</f>
        <v>30</v>
      </c>
      <c r="G14" s="170"/>
      <c r="H14" s="177"/>
      <c r="I14" s="178"/>
      <c r="J14" s="225" t="str">
        <f>+'18'!J14</f>
        <v>F 11,5 VP OW</v>
      </c>
      <c r="K14" s="250">
        <f>+C7+C16+C25</f>
        <v>34943</v>
      </c>
      <c r="L14" s="250"/>
      <c r="M14" s="128">
        <f>+K14+'18'!M14+L14</f>
        <v>149997</v>
      </c>
    </row>
    <row r="15" spans="1:18" ht="13.5" customHeight="1" thickBot="1">
      <c r="A15" s="1020" t="s">
        <v>434</v>
      </c>
      <c r="B15" s="176"/>
      <c r="C15" s="124"/>
      <c r="D15" s="125"/>
      <c r="E15" s="126"/>
      <c r="F15" s="239">
        <v>20</v>
      </c>
      <c r="G15" s="240" t="s">
        <v>11</v>
      </c>
      <c r="H15" s="241" t="s">
        <v>504</v>
      </c>
      <c r="I15" s="1023" t="s">
        <v>720</v>
      </c>
      <c r="J15" s="225" t="str">
        <f>+'18'!J15</f>
        <v>F 10,5 VP OW</v>
      </c>
      <c r="K15" s="250"/>
      <c r="L15" s="250"/>
      <c r="M15" s="128">
        <f>+K15+'18'!M15+L15</f>
        <v>151044</v>
      </c>
    </row>
    <row r="16" spans="1:18" ht="13.5" thickBot="1">
      <c r="A16" s="1026"/>
      <c r="B16" s="226" t="s">
        <v>624</v>
      </c>
      <c r="C16" s="233">
        <v>1482</v>
      </c>
      <c r="D16" s="234"/>
      <c r="E16" s="235"/>
      <c r="F16" s="239">
        <v>7</v>
      </c>
      <c r="G16" s="243" t="s">
        <v>11</v>
      </c>
      <c r="H16" s="241" t="s">
        <v>649</v>
      </c>
      <c r="I16" s="1024"/>
      <c r="J16" s="225" t="str">
        <f>+'18'!J16</f>
        <v>F 10,3 VP OW</v>
      </c>
      <c r="K16" s="250">
        <f>+C17+C26</f>
        <v>15656</v>
      </c>
      <c r="L16" s="240"/>
      <c r="M16" s="128">
        <f>+K16+'18'!M16+L16</f>
        <v>127988</v>
      </c>
    </row>
    <row r="17" spans="1:18" ht="13.5" thickBot="1">
      <c r="A17" s="1026"/>
      <c r="B17" s="226" t="s">
        <v>657</v>
      </c>
      <c r="C17" s="227">
        <f>6819+8115</f>
        <v>14934</v>
      </c>
      <c r="D17" s="228">
        <v>280</v>
      </c>
      <c r="E17" s="236"/>
      <c r="F17" s="239">
        <v>10</v>
      </c>
      <c r="G17" s="243" t="s">
        <v>11</v>
      </c>
      <c r="H17" s="597" t="s">
        <v>453</v>
      </c>
      <c r="I17" s="1024"/>
      <c r="J17" s="225">
        <f>+'18'!J17</f>
        <v>0</v>
      </c>
      <c r="K17" s="250"/>
      <c r="L17" s="240"/>
      <c r="M17" s="128">
        <f>+K17+'18'!M17+L17</f>
        <v>0</v>
      </c>
      <c r="N17" s="160">
        <v>1700</v>
      </c>
      <c r="O17" s="160">
        <f>+N17-N17*0.2</f>
        <v>1360</v>
      </c>
      <c r="P17" s="160">
        <v>330</v>
      </c>
      <c r="Q17" s="160">
        <f>+N17*P17</f>
        <v>561000</v>
      </c>
      <c r="R17" s="160">
        <f>+O17*P17</f>
        <v>448800</v>
      </c>
    </row>
    <row r="18" spans="1:18" ht="13.5" thickBot="1">
      <c r="A18" s="1026"/>
      <c r="B18" s="226"/>
      <c r="C18" s="227"/>
      <c r="D18" s="228"/>
      <c r="E18" s="236"/>
      <c r="F18" s="239"/>
      <c r="G18" s="243"/>
      <c r="H18" s="597" t="s">
        <v>715</v>
      </c>
      <c r="I18" s="1024"/>
      <c r="J18" s="225">
        <f>+'18'!J18</f>
        <v>0</v>
      </c>
      <c r="K18" s="250"/>
      <c r="L18" s="250"/>
      <c r="M18" s="128">
        <f>+K18+'18'!M18+L18</f>
        <v>0</v>
      </c>
      <c r="N18" s="160">
        <v>1650</v>
      </c>
      <c r="O18" s="160">
        <f>+N18-N18*0.24</f>
        <v>1254</v>
      </c>
      <c r="P18" s="160">
        <f>30+120</f>
        <v>150</v>
      </c>
      <c r="Q18" s="160">
        <f>+N18*P18</f>
        <v>247500</v>
      </c>
      <c r="R18" s="160">
        <f>+O18*P18</f>
        <v>188100</v>
      </c>
    </row>
    <row r="19" spans="1:18" ht="13.5" thickBot="1">
      <c r="A19" s="1026"/>
      <c r="B19" s="226"/>
      <c r="C19" s="227"/>
      <c r="D19" s="228"/>
      <c r="E19" s="236"/>
      <c r="F19" s="246"/>
      <c r="G19" s="243"/>
      <c r="H19" s="244" t="s">
        <v>723</v>
      </c>
      <c r="I19" s="1024"/>
      <c r="J19" s="225">
        <f>+'18'!J19</f>
        <v>0</v>
      </c>
      <c r="K19" s="250"/>
      <c r="L19" s="250"/>
      <c r="M19" s="128">
        <f>+K19+'18'!M19+L19</f>
        <v>0</v>
      </c>
      <c r="P19" s="160">
        <f>SUM(P17:P18)</f>
        <v>480</v>
      </c>
      <c r="Q19" s="160">
        <f t="shared" ref="Q19" si="1">SUM(Q17:Q18)</f>
        <v>808500</v>
      </c>
      <c r="R19" s="160">
        <f t="shared" ref="R19" si="2">SUM(R17:R18)</f>
        <v>636900</v>
      </c>
    </row>
    <row r="20" spans="1:18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+'18'!J20</f>
        <v>0</v>
      </c>
      <c r="K20" s="250"/>
      <c r="L20" s="251"/>
      <c r="M20" s="128">
        <f>+K20+'18'!M20+L20</f>
        <v>0</v>
      </c>
      <c r="Q20" s="160">
        <f>+Q19/P19</f>
        <v>1684.375</v>
      </c>
      <c r="R20" s="160">
        <f>+R19/P19</f>
        <v>1326.875</v>
      </c>
    </row>
    <row r="21" spans="1:18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+'18'!J21</f>
        <v>0</v>
      </c>
      <c r="K21" s="250"/>
      <c r="L21" s="250"/>
      <c r="M21" s="128">
        <f>+K21+'18'!M21+L21</f>
        <v>0</v>
      </c>
    </row>
    <row r="22" spans="1:18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+'18'!J22</f>
        <v>0</v>
      </c>
      <c r="K22" s="250"/>
      <c r="L22" s="250"/>
      <c r="M22" s="128">
        <f>+K22+'18'!M22+L22</f>
        <v>0</v>
      </c>
    </row>
    <row r="23" spans="1:18" ht="13.5" thickBot="1">
      <c r="A23" s="1027"/>
      <c r="B23" s="179" t="s">
        <v>2</v>
      </c>
      <c r="C23" s="111">
        <f>SUM(C16:C22)</f>
        <v>16416</v>
      </c>
      <c r="D23" s="122">
        <f>SUM(D16:D22)</f>
        <v>280</v>
      </c>
      <c r="E23" s="123">
        <f>SUM(E18:E22)</f>
        <v>0</v>
      </c>
      <c r="F23" s="127">
        <f>SUM(F15:F22)</f>
        <v>37</v>
      </c>
      <c r="G23" s="170"/>
      <c r="H23" s="177" t="s">
        <v>234</v>
      </c>
      <c r="I23" s="180"/>
      <c r="J23" s="225">
        <f>+'18'!J23</f>
        <v>0</v>
      </c>
      <c r="K23" s="250"/>
      <c r="L23" s="250"/>
      <c r="M23" s="128">
        <f>+K23+'18'!M23+L23</f>
        <v>0</v>
      </c>
    </row>
    <row r="24" spans="1:18" ht="13.5" customHeight="1" thickBot="1">
      <c r="A24" s="1020" t="s">
        <v>605</v>
      </c>
      <c r="B24" s="181"/>
      <c r="C24" s="124"/>
      <c r="D24" s="125"/>
      <c r="E24" s="126"/>
      <c r="F24" s="247">
        <v>5</v>
      </c>
      <c r="G24" s="240" t="s">
        <v>11</v>
      </c>
      <c r="H24" s="241" t="s">
        <v>536</v>
      </c>
      <c r="I24" s="1023" t="s">
        <v>721</v>
      </c>
      <c r="J24" s="225">
        <f>+'18'!J24</f>
        <v>0</v>
      </c>
      <c r="K24" s="250"/>
      <c r="L24" s="250"/>
      <c r="M24" s="128">
        <f>+K24+'18'!M24+L24</f>
        <v>0</v>
      </c>
    </row>
    <row r="25" spans="1:18" ht="13.5" thickBot="1">
      <c r="A25" s="1028"/>
      <c r="B25" s="226" t="s">
        <v>624</v>
      </c>
      <c r="C25" s="237">
        <f>10667+5668</f>
        <v>16335</v>
      </c>
      <c r="D25" s="228"/>
      <c r="E25" s="236"/>
      <c r="F25" s="242">
        <v>6</v>
      </c>
      <c r="G25" s="243" t="s">
        <v>11</v>
      </c>
      <c r="H25" s="241" t="s">
        <v>600</v>
      </c>
      <c r="I25" s="1024"/>
      <c r="J25" s="225">
        <f>+'18'!J25</f>
        <v>0</v>
      </c>
      <c r="K25" s="250"/>
      <c r="L25" s="250"/>
      <c r="M25" s="128">
        <f>+K25+'18'!M25+L25</f>
        <v>0</v>
      </c>
    </row>
    <row r="26" spans="1:18" ht="13.5" thickBot="1">
      <c r="A26" s="1028"/>
      <c r="B26" s="226" t="s">
        <v>657</v>
      </c>
      <c r="C26" s="237">
        <v>722</v>
      </c>
      <c r="D26" s="228">
        <v>560</v>
      </c>
      <c r="E26" s="238"/>
      <c r="F26" s="242">
        <v>10</v>
      </c>
      <c r="G26" s="243" t="s">
        <v>11</v>
      </c>
      <c r="H26" s="597" t="s">
        <v>455</v>
      </c>
      <c r="I26" s="1024"/>
      <c r="J26" s="225">
        <f>+'18'!J26</f>
        <v>0</v>
      </c>
      <c r="K26" s="250"/>
      <c r="L26" s="250"/>
      <c r="M26" s="128">
        <f>+K26+'18'!M26+L26</f>
        <v>0</v>
      </c>
    </row>
    <row r="27" spans="1:18" ht="13.5" thickBot="1">
      <c r="A27" s="1028"/>
      <c r="B27" s="226"/>
      <c r="C27" s="227"/>
      <c r="D27" s="228"/>
      <c r="E27" s="236"/>
      <c r="F27" s="242"/>
      <c r="G27" s="243"/>
      <c r="H27" s="597" t="s">
        <v>716</v>
      </c>
      <c r="I27" s="1024"/>
      <c r="J27" s="225">
        <f>+'18'!J27</f>
        <v>0</v>
      </c>
      <c r="K27" s="250"/>
      <c r="L27" s="250"/>
      <c r="M27" s="128">
        <f>+K27+'18'!M27+L27</f>
        <v>0</v>
      </c>
    </row>
    <row r="28" spans="1:18" ht="13.5" thickBot="1">
      <c r="A28" s="1028"/>
      <c r="B28" s="226"/>
      <c r="C28" s="227"/>
      <c r="D28" s="228"/>
      <c r="E28" s="236"/>
      <c r="F28" s="242"/>
      <c r="G28" s="243"/>
      <c r="H28" s="244" t="s">
        <v>706</v>
      </c>
      <c r="I28" s="1024"/>
      <c r="J28" s="225">
        <f>+'18'!J28</f>
        <v>0</v>
      </c>
      <c r="K28" s="250"/>
      <c r="L28" s="250"/>
      <c r="M28" s="128">
        <f>+K28+'18'!M28+L28</f>
        <v>0</v>
      </c>
    </row>
    <row r="29" spans="1:18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+'18'!J29</f>
        <v>0</v>
      </c>
      <c r="K29" s="250"/>
      <c r="L29" s="250"/>
      <c r="M29" s="128">
        <f>+K29+'18'!M29+L29</f>
        <v>0</v>
      </c>
    </row>
    <row r="30" spans="1:18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+'18'!J30</f>
        <v>0</v>
      </c>
      <c r="K30" s="250"/>
      <c r="L30" s="250"/>
      <c r="M30" s="128">
        <f>+K30+'18'!M30+L30</f>
        <v>0</v>
      </c>
    </row>
    <row r="31" spans="1:18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+'18'!J31</f>
        <v>0</v>
      </c>
      <c r="K31" s="250"/>
      <c r="L31" s="250"/>
      <c r="M31" s="128">
        <f>+K31+'18'!M31+L31</f>
        <v>0</v>
      </c>
      <c r="N31" s="166"/>
    </row>
    <row r="32" spans="1:18" ht="13.5" thickBot="1">
      <c r="A32" s="1029"/>
      <c r="B32" s="176" t="s">
        <v>2</v>
      </c>
      <c r="C32" s="110">
        <f>SUM(C25:C31)</f>
        <v>17057</v>
      </c>
      <c r="D32" s="111">
        <f>SUM(D25:D31)</f>
        <v>560</v>
      </c>
      <c r="E32" s="112">
        <f>SUM(E25:E31)</f>
        <v>0</v>
      </c>
      <c r="F32" s="113">
        <f>SUM(F24:F31)</f>
        <v>21</v>
      </c>
      <c r="G32" s="182"/>
      <c r="H32" s="183"/>
      <c r="I32" s="180"/>
      <c r="J32" s="225">
        <f>+'18'!J32</f>
        <v>0</v>
      </c>
      <c r="K32" s="252"/>
      <c r="L32" s="254"/>
      <c r="M32" s="128">
        <f>+K32+'18'!M32+L32</f>
        <v>0</v>
      </c>
    </row>
    <row r="33" spans="1:14" ht="13.5" thickBot="1">
      <c r="A33" s="184"/>
      <c r="B33" s="185"/>
      <c r="C33" s="114">
        <f>C32/($C$32+$D$32+$E$32)</f>
        <v>0.96821252199579955</v>
      </c>
      <c r="D33" s="115">
        <f>D32/($C$32+$D$32+$E$32)</f>
        <v>3.1787478004200488E-2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50599</v>
      </c>
      <c r="D34" s="118">
        <f>D14+D23+D32</f>
        <v>1550</v>
      </c>
      <c r="E34" s="118">
        <f>E14+E23+E32</f>
        <v>0</v>
      </c>
      <c r="F34" s="119">
        <f>F14+F23+F32</f>
        <v>88</v>
      </c>
      <c r="H34" s="189"/>
      <c r="I34" s="189"/>
      <c r="J34" s="134" t="s">
        <v>27</v>
      </c>
      <c r="K34" s="135">
        <f>SUM(K7:K32)</f>
        <v>50599</v>
      </c>
      <c r="L34" s="223">
        <f>SUM(L7:L32)</f>
        <v>0</v>
      </c>
      <c r="M34" s="131">
        <f>SUM(M7:M32)</f>
        <v>1076000</v>
      </c>
    </row>
    <row r="35" spans="1:14" ht="13.5" thickBot="1">
      <c r="A35" s="190"/>
      <c r="B35" s="191"/>
      <c r="C35" s="115">
        <f>C34/($C$34+$D$34+$E$34)</f>
        <v>0.9702774741605783</v>
      </c>
      <c r="D35" s="115">
        <f>D34/($C$34+$D$34+$E$34)</f>
        <v>2.9722525839421657E-2</v>
      </c>
      <c r="E35" s="120">
        <f>E34/($C$34+$D$34+$E$34)</f>
        <v>0</v>
      </c>
      <c r="K35" s="166"/>
      <c r="N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(16.5*502+11.5*938)/1440*G42*2.77*1440/1000000</f>
        <v>68.193160438055543</v>
      </c>
      <c r="J37" s="136">
        <f>+I37+'18'!J37</f>
        <v>1251.5449215400085</v>
      </c>
      <c r="K37" s="137" t="s">
        <v>62</v>
      </c>
      <c r="L37" s="565">
        <f>10.761+2.359+2.207</f>
        <v>15.326999999999998</v>
      </c>
    </row>
    <row r="38" spans="1:14" ht="17.45" customHeight="1">
      <c r="A38" s="1034" t="s">
        <v>11</v>
      </c>
      <c r="B38" s="1035"/>
      <c r="C38" s="175">
        <f>SUMIF($G$7:$G$31,"Process",$F$7:$F$31)</f>
        <v>88</v>
      </c>
      <c r="D38" s="129">
        <f>+C38+'18'!D38</f>
        <v>1823</v>
      </c>
      <c r="E38" s="154">
        <f t="shared" ref="E38:E51" si="3">D38/60</f>
        <v>30.383333333333333</v>
      </c>
      <c r="F38" s="340">
        <v>1667.9166666666667</v>
      </c>
      <c r="G38" s="340">
        <v>1291.9833333333333</v>
      </c>
      <c r="H38" s="198" t="s">
        <v>63</v>
      </c>
      <c r="I38" s="555">
        <f>15.265+17.911+16.636</f>
        <v>49.811999999999998</v>
      </c>
      <c r="J38" s="138">
        <f>+I38+'18'!J38</f>
        <v>1136.748</v>
      </c>
      <c r="K38" s="139" t="s">
        <v>62</v>
      </c>
      <c r="L38" s="160">
        <f>17.849+16.636</f>
        <v>34.484999999999999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+C39+'18'!D39</f>
        <v>0</v>
      </c>
      <c r="E39" s="154">
        <f t="shared" si="3"/>
        <v>0</v>
      </c>
      <c r="F39" s="340">
        <v>1684.375</v>
      </c>
      <c r="G39" s="340">
        <v>1326.875</v>
      </c>
      <c r="H39" s="198" t="s">
        <v>64</v>
      </c>
      <c r="I39" s="153"/>
      <c r="J39" s="140">
        <f>J37/G4</f>
        <v>65.870785344210972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+C40+'18'!D40</f>
        <v>0</v>
      </c>
      <c r="E40" s="154">
        <f t="shared" si="3"/>
        <v>0</v>
      </c>
      <c r="F40" s="340">
        <v>1650</v>
      </c>
      <c r="G40" s="340">
        <v>1254</v>
      </c>
      <c r="H40" s="198" t="s">
        <v>66</v>
      </c>
      <c r="I40" s="129">
        <f>(K34+L34)/1000</f>
        <v>50.598999999999997</v>
      </c>
      <c r="J40" s="142">
        <f>+I40+'18'!J40</f>
        <v>1076.0000000000002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+C41+'18'!D41</f>
        <v>404</v>
      </c>
      <c r="E41" s="154">
        <f t="shared" si="3"/>
        <v>6.7333333333333334</v>
      </c>
      <c r="F41" s="340"/>
      <c r="G41" s="340"/>
      <c r="H41" s="198" t="s">
        <v>68</v>
      </c>
      <c r="I41" s="153"/>
      <c r="J41" s="140">
        <f>J40/G4</f>
        <v>56.631578947368432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+C42+'18'!D42</f>
        <v>0</v>
      </c>
      <c r="E42" s="154">
        <f t="shared" si="3"/>
        <v>0</v>
      </c>
      <c r="F42" s="340">
        <f>+(F38*480+F39*480+F40*480)/1440</f>
        <v>1667.4305555555557</v>
      </c>
      <c r="G42" s="340">
        <f>+(G38*480+G39*480+G40*480)/1440</f>
        <v>1290.9527777777778</v>
      </c>
      <c r="H42" s="198" t="s">
        <v>69</v>
      </c>
      <c r="I42" s="257" t="s">
        <v>722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+C43+'18'!D43</f>
        <v>0</v>
      </c>
      <c r="E43" s="154">
        <f t="shared" si="3"/>
        <v>0</v>
      </c>
      <c r="F43" s="340"/>
      <c r="G43" s="341"/>
      <c r="H43" s="199" t="s">
        <v>72</v>
      </c>
      <c r="I43" s="129">
        <f>+Report1!T27</f>
        <v>123.617</v>
      </c>
      <c r="J43" s="144">
        <f>+I43+'18'!J43</f>
        <v>2567.3160000000007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+C44+'18'!D44</f>
        <v>38</v>
      </c>
      <c r="E44" s="154">
        <f t="shared" si="3"/>
        <v>0.6333333333333333</v>
      </c>
      <c r="F44" s="340"/>
      <c r="G44" s="341"/>
      <c r="H44" s="199" t="s">
        <v>73</v>
      </c>
      <c r="I44" s="129">
        <f>I43/I38</f>
        <v>2.481671083273107</v>
      </c>
      <c r="J44" s="145">
        <f>J43/J38</f>
        <v>2.2584741736954896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+C45+'18'!D45</f>
        <v>0</v>
      </c>
      <c r="E45" s="154">
        <f t="shared" si="3"/>
        <v>0</v>
      </c>
      <c r="F45" s="340"/>
      <c r="G45" s="343"/>
      <c r="H45" s="199" t="s">
        <v>74</v>
      </c>
      <c r="I45" s="129">
        <f>I43/I40</f>
        <v>2.4430719974703061</v>
      </c>
      <c r="J45" s="145">
        <f>J43/J40</f>
        <v>2.3859814126394054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+C46+'18'!D46</f>
        <v>0</v>
      </c>
      <c r="E46" s="154">
        <f t="shared" si="3"/>
        <v>0</v>
      </c>
      <c r="F46" s="340"/>
      <c r="G46" s="341"/>
      <c r="H46" s="199" t="s">
        <v>76</v>
      </c>
      <c r="I46" s="151">
        <f>+SUMIF(Listrik!AR26,"&gt;0")</f>
        <v>58485.120000000505</v>
      </c>
      <c r="J46" s="146">
        <f>+I46+'18'!J46</f>
        <v>1061526.139999998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+C47+'18'!D47</f>
        <v>0</v>
      </c>
      <c r="E47" s="154">
        <f t="shared" si="3"/>
        <v>0</v>
      </c>
      <c r="F47" s="340"/>
      <c r="G47" s="341"/>
      <c r="H47" s="199" t="s">
        <v>79</v>
      </c>
      <c r="I47" s="129">
        <f>I46/I38</f>
        <v>1174.1170802216436</v>
      </c>
      <c r="J47" s="146">
        <f>J46/J38</f>
        <v>933.82714550630214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+C48+'18'!D48</f>
        <v>0</v>
      </c>
      <c r="E48" s="154">
        <f t="shared" si="3"/>
        <v>0</v>
      </c>
      <c r="F48" s="340"/>
      <c r="G48" s="341"/>
      <c r="H48" s="199" t="s">
        <v>80</v>
      </c>
      <c r="I48" s="129">
        <f>I46/I40</f>
        <v>1155.8552540564144</v>
      </c>
      <c r="J48" s="146">
        <f>J46/J40</f>
        <v>986.54845724906863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+C49+'18'!D49</f>
        <v>233</v>
      </c>
      <c r="E49" s="154">
        <f t="shared" si="3"/>
        <v>3.8833333333333333</v>
      </c>
      <c r="F49" s="196"/>
      <c r="H49" s="199" t="s">
        <v>81</v>
      </c>
      <c r="I49" s="129">
        <v>0</v>
      </c>
      <c r="J49" s="146">
        <f>+I49+'18'!J49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+C50+'18'!D50</f>
        <v>0</v>
      </c>
      <c r="E50" s="154">
        <f t="shared" si="3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+C51+'18'!D51</f>
        <v>0</v>
      </c>
      <c r="E51" s="154">
        <f t="shared" si="3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88</v>
      </c>
      <c r="D52" s="155">
        <f>SUM(D38:D51)</f>
        <v>2498</v>
      </c>
      <c r="E52" s="156">
        <f>SUM(E38:E51)</f>
        <v>41.633333333333333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6.1111111111111109E-2</v>
      </c>
      <c r="D53" s="157">
        <f>D52/(24*60*G4)</f>
        <v>9.1301169590643272E-2</v>
      </c>
      <c r="E53" s="158">
        <f>E52/(G4*24)</f>
        <v>9.1301169590643272E-2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+D34+'18'!J56</f>
        <v>18914</v>
      </c>
      <c r="K56" s="212">
        <f>J56/(J40+J56/1000)/1000</f>
        <v>1.7274416072860514E-2</v>
      </c>
    </row>
    <row r="57" spans="1:11">
      <c r="A57" s="187"/>
      <c r="I57" s="210" t="s">
        <v>88</v>
      </c>
      <c r="J57" s="211">
        <f>+E34+'18'!J57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O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2.28515625" style="160" customWidth="1"/>
    <col min="8" max="8" width="64.85546875" style="160" customWidth="1"/>
    <col min="9" max="9" width="14.7109375" style="160" bestFit="1" customWidth="1"/>
    <col min="10" max="10" width="19.42578125" style="160" bestFit="1" customWidth="1"/>
    <col min="11" max="11" width="12.5703125" style="160" bestFit="1" customWidth="1"/>
    <col min="12" max="12" width="8.28515625" style="160" customWidth="1"/>
    <col min="13" max="13" width="15.140625" style="160" customWidth="1"/>
    <col min="14" max="16384" width="9.140625" style="160"/>
  </cols>
  <sheetData>
    <row r="1" spans="1:15" ht="15.75">
      <c r="A1" s="159"/>
    </row>
    <row r="2" spans="1:15" ht="15.75">
      <c r="A2" s="159" t="s">
        <v>147</v>
      </c>
    </row>
    <row r="3" spans="1:15" ht="15">
      <c r="A3" s="161"/>
    </row>
    <row r="4" spans="1:15" ht="20.25">
      <c r="A4" s="162" t="s">
        <v>3</v>
      </c>
      <c r="B4" s="163"/>
      <c r="F4" s="164" t="s">
        <v>29</v>
      </c>
      <c r="G4" s="165">
        <v>18</v>
      </c>
      <c r="H4" s="165" t="str">
        <f>+'1'!H4</f>
        <v>.06.24</v>
      </c>
    </row>
    <row r="5" spans="1:15" ht="13.5" thickBot="1">
      <c r="C5" s="166"/>
      <c r="D5" s="166"/>
    </row>
    <row r="6" spans="1:15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270+214+233</f>
        <v>717</v>
      </c>
    </row>
    <row r="7" spans="1:15" ht="13.5" customHeight="1" thickBot="1">
      <c r="A7" s="1020" t="s">
        <v>436</v>
      </c>
      <c r="B7" s="226" t="s">
        <v>624</v>
      </c>
      <c r="C7" s="227">
        <v>16372</v>
      </c>
      <c r="D7" s="228"/>
      <c r="E7" s="229"/>
      <c r="F7" s="239">
        <v>15</v>
      </c>
      <c r="G7" s="240" t="s">
        <v>11</v>
      </c>
      <c r="H7" s="241" t="s">
        <v>577</v>
      </c>
      <c r="I7" s="1023" t="s">
        <v>707</v>
      </c>
      <c r="J7" s="225" t="str">
        <f>+'17'!J7</f>
        <v>MG 14 VP HW</v>
      </c>
      <c r="K7" s="249"/>
      <c r="L7" s="253"/>
      <c r="M7" s="128">
        <f>+K7+'17'!M7+L7</f>
        <v>160441</v>
      </c>
    </row>
    <row r="8" spans="1:15" ht="13.5" thickBot="1">
      <c r="A8" s="1021"/>
      <c r="B8" s="226"/>
      <c r="C8" s="227"/>
      <c r="D8" s="228"/>
      <c r="E8" s="230"/>
      <c r="F8" s="242">
        <v>5</v>
      </c>
      <c r="G8" s="243" t="s">
        <v>11</v>
      </c>
      <c r="H8" s="241" t="s">
        <v>600</v>
      </c>
      <c r="I8" s="1024"/>
      <c r="J8" s="225" t="str">
        <f>+'17'!J8</f>
        <v>MG 17 VP HW</v>
      </c>
      <c r="K8" s="250"/>
      <c r="L8" s="250"/>
      <c r="M8" s="128">
        <f>+K8+'17'!M8+L8</f>
        <v>131048</v>
      </c>
      <c r="N8" s="160">
        <v>1700</v>
      </c>
      <c r="O8" s="160">
        <f>+N8-N8*0.2</f>
        <v>1360</v>
      </c>
    </row>
    <row r="9" spans="1:15" ht="13.5" thickBot="1">
      <c r="A9" s="1021"/>
      <c r="B9" s="226"/>
      <c r="C9" s="227"/>
      <c r="D9" s="228"/>
      <c r="E9" s="231"/>
      <c r="F9" s="239">
        <v>9</v>
      </c>
      <c r="G9" s="243" t="s">
        <v>11</v>
      </c>
      <c r="H9" s="597" t="s">
        <v>455</v>
      </c>
      <c r="I9" s="1024"/>
      <c r="J9" s="225" t="str">
        <f>+'17'!J9</f>
        <v>MG 16 VP HW/OW</v>
      </c>
      <c r="K9" s="250"/>
      <c r="L9" s="250"/>
      <c r="M9" s="128">
        <f>+K9+'17'!M9+L9</f>
        <v>278646</v>
      </c>
      <c r="N9" s="160">
        <v>1720</v>
      </c>
      <c r="O9" s="160">
        <f>+N9-N9*0.2</f>
        <v>1376</v>
      </c>
    </row>
    <row r="10" spans="1:15" ht="13.5" thickBot="1">
      <c r="A10" s="1021"/>
      <c r="B10" s="226"/>
      <c r="C10" s="227"/>
      <c r="D10" s="228"/>
      <c r="E10" s="230"/>
      <c r="F10" s="239"/>
      <c r="G10" s="243"/>
      <c r="H10" s="597" t="s">
        <v>704</v>
      </c>
      <c r="I10" s="1024"/>
      <c r="J10" s="225" t="str">
        <f>+'17'!J10</f>
        <v>MG 22 VP HW</v>
      </c>
      <c r="K10" s="250"/>
      <c r="L10" s="250"/>
      <c r="M10" s="128">
        <f>+K10+'17'!M10+L10</f>
        <v>12128</v>
      </c>
      <c r="N10" s="160">
        <v>1600</v>
      </c>
      <c r="O10" s="160">
        <f>+N10-N10*0.2</f>
        <v>1280</v>
      </c>
    </row>
    <row r="11" spans="1:15" ht="13.5" thickBot="1">
      <c r="A11" s="1021"/>
      <c r="B11" s="226"/>
      <c r="C11" s="227"/>
      <c r="D11" s="228"/>
      <c r="E11" s="230"/>
      <c r="F11" s="239"/>
      <c r="G11" s="243"/>
      <c r="H11" s="244"/>
      <c r="I11" s="1024"/>
      <c r="J11" s="225" t="str">
        <f>+'17'!J11</f>
        <v>MG 24 VP HW</v>
      </c>
      <c r="K11" s="250"/>
      <c r="L11" s="250"/>
      <c r="M11" s="128">
        <f>+K11+'17'!M11+L11</f>
        <v>5566</v>
      </c>
    </row>
    <row r="12" spans="1:15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 t="str">
        <f>+'17'!J12</f>
        <v>MG 20 VP HW</v>
      </c>
      <c r="K12" s="250"/>
      <c r="L12" s="250"/>
      <c r="M12" s="128">
        <f>+K12+'17'!M12+L12</f>
        <v>7726</v>
      </c>
    </row>
    <row r="13" spans="1:15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+'17'!J13</f>
        <v>F 12 VP OW</v>
      </c>
      <c r="K13" s="250"/>
      <c r="L13" s="250"/>
      <c r="M13" s="128">
        <f>+K13+'17'!M13+L13</f>
        <v>51416</v>
      </c>
    </row>
    <row r="14" spans="1:15" ht="13.5" thickBot="1">
      <c r="A14" s="1022"/>
      <c r="B14" s="176" t="s">
        <v>2</v>
      </c>
      <c r="C14" s="110">
        <f>SUM(C7:C13)</f>
        <v>16372</v>
      </c>
      <c r="D14" s="122">
        <f>SUM(D7:D13)</f>
        <v>0</v>
      </c>
      <c r="E14" s="123">
        <f>SUM(E5:E13)</f>
        <v>0</v>
      </c>
      <c r="F14" s="127">
        <f>SUM(F7:F13)</f>
        <v>29</v>
      </c>
      <c r="G14" s="170"/>
      <c r="H14" s="177"/>
      <c r="I14" s="178"/>
      <c r="J14" s="225" t="str">
        <f>+'17'!J14</f>
        <v>F 11,5 VP OW</v>
      </c>
      <c r="K14" s="250">
        <f>+C34</f>
        <v>53707</v>
      </c>
      <c r="L14" s="250"/>
      <c r="M14" s="128">
        <f>+K14+'17'!M14+L14</f>
        <v>115054</v>
      </c>
    </row>
    <row r="15" spans="1:15" ht="13.5" customHeight="1" thickBot="1">
      <c r="A15" s="1020" t="s">
        <v>434</v>
      </c>
      <c r="B15" s="176"/>
      <c r="C15" s="124"/>
      <c r="D15" s="125"/>
      <c r="E15" s="126"/>
      <c r="F15" s="239">
        <v>75</v>
      </c>
      <c r="G15" s="240" t="s">
        <v>11</v>
      </c>
      <c r="H15" s="241" t="s">
        <v>711</v>
      </c>
      <c r="I15" s="1023" t="s">
        <v>708</v>
      </c>
      <c r="J15" s="225" t="str">
        <f>+'17'!J15</f>
        <v>F 10,5 VP OW</v>
      </c>
      <c r="K15" s="250"/>
      <c r="L15" s="250"/>
      <c r="M15" s="128">
        <f>+K15+'17'!M15+L15</f>
        <v>151044</v>
      </c>
    </row>
    <row r="16" spans="1:15" ht="13.5" thickBot="1">
      <c r="A16" s="1026"/>
      <c r="B16" s="226" t="s">
        <v>624</v>
      </c>
      <c r="C16" s="233">
        <v>18035</v>
      </c>
      <c r="D16" s="234"/>
      <c r="E16" s="235"/>
      <c r="F16" s="239">
        <v>5</v>
      </c>
      <c r="G16" s="243" t="s">
        <v>11</v>
      </c>
      <c r="H16" s="241" t="s">
        <v>602</v>
      </c>
      <c r="I16" s="1024"/>
      <c r="J16" s="225" t="str">
        <f>+'17'!J16</f>
        <v>F 10,3 VP OW</v>
      </c>
      <c r="K16" s="240"/>
      <c r="L16" s="240"/>
      <c r="M16" s="128">
        <f>+K16+'17'!M16+L16</f>
        <v>112332</v>
      </c>
    </row>
    <row r="17" spans="1:14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453</v>
      </c>
      <c r="I17" s="1024"/>
      <c r="J17" s="225">
        <f>+'17'!J17</f>
        <v>0</v>
      </c>
      <c r="K17" s="240"/>
      <c r="L17" s="240"/>
      <c r="M17" s="128">
        <f>+K17+'17'!M17+L17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704</v>
      </c>
      <c r="I18" s="1024"/>
      <c r="J18" s="225">
        <f>+'17'!J18</f>
        <v>0</v>
      </c>
      <c r="K18" s="250"/>
      <c r="L18" s="250"/>
      <c r="M18" s="128">
        <f>+K18+'17'!M18+L18</f>
        <v>0</v>
      </c>
    </row>
    <row r="19" spans="1:14" ht="26.25" thickBot="1">
      <c r="A19" s="1026"/>
      <c r="B19" s="226"/>
      <c r="C19" s="227"/>
      <c r="D19" s="228"/>
      <c r="E19" s="236"/>
      <c r="F19" s="246"/>
      <c r="G19" s="243"/>
      <c r="H19" s="244" t="s">
        <v>705</v>
      </c>
      <c r="I19" s="1024"/>
      <c r="J19" s="225">
        <f>+'17'!J19</f>
        <v>0</v>
      </c>
      <c r="K19" s="250"/>
      <c r="L19" s="250"/>
      <c r="M19" s="128">
        <f>+K19+'17'!M19+L19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+'17'!J20</f>
        <v>0</v>
      </c>
      <c r="K20" s="251"/>
      <c r="L20" s="251"/>
      <c r="M20" s="128">
        <f>+K20+'17'!M20+L20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+'17'!J21</f>
        <v>0</v>
      </c>
      <c r="K21" s="250"/>
      <c r="L21" s="250"/>
      <c r="M21" s="128">
        <f>+K21+'17'!M21+L21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+'17'!J22</f>
        <v>0</v>
      </c>
      <c r="K22" s="250"/>
      <c r="L22" s="250"/>
      <c r="M22" s="128">
        <f>+K22+'17'!M22+L22</f>
        <v>0</v>
      </c>
    </row>
    <row r="23" spans="1:14" ht="13.5" thickBot="1">
      <c r="A23" s="1027"/>
      <c r="B23" s="179" t="s">
        <v>2</v>
      </c>
      <c r="C23" s="111">
        <f>SUM(C16:C22)</f>
        <v>18035</v>
      </c>
      <c r="D23" s="122">
        <f>SUM(D16:D22)</f>
        <v>0</v>
      </c>
      <c r="E23" s="123">
        <f>SUM(E18:E22)</f>
        <v>0</v>
      </c>
      <c r="F23" s="127">
        <f>SUM(F15:F22)</f>
        <v>90</v>
      </c>
      <c r="G23" s="170"/>
      <c r="H23" s="177" t="s">
        <v>234</v>
      </c>
      <c r="I23" s="180"/>
      <c r="J23" s="225">
        <f>+'17'!J23</f>
        <v>0</v>
      </c>
      <c r="K23" s="250"/>
      <c r="L23" s="250"/>
      <c r="M23" s="128">
        <f>+K23+'17'!M23+L23</f>
        <v>0</v>
      </c>
    </row>
    <row r="24" spans="1:14" ht="13.5" customHeight="1" thickBot="1">
      <c r="A24" s="1020" t="s">
        <v>605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 t="s">
        <v>709</v>
      </c>
      <c r="J24" s="225">
        <f>+'17'!J24</f>
        <v>0</v>
      </c>
      <c r="K24" s="250"/>
      <c r="L24" s="250"/>
      <c r="M24" s="128">
        <f>+K24+'17'!M24+L24</f>
        <v>0</v>
      </c>
    </row>
    <row r="25" spans="1:14" ht="13.5" thickBot="1">
      <c r="A25" s="1028"/>
      <c r="B25" s="226" t="s">
        <v>624</v>
      </c>
      <c r="C25" s="237">
        <v>19300</v>
      </c>
      <c r="D25" s="228"/>
      <c r="E25" s="236"/>
      <c r="F25" s="242">
        <v>8</v>
      </c>
      <c r="G25" s="243" t="s">
        <v>11</v>
      </c>
      <c r="H25" s="241" t="s">
        <v>600</v>
      </c>
      <c r="I25" s="1024"/>
      <c r="J25" s="225">
        <f>+'17'!J25</f>
        <v>0</v>
      </c>
      <c r="K25" s="250"/>
      <c r="L25" s="250"/>
      <c r="M25" s="128">
        <f>+K25+'17'!M25+L25</f>
        <v>0</v>
      </c>
    </row>
    <row r="26" spans="1:14" ht="13.5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623</v>
      </c>
      <c r="I26" s="1024"/>
      <c r="J26" s="225">
        <f>+'17'!J26</f>
        <v>0</v>
      </c>
      <c r="K26" s="250"/>
      <c r="L26" s="250"/>
      <c r="M26" s="128">
        <f>+K26+'17'!M26+L26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713</v>
      </c>
      <c r="I27" s="1024"/>
      <c r="J27" s="225">
        <f>+'17'!J27</f>
        <v>0</v>
      </c>
      <c r="K27" s="250"/>
      <c r="L27" s="250"/>
      <c r="M27" s="128">
        <f>+K27+'17'!M27+L27</f>
        <v>0</v>
      </c>
    </row>
    <row r="28" spans="1:14" ht="13.5" thickBot="1">
      <c r="A28" s="1028"/>
      <c r="B28" s="226"/>
      <c r="C28" s="227"/>
      <c r="D28" s="228"/>
      <c r="E28" s="236"/>
      <c r="F28" s="242"/>
      <c r="G28" s="243"/>
      <c r="H28" s="244" t="s">
        <v>706</v>
      </c>
      <c r="I28" s="1024"/>
      <c r="J28" s="225">
        <f>+'17'!J28</f>
        <v>0</v>
      </c>
      <c r="K28" s="250"/>
      <c r="L28" s="250"/>
      <c r="M28" s="128">
        <f>+K28+'17'!M28+L28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+'17'!J29</f>
        <v>0</v>
      </c>
      <c r="K29" s="250"/>
      <c r="L29" s="250"/>
      <c r="M29" s="128">
        <f>+K29+'17'!M29+L29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+'17'!J30</f>
        <v>0</v>
      </c>
      <c r="K30" s="250"/>
      <c r="L30" s="250"/>
      <c r="M30" s="128">
        <f>+K30+'17'!M30+L30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+'17'!J31</f>
        <v>0</v>
      </c>
      <c r="K31" s="250"/>
      <c r="L31" s="250"/>
      <c r="M31" s="128">
        <f>+K31+'17'!M31+L31</f>
        <v>0</v>
      </c>
    </row>
    <row r="32" spans="1:14" ht="13.5" thickBot="1">
      <c r="A32" s="1029"/>
      <c r="B32" s="176" t="s">
        <v>2</v>
      </c>
      <c r="C32" s="110">
        <f>SUM(C25:C31)</f>
        <v>19300</v>
      </c>
      <c r="D32" s="111">
        <f>SUM(D25:D31)</f>
        <v>0</v>
      </c>
      <c r="E32" s="112">
        <f>SUM(E25:E31)</f>
        <v>0</v>
      </c>
      <c r="F32" s="113">
        <f>SUM(F24:F31)</f>
        <v>28</v>
      </c>
      <c r="G32" s="182"/>
      <c r="H32" s="183"/>
      <c r="I32" s="180"/>
      <c r="J32" s="225">
        <f>+'17'!J32</f>
        <v>0</v>
      </c>
      <c r="K32" s="252"/>
      <c r="L32" s="254"/>
      <c r="M32" s="128">
        <f>+K32+'17'!M32+L32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53707</v>
      </c>
      <c r="D34" s="118">
        <f>D14+D23+D32</f>
        <v>0</v>
      </c>
      <c r="E34" s="118">
        <f>E14+E23+E32</f>
        <v>0</v>
      </c>
      <c r="F34" s="119">
        <f>F14+F23+F32</f>
        <v>147</v>
      </c>
      <c r="H34" s="189"/>
      <c r="I34" s="189"/>
      <c r="J34" s="134" t="s">
        <v>27</v>
      </c>
      <c r="K34" s="135">
        <f>SUM(K7:K32)</f>
        <v>53707</v>
      </c>
      <c r="L34" s="223">
        <f>SUM(L7:L32)</f>
        <v>0</v>
      </c>
      <c r="M34" s="131">
        <f>SUM(M7:M32)</f>
        <v>1025401</v>
      </c>
      <c r="N34" s="166"/>
    </row>
    <row r="35" spans="1:14" ht="13.5" thickBot="1">
      <c r="A35" s="190"/>
      <c r="B35" s="191"/>
      <c r="C35" s="115">
        <f>C34/($C$34+$D$34+$E$34)</f>
        <v>1</v>
      </c>
      <c r="D35" s="115">
        <f>D34/($C$34+$D$34+$E$34)</f>
        <v>0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(11.5*1440)/1440*G42*2.77*1440/1000000</f>
        <v>61.406246400000008</v>
      </c>
      <c r="J37" s="136">
        <f>+I37+'17'!J37</f>
        <v>1183.3517611019529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147</v>
      </c>
      <c r="D38" s="129">
        <f>+C38+'17'!D38</f>
        <v>1735</v>
      </c>
      <c r="E38" s="154">
        <f t="shared" ref="E38:E51" si="0">D38/60</f>
        <v>28.916666666666668</v>
      </c>
      <c r="F38" s="340">
        <v>1700</v>
      </c>
      <c r="G38" s="340">
        <f>+F38-F38*0.2</f>
        <v>1360</v>
      </c>
      <c r="H38" s="198" t="s">
        <v>63</v>
      </c>
      <c r="I38" s="555">
        <f>19.146+16.262+18.02</f>
        <v>53.427999999999997</v>
      </c>
      <c r="J38" s="138">
        <f>+I38+'17'!J38</f>
        <v>1086.9360000000001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+C39+'17'!D39</f>
        <v>0</v>
      </c>
      <c r="E39" s="154">
        <f t="shared" si="0"/>
        <v>0</v>
      </c>
      <c r="F39" s="340">
        <v>1720</v>
      </c>
      <c r="G39" s="340">
        <f>+F39-F39*0.2</f>
        <v>1376</v>
      </c>
      <c r="H39" s="198" t="s">
        <v>64</v>
      </c>
      <c r="I39" s="153"/>
      <c r="J39" s="140">
        <f>J37/G4</f>
        <v>65.741764505664051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+C40+'17'!D40</f>
        <v>0</v>
      </c>
      <c r="E40" s="154">
        <f t="shared" si="0"/>
        <v>0</v>
      </c>
      <c r="F40" s="340">
        <v>1600</v>
      </c>
      <c r="G40" s="340">
        <f>+F40-F40*0.2</f>
        <v>1280</v>
      </c>
      <c r="H40" s="198" t="s">
        <v>66</v>
      </c>
      <c r="I40" s="129">
        <f>(K34+L34)/1000</f>
        <v>53.707000000000001</v>
      </c>
      <c r="J40" s="142">
        <f>+I40+'17'!J40</f>
        <v>1025.4010000000003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+C41+'17'!D41</f>
        <v>404</v>
      </c>
      <c r="E41" s="154">
        <f t="shared" si="0"/>
        <v>6.7333333333333334</v>
      </c>
      <c r="F41" s="340"/>
      <c r="G41" s="340"/>
      <c r="H41" s="198" t="s">
        <v>68</v>
      </c>
      <c r="I41" s="153"/>
      <c r="J41" s="140">
        <f>J40/G4</f>
        <v>56.966722222222238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+C42+'17'!D42</f>
        <v>0</v>
      </c>
      <c r="E42" s="154">
        <f t="shared" si="0"/>
        <v>0</v>
      </c>
      <c r="F42" s="340">
        <f>+(F38*480+F39*480+F40*480)/1440</f>
        <v>1673.3333333333333</v>
      </c>
      <c r="G42" s="340">
        <f>+(G38*480+G39*480+G40*480)/1440</f>
        <v>1338.6666666666667</v>
      </c>
      <c r="H42" s="198" t="s">
        <v>69</v>
      </c>
      <c r="I42" s="257" t="s">
        <v>710</v>
      </c>
      <c r="J42" s="143"/>
      <c r="K42" s="141" t="s">
        <v>70</v>
      </c>
    </row>
    <row r="43" spans="1:14" ht="17.45" customHeight="1">
      <c r="A43" s="1018" t="s">
        <v>202</v>
      </c>
      <c r="B43" s="1019"/>
      <c r="C43" s="175">
        <f>SUMIF($G$7:$G$31,"Change GRade",$F$7:$F$31)</f>
        <v>0</v>
      </c>
      <c r="D43" s="129">
        <f>+C43+'17'!D43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+Report1!T26</f>
        <v>129.98099999999999</v>
      </c>
      <c r="J43" s="144">
        <f>+I43+'17'!J43</f>
        <v>2443.6990000000005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+C44+'17'!D44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2.432825484764543</v>
      </c>
      <c r="J44" s="145">
        <f>J43/J38</f>
        <v>2.2482455268755475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+C45+'17'!D45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2.42018731264081</v>
      </c>
      <c r="J45" s="145">
        <f>J43/J40</f>
        <v>2.3831642450124391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+C46+'17'!D46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+SUMIF(Listrik!AR25,"&gt;0")</f>
        <v>56604.740000001198</v>
      </c>
      <c r="J46" s="146">
        <f>+I46+'17'!J46</f>
        <v>1003041.0199999975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+C47+'17'!D47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1059.4583364528187</v>
      </c>
      <c r="J47" s="146">
        <f>J46/J38</f>
        <v>922.8151611502401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+C48+'17'!D48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1053.9546055449234</v>
      </c>
      <c r="J48" s="146">
        <f>J46/J40</f>
        <v>978.19391633126668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+C49+'17'!D49</f>
        <v>233</v>
      </c>
      <c r="E49" s="154">
        <f t="shared" si="0"/>
        <v>3.8833333333333333</v>
      </c>
      <c r="F49" s="196"/>
      <c r="H49" s="199" t="s">
        <v>81</v>
      </c>
      <c r="I49" s="129">
        <v>0</v>
      </c>
      <c r="J49" s="146">
        <f>+I49+'17'!J49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+C50+'17'!D50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+C51+'17'!D51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147</v>
      </c>
      <c r="D52" s="155">
        <f>SUM(D38:D51)</f>
        <v>2410</v>
      </c>
      <c r="E52" s="156">
        <f>SUM(E38:E51)</f>
        <v>40.166666666666664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0.10208333333333333</v>
      </c>
      <c r="D53" s="157">
        <f>D52/(24*60*G4)</f>
        <v>9.2978395061728392E-2</v>
      </c>
      <c r="E53" s="158">
        <f>E52/(G4*24)</f>
        <v>9.2978395061728392E-2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+D34+'17'!J56</f>
        <v>17364</v>
      </c>
      <c r="K56" s="212">
        <f>J56/(J40+J56/1000)/1000</f>
        <v>1.6651882255349953E-2</v>
      </c>
    </row>
    <row r="57" spans="1:11">
      <c r="A57" s="187"/>
      <c r="I57" s="210" t="s">
        <v>88</v>
      </c>
      <c r="J57" s="211">
        <f>+E34+'17'!J57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R61"/>
  <sheetViews>
    <sheetView topLeftCell="A3" zoomScale="80" zoomScaleNormal="80" workbookViewId="0">
      <selection activeCell="A33" sqref="A33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2.140625" style="160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17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265+230+249</f>
        <v>744</v>
      </c>
    </row>
    <row r="7" spans="1:18" ht="13.5" customHeight="1" thickBot="1">
      <c r="A7" s="1020" t="s">
        <v>436</v>
      </c>
      <c r="B7" s="226" t="s">
        <v>657</v>
      </c>
      <c r="C7" s="227">
        <v>16873</v>
      </c>
      <c r="D7" s="228"/>
      <c r="E7" s="229"/>
      <c r="F7" s="239">
        <v>20</v>
      </c>
      <c r="G7" s="240" t="s">
        <v>11</v>
      </c>
      <c r="H7" s="241" t="s">
        <v>504</v>
      </c>
      <c r="I7" s="1023" t="s">
        <v>693</v>
      </c>
      <c r="J7" s="225" t="str">
        <f>+'16'!J7</f>
        <v>MG 14 VP HW</v>
      </c>
      <c r="K7" s="249"/>
      <c r="L7" s="253"/>
      <c r="M7" s="128">
        <f>+K7+'16'!M7+L7</f>
        <v>160441</v>
      </c>
      <c r="N7" s="160" t="s">
        <v>648</v>
      </c>
    </row>
    <row r="8" spans="1:18" ht="13.5" thickBot="1">
      <c r="A8" s="1021"/>
      <c r="B8" s="226"/>
      <c r="C8" s="227"/>
      <c r="D8" s="228"/>
      <c r="E8" s="230"/>
      <c r="F8" s="242">
        <v>8</v>
      </c>
      <c r="G8" s="243" t="s">
        <v>11</v>
      </c>
      <c r="H8" s="241" t="s">
        <v>602</v>
      </c>
      <c r="I8" s="1024"/>
      <c r="J8" s="225" t="str">
        <f>+'16'!J8</f>
        <v>MG 17 VP HW</v>
      </c>
      <c r="K8" s="250"/>
      <c r="L8" s="250"/>
      <c r="M8" s="128">
        <f>+K8+'16'!M8+L8</f>
        <v>131048</v>
      </c>
      <c r="N8" s="160">
        <v>1680</v>
      </c>
      <c r="O8" s="160">
        <f t="shared" ref="O8:O10" si="0">+N8-N8*0.16</f>
        <v>1411.2</v>
      </c>
      <c r="P8" s="160">
        <v>480</v>
      </c>
      <c r="Q8" s="160">
        <f>+N8*P8</f>
        <v>806400</v>
      </c>
      <c r="R8" s="160">
        <f>+O8*P8</f>
        <v>677376</v>
      </c>
    </row>
    <row r="9" spans="1:18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453</v>
      </c>
      <c r="I9" s="1024"/>
      <c r="J9" s="225" t="str">
        <f>+'16'!J9</f>
        <v>MG 16 VP HW/OW</v>
      </c>
      <c r="K9" s="250"/>
      <c r="L9" s="250"/>
      <c r="M9" s="128">
        <f>+K9+'16'!M9+L9</f>
        <v>278646</v>
      </c>
      <c r="N9" s="160">
        <v>1700</v>
      </c>
      <c r="O9" s="160">
        <f t="shared" si="0"/>
        <v>1428</v>
      </c>
      <c r="P9" s="160">
        <v>480</v>
      </c>
      <c r="Q9" s="160">
        <f>+N9*P9</f>
        <v>816000</v>
      </c>
      <c r="R9" s="160">
        <f>+O9*P9</f>
        <v>685440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692</v>
      </c>
      <c r="I10" s="1024"/>
      <c r="J10" s="225" t="str">
        <f>+'16'!J10</f>
        <v>MG 22 VP HW</v>
      </c>
      <c r="K10" s="250"/>
      <c r="L10" s="250"/>
      <c r="M10" s="128">
        <f>+K10+'16'!M10+L10</f>
        <v>12128</v>
      </c>
      <c r="N10" s="160">
        <v>1710</v>
      </c>
      <c r="O10" s="160">
        <f t="shared" si="0"/>
        <v>1436.4</v>
      </c>
      <c r="P10" s="160">
        <v>320</v>
      </c>
      <c r="Q10" s="160">
        <f>+N10*P10</f>
        <v>547200</v>
      </c>
      <c r="R10" s="160">
        <f>+O10*P10</f>
        <v>459648</v>
      </c>
    </row>
    <row r="11" spans="1:18" ht="13.5" thickBot="1">
      <c r="A11" s="1021"/>
      <c r="B11" s="226"/>
      <c r="C11" s="227"/>
      <c r="D11" s="228"/>
      <c r="E11" s="230"/>
      <c r="F11" s="239"/>
      <c r="G11" s="243"/>
      <c r="H11" s="244"/>
      <c r="I11" s="1024"/>
      <c r="J11" s="225" t="str">
        <f>+'16'!J11</f>
        <v>MG 24 VP HW</v>
      </c>
      <c r="K11" s="250"/>
      <c r="L11" s="250"/>
      <c r="M11" s="128">
        <f>+K11+'16'!M11+L11</f>
        <v>5566</v>
      </c>
      <c r="P11" s="160">
        <f>SUM(P8:P10)</f>
        <v>1280</v>
      </c>
      <c r="Q11" s="160">
        <f t="shared" ref="Q11:R11" si="1">SUM(Q8:Q10)</f>
        <v>2169600</v>
      </c>
      <c r="R11" s="160">
        <f t="shared" si="1"/>
        <v>1822464</v>
      </c>
    </row>
    <row r="12" spans="1:18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 t="str">
        <f>+'16'!J12</f>
        <v>MG 20 VP HW</v>
      </c>
      <c r="K12" s="250"/>
      <c r="L12" s="250"/>
      <c r="M12" s="128">
        <f>+K12+'16'!M12+L12</f>
        <v>7726</v>
      </c>
      <c r="Q12" s="160">
        <f>+Q11/P11</f>
        <v>1695</v>
      </c>
      <c r="R12" s="160">
        <f>+R11/P11</f>
        <v>1423.8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+'16'!J13</f>
        <v>F 12 VP OW</v>
      </c>
      <c r="K13" s="250"/>
      <c r="L13" s="250"/>
      <c r="M13" s="128">
        <f>+K13+'16'!M13+L13</f>
        <v>51416</v>
      </c>
    </row>
    <row r="14" spans="1:18" ht="13.5" thickBot="1">
      <c r="A14" s="1022"/>
      <c r="B14" s="176" t="s">
        <v>2</v>
      </c>
      <c r="C14" s="110">
        <f>SUM(C7:C13)</f>
        <v>16873</v>
      </c>
      <c r="D14" s="122">
        <f>SUM(D7:D13)</f>
        <v>0</v>
      </c>
      <c r="E14" s="123">
        <f>SUM(E5:E13)</f>
        <v>0</v>
      </c>
      <c r="F14" s="127">
        <f>SUM(F7:F13)</f>
        <v>38</v>
      </c>
      <c r="G14" s="170"/>
      <c r="H14" s="177"/>
      <c r="I14" s="178"/>
      <c r="J14" s="225" t="str">
        <f>+'16'!J14</f>
        <v>F 11,5 VP OW</v>
      </c>
      <c r="K14" s="250">
        <f>+C26</f>
        <v>0</v>
      </c>
      <c r="L14" s="250"/>
      <c r="M14" s="128">
        <f>+K14+'16'!M14+L14</f>
        <v>61347</v>
      </c>
    </row>
    <row r="15" spans="1:18" ht="13.5" customHeight="1" thickBot="1">
      <c r="A15" s="1020" t="s">
        <v>434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701</v>
      </c>
      <c r="J15" s="225" t="str">
        <f>+'16'!J15</f>
        <v>F 10,5 VP OW</v>
      </c>
      <c r="K15" s="250"/>
      <c r="L15" s="250"/>
      <c r="M15" s="128">
        <f>+K15+'16'!M15+L15</f>
        <v>151044</v>
      </c>
    </row>
    <row r="16" spans="1:18" ht="13.5" thickBot="1">
      <c r="A16" s="1026"/>
      <c r="B16" s="226" t="s">
        <v>657</v>
      </c>
      <c r="C16" s="233">
        <v>20622</v>
      </c>
      <c r="D16" s="234"/>
      <c r="E16" s="235"/>
      <c r="F16" s="239">
        <v>9</v>
      </c>
      <c r="G16" s="243" t="s">
        <v>11</v>
      </c>
      <c r="H16" s="241" t="s">
        <v>600</v>
      </c>
      <c r="I16" s="1024"/>
      <c r="J16" s="225" t="str">
        <f>+'16'!J16</f>
        <v>F 10,3 VP OW</v>
      </c>
      <c r="K16" s="250">
        <f>+C7+C16+C25</f>
        <v>54226</v>
      </c>
      <c r="L16" s="240"/>
      <c r="M16" s="128">
        <f>+K16+'16'!M16+L16</f>
        <v>112332</v>
      </c>
    </row>
    <row r="17" spans="1:18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453</v>
      </c>
      <c r="I17" s="1024"/>
      <c r="J17" s="225">
        <f>+'16'!J17</f>
        <v>0</v>
      </c>
      <c r="K17" s="250"/>
      <c r="L17" s="240"/>
      <c r="M17" s="128">
        <f>+K17+'16'!M17+L17</f>
        <v>0</v>
      </c>
    </row>
    <row r="18" spans="1:18" ht="13.5" thickBot="1">
      <c r="A18" s="1026"/>
      <c r="B18" s="226"/>
      <c r="C18" s="227"/>
      <c r="D18" s="228"/>
      <c r="E18" s="236"/>
      <c r="F18" s="239"/>
      <c r="G18" s="243"/>
      <c r="H18" s="597" t="s">
        <v>696</v>
      </c>
      <c r="I18" s="1024"/>
      <c r="J18" s="225">
        <f>+'16'!J18</f>
        <v>0</v>
      </c>
      <c r="K18" s="250"/>
      <c r="L18" s="250"/>
      <c r="M18" s="128">
        <f>+K18+'16'!M18+L18</f>
        <v>0</v>
      </c>
    </row>
    <row r="19" spans="1:18" ht="13.5" thickBot="1">
      <c r="A19" s="1026"/>
      <c r="B19" s="226"/>
      <c r="C19" s="227"/>
      <c r="D19" s="228"/>
      <c r="E19" s="236"/>
      <c r="F19" s="246"/>
      <c r="G19" s="243"/>
      <c r="H19" s="244"/>
      <c r="I19" s="1024"/>
      <c r="J19" s="225">
        <f>+'16'!J19</f>
        <v>0</v>
      </c>
      <c r="K19" s="250"/>
      <c r="L19" s="250"/>
      <c r="M19" s="128">
        <f>+K19+'16'!M19+L19</f>
        <v>0</v>
      </c>
    </row>
    <row r="20" spans="1:18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+'16'!J20</f>
        <v>0</v>
      </c>
      <c r="K20" s="251"/>
      <c r="L20" s="251"/>
      <c r="M20" s="128">
        <f>+K20+'16'!M20+L20</f>
        <v>0</v>
      </c>
    </row>
    <row r="21" spans="1:18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+'16'!J21</f>
        <v>0</v>
      </c>
      <c r="K21" s="250"/>
      <c r="L21" s="250"/>
      <c r="M21" s="128">
        <f>+K21+'16'!M21+L21</f>
        <v>0</v>
      </c>
    </row>
    <row r="22" spans="1:18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+'16'!J22</f>
        <v>0</v>
      </c>
      <c r="K22" s="250"/>
      <c r="L22" s="250"/>
      <c r="M22" s="128">
        <f>+K22+'16'!M22+L22</f>
        <v>0</v>
      </c>
    </row>
    <row r="23" spans="1:18" ht="13.5" thickBot="1">
      <c r="A23" s="1027"/>
      <c r="B23" s="179" t="s">
        <v>2</v>
      </c>
      <c r="C23" s="111">
        <f>SUM(C16:C22)</f>
        <v>20622</v>
      </c>
      <c r="D23" s="122">
        <f>SUM(D16:D22)</f>
        <v>0</v>
      </c>
      <c r="E23" s="123">
        <f>SUM(E18:E22)</f>
        <v>0</v>
      </c>
      <c r="F23" s="127">
        <f>SUM(F15:F22)</f>
        <v>19</v>
      </c>
      <c r="G23" s="170"/>
      <c r="H23" s="177" t="s">
        <v>234</v>
      </c>
      <c r="I23" s="180"/>
      <c r="J23" s="225">
        <f>+'16'!J23</f>
        <v>0</v>
      </c>
      <c r="K23" s="250"/>
      <c r="L23" s="250"/>
      <c r="M23" s="128">
        <f>+K23+'16'!M23+L23</f>
        <v>0</v>
      </c>
    </row>
    <row r="24" spans="1:18" ht="13.5" customHeight="1" thickBot="1">
      <c r="A24" s="1020" t="s">
        <v>435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 t="s">
        <v>700</v>
      </c>
      <c r="J24" s="225">
        <f>+'16'!J24</f>
        <v>0</v>
      </c>
      <c r="K24" s="250"/>
      <c r="L24" s="250"/>
      <c r="M24" s="128">
        <f>+K24+'16'!M24+L24</f>
        <v>0</v>
      </c>
    </row>
    <row r="25" spans="1:18" ht="13.5" thickBot="1">
      <c r="A25" s="1028"/>
      <c r="B25" s="226" t="s">
        <v>657</v>
      </c>
      <c r="C25" s="237">
        <v>16731</v>
      </c>
      <c r="D25" s="228"/>
      <c r="E25" s="236"/>
      <c r="F25" s="242">
        <v>4</v>
      </c>
      <c r="G25" s="243" t="s">
        <v>11</v>
      </c>
      <c r="H25" s="241" t="s">
        <v>602</v>
      </c>
      <c r="I25" s="1024"/>
      <c r="J25" s="225">
        <f>+'16'!J25</f>
        <v>0</v>
      </c>
      <c r="K25" s="250"/>
      <c r="L25" s="250"/>
      <c r="M25" s="128">
        <f>+K25+'16'!M25+L25</f>
        <v>0</v>
      </c>
    </row>
    <row r="26" spans="1:18" ht="13.5" thickBot="1">
      <c r="A26" s="1028"/>
      <c r="B26" s="226" t="s">
        <v>624</v>
      </c>
      <c r="C26" s="237"/>
      <c r="D26" s="228"/>
      <c r="E26" s="238"/>
      <c r="F26" s="242">
        <v>10</v>
      </c>
      <c r="G26" s="243" t="s">
        <v>11</v>
      </c>
      <c r="H26" s="597" t="s">
        <v>455</v>
      </c>
      <c r="I26" s="1024"/>
      <c r="J26" s="225">
        <f>+'16'!J26</f>
        <v>0</v>
      </c>
      <c r="K26" s="250"/>
      <c r="L26" s="250"/>
      <c r="M26" s="128">
        <f>+K26+'16'!M26+L26</f>
        <v>0</v>
      </c>
      <c r="N26" s="160">
        <v>1710</v>
      </c>
      <c r="O26" s="160">
        <f>+N26-N26*0.16</f>
        <v>1436.4</v>
      </c>
      <c r="P26" s="160">
        <v>320</v>
      </c>
      <c r="Q26" s="160">
        <f>+N26*P26</f>
        <v>547200</v>
      </c>
      <c r="R26" s="160">
        <f>+O26*P26</f>
        <v>459648</v>
      </c>
    </row>
    <row r="27" spans="1:18" ht="13.5" thickBot="1">
      <c r="A27" s="1028"/>
      <c r="B27" s="226"/>
      <c r="C27" s="227"/>
      <c r="D27" s="228"/>
      <c r="E27" s="236"/>
      <c r="F27" s="242"/>
      <c r="G27" s="243"/>
      <c r="H27" s="597" t="s">
        <v>692</v>
      </c>
      <c r="I27" s="1024"/>
      <c r="J27" s="225">
        <f>+'16'!J27</f>
        <v>0</v>
      </c>
      <c r="K27" s="250"/>
      <c r="L27" s="250"/>
      <c r="M27" s="128">
        <f>+K27+'16'!M27+L27</f>
        <v>0</v>
      </c>
      <c r="N27" s="160">
        <v>1700</v>
      </c>
      <c r="O27" s="160">
        <f>+N27-N27*0.2</f>
        <v>1360</v>
      </c>
      <c r="P27" s="160">
        <f>40+120</f>
        <v>160</v>
      </c>
      <c r="Q27" s="160">
        <f>+N27*P27</f>
        <v>272000</v>
      </c>
      <c r="R27" s="160">
        <f>+O27*P27</f>
        <v>217600</v>
      </c>
    </row>
    <row r="28" spans="1:18" ht="13.5" thickBot="1">
      <c r="A28" s="1028"/>
      <c r="B28" s="226"/>
      <c r="C28" s="227"/>
      <c r="D28" s="228"/>
      <c r="E28" s="236"/>
      <c r="F28" s="242">
        <v>7</v>
      </c>
      <c r="G28" s="243" t="s">
        <v>11</v>
      </c>
      <c r="H28" s="244" t="s">
        <v>697</v>
      </c>
      <c r="I28" s="1024"/>
      <c r="J28" s="225">
        <f>+'16'!J28</f>
        <v>0</v>
      </c>
      <c r="K28" s="250"/>
      <c r="L28" s="250"/>
      <c r="M28" s="128">
        <f>+K28+'16'!M28+L28</f>
        <v>0</v>
      </c>
      <c r="P28" s="160">
        <f>SUM(P26:P27)</f>
        <v>480</v>
      </c>
      <c r="Q28" s="160">
        <f t="shared" ref="Q28:R28" si="2">SUM(Q26:Q27)</f>
        <v>819200</v>
      </c>
      <c r="R28" s="160">
        <f t="shared" si="2"/>
        <v>677248</v>
      </c>
    </row>
    <row r="29" spans="1:18" ht="26.25" thickBot="1">
      <c r="A29" s="1028"/>
      <c r="B29" s="226"/>
      <c r="C29" s="227"/>
      <c r="D29" s="228"/>
      <c r="E29" s="236"/>
      <c r="F29" s="247"/>
      <c r="G29" s="243"/>
      <c r="H29" s="244" t="s">
        <v>698</v>
      </c>
      <c r="I29" s="1024"/>
      <c r="J29" s="225">
        <f>+'16'!J29</f>
        <v>0</v>
      </c>
      <c r="K29" s="250"/>
      <c r="L29" s="250"/>
      <c r="M29" s="128">
        <f>+K29+'16'!M29+L29</f>
        <v>0</v>
      </c>
      <c r="Q29" s="160">
        <f>+Q28/P28</f>
        <v>1706.6666666666667</v>
      </c>
      <c r="R29" s="160">
        <f>+R28/P28</f>
        <v>1410.9333333333334</v>
      </c>
    </row>
    <row r="30" spans="1:18" ht="26.25" thickBot="1">
      <c r="A30" s="1028"/>
      <c r="B30" s="226"/>
      <c r="C30" s="237"/>
      <c r="D30" s="228"/>
      <c r="E30" s="236"/>
      <c r="F30" s="247"/>
      <c r="G30" s="243"/>
      <c r="H30" s="244" t="s">
        <v>699</v>
      </c>
      <c r="I30" s="1024"/>
      <c r="J30" s="225">
        <f>+'16'!J30</f>
        <v>0</v>
      </c>
      <c r="K30" s="250"/>
      <c r="L30" s="250"/>
      <c r="M30" s="128">
        <f>+K30+'16'!M30+L30</f>
        <v>0</v>
      </c>
      <c r="N30" s="166"/>
    </row>
    <row r="31" spans="1:18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+'16'!J31</f>
        <v>0</v>
      </c>
      <c r="K31" s="250"/>
      <c r="L31" s="250"/>
      <c r="M31" s="128">
        <f>+K31+'16'!M31+L31</f>
        <v>0</v>
      </c>
    </row>
    <row r="32" spans="1:18" ht="13.5" thickBot="1">
      <c r="A32" s="1029"/>
      <c r="B32" s="176" t="s">
        <v>2</v>
      </c>
      <c r="C32" s="110">
        <f>SUM(C25:C31)</f>
        <v>16731</v>
      </c>
      <c r="D32" s="111">
        <f>SUM(D25:D31)</f>
        <v>0</v>
      </c>
      <c r="E32" s="112">
        <f>SUM(E25:E31)</f>
        <v>0</v>
      </c>
      <c r="F32" s="113">
        <f>SUM(F24:F31)</f>
        <v>31</v>
      </c>
      <c r="G32" s="182"/>
      <c r="H32" s="183"/>
      <c r="I32" s="180"/>
      <c r="J32" s="225">
        <f>+'16'!J32</f>
        <v>0</v>
      </c>
      <c r="K32" s="252"/>
      <c r="L32" s="254"/>
      <c r="M32" s="128">
        <f>+K32+'16'!M32+L32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54226</v>
      </c>
      <c r="D34" s="118">
        <f>D14+D23+D32</f>
        <v>0</v>
      </c>
      <c r="E34" s="118">
        <f>E14+E23+E32</f>
        <v>0</v>
      </c>
      <c r="F34" s="119">
        <f>F14+F23+F32</f>
        <v>88</v>
      </c>
      <c r="H34" s="189"/>
      <c r="I34" s="189"/>
      <c r="J34" s="134" t="s">
        <v>27</v>
      </c>
      <c r="K34" s="135">
        <f>SUM(K7:K32)</f>
        <v>54226</v>
      </c>
      <c r="L34" s="223">
        <f>SUM(L7:L32)</f>
        <v>0</v>
      </c>
      <c r="M34" s="131">
        <f>SUM(M7:M32)</f>
        <v>971694</v>
      </c>
      <c r="N34" s="166"/>
    </row>
    <row r="35" spans="1:14" ht="13.5" thickBot="1">
      <c r="A35" s="190"/>
      <c r="B35" s="191"/>
      <c r="C35" s="115">
        <f>C34/($C$34+$D$34+$E$34)</f>
        <v>1</v>
      </c>
      <c r="D35" s="115">
        <f>D34/($C$34+$D$34+$E$34)</f>
        <v>0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(10.3*1280+11.5*160)/1340*G42*2.77*1340/1000000</f>
        <v>58.958529621333341</v>
      </c>
      <c r="J37" s="136">
        <f>+I37+'16'!J37</f>
        <v>1121.9455147019528</v>
      </c>
      <c r="K37" s="137" t="s">
        <v>62</v>
      </c>
      <c r="L37" s="565">
        <f>+I38-L38</f>
        <v>50.547000000000004</v>
      </c>
    </row>
    <row r="38" spans="1:14" ht="17.45" customHeight="1">
      <c r="A38" s="1034" t="s">
        <v>11</v>
      </c>
      <c r="B38" s="1035"/>
      <c r="C38" s="175">
        <f>SUMIF($G$7:$G$31,"Process",$F$7:$F$31)</f>
        <v>88</v>
      </c>
      <c r="D38" s="129">
        <f>+C38+'16'!D38</f>
        <v>1588</v>
      </c>
      <c r="E38" s="154">
        <f t="shared" ref="E38:E51" si="3">D38/60</f>
        <v>26.466666666666665</v>
      </c>
      <c r="F38" s="340">
        <v>1680</v>
      </c>
      <c r="G38" s="340">
        <f t="shared" ref="G38:G39" si="4">+F38-F38*0.16</f>
        <v>1411.2</v>
      </c>
      <c r="H38" s="198" t="s">
        <v>63</v>
      </c>
      <c r="I38" s="555">
        <f>16.739+19.133+18.441</f>
        <v>54.313000000000002</v>
      </c>
      <c r="J38" s="138">
        <f>+I38+'16'!J38</f>
        <v>1033.508</v>
      </c>
      <c r="K38" s="139" t="s">
        <v>62</v>
      </c>
      <c r="L38" s="160">
        <f>3.016+0.75</f>
        <v>3.766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+C39+'16'!D39</f>
        <v>0</v>
      </c>
      <c r="E39" s="154">
        <f t="shared" si="3"/>
        <v>0</v>
      </c>
      <c r="F39" s="340">
        <v>1700</v>
      </c>
      <c r="G39" s="340">
        <f t="shared" si="4"/>
        <v>1428</v>
      </c>
      <c r="H39" s="198" t="s">
        <v>64</v>
      </c>
      <c r="I39" s="153"/>
      <c r="J39" s="140">
        <f>J37/G4</f>
        <v>65.996794982467804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+C40+'16'!D40</f>
        <v>0</v>
      </c>
      <c r="E40" s="154">
        <f t="shared" si="3"/>
        <v>0</v>
      </c>
      <c r="F40" s="340">
        <v>1706.6666666666667</v>
      </c>
      <c r="G40" s="340">
        <v>1410.9333333333334</v>
      </c>
      <c r="H40" s="198" t="s">
        <v>66</v>
      </c>
      <c r="I40" s="129">
        <f>(K34+L34)/1000</f>
        <v>54.225999999999999</v>
      </c>
      <c r="J40" s="142">
        <f>+I40+'16'!J40</f>
        <v>971.69400000000019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+C41+'16'!D41</f>
        <v>404</v>
      </c>
      <c r="E41" s="154">
        <f t="shared" si="3"/>
        <v>6.7333333333333334</v>
      </c>
      <c r="F41" s="340"/>
      <c r="G41" s="340"/>
      <c r="H41" s="198" t="s">
        <v>68</v>
      </c>
      <c r="I41" s="153"/>
      <c r="J41" s="140">
        <f>J40/G4</f>
        <v>57.158470588235303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+C42+'16'!D42</f>
        <v>0</v>
      </c>
      <c r="E42" s="154">
        <f t="shared" si="3"/>
        <v>0</v>
      </c>
      <c r="F42" s="340">
        <f>+(F38*480+F39*480+F40*480)/1440</f>
        <v>1695.5555555555557</v>
      </c>
      <c r="G42" s="340">
        <f>+(G38*480+G39*480+G40*480)/1440</f>
        <v>1416.7111111111112</v>
      </c>
      <c r="H42" s="198" t="s">
        <v>69</v>
      </c>
      <c r="I42" s="257" t="s">
        <v>702</v>
      </c>
      <c r="J42" s="143"/>
      <c r="K42" s="141" t="s">
        <v>70</v>
      </c>
    </row>
    <row r="43" spans="1:14" ht="17.45" customHeight="1">
      <c r="A43" s="1018" t="s">
        <v>202</v>
      </c>
      <c r="B43" s="1019"/>
      <c r="C43" s="175">
        <f>SUMIF($G$7:$G$31,"Change Grade",$F$7:$F$31)</f>
        <v>0</v>
      </c>
      <c r="D43" s="129">
        <f>+C43+'16'!D43</f>
        <v>0</v>
      </c>
      <c r="E43" s="154">
        <f t="shared" si="3"/>
        <v>0</v>
      </c>
      <c r="F43" s="340"/>
      <c r="G43" s="341"/>
      <c r="H43" s="199" t="s">
        <v>72</v>
      </c>
      <c r="I43" s="129">
        <f>+Report1!T25</f>
        <v>133.87800000000001</v>
      </c>
      <c r="J43" s="144">
        <f>+I43+'16'!J43</f>
        <v>2313.7180000000003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+C44+'16'!D44</f>
        <v>38</v>
      </c>
      <c r="E44" s="154">
        <f t="shared" si="3"/>
        <v>0.6333333333333333</v>
      </c>
      <c r="F44" s="340"/>
      <c r="G44" s="341"/>
      <c r="H44" s="199" t="s">
        <v>73</v>
      </c>
      <c r="I44" s="129">
        <f>I43/I38</f>
        <v>2.4649347301750963</v>
      </c>
      <c r="J44" s="145">
        <f>J43/J38</f>
        <v>2.2387035223723477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+C45+'16'!D45</f>
        <v>0</v>
      </c>
      <c r="E45" s="154">
        <f t="shared" si="3"/>
        <v>0</v>
      </c>
      <c r="F45" s="340"/>
      <c r="G45" s="343"/>
      <c r="H45" s="199" t="s">
        <v>74</v>
      </c>
      <c r="I45" s="129">
        <f>I43/I40</f>
        <v>2.468889462619408</v>
      </c>
      <c r="J45" s="145">
        <f>J43/J40</f>
        <v>2.3811179239554838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+C46+'16'!D46</f>
        <v>0</v>
      </c>
      <c r="E46" s="154">
        <f t="shared" si="3"/>
        <v>0</v>
      </c>
      <c r="F46" s="340"/>
      <c r="G46" s="341"/>
      <c r="H46" s="199" t="s">
        <v>76</v>
      </c>
      <c r="I46" s="151">
        <f>+SUMIF(Listrik!AR24,"&gt;0")</f>
        <v>58245.499999999003</v>
      </c>
      <c r="J46" s="146">
        <f>+I46+'16'!J46</f>
        <v>946436.2799999963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+C47+'16'!D47</f>
        <v>0</v>
      </c>
      <c r="E47" s="154">
        <f t="shared" si="3"/>
        <v>0</v>
      </c>
      <c r="F47" s="340"/>
      <c r="G47" s="341"/>
      <c r="H47" s="199" t="s">
        <v>79</v>
      </c>
      <c r="I47" s="129">
        <f>I46/I38</f>
        <v>1072.4043967374109</v>
      </c>
      <c r="J47" s="146">
        <f>J46/J38</f>
        <v>915.75128591166811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+C48+'16'!D48</f>
        <v>0</v>
      </c>
      <c r="E48" s="154">
        <f t="shared" si="3"/>
        <v>0</v>
      </c>
      <c r="F48" s="340"/>
      <c r="G48" s="341"/>
      <c r="H48" s="199" t="s">
        <v>80</v>
      </c>
      <c r="I48" s="129">
        <f>I46/I40</f>
        <v>1074.1249585069709</v>
      </c>
      <c r="J48" s="146">
        <f>J46/J40</f>
        <v>974.00650822172008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+C49+'16'!D49</f>
        <v>233</v>
      </c>
      <c r="E49" s="154">
        <f t="shared" si="3"/>
        <v>3.8833333333333333</v>
      </c>
      <c r="F49" s="196"/>
      <c r="H49" s="199" t="s">
        <v>81</v>
      </c>
      <c r="I49" s="129">
        <v>0</v>
      </c>
      <c r="J49" s="146">
        <f>+I49+'16'!J49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+C50+'16'!D50</f>
        <v>0</v>
      </c>
      <c r="E50" s="154">
        <f t="shared" si="3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+C51+'16'!D51</f>
        <v>0</v>
      </c>
      <c r="E51" s="154">
        <f t="shared" si="3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88</v>
      </c>
      <c r="D52" s="155">
        <f>SUM(D38:D51)</f>
        <v>2263</v>
      </c>
      <c r="E52" s="156">
        <f>SUM(E38:E51)</f>
        <v>37.716666666666661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6.1111111111111109E-2</v>
      </c>
      <c r="D53" s="157">
        <f>D52/(24*60*G4)</f>
        <v>9.2442810457516345E-2</v>
      </c>
      <c r="E53" s="158">
        <f>E52/(G4*24)</f>
        <v>9.2442810457516331E-2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+D34+'16'!J56</f>
        <v>17364</v>
      </c>
      <c r="K56" s="212">
        <f>J56/(J40+J56/1000)/1000</f>
        <v>1.7556098833435445E-2</v>
      </c>
    </row>
    <row r="57" spans="1:11">
      <c r="A57" s="187"/>
      <c r="I57" s="210" t="s">
        <v>88</v>
      </c>
      <c r="J57" s="211">
        <f>+E34+'16'!J57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2:B52"/>
    <mergeCell ref="A53:B53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O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2.140625" style="160" customWidth="1"/>
    <col min="14" max="16384" width="9.140625" style="160"/>
  </cols>
  <sheetData>
    <row r="1" spans="1:15" ht="15.75">
      <c r="A1" s="159"/>
    </row>
    <row r="2" spans="1:15" ht="15.75">
      <c r="A2" s="159" t="s">
        <v>147</v>
      </c>
    </row>
    <row r="3" spans="1:15" ht="15">
      <c r="A3" s="161"/>
    </row>
    <row r="4" spans="1:15" ht="20.25">
      <c r="A4" s="162" t="s">
        <v>3</v>
      </c>
      <c r="B4" s="163"/>
      <c r="F4" s="164" t="s">
        <v>29</v>
      </c>
      <c r="G4" s="165">
        <v>16</v>
      </c>
      <c r="H4" s="165" t="str">
        <f>+'1'!H4</f>
        <v>.06.24</v>
      </c>
    </row>
    <row r="5" spans="1:15" ht="13.5" thickBot="1">
      <c r="C5" s="166"/>
      <c r="D5" s="166"/>
    </row>
    <row r="6" spans="1:15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270+290+235</f>
        <v>795</v>
      </c>
    </row>
    <row r="7" spans="1:15" ht="13.5" customHeight="1" thickBot="1">
      <c r="A7" s="1020" t="s">
        <v>436</v>
      </c>
      <c r="B7" s="226" t="s">
        <v>656</v>
      </c>
      <c r="C7" s="227">
        <f>351+6571</f>
        <v>6922</v>
      </c>
      <c r="D7" s="228"/>
      <c r="E7" s="229"/>
      <c r="F7" s="239">
        <v>5</v>
      </c>
      <c r="G7" s="240" t="s">
        <v>11</v>
      </c>
      <c r="H7" s="241" t="s">
        <v>536</v>
      </c>
      <c r="I7" s="1023" t="s">
        <v>643</v>
      </c>
      <c r="J7" s="225" t="str">
        <f>+'15'!J7</f>
        <v>MG 14 VP HW</v>
      </c>
      <c r="K7" s="249"/>
      <c r="L7" s="253"/>
      <c r="M7" s="128">
        <f>+K7+'15'!M7+L7</f>
        <v>160441</v>
      </c>
    </row>
    <row r="8" spans="1:15" ht="13.5" thickBot="1">
      <c r="A8" s="1021"/>
      <c r="B8" s="226" t="s">
        <v>657</v>
      </c>
      <c r="C8" s="227">
        <v>7736</v>
      </c>
      <c r="D8" s="228"/>
      <c r="E8" s="230"/>
      <c r="F8" s="242">
        <v>5</v>
      </c>
      <c r="G8" s="243" t="s">
        <v>11</v>
      </c>
      <c r="H8" s="241" t="s">
        <v>694</v>
      </c>
      <c r="I8" s="1024"/>
      <c r="J8" s="225" t="str">
        <f>+'15'!J8</f>
        <v>MG 17 VP HW</v>
      </c>
      <c r="K8" s="250"/>
      <c r="L8" s="250"/>
      <c r="M8" s="128">
        <f>+K8+'15'!M8+L8</f>
        <v>131048</v>
      </c>
      <c r="N8" s="160">
        <v>1650</v>
      </c>
      <c r="O8" s="160">
        <f>+N8-N8*0.16</f>
        <v>1386</v>
      </c>
    </row>
    <row r="9" spans="1:15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453</v>
      </c>
      <c r="I9" s="1024"/>
      <c r="J9" s="225" t="str">
        <f>+'15'!J9</f>
        <v>MG 16 VP HW/OW</v>
      </c>
      <c r="K9" s="250"/>
      <c r="L9" s="250"/>
      <c r="M9" s="128">
        <f>+K9+'15'!M9+L9</f>
        <v>278646</v>
      </c>
      <c r="N9" s="160">
        <v>1680</v>
      </c>
      <c r="O9" s="160">
        <f>+N9-N9*0.16</f>
        <v>1411.2</v>
      </c>
    </row>
    <row r="10" spans="1:15" ht="13.5" thickBot="1">
      <c r="A10" s="1021"/>
      <c r="B10" s="226"/>
      <c r="C10" s="227"/>
      <c r="D10" s="228"/>
      <c r="E10" s="230"/>
      <c r="F10" s="239"/>
      <c r="G10" s="243"/>
      <c r="H10" s="597" t="s">
        <v>632</v>
      </c>
      <c r="I10" s="1024"/>
      <c r="J10" s="225" t="str">
        <f>+'15'!J10</f>
        <v>MG 22 VP HW</v>
      </c>
      <c r="K10" s="250"/>
      <c r="L10" s="250"/>
      <c r="M10" s="128">
        <f>+K10+'15'!M10+L10</f>
        <v>12128</v>
      </c>
      <c r="N10" s="160">
        <v>1680</v>
      </c>
      <c r="O10" s="160">
        <f>+N10-N10*0.16</f>
        <v>1411.2</v>
      </c>
    </row>
    <row r="11" spans="1:15" ht="13.5" thickBot="1">
      <c r="A11" s="1021"/>
      <c r="B11" s="226"/>
      <c r="C11" s="227"/>
      <c r="D11" s="228"/>
      <c r="E11" s="230"/>
      <c r="F11" s="239"/>
      <c r="G11" s="243"/>
      <c r="H11" s="244" t="s">
        <v>591</v>
      </c>
      <c r="I11" s="1024"/>
      <c r="J11" s="225" t="str">
        <f>+'15'!J11</f>
        <v>MG 24 VP HW</v>
      </c>
      <c r="K11" s="250"/>
      <c r="L11" s="250"/>
      <c r="M11" s="128">
        <f>+K11+'15'!M11+L11</f>
        <v>5566</v>
      </c>
    </row>
    <row r="12" spans="1:15" ht="13.5" thickBot="1">
      <c r="A12" s="1021"/>
      <c r="B12" s="226"/>
      <c r="C12" s="227"/>
      <c r="D12" s="228"/>
      <c r="E12" s="230"/>
      <c r="F12" s="239"/>
      <c r="G12" s="243"/>
      <c r="H12" s="244" t="s">
        <v>631</v>
      </c>
      <c r="I12" s="1024"/>
      <c r="J12" s="225" t="str">
        <f>+'15'!J12</f>
        <v>MG 20 VP HW</v>
      </c>
      <c r="K12" s="250"/>
      <c r="L12" s="250"/>
      <c r="M12" s="128">
        <f>+K12+'15'!M12+L12</f>
        <v>7726</v>
      </c>
    </row>
    <row r="13" spans="1:15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+'15'!J13</f>
        <v>F 12 VP OW</v>
      </c>
      <c r="K13" s="250"/>
      <c r="L13" s="250"/>
      <c r="M13" s="128">
        <f>+K13+'15'!M13+L13</f>
        <v>51416</v>
      </c>
    </row>
    <row r="14" spans="1:15" ht="13.5" thickBot="1">
      <c r="A14" s="1022"/>
      <c r="B14" s="176" t="s">
        <v>2</v>
      </c>
      <c r="C14" s="110">
        <f>SUM(C7:C13)</f>
        <v>14658</v>
      </c>
      <c r="D14" s="122">
        <f>SUM(D7:D13)</f>
        <v>0</v>
      </c>
      <c r="E14" s="123">
        <f>SUM(E5:E13)</f>
        <v>0</v>
      </c>
      <c r="F14" s="127">
        <f>SUM(F7:F13)</f>
        <v>20</v>
      </c>
      <c r="G14" s="170"/>
      <c r="H14" s="177"/>
      <c r="I14" s="178"/>
      <c r="J14" s="225" t="str">
        <f>+'15'!J14</f>
        <v>F 11,5 VP OW</v>
      </c>
      <c r="K14" s="250"/>
      <c r="L14" s="250"/>
      <c r="M14" s="128">
        <f>+K14+'15'!M14+L14</f>
        <v>61347</v>
      </c>
    </row>
    <row r="15" spans="1:15" ht="13.5" customHeight="1" thickBot="1">
      <c r="A15" s="1020" t="s">
        <v>434</v>
      </c>
      <c r="B15" s="176"/>
      <c r="C15" s="124"/>
      <c r="D15" s="125"/>
      <c r="E15" s="126"/>
      <c r="F15" s="239">
        <v>5</v>
      </c>
      <c r="G15" s="240" t="s">
        <v>11</v>
      </c>
      <c r="H15" s="241" t="s">
        <v>536</v>
      </c>
      <c r="I15" s="1023" t="s">
        <v>693</v>
      </c>
      <c r="J15" s="225" t="str">
        <f>+'15'!J15</f>
        <v>F 10,5 VP OW</v>
      </c>
      <c r="K15" s="250">
        <f>+C7+C16+C25</f>
        <v>17650</v>
      </c>
      <c r="L15" s="250"/>
      <c r="M15" s="128">
        <f>+K15+'15'!M15+L15</f>
        <v>151044</v>
      </c>
    </row>
    <row r="16" spans="1:15" ht="13.5" thickBot="1">
      <c r="A16" s="1026"/>
      <c r="B16" s="226" t="s">
        <v>656</v>
      </c>
      <c r="C16" s="233">
        <f>522+7357</f>
        <v>7879</v>
      </c>
      <c r="D16" s="234">
        <v>480</v>
      </c>
      <c r="E16" s="235"/>
      <c r="F16" s="239">
        <v>4</v>
      </c>
      <c r="G16" s="243" t="s">
        <v>11</v>
      </c>
      <c r="H16" s="241" t="s">
        <v>602</v>
      </c>
      <c r="I16" s="1024"/>
      <c r="J16" s="225" t="str">
        <f>+'15'!J16</f>
        <v>F 10,3 VP OW</v>
      </c>
      <c r="K16" s="250">
        <f>+C8+C17+C26</f>
        <v>36153</v>
      </c>
      <c r="L16" s="240"/>
      <c r="M16" s="128">
        <f>+K16+'15'!M16+L16</f>
        <v>58106</v>
      </c>
    </row>
    <row r="17" spans="1:14" ht="13.5" thickBot="1">
      <c r="A17" s="1026"/>
      <c r="B17" s="226" t="s">
        <v>657</v>
      </c>
      <c r="C17" s="227">
        <v>9848</v>
      </c>
      <c r="D17" s="228"/>
      <c r="E17" s="236"/>
      <c r="F17" s="239">
        <v>5</v>
      </c>
      <c r="G17" s="243" t="s">
        <v>11</v>
      </c>
      <c r="H17" s="597" t="s">
        <v>453</v>
      </c>
      <c r="I17" s="1024"/>
      <c r="J17" s="225">
        <f>+'15'!J17</f>
        <v>0</v>
      </c>
      <c r="K17" s="250"/>
      <c r="L17" s="240"/>
      <c r="M17" s="128">
        <f>+K17+'15'!M17+L17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692</v>
      </c>
      <c r="I18" s="1024"/>
      <c r="J18" s="225">
        <f>+'15'!J18</f>
        <v>0</v>
      </c>
      <c r="K18" s="250"/>
      <c r="L18" s="250"/>
      <c r="M18" s="128">
        <f>+K18+'15'!M18+L18</f>
        <v>0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244"/>
      <c r="I19" s="1024"/>
      <c r="J19" s="225">
        <f>+'15'!J19</f>
        <v>0</v>
      </c>
      <c r="K19" s="250"/>
      <c r="L19" s="250"/>
      <c r="M19" s="128">
        <f>+K19+'15'!M19+L19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+'15'!J20</f>
        <v>0</v>
      </c>
      <c r="K20" s="251"/>
      <c r="L20" s="251"/>
      <c r="M20" s="128">
        <f>+K20+'15'!M20+L20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+'15'!J21</f>
        <v>0</v>
      </c>
      <c r="K21" s="250"/>
      <c r="L21" s="250"/>
      <c r="M21" s="128">
        <f>+K21+'15'!M21+L21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+'15'!J22</f>
        <v>0</v>
      </c>
      <c r="K22" s="250"/>
      <c r="L22" s="250"/>
      <c r="M22" s="128">
        <f>+K22+'15'!M22+L22</f>
        <v>0</v>
      </c>
    </row>
    <row r="23" spans="1:14" ht="13.5" thickBot="1">
      <c r="A23" s="1027"/>
      <c r="B23" s="179" t="s">
        <v>2</v>
      </c>
      <c r="C23" s="111">
        <f>SUM(C16:C22)</f>
        <v>17727</v>
      </c>
      <c r="D23" s="122">
        <f>SUM(D16:D22)</f>
        <v>480</v>
      </c>
      <c r="E23" s="123">
        <f>SUM(E18:E22)</f>
        <v>0</v>
      </c>
      <c r="F23" s="127">
        <f>SUM(F15:F22)</f>
        <v>14</v>
      </c>
      <c r="G23" s="170"/>
      <c r="H23" s="177" t="s">
        <v>234</v>
      </c>
      <c r="I23" s="180"/>
      <c r="J23" s="225">
        <f>+'15'!J23</f>
        <v>0</v>
      </c>
      <c r="K23" s="250"/>
      <c r="L23" s="250"/>
      <c r="M23" s="128">
        <f>+K23+'15'!M23+L23</f>
        <v>0</v>
      </c>
    </row>
    <row r="24" spans="1:14" ht="13.5" customHeight="1" thickBot="1">
      <c r="A24" s="1020" t="s">
        <v>435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 t="s">
        <v>693</v>
      </c>
      <c r="J24" s="225">
        <f>+'15'!J24</f>
        <v>0</v>
      </c>
      <c r="K24" s="250"/>
      <c r="L24" s="250"/>
      <c r="M24" s="128">
        <f>+K24+'15'!M24+L24</f>
        <v>0</v>
      </c>
    </row>
    <row r="25" spans="1:14" ht="13.5" thickBot="1">
      <c r="A25" s="1028"/>
      <c r="B25" s="226" t="s">
        <v>656</v>
      </c>
      <c r="C25" s="237">
        <f>178+2671</f>
        <v>2849</v>
      </c>
      <c r="D25" s="228">
        <v>493</v>
      </c>
      <c r="E25" s="236"/>
      <c r="F25" s="242">
        <v>5</v>
      </c>
      <c r="G25" s="243" t="s">
        <v>11</v>
      </c>
      <c r="H25" s="241" t="s">
        <v>649</v>
      </c>
      <c r="I25" s="1024"/>
      <c r="J25" s="225">
        <f>+'15'!J25</f>
        <v>0</v>
      </c>
      <c r="K25" s="250"/>
      <c r="L25" s="250"/>
      <c r="M25" s="128">
        <f>+K25+'15'!M25+L25</f>
        <v>0</v>
      </c>
    </row>
    <row r="26" spans="1:14" ht="13.5" thickBot="1">
      <c r="A26" s="1028"/>
      <c r="B26" s="226" t="s">
        <v>657</v>
      </c>
      <c r="C26" s="237">
        <v>18569</v>
      </c>
      <c r="D26" s="228"/>
      <c r="E26" s="238"/>
      <c r="F26" s="242">
        <v>10</v>
      </c>
      <c r="G26" s="243" t="s">
        <v>11</v>
      </c>
      <c r="H26" s="597" t="s">
        <v>455</v>
      </c>
      <c r="I26" s="1024"/>
      <c r="J26" s="225">
        <f>+'15'!J26</f>
        <v>0</v>
      </c>
      <c r="K26" s="250"/>
      <c r="L26" s="250"/>
      <c r="M26" s="128">
        <f>+K26+'15'!M26+L26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692</v>
      </c>
      <c r="I27" s="1024"/>
      <c r="J27" s="225">
        <f>+'15'!J27</f>
        <v>0</v>
      </c>
      <c r="K27" s="250"/>
      <c r="L27" s="250"/>
      <c r="M27" s="128">
        <f>+K27+'15'!M27+L27</f>
        <v>0</v>
      </c>
    </row>
    <row r="28" spans="1:14" ht="13.5" thickBot="1">
      <c r="A28" s="1028"/>
      <c r="B28" s="226"/>
      <c r="C28" s="227"/>
      <c r="D28" s="228"/>
      <c r="E28" s="236"/>
      <c r="F28" s="242"/>
      <c r="G28" s="243"/>
      <c r="H28" s="244"/>
      <c r="I28" s="1024"/>
      <c r="J28" s="225">
        <f>+'15'!J28</f>
        <v>0</v>
      </c>
      <c r="K28" s="250"/>
      <c r="L28" s="250"/>
      <c r="M28" s="128">
        <f>+K28+'15'!M28+L28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+'15'!J29</f>
        <v>0</v>
      </c>
      <c r="K29" s="250"/>
      <c r="L29" s="250"/>
      <c r="M29" s="128">
        <f>+K29+'15'!M29+L29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+'15'!J30</f>
        <v>0</v>
      </c>
      <c r="K30" s="250"/>
      <c r="L30" s="250"/>
      <c r="M30" s="128">
        <f>+K30+'15'!M30+L30</f>
        <v>0</v>
      </c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+'15'!J31</f>
        <v>0</v>
      </c>
      <c r="K31" s="250"/>
      <c r="L31" s="250"/>
      <c r="M31" s="128">
        <f>+K31+'15'!M31+L31</f>
        <v>0</v>
      </c>
      <c r="N31" s="166"/>
    </row>
    <row r="32" spans="1:14" ht="13.5" thickBot="1">
      <c r="A32" s="1029"/>
      <c r="B32" s="176" t="s">
        <v>2</v>
      </c>
      <c r="C32" s="110">
        <f>SUM(C25:C31)</f>
        <v>21418</v>
      </c>
      <c r="D32" s="111">
        <f>SUM(D25:D31)</f>
        <v>493</v>
      </c>
      <c r="E32" s="112">
        <f>SUM(E25:E31)</f>
        <v>0</v>
      </c>
      <c r="F32" s="113">
        <f>SUM(F24:F31)</f>
        <v>25</v>
      </c>
      <c r="G32" s="182"/>
      <c r="H32" s="183"/>
      <c r="I32" s="180"/>
      <c r="J32" s="225">
        <f>+'15'!J32</f>
        <v>0</v>
      </c>
      <c r="K32" s="252"/>
      <c r="L32" s="254"/>
      <c r="M32" s="128">
        <f>+K32+'15'!M32+L32</f>
        <v>0</v>
      </c>
    </row>
    <row r="33" spans="1:14" ht="13.5" thickBot="1">
      <c r="A33" s="184"/>
      <c r="B33" s="185"/>
      <c r="C33" s="114">
        <f>C32/($C$32+$D$32+$E$32)</f>
        <v>0.97749988590205827</v>
      </c>
      <c r="D33" s="115">
        <f>D32/($C$32+$D$32+$E$32)</f>
        <v>2.2500114097941674E-2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53803</v>
      </c>
      <c r="D34" s="118">
        <f>D14+D23+D32</f>
        <v>973</v>
      </c>
      <c r="E34" s="118">
        <f>E14+E23+E32</f>
        <v>0</v>
      </c>
      <c r="F34" s="119">
        <f>F14+F23+F32</f>
        <v>59</v>
      </c>
      <c r="H34" s="189"/>
      <c r="I34" s="189"/>
      <c r="J34" s="134" t="s">
        <v>27</v>
      </c>
      <c r="K34" s="135">
        <f>SUM(K7:K32)</f>
        <v>53803</v>
      </c>
      <c r="L34" s="223">
        <f>SUM(L7:L32)</f>
        <v>0</v>
      </c>
      <c r="M34" s="131">
        <f>SUM(M7:M32)</f>
        <v>917468</v>
      </c>
    </row>
    <row r="35" spans="1:14" ht="13.5" thickBot="1">
      <c r="A35" s="190"/>
      <c r="B35" s="191"/>
      <c r="C35" s="115">
        <f>C34/($C$34+$D$34+$E$34)</f>
        <v>0.98223674602015476</v>
      </c>
      <c r="D35" s="115">
        <f>D34/($C$34+$D$34+$E$34)</f>
        <v>1.7763253979845187E-2</v>
      </c>
      <c r="E35" s="120">
        <f>E34/($C$34+$D$34+$E$34)</f>
        <v>0</v>
      </c>
      <c r="K35" s="166"/>
      <c r="N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(10.3*1440)/1440*G42*2.77*1440/1000000</f>
        <v>57.633532991999999</v>
      </c>
      <c r="J37" s="136">
        <f>+I37+'15'!J37</f>
        <v>1062.9869850806194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59</v>
      </c>
      <c r="D38" s="129">
        <f>+C38+'15'!D38</f>
        <v>1500</v>
      </c>
      <c r="E38" s="154">
        <f t="shared" ref="E38:E51" si="0">D38/60</f>
        <v>25</v>
      </c>
      <c r="F38" s="340">
        <v>1650</v>
      </c>
      <c r="G38" s="340">
        <f>+F38-F38*0.16</f>
        <v>1386</v>
      </c>
      <c r="H38" s="198" t="s">
        <v>63</v>
      </c>
      <c r="I38" s="555">
        <f>17.577+18.575+17.431</f>
        <v>53.582999999999998</v>
      </c>
      <c r="J38" s="138">
        <f>+I38+'15'!J38</f>
        <v>979.19500000000005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+C39+'15'!D39</f>
        <v>0</v>
      </c>
      <c r="E39" s="154">
        <f t="shared" si="0"/>
        <v>0</v>
      </c>
      <c r="F39" s="340">
        <v>1680</v>
      </c>
      <c r="G39" s="340">
        <f>+F39-F39*0.16</f>
        <v>1411.2</v>
      </c>
      <c r="H39" s="198" t="s">
        <v>64</v>
      </c>
      <c r="I39" s="153"/>
      <c r="J39" s="140">
        <f>J37/G4</f>
        <v>66.436686567538715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+C40+'15'!D40</f>
        <v>0</v>
      </c>
      <c r="E40" s="154">
        <f t="shared" si="0"/>
        <v>0</v>
      </c>
      <c r="F40" s="340">
        <v>1680</v>
      </c>
      <c r="G40" s="340">
        <f>+F40-F40*0.16</f>
        <v>1411.2</v>
      </c>
      <c r="H40" s="198" t="s">
        <v>66</v>
      </c>
      <c r="I40" s="129">
        <f>(K34+L34)/1000</f>
        <v>53.802999999999997</v>
      </c>
      <c r="J40" s="142">
        <f>+I40+'15'!J40</f>
        <v>917.46800000000019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+C41+'15'!D41</f>
        <v>404</v>
      </c>
      <c r="E41" s="154">
        <f t="shared" si="0"/>
        <v>6.7333333333333334</v>
      </c>
      <c r="F41" s="340"/>
      <c r="G41" s="340"/>
      <c r="H41" s="198" t="s">
        <v>68</v>
      </c>
      <c r="I41" s="153"/>
      <c r="J41" s="140">
        <f>J40/G4</f>
        <v>57.341750000000012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+C42+'15'!D42</f>
        <v>0</v>
      </c>
      <c r="E42" s="154">
        <f t="shared" si="0"/>
        <v>0</v>
      </c>
      <c r="F42" s="340">
        <f>+(F38*480+F40*480+F39*480)/1440</f>
        <v>1670</v>
      </c>
      <c r="G42" s="340">
        <f>+(G38*480+G40*480+G39*480)/1440</f>
        <v>1402.8</v>
      </c>
      <c r="H42" s="198" t="s">
        <v>69</v>
      </c>
      <c r="I42" s="257" t="s">
        <v>646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+C43+'15'!D43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+Report1!T24</f>
        <v>133.11500000000001</v>
      </c>
      <c r="J43" s="144">
        <f>+I43+'15'!J43</f>
        <v>2179.84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+C44+'15'!D44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2.4842767295597485</v>
      </c>
      <c r="J44" s="145">
        <f>J43/J38</f>
        <v>2.2261551580635115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+C45+'15'!D45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2.4741185435756372</v>
      </c>
      <c r="J45" s="145">
        <f>J43/J40</f>
        <v>2.3759302776772593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+C46+'15'!D46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+SUMIF(Listrik!AR23,"&gt;0")</f>
        <v>57613.260000000751</v>
      </c>
      <c r="J46" s="146">
        <f>+I46+'15'!J46</f>
        <v>888190.77999999735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+C47+'15'!D47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1075.2152735009379</v>
      </c>
      <c r="J47" s="146">
        <f>J46/J38</f>
        <v>907.06220926372919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+C48+'15'!D48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1070.8187275802604</v>
      </c>
      <c r="J48" s="146">
        <f>J46/J40</f>
        <v>968.08911046488504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+C49+'15'!D49</f>
        <v>233</v>
      </c>
      <c r="E49" s="154">
        <f t="shared" si="0"/>
        <v>3.8833333333333333</v>
      </c>
      <c r="F49" s="196"/>
      <c r="H49" s="199" t="s">
        <v>81</v>
      </c>
      <c r="I49" s="129">
        <v>0</v>
      </c>
      <c r="J49" s="146">
        <f>+I49+'15'!J49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+C50+'15'!D50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+C51+'15'!D51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59</v>
      </c>
      <c r="D52" s="155">
        <f>SUM(D38:D51)</f>
        <v>2175</v>
      </c>
      <c r="E52" s="156">
        <f>SUM(E38:E51)</f>
        <v>36.25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4.0972222222222222E-2</v>
      </c>
      <c r="D53" s="157">
        <f>D52/(24*60*G4)</f>
        <v>9.4401041666666671E-2</v>
      </c>
      <c r="E53" s="158">
        <f>E52/(G4*24)</f>
        <v>9.4401041666666671E-2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+D34+'15'!J56</f>
        <v>17364</v>
      </c>
      <c r="K56" s="212">
        <f>J56/(J40+J56/1000)/1000</f>
        <v>1.8574460437811281E-2</v>
      </c>
    </row>
    <row r="57" spans="1:11">
      <c r="A57" s="187"/>
      <c r="I57" s="210" t="s">
        <v>88</v>
      </c>
      <c r="J57" s="211">
        <f>+E34+'15'!J57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38:B38"/>
    <mergeCell ref="A41:B41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</mergeCells>
  <phoneticPr fontId="31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2.140625" style="160" customWidth="1"/>
    <col min="14" max="16384" width="9.140625" style="160"/>
  </cols>
  <sheetData>
    <row r="1" spans="1:15" ht="15.75">
      <c r="A1" s="159"/>
    </row>
    <row r="2" spans="1:15" ht="15.75">
      <c r="A2" s="159" t="s">
        <v>147</v>
      </c>
    </row>
    <row r="3" spans="1:15" ht="15">
      <c r="A3" s="161"/>
    </row>
    <row r="4" spans="1:15" ht="20.25">
      <c r="A4" s="162" t="s">
        <v>3</v>
      </c>
      <c r="B4" s="163"/>
      <c r="F4" s="164" t="s">
        <v>29</v>
      </c>
      <c r="G4" s="165">
        <v>15</v>
      </c>
      <c r="H4" s="165" t="str">
        <f>+'1'!H4</f>
        <v>.06.24</v>
      </c>
      <c r="J4" s="160">
        <v>452</v>
      </c>
    </row>
    <row r="5" spans="1:15" ht="13.5" thickBot="1">
      <c r="C5" s="166"/>
      <c r="D5" s="166"/>
    </row>
    <row r="6" spans="1:15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291+250+200</f>
        <v>741</v>
      </c>
    </row>
    <row r="7" spans="1:15" ht="13.5" customHeight="1" thickBot="1">
      <c r="A7" s="1020" t="s">
        <v>605</v>
      </c>
      <c r="B7" s="226" t="s">
        <v>656</v>
      </c>
      <c r="C7" s="227">
        <v>17406</v>
      </c>
      <c r="D7" s="228">
        <v>238</v>
      </c>
      <c r="E7" s="229"/>
      <c r="F7" s="239">
        <v>10</v>
      </c>
      <c r="G7" s="240" t="s">
        <v>11</v>
      </c>
      <c r="H7" s="241" t="s">
        <v>418</v>
      </c>
      <c r="I7" s="1023" t="s">
        <v>675</v>
      </c>
      <c r="J7" s="225" t="str">
        <f>+'14'!J7</f>
        <v>MG 14 VP HW</v>
      </c>
      <c r="K7" s="249"/>
      <c r="L7" s="253"/>
      <c r="M7" s="128">
        <f>+K7+'14'!M7+L7</f>
        <v>160441</v>
      </c>
    </row>
    <row r="8" spans="1:15" ht="13.5" thickBot="1">
      <c r="A8" s="1021"/>
      <c r="B8" s="226"/>
      <c r="C8" s="227"/>
      <c r="D8" s="228"/>
      <c r="E8" s="230"/>
      <c r="F8" s="242">
        <v>9</v>
      </c>
      <c r="G8" s="243" t="s">
        <v>11</v>
      </c>
      <c r="H8" s="241" t="s">
        <v>600</v>
      </c>
      <c r="I8" s="1024"/>
      <c r="J8" s="225" t="str">
        <f>+'14'!J8</f>
        <v>MG 17 VP HW</v>
      </c>
      <c r="K8" s="250"/>
      <c r="L8" s="250"/>
      <c r="M8" s="128">
        <f>+K8+'14'!M8+L8</f>
        <v>131048</v>
      </c>
      <c r="N8" s="160">
        <v>1640</v>
      </c>
      <c r="O8" s="160">
        <f>+N8-N8*0.16</f>
        <v>1377.6</v>
      </c>
    </row>
    <row r="9" spans="1:15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453</v>
      </c>
      <c r="I9" s="1024"/>
      <c r="J9" s="225" t="str">
        <f>+'14'!J9</f>
        <v>MG 16 VP HW/OW</v>
      </c>
      <c r="K9" s="250"/>
      <c r="L9" s="250"/>
      <c r="M9" s="128">
        <f>+K9+'14'!M9+L9</f>
        <v>278646</v>
      </c>
      <c r="N9" s="160">
        <v>1650</v>
      </c>
      <c r="O9" s="160">
        <f>+N9-N9*0.16</f>
        <v>1386</v>
      </c>
    </row>
    <row r="10" spans="1:15" ht="13.5" thickBot="1">
      <c r="A10" s="1021"/>
      <c r="B10" s="226"/>
      <c r="C10" s="227"/>
      <c r="D10" s="228"/>
      <c r="E10" s="230"/>
      <c r="F10" s="239"/>
      <c r="G10" s="243"/>
      <c r="H10" s="597" t="s">
        <v>686</v>
      </c>
      <c r="I10" s="1024"/>
      <c r="J10" s="225" t="str">
        <f>+'14'!J10</f>
        <v>MG 22 VP HW</v>
      </c>
      <c r="K10" s="250"/>
      <c r="L10" s="250"/>
      <c r="M10" s="128">
        <f>+K10+'14'!M10+L10</f>
        <v>12128</v>
      </c>
      <c r="N10" s="160">
        <v>1650</v>
      </c>
      <c r="O10" s="160">
        <f>+N10-N10*0.16</f>
        <v>1386</v>
      </c>
    </row>
    <row r="11" spans="1:15" ht="13.5" thickBot="1">
      <c r="A11" s="1021"/>
      <c r="B11" s="226"/>
      <c r="C11" s="227"/>
      <c r="D11" s="228"/>
      <c r="E11" s="230"/>
      <c r="F11" s="239"/>
      <c r="G11" s="243"/>
      <c r="H11" s="244" t="s">
        <v>636</v>
      </c>
      <c r="I11" s="1024"/>
      <c r="J11" s="225" t="str">
        <f>+'14'!J11</f>
        <v>MG 24 VP HW</v>
      </c>
      <c r="K11" s="250"/>
      <c r="L11" s="250"/>
      <c r="M11" s="128">
        <f>+K11+'14'!M11+L11</f>
        <v>5566</v>
      </c>
    </row>
    <row r="12" spans="1:15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 t="str">
        <f>+'14'!J12</f>
        <v>MG 20 VP HW</v>
      </c>
      <c r="K12" s="250"/>
      <c r="L12" s="250"/>
      <c r="M12" s="128">
        <f>+K12+'14'!M12+L12</f>
        <v>7726</v>
      </c>
    </row>
    <row r="13" spans="1:15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 t="str">
        <f>+'14'!J13</f>
        <v>F 12 VP OW</v>
      </c>
      <c r="K13" s="250"/>
      <c r="L13" s="250"/>
      <c r="M13" s="128">
        <f>+K13+'14'!M13+L13</f>
        <v>51416</v>
      </c>
    </row>
    <row r="14" spans="1:15" ht="13.5" thickBot="1">
      <c r="A14" s="1022"/>
      <c r="B14" s="176" t="s">
        <v>2</v>
      </c>
      <c r="C14" s="110">
        <f>SUM(C7:C13)</f>
        <v>17406</v>
      </c>
      <c r="D14" s="122">
        <f>SUM(D7:D13)</f>
        <v>238</v>
      </c>
      <c r="E14" s="123">
        <f>SUM(E5:E13)</f>
        <v>0</v>
      </c>
      <c r="F14" s="127">
        <f>SUM(F7:F13)</f>
        <v>29</v>
      </c>
      <c r="G14" s="170"/>
      <c r="H14" s="177"/>
      <c r="I14" s="178"/>
      <c r="J14" s="225" t="str">
        <f>+'14'!J14</f>
        <v>F 11,5 VP OW</v>
      </c>
      <c r="K14" s="250"/>
      <c r="L14" s="250"/>
      <c r="M14" s="128">
        <f>+K14+'14'!M14+L14</f>
        <v>61347</v>
      </c>
    </row>
    <row r="15" spans="1:15" ht="13.5" customHeight="1" thickBot="1">
      <c r="A15" s="1020" t="s">
        <v>434</v>
      </c>
      <c r="B15" s="176"/>
      <c r="C15" s="124"/>
      <c r="D15" s="125"/>
      <c r="E15" s="126"/>
      <c r="F15" s="239">
        <v>20</v>
      </c>
      <c r="G15" s="240" t="s">
        <v>11</v>
      </c>
      <c r="H15" s="241" t="s">
        <v>504</v>
      </c>
      <c r="I15" s="1023" t="s">
        <v>643</v>
      </c>
      <c r="J15" s="225" t="str">
        <f>+'14'!J15</f>
        <v>F 10,5 VP OW</v>
      </c>
      <c r="K15" s="250">
        <f>+C34</f>
        <v>50311</v>
      </c>
      <c r="L15" s="250"/>
      <c r="M15" s="128">
        <f>+K15+'14'!M15+L15</f>
        <v>133394</v>
      </c>
    </row>
    <row r="16" spans="1:15" ht="13.5" thickBot="1">
      <c r="A16" s="1026"/>
      <c r="B16" s="226" t="s">
        <v>656</v>
      </c>
      <c r="C16" s="233">
        <v>16138</v>
      </c>
      <c r="D16" s="234">
        <v>853</v>
      </c>
      <c r="E16" s="235"/>
      <c r="F16" s="239">
        <v>7</v>
      </c>
      <c r="G16" s="243" t="s">
        <v>11</v>
      </c>
      <c r="H16" s="241" t="s">
        <v>602</v>
      </c>
      <c r="I16" s="1024"/>
      <c r="J16" s="225" t="str">
        <f>+'14'!J16</f>
        <v>F 10,3 VP OW</v>
      </c>
      <c r="K16" s="250"/>
      <c r="L16" s="240"/>
      <c r="M16" s="128">
        <f>+K16+'14'!M16+L16</f>
        <v>21953</v>
      </c>
    </row>
    <row r="17" spans="1:14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453</v>
      </c>
      <c r="I17" s="1024"/>
      <c r="J17" s="225">
        <f>+'14'!J17</f>
        <v>0</v>
      </c>
      <c r="K17" s="250"/>
      <c r="L17" s="240"/>
      <c r="M17" s="128">
        <f>+K17+'14'!M17+L17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671</v>
      </c>
      <c r="I18" s="1024"/>
      <c r="J18" s="225">
        <f>+'14'!J18</f>
        <v>0</v>
      </c>
      <c r="K18" s="250"/>
      <c r="L18" s="250"/>
      <c r="M18" s="128">
        <f>+K18+'14'!M18+L18</f>
        <v>0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244"/>
      <c r="I19" s="1024"/>
      <c r="J19" s="225">
        <f>+'14'!J19</f>
        <v>0</v>
      </c>
      <c r="K19" s="250"/>
      <c r="L19" s="250"/>
      <c r="M19" s="128">
        <f>+K19+'14'!M19+L19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+'14'!J20</f>
        <v>0</v>
      </c>
      <c r="K20" s="251"/>
      <c r="L20" s="251"/>
      <c r="M20" s="128">
        <f>+K20+'14'!M20+L20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+'14'!J21</f>
        <v>0</v>
      </c>
      <c r="K21" s="250"/>
      <c r="L21" s="250"/>
      <c r="M21" s="128">
        <f>+K21+'14'!M21+L21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+'14'!J22</f>
        <v>0</v>
      </c>
      <c r="K22" s="250"/>
      <c r="L22" s="250"/>
      <c r="M22" s="128">
        <f>+K22+'14'!M22+L22</f>
        <v>0</v>
      </c>
    </row>
    <row r="23" spans="1:14" ht="13.5" thickBot="1">
      <c r="A23" s="1027"/>
      <c r="B23" s="179" t="s">
        <v>2</v>
      </c>
      <c r="C23" s="111">
        <f>SUM(C16:C22)</f>
        <v>16138</v>
      </c>
      <c r="D23" s="122">
        <f>SUM(D16:D22)</f>
        <v>853</v>
      </c>
      <c r="E23" s="123">
        <f>SUM(E18:E22)</f>
        <v>0</v>
      </c>
      <c r="F23" s="127">
        <f>SUM(F15:F22)</f>
        <v>37</v>
      </c>
      <c r="G23" s="170"/>
      <c r="H23" s="177" t="s">
        <v>234</v>
      </c>
      <c r="I23" s="180"/>
      <c r="J23" s="225">
        <f>+'14'!J23</f>
        <v>0</v>
      </c>
      <c r="K23" s="250"/>
      <c r="L23" s="250"/>
      <c r="M23" s="128">
        <f>+K23+'14'!M23+L23</f>
        <v>0</v>
      </c>
    </row>
    <row r="24" spans="1:14" ht="13.5" customHeight="1" thickBot="1">
      <c r="A24" s="1020" t="s">
        <v>435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 t="s">
        <v>643</v>
      </c>
      <c r="J24" s="225">
        <f>+'14'!J24</f>
        <v>0</v>
      </c>
      <c r="K24" s="250"/>
      <c r="L24" s="250"/>
      <c r="M24" s="128">
        <f>+K24+'14'!M24+L24</f>
        <v>0</v>
      </c>
    </row>
    <row r="25" spans="1:14" ht="13.5" thickBot="1">
      <c r="A25" s="1028"/>
      <c r="B25" s="226" t="s">
        <v>656</v>
      </c>
      <c r="C25" s="237">
        <v>16767</v>
      </c>
      <c r="D25" s="228">
        <v>620</v>
      </c>
      <c r="E25" s="236"/>
      <c r="F25" s="242">
        <v>5</v>
      </c>
      <c r="G25" s="243" t="s">
        <v>11</v>
      </c>
      <c r="H25" s="241" t="s">
        <v>602</v>
      </c>
      <c r="I25" s="1024"/>
      <c r="J25" s="225">
        <f>+'14'!J25</f>
        <v>0</v>
      </c>
      <c r="K25" s="250"/>
      <c r="L25" s="250"/>
      <c r="M25" s="128">
        <f>+K25+'14'!M25+L25</f>
        <v>0</v>
      </c>
    </row>
    <row r="26" spans="1:14" ht="13.5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453</v>
      </c>
      <c r="I26" s="1024"/>
      <c r="J26" s="225">
        <f>+'14'!J26</f>
        <v>0</v>
      </c>
      <c r="K26" s="250"/>
      <c r="L26" s="250"/>
      <c r="M26" s="128">
        <f>+K26+'14'!M26+L26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671</v>
      </c>
      <c r="I27" s="1024"/>
      <c r="J27" s="225">
        <f>+'14'!J27</f>
        <v>0</v>
      </c>
      <c r="K27" s="250"/>
      <c r="L27" s="250"/>
      <c r="M27" s="128">
        <f>+K27+'14'!M27+L27</f>
        <v>0</v>
      </c>
    </row>
    <row r="28" spans="1:14" ht="26.25" thickBot="1">
      <c r="A28" s="1028"/>
      <c r="B28" s="226"/>
      <c r="C28" s="227"/>
      <c r="D28" s="228"/>
      <c r="E28" s="236"/>
      <c r="F28" s="242">
        <v>10</v>
      </c>
      <c r="G28" s="243" t="s">
        <v>67</v>
      </c>
      <c r="H28" s="244" t="s">
        <v>684</v>
      </c>
      <c r="I28" s="1024"/>
      <c r="J28" s="225">
        <f>+'14'!J28</f>
        <v>0</v>
      </c>
      <c r="K28" s="250"/>
      <c r="L28" s="250"/>
      <c r="M28" s="128">
        <f>+K28+'14'!M28+L28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 t="s">
        <v>685</v>
      </c>
      <c r="I29" s="1024"/>
      <c r="J29" s="225">
        <f>+'14'!J29</f>
        <v>0</v>
      </c>
      <c r="K29" s="250"/>
      <c r="L29" s="250"/>
      <c r="M29" s="128">
        <f>+K29+'14'!M29+L29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+'14'!J30</f>
        <v>0</v>
      </c>
      <c r="K30" s="250"/>
      <c r="L30" s="250"/>
      <c r="M30" s="128">
        <f>+K30+'14'!M30+L30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+'14'!J31</f>
        <v>0</v>
      </c>
      <c r="K31" s="250"/>
      <c r="L31" s="250"/>
      <c r="M31" s="128">
        <f>+K31+'14'!M31+L31</f>
        <v>0</v>
      </c>
    </row>
    <row r="32" spans="1:14" ht="13.5" thickBot="1">
      <c r="A32" s="1029"/>
      <c r="B32" s="176" t="s">
        <v>2</v>
      </c>
      <c r="C32" s="110">
        <f>SUM(C25:C31)</f>
        <v>16767</v>
      </c>
      <c r="D32" s="111">
        <f>SUM(D25:D31)</f>
        <v>620</v>
      </c>
      <c r="E32" s="112">
        <f>SUM(E25:E31)</f>
        <v>0</v>
      </c>
      <c r="F32" s="113">
        <f>SUM(F24:F31)</f>
        <v>35</v>
      </c>
      <c r="G32" s="182"/>
      <c r="H32" s="183"/>
      <c r="I32" s="180"/>
      <c r="J32" s="225">
        <f>+'14'!J32</f>
        <v>0</v>
      </c>
      <c r="K32" s="252"/>
      <c r="L32" s="254"/>
      <c r="M32" s="128">
        <f>+K32+'14'!M32+L32</f>
        <v>0</v>
      </c>
    </row>
    <row r="33" spans="1:14" ht="13.5" thickBot="1">
      <c r="A33" s="184"/>
      <c r="B33" s="185"/>
      <c r="C33" s="114">
        <f>C32/($C$32+$D$32+$E$32)</f>
        <v>0.96434117444067402</v>
      </c>
      <c r="D33" s="115">
        <f>D32/($C$32+$D$32+$E$32)</f>
        <v>3.5658825559325931E-2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50311</v>
      </c>
      <c r="D34" s="118">
        <f>D14+D23+D32</f>
        <v>1711</v>
      </c>
      <c r="E34" s="118">
        <f>E14+E23+E32</f>
        <v>0</v>
      </c>
      <c r="F34" s="119">
        <f>F14+F23+F32</f>
        <v>101</v>
      </c>
      <c r="H34" s="189"/>
      <c r="I34" s="189"/>
      <c r="J34" s="134" t="s">
        <v>27</v>
      </c>
      <c r="K34" s="135">
        <f>SUM(K7:K32)</f>
        <v>50311</v>
      </c>
      <c r="L34" s="223">
        <f>SUM(L7:L32)</f>
        <v>0</v>
      </c>
      <c r="M34" s="131">
        <f>SUM(M7:M32)</f>
        <v>863665</v>
      </c>
      <c r="N34" s="166"/>
    </row>
    <row r="35" spans="1:14" ht="13.5" thickBot="1">
      <c r="A35" s="190"/>
      <c r="B35" s="191"/>
      <c r="C35" s="115">
        <f>C34/($C$34+$D$34+$E$34)</f>
        <v>0.96711006881703898</v>
      </c>
      <c r="D35" s="115">
        <f>D34/($C$34+$D$34+$E$34)</f>
        <v>3.2889931182961053E-2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(10.5*1440)/1440*G42*2.77*1440/1000000</f>
        <v>57.93173568000001</v>
      </c>
      <c r="J37" s="136">
        <f>+I37+'14'!J37</f>
        <v>1005.3534520886195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91</v>
      </c>
      <c r="D38" s="129">
        <f>+C38+'14'!D38</f>
        <v>1441</v>
      </c>
      <c r="E38" s="154">
        <f t="shared" ref="E38:E51" si="0">D38/60</f>
        <v>24.016666666666666</v>
      </c>
      <c r="F38" s="340">
        <v>1640</v>
      </c>
      <c r="G38" s="340">
        <f>+F38-F38*0.16</f>
        <v>1377.6</v>
      </c>
      <c r="H38" s="198" t="s">
        <v>63</v>
      </c>
      <c r="I38" s="555">
        <f>18.285+17.24+17.132</f>
        <v>52.656999999999996</v>
      </c>
      <c r="J38" s="138">
        <f>+I38+'14'!J38</f>
        <v>925.61200000000008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+C39+'14'!D39</f>
        <v>0</v>
      </c>
      <c r="E39" s="154">
        <f t="shared" si="0"/>
        <v>0</v>
      </c>
      <c r="F39" s="340">
        <v>1650</v>
      </c>
      <c r="G39" s="340">
        <f>+F39-F39*0.16</f>
        <v>1386</v>
      </c>
      <c r="H39" s="198" t="s">
        <v>64</v>
      </c>
      <c r="I39" s="153"/>
      <c r="J39" s="140">
        <f>J37/G4</f>
        <v>67.023563472574637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+C40+'14'!D40</f>
        <v>0</v>
      </c>
      <c r="E40" s="154">
        <f t="shared" si="0"/>
        <v>0</v>
      </c>
      <c r="F40" s="340">
        <v>1650</v>
      </c>
      <c r="G40" s="340">
        <f>+F40-F40*0.16</f>
        <v>1386</v>
      </c>
      <c r="H40" s="198" t="s">
        <v>66</v>
      </c>
      <c r="I40" s="129">
        <f>(K34+L34)/1000</f>
        <v>50.311</v>
      </c>
      <c r="J40" s="142">
        <f>+I40+'14'!J40</f>
        <v>863.66500000000019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10</v>
      </c>
      <c r="D41" s="129">
        <f>+C41+'14'!D41</f>
        <v>404</v>
      </c>
      <c r="E41" s="154">
        <f t="shared" si="0"/>
        <v>6.7333333333333334</v>
      </c>
      <c r="F41" s="340"/>
      <c r="G41" s="340"/>
      <c r="H41" s="198" t="s">
        <v>68</v>
      </c>
      <c r="I41" s="153"/>
      <c r="J41" s="140">
        <f>J40/G4</f>
        <v>57.57766666666668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+C42+'14'!D42</f>
        <v>0</v>
      </c>
      <c r="E42" s="154">
        <f t="shared" si="0"/>
        <v>0</v>
      </c>
      <c r="F42" s="340">
        <f>+(F38*480+F39*480+F40*480)/1440</f>
        <v>1646.6666666666667</v>
      </c>
      <c r="G42" s="340">
        <f>+(G38*480+G39*480+G40*480)/1440</f>
        <v>1383.2</v>
      </c>
      <c r="H42" s="198" t="s">
        <v>69</v>
      </c>
      <c r="I42" s="257" t="s">
        <v>687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+C43+'14'!D43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+Report1!T23</f>
        <v>131.541</v>
      </c>
      <c r="J43" s="144">
        <f>+I43+'14'!J43</f>
        <v>2046.7249999999999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+C44+'14'!D44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2.4980724310158196</v>
      </c>
      <c r="J44" s="145">
        <f>J43/J38</f>
        <v>2.2112126895502646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+C45+'14'!D45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2.6145574526445508</v>
      </c>
      <c r="J45" s="145">
        <f>J43/J40</f>
        <v>2.3698135272356753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+C46+'14'!D46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+SUMIF(Listrik!AR22,"&gt;0")</f>
        <v>56081.459999999919</v>
      </c>
      <c r="J46" s="146">
        <f>+I46+'14'!J46</f>
        <v>830577.51999999664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+C47+'14'!D47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1065.0333289021387</v>
      </c>
      <c r="J47" s="146">
        <f>J46/J38</f>
        <v>897.32795166873007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+C48+'14'!D48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1114.6957921726844</v>
      </c>
      <c r="J48" s="146">
        <f>J46/J40</f>
        <v>961.68945134976695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+C49+'14'!D49</f>
        <v>233</v>
      </c>
      <c r="E49" s="154">
        <f t="shared" si="0"/>
        <v>3.8833333333333333</v>
      </c>
      <c r="F49" s="196"/>
      <c r="H49" s="199" t="s">
        <v>81</v>
      </c>
      <c r="I49" s="129">
        <v>0</v>
      </c>
      <c r="J49" s="146">
        <f>+I49+'14'!J49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+C50+'14'!D50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+C51+'14'!D51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101</v>
      </c>
      <c r="D52" s="155">
        <f>SUM(D38:D51)</f>
        <v>2116</v>
      </c>
      <c r="E52" s="156">
        <f>SUM(E38:E51)</f>
        <v>35.266666666666666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7.013888888888889E-2</v>
      </c>
      <c r="D53" s="157">
        <f>D52/(24*60*G4)</f>
        <v>9.796296296296296E-2</v>
      </c>
      <c r="E53" s="158">
        <f>E52/(G4*24)</f>
        <v>9.796296296296296E-2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+D34+'14'!J56</f>
        <v>16391</v>
      </c>
      <c r="K56" s="212">
        <f>J56/(J40+J56/1000)/1000</f>
        <v>1.8624951139472941E-2</v>
      </c>
    </row>
    <row r="57" spans="1:11">
      <c r="A57" s="187"/>
      <c r="I57" s="210" t="s">
        <v>88</v>
      </c>
      <c r="J57" s="211">
        <f>+E34+'14'!J57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3:B53"/>
    <mergeCell ref="A48:B48"/>
    <mergeCell ref="A49:B49"/>
    <mergeCell ref="A50:B50"/>
    <mergeCell ref="A51:B51"/>
    <mergeCell ref="A52:B5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I7:I13"/>
    <mergeCell ref="A15:A23"/>
    <mergeCell ref="I15:I22"/>
    <mergeCell ref="A44:B44"/>
    <mergeCell ref="A45:B45"/>
    <mergeCell ref="A42:B42"/>
    <mergeCell ref="I24:I31"/>
    <mergeCell ref="A24:A3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N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2.140625" style="160" customWidth="1"/>
    <col min="14" max="16384" width="9.140625" style="160"/>
  </cols>
  <sheetData>
    <row r="1" spans="1:14" ht="15.75">
      <c r="A1" s="159"/>
    </row>
    <row r="2" spans="1:14" ht="15.75">
      <c r="A2" s="159" t="s">
        <v>147</v>
      </c>
    </row>
    <row r="3" spans="1:14" ht="15">
      <c r="A3" s="161"/>
    </row>
    <row r="4" spans="1:14" ht="20.25">
      <c r="A4" s="162" t="s">
        <v>3</v>
      </c>
      <c r="B4" s="163"/>
      <c r="F4" s="164" t="s">
        <v>29</v>
      </c>
      <c r="G4" s="165">
        <v>14</v>
      </c>
      <c r="H4" s="165" t="str">
        <f>+'1'!H4</f>
        <v>.06.24</v>
      </c>
    </row>
    <row r="5" spans="1:14" ht="13.5" thickBot="1">
      <c r="C5" s="166"/>
      <c r="D5" s="166"/>
    </row>
    <row r="6" spans="1:14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262+280+296</f>
        <v>838</v>
      </c>
    </row>
    <row r="7" spans="1:14" ht="13.5" customHeight="1" thickBot="1">
      <c r="A7" s="1020" t="s">
        <v>605</v>
      </c>
      <c r="B7" s="226" t="s">
        <v>656</v>
      </c>
      <c r="C7" s="227">
        <v>10663</v>
      </c>
      <c r="D7" s="228">
        <v>688</v>
      </c>
      <c r="E7" s="229"/>
      <c r="F7" s="239"/>
      <c r="G7" s="240" t="s">
        <v>11</v>
      </c>
      <c r="H7" s="241" t="s">
        <v>473</v>
      </c>
      <c r="I7" s="1023" t="s">
        <v>674</v>
      </c>
      <c r="J7" s="225" t="str">
        <f>+'13'!J7</f>
        <v>MG 14 VP HW</v>
      </c>
      <c r="K7" s="249"/>
      <c r="L7" s="253"/>
      <c r="M7" s="128">
        <f>+K7+'13'!M7+L7</f>
        <v>160441</v>
      </c>
    </row>
    <row r="8" spans="1:14" ht="13.5" thickBot="1">
      <c r="A8" s="1021"/>
      <c r="B8" s="226"/>
      <c r="C8" s="227"/>
      <c r="D8" s="228"/>
      <c r="E8" s="230"/>
      <c r="F8" s="242">
        <v>4</v>
      </c>
      <c r="G8" s="243" t="s">
        <v>11</v>
      </c>
      <c r="H8" s="241" t="s">
        <v>600</v>
      </c>
      <c r="I8" s="1024"/>
      <c r="J8" s="225" t="str">
        <f>+'13'!J8</f>
        <v>MG 17 VP HW</v>
      </c>
      <c r="K8" s="250"/>
      <c r="L8" s="250"/>
      <c r="M8" s="128">
        <f>+K8+'13'!M8+L8</f>
        <v>131048</v>
      </c>
    </row>
    <row r="9" spans="1:14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537</v>
      </c>
      <c r="I9" s="1024"/>
      <c r="J9" s="225" t="str">
        <f>+'13'!J9</f>
        <v>MG 16 VP HW/OW</v>
      </c>
      <c r="K9" s="250"/>
      <c r="L9" s="250"/>
      <c r="M9" s="128">
        <f>+K9+'13'!M9+L9</f>
        <v>278646</v>
      </c>
    </row>
    <row r="10" spans="1:14" ht="13.5" thickBot="1">
      <c r="A10" s="1021"/>
      <c r="B10" s="226"/>
      <c r="C10" s="227"/>
      <c r="D10" s="228"/>
      <c r="E10" s="230"/>
      <c r="F10" s="239"/>
      <c r="G10" s="243"/>
      <c r="H10" s="597" t="s">
        <v>673</v>
      </c>
      <c r="I10" s="1024"/>
      <c r="J10" s="225" t="str">
        <f>+'13'!J10</f>
        <v>MG 22 VP HW</v>
      </c>
      <c r="K10" s="250"/>
      <c r="L10" s="250"/>
      <c r="M10" s="128">
        <f>+K10+'13'!M10+L10</f>
        <v>12128</v>
      </c>
    </row>
    <row r="11" spans="1:14" ht="13.5" thickBot="1">
      <c r="A11" s="1021"/>
      <c r="B11" s="226"/>
      <c r="C11" s="227"/>
      <c r="D11" s="228"/>
      <c r="E11" s="230"/>
      <c r="F11" s="239"/>
      <c r="G11" s="243"/>
      <c r="H11" s="244" t="s">
        <v>636</v>
      </c>
      <c r="I11" s="1024"/>
      <c r="J11" s="225" t="str">
        <f>+'13'!J11</f>
        <v>MG 24 VP HW</v>
      </c>
      <c r="K11" s="250"/>
      <c r="L11" s="250"/>
      <c r="M11" s="128">
        <f>+K11+'13'!M11+L11</f>
        <v>5566</v>
      </c>
    </row>
    <row r="12" spans="1:14" ht="13.5" thickBot="1">
      <c r="A12" s="1021"/>
      <c r="B12" s="226"/>
      <c r="C12" s="227"/>
      <c r="D12" s="228"/>
      <c r="E12" s="230"/>
      <c r="F12" s="239"/>
      <c r="G12" s="243"/>
      <c r="H12" s="244" t="s">
        <v>664</v>
      </c>
      <c r="I12" s="1024"/>
      <c r="J12" s="225" t="str">
        <f>+'13'!J12</f>
        <v>MG 20 VP HW</v>
      </c>
      <c r="K12" s="250"/>
      <c r="L12" s="250"/>
      <c r="M12" s="128">
        <f>+K12+'13'!M12+L12</f>
        <v>7726</v>
      </c>
    </row>
    <row r="13" spans="1:14" ht="13.5" thickBot="1">
      <c r="A13" s="1021"/>
      <c r="B13" s="226"/>
      <c r="C13" s="227"/>
      <c r="D13" s="227"/>
      <c r="E13" s="230"/>
      <c r="F13" s="239"/>
      <c r="G13" s="243"/>
      <c r="H13" s="244" t="s">
        <v>665</v>
      </c>
      <c r="I13" s="1025"/>
      <c r="J13" s="225" t="str">
        <f>+'13'!J13</f>
        <v>F 12 VP OW</v>
      </c>
      <c r="K13" s="250"/>
      <c r="L13" s="250"/>
      <c r="M13" s="128">
        <f>+K13+'13'!M13+L13</f>
        <v>51416</v>
      </c>
    </row>
    <row r="14" spans="1:14" ht="13.5" thickBot="1">
      <c r="A14" s="1022"/>
      <c r="B14" s="176" t="s">
        <v>2</v>
      </c>
      <c r="C14" s="110">
        <f>SUM(C7:C13)</f>
        <v>10663</v>
      </c>
      <c r="D14" s="122">
        <f>SUM(D7:D13)</f>
        <v>688</v>
      </c>
      <c r="E14" s="123">
        <f>SUM(E5:E13)</f>
        <v>0</v>
      </c>
      <c r="F14" s="127">
        <f>SUM(F7:F13)</f>
        <v>14</v>
      </c>
      <c r="G14" s="170"/>
      <c r="H14" s="177"/>
      <c r="I14" s="178"/>
      <c r="J14" s="225" t="str">
        <f>+'13'!J14</f>
        <v>F 11,5 VP OW</v>
      </c>
      <c r="K14" s="250"/>
      <c r="L14" s="250"/>
      <c r="M14" s="128">
        <f>+K14+'13'!M14+L14</f>
        <v>61347</v>
      </c>
    </row>
    <row r="15" spans="1:14" ht="13.5" customHeight="1" thickBot="1">
      <c r="A15" s="1020" t="s">
        <v>434</v>
      </c>
      <c r="B15" s="176"/>
      <c r="C15" s="124"/>
      <c r="D15" s="125"/>
      <c r="E15" s="126"/>
      <c r="F15" s="239">
        <v>10</v>
      </c>
      <c r="G15" s="240" t="s">
        <v>11</v>
      </c>
      <c r="H15" s="241" t="s">
        <v>418</v>
      </c>
      <c r="I15" s="1023" t="s">
        <v>675</v>
      </c>
      <c r="J15" s="225" t="str">
        <f>+'13'!J15</f>
        <v>F 10,5 VP OW</v>
      </c>
      <c r="K15" s="250">
        <f>+C34</f>
        <v>45257</v>
      </c>
      <c r="L15" s="250"/>
      <c r="M15" s="128">
        <f>+K15+'13'!M15+L15</f>
        <v>83083</v>
      </c>
    </row>
    <row r="16" spans="1:14" ht="13.5" thickBot="1">
      <c r="A16" s="1026"/>
      <c r="B16" s="226" t="s">
        <v>656</v>
      </c>
      <c r="C16" s="233">
        <v>18265</v>
      </c>
      <c r="D16" s="234">
        <v>253</v>
      </c>
      <c r="E16" s="235"/>
      <c r="F16" s="239">
        <v>5</v>
      </c>
      <c r="G16" s="243" t="s">
        <v>11</v>
      </c>
      <c r="H16" s="241" t="s">
        <v>649</v>
      </c>
      <c r="I16" s="1024"/>
      <c r="J16" s="225" t="str">
        <f>+'13'!J16</f>
        <v>F 10,3 VP OW</v>
      </c>
      <c r="K16" s="250"/>
      <c r="L16" s="240"/>
      <c r="M16" s="128">
        <f>+K16+'13'!M16+L16</f>
        <v>21953</v>
      </c>
    </row>
    <row r="17" spans="1:14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576</v>
      </c>
      <c r="I17" s="1024"/>
      <c r="J17" s="225">
        <f>+'13'!J17</f>
        <v>0</v>
      </c>
      <c r="K17" s="250"/>
      <c r="L17" s="240"/>
      <c r="M17" s="128">
        <f>+K17+'13'!M17+L17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672</v>
      </c>
      <c r="I18" s="1024"/>
      <c r="J18" s="225">
        <f>+'13'!J18</f>
        <v>0</v>
      </c>
      <c r="K18" s="250"/>
      <c r="L18" s="250"/>
      <c r="M18" s="128">
        <f>+K18+'13'!M18+L18</f>
        <v>0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244"/>
      <c r="I19" s="1024"/>
      <c r="J19" s="225">
        <f>+'13'!J19</f>
        <v>0</v>
      </c>
      <c r="K19" s="250"/>
      <c r="L19" s="250"/>
      <c r="M19" s="128">
        <f>+K19+'13'!M19+L19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+'13'!J20</f>
        <v>0</v>
      </c>
      <c r="K20" s="251"/>
      <c r="L20" s="251"/>
      <c r="M20" s="128">
        <f>+K20+'13'!M20+L20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+'13'!J21</f>
        <v>0</v>
      </c>
      <c r="K21" s="250"/>
      <c r="L21" s="250"/>
      <c r="M21" s="128">
        <f>+K21+'13'!M21+L21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+'13'!J22</f>
        <v>0</v>
      </c>
      <c r="K22" s="250"/>
      <c r="L22" s="250"/>
      <c r="M22" s="128">
        <f>+K22+'13'!M22+L22</f>
        <v>0</v>
      </c>
    </row>
    <row r="23" spans="1:14" ht="13.5" thickBot="1">
      <c r="A23" s="1027"/>
      <c r="B23" s="179" t="s">
        <v>2</v>
      </c>
      <c r="C23" s="111">
        <f>SUM(C16:C22)</f>
        <v>18265</v>
      </c>
      <c r="D23" s="122">
        <f>SUM(D16:D22)</f>
        <v>253</v>
      </c>
      <c r="E23" s="123">
        <f>SUM(E18:E22)</f>
        <v>0</v>
      </c>
      <c r="F23" s="127">
        <f>SUM(F15:F22)</f>
        <v>25</v>
      </c>
      <c r="G23" s="170"/>
      <c r="H23" s="177" t="s">
        <v>234</v>
      </c>
      <c r="I23" s="180"/>
      <c r="J23" s="225">
        <f>+'13'!J23</f>
        <v>0</v>
      </c>
      <c r="K23" s="250"/>
      <c r="L23" s="250"/>
      <c r="M23" s="128">
        <f>+K23+'13'!M23+L23</f>
        <v>0</v>
      </c>
    </row>
    <row r="24" spans="1:14" ht="13.5" customHeight="1" thickBot="1">
      <c r="A24" s="1020" t="s">
        <v>435</v>
      </c>
      <c r="B24" s="181"/>
      <c r="C24" s="124"/>
      <c r="D24" s="125"/>
      <c r="E24" s="126"/>
      <c r="F24" s="247">
        <v>110</v>
      </c>
      <c r="G24" s="240" t="s">
        <v>11</v>
      </c>
      <c r="H24" s="241" t="s">
        <v>670</v>
      </c>
      <c r="I24" s="1023" t="s">
        <v>643</v>
      </c>
      <c r="J24" s="225">
        <f>+'13'!J24</f>
        <v>0</v>
      </c>
      <c r="K24" s="250"/>
      <c r="L24" s="250"/>
      <c r="M24" s="128">
        <f>+K24+'13'!M24+L24</f>
        <v>0</v>
      </c>
    </row>
    <row r="25" spans="1:14" ht="13.5" thickBot="1">
      <c r="A25" s="1028"/>
      <c r="B25" s="226" t="s">
        <v>656</v>
      </c>
      <c r="C25" s="237">
        <v>16329</v>
      </c>
      <c r="D25" s="228">
        <v>375</v>
      </c>
      <c r="E25" s="236"/>
      <c r="F25" s="242">
        <v>3</v>
      </c>
      <c r="G25" s="243" t="s">
        <v>11</v>
      </c>
      <c r="H25" s="241" t="s">
        <v>454</v>
      </c>
      <c r="I25" s="1024"/>
      <c r="J25" s="225">
        <f>+'13'!J25</f>
        <v>0</v>
      </c>
      <c r="K25" s="250"/>
      <c r="L25" s="250"/>
      <c r="M25" s="128">
        <f>+K25+'13'!M25+L25</f>
        <v>0</v>
      </c>
    </row>
    <row r="26" spans="1:14" ht="13.5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453</v>
      </c>
      <c r="I26" s="1024"/>
      <c r="J26" s="225">
        <f>+'13'!J26</f>
        <v>0</v>
      </c>
      <c r="K26" s="250"/>
      <c r="L26" s="250"/>
      <c r="M26" s="128">
        <f>+K26+'13'!M26+L26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671</v>
      </c>
      <c r="I27" s="1024"/>
      <c r="J27" s="225">
        <f>+'13'!J27</f>
        <v>0</v>
      </c>
      <c r="K27" s="250"/>
      <c r="L27" s="250"/>
      <c r="M27" s="128">
        <f>+K27+'13'!M27+L27</f>
        <v>0</v>
      </c>
    </row>
    <row r="28" spans="1:14" ht="26.25" thickBot="1">
      <c r="A28" s="1028"/>
      <c r="B28" s="226"/>
      <c r="C28" s="227"/>
      <c r="D28" s="228"/>
      <c r="E28" s="236" t="s">
        <v>668</v>
      </c>
      <c r="F28" s="242">
        <v>180</v>
      </c>
      <c r="G28" s="243" t="s">
        <v>67</v>
      </c>
      <c r="H28" s="244" t="s">
        <v>667</v>
      </c>
      <c r="I28" s="1024"/>
      <c r="J28" s="225">
        <f>+'13'!J28</f>
        <v>0</v>
      </c>
      <c r="K28" s="250"/>
      <c r="L28" s="250"/>
      <c r="M28" s="128">
        <f>+K28+'13'!M28+L28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 t="s">
        <v>666</v>
      </c>
      <c r="I29" s="1024"/>
      <c r="J29" s="225">
        <f>+'13'!J29</f>
        <v>0</v>
      </c>
      <c r="K29" s="250"/>
      <c r="L29" s="250"/>
      <c r="M29" s="128">
        <f>+K29+'13'!M29+L29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+'13'!J30</f>
        <v>0</v>
      </c>
      <c r="K30" s="250"/>
      <c r="L30" s="250"/>
      <c r="M30" s="128">
        <f>+K30+'13'!M30+L30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+'13'!J31</f>
        <v>0</v>
      </c>
      <c r="K31" s="250"/>
      <c r="L31" s="250"/>
      <c r="M31" s="128">
        <f>+K31+'13'!M31+L31</f>
        <v>0</v>
      </c>
    </row>
    <row r="32" spans="1:14" ht="13.5" thickBot="1">
      <c r="A32" s="1029"/>
      <c r="B32" s="176" t="s">
        <v>2</v>
      </c>
      <c r="C32" s="110">
        <f>SUM(C25:C31)</f>
        <v>16329</v>
      </c>
      <c r="D32" s="111">
        <f>SUM(D25:D31)</f>
        <v>375</v>
      </c>
      <c r="E32" s="112">
        <f>SUM(E25:E31)</f>
        <v>0</v>
      </c>
      <c r="F32" s="113">
        <f>SUM(F24:F31)</f>
        <v>303</v>
      </c>
      <c r="G32" s="182"/>
      <c r="H32" s="183"/>
      <c r="I32" s="180"/>
      <c r="J32" s="225">
        <f>+'13'!J32</f>
        <v>0</v>
      </c>
      <c r="K32" s="252"/>
      <c r="L32" s="254"/>
      <c r="M32" s="128">
        <f>+K32+'13'!M32+L32</f>
        <v>0</v>
      </c>
    </row>
    <row r="33" spans="1:14" ht="13.5" thickBot="1">
      <c r="A33" s="184"/>
      <c r="B33" s="185"/>
      <c r="C33" s="114">
        <f>C32/($C$32+$D$32+$E$32)</f>
        <v>0.97755028735632188</v>
      </c>
      <c r="D33" s="115">
        <f>D32/($C$32+$D$32+$E$32)</f>
        <v>2.244971264367816E-2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45257</v>
      </c>
      <c r="D34" s="118">
        <f>D14+D23+D32</f>
        <v>1316</v>
      </c>
      <c r="E34" s="118">
        <f>E14+E23+E32</f>
        <v>0</v>
      </c>
      <c r="F34" s="119">
        <f>F14+F23+F32</f>
        <v>342</v>
      </c>
      <c r="H34" s="189"/>
      <c r="I34" s="189"/>
      <c r="J34" s="134" t="s">
        <v>27</v>
      </c>
      <c r="K34" s="135">
        <f>SUM(K7:K32)</f>
        <v>45257</v>
      </c>
      <c r="L34" s="223">
        <f>SUM(L7:L32)</f>
        <v>0</v>
      </c>
      <c r="M34" s="131">
        <f>SUM(M7:M32)</f>
        <v>813354</v>
      </c>
      <c r="N34" s="166"/>
    </row>
    <row r="35" spans="1:14" ht="13.5" thickBot="1">
      <c r="A35" s="190"/>
      <c r="B35" s="191"/>
      <c r="C35" s="115">
        <f>C34/($C$34+$D$34+$E$34)</f>
        <v>0.97174328473579108</v>
      </c>
      <c r="D35" s="115">
        <f>D34/($C$34+$D$34+$E$34)</f>
        <v>2.8256715264208875E-2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(10.5*1440)/1440*G42*2.77*1440/1000000</f>
        <v>57.474379872</v>
      </c>
      <c r="J37" s="136">
        <f>+I37+'13'!J37</f>
        <v>947.42171640861955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162</v>
      </c>
      <c r="D38" s="129">
        <f>+C38+'13'!D38</f>
        <v>1350</v>
      </c>
      <c r="E38" s="154">
        <f t="shared" ref="E38:E51" si="0">D38/60</f>
        <v>22.5</v>
      </c>
      <c r="F38" s="340">
        <v>1611</v>
      </c>
      <c r="G38" s="340">
        <f>+F38-F38*0.16</f>
        <v>1353.24</v>
      </c>
      <c r="H38" s="198" t="s">
        <v>63</v>
      </c>
      <c r="I38" s="555">
        <f>16.204+19.686+14.685</f>
        <v>50.575000000000003</v>
      </c>
      <c r="J38" s="138">
        <f>+I38+'13'!J38</f>
        <v>872.95500000000004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+C39+'13'!D39</f>
        <v>0</v>
      </c>
      <c r="E39" s="154">
        <f t="shared" si="0"/>
        <v>0</v>
      </c>
      <c r="F39" s="340">
        <v>1640</v>
      </c>
      <c r="G39" s="340">
        <f>+F39-F39*0.16</f>
        <v>1377.6</v>
      </c>
      <c r="H39" s="198" t="s">
        <v>64</v>
      </c>
      <c r="I39" s="153"/>
      <c r="J39" s="140">
        <f>J37/G4</f>
        <v>67.672979743472823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+C40+'13'!D40</f>
        <v>0</v>
      </c>
      <c r="E40" s="154">
        <f t="shared" si="0"/>
        <v>0</v>
      </c>
      <c r="F40" s="340">
        <v>1650</v>
      </c>
      <c r="G40" s="340">
        <f>+F40-F40*0.16</f>
        <v>1386</v>
      </c>
      <c r="H40" s="198" t="s">
        <v>66</v>
      </c>
      <c r="I40" s="129">
        <f>(K34+L34)/1000</f>
        <v>45.256999999999998</v>
      </c>
      <c r="J40" s="142">
        <f>+I40+'13'!J40</f>
        <v>813.35400000000016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180</v>
      </c>
      <c r="D41" s="129">
        <f>+C41+'13'!D41</f>
        <v>394</v>
      </c>
      <c r="E41" s="154">
        <f t="shared" si="0"/>
        <v>6.5666666666666664</v>
      </c>
      <c r="F41" s="340"/>
      <c r="G41" s="340"/>
      <c r="H41" s="198" t="s">
        <v>68</v>
      </c>
      <c r="I41" s="153"/>
      <c r="J41" s="140">
        <f>J40/G4</f>
        <v>58.096714285714299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+C42+'13'!D42</f>
        <v>0</v>
      </c>
      <c r="E42" s="154">
        <f t="shared" si="0"/>
        <v>0</v>
      </c>
      <c r="F42" s="340">
        <f>+(F38*480+F39*480+F40*480)/1440</f>
        <v>1633.6666666666667</v>
      </c>
      <c r="G42" s="340">
        <f>+(G38*480+G39*480+G40*480)/1440</f>
        <v>1372.28</v>
      </c>
      <c r="H42" s="198" t="s">
        <v>69</v>
      </c>
      <c r="I42" s="257" t="s">
        <v>669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+C43+'13'!D43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+Report1!T22</f>
        <v>130.65</v>
      </c>
      <c r="J43" s="144">
        <f>+I43+'13'!J43</f>
        <v>1915.184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+C44+'13'!D44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2.583292140385566</v>
      </c>
      <c r="J44" s="145">
        <f>J43/J38</f>
        <v>2.1939091934864909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+C45+'13'!D45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2.8868462337317986</v>
      </c>
      <c r="J45" s="145">
        <f>J43/J40</f>
        <v>2.3546745943340781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+C46+'13'!D46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+SUMIF(Listrik!AR21,"&gt;0")</f>
        <v>56269.640000000429</v>
      </c>
      <c r="J46" s="146">
        <f>+I46+'13'!J46</f>
        <v>774496.05999999668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+C47+'13'!D47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1112.597923875441</v>
      </c>
      <c r="J47" s="146">
        <f>J46/J38</f>
        <v>887.21189522941802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+C48+'13'!D48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1243.3356165897083</v>
      </c>
      <c r="J48" s="146">
        <f>J46/J40</f>
        <v>952.22505821572963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+C49+'13'!D49</f>
        <v>233</v>
      </c>
      <c r="E49" s="154">
        <f t="shared" si="0"/>
        <v>3.8833333333333333</v>
      </c>
      <c r="F49" s="196"/>
      <c r="H49" s="199" t="s">
        <v>81</v>
      </c>
      <c r="I49" s="129">
        <v>0</v>
      </c>
      <c r="J49" s="146">
        <f>+I49+'13'!J49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+C50+'13'!D50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+C51+'13'!D51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342</v>
      </c>
      <c r="D52" s="155">
        <f>SUM(D38:D51)</f>
        <v>2015</v>
      </c>
      <c r="E52" s="156">
        <f>SUM(E38:E51)</f>
        <v>33.583333333333336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0.23749999999999999</v>
      </c>
      <c r="D53" s="157">
        <f>D52/(24*60*G4)</f>
        <v>9.9950396825396831E-2</v>
      </c>
      <c r="E53" s="158">
        <f>E52/(G4*24)</f>
        <v>9.9950396825396831E-2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+D34+'13'!J56</f>
        <v>14680</v>
      </c>
      <c r="K56" s="212">
        <f>J56/(J40+J56/1000)/1000</f>
        <v>1.7728740607269745E-2</v>
      </c>
    </row>
    <row r="57" spans="1:11">
      <c r="A57" s="187"/>
      <c r="I57" s="210" t="s">
        <v>88</v>
      </c>
      <c r="J57" s="211">
        <f>+E34+'13'!J57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1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R61"/>
  <sheetViews>
    <sheetView view="pageBreakPreview" zoomScale="80" zoomScaleNormal="70" zoomScaleSheetLayoutView="80" workbookViewId="0">
      <selection activeCell="A7" sqref="A7:A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2.140625" style="160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13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270+275+255</f>
        <v>800</v>
      </c>
    </row>
    <row r="7" spans="1:18" ht="13.5" customHeight="1" thickBot="1">
      <c r="A7" s="1020" t="s">
        <v>605</v>
      </c>
      <c r="B7" s="226" t="s">
        <v>603</v>
      </c>
      <c r="C7" s="227">
        <v>6894</v>
      </c>
      <c r="D7" s="228"/>
      <c r="E7" s="229"/>
      <c r="F7" s="239"/>
      <c r="G7" s="240" t="s">
        <v>11</v>
      </c>
      <c r="H7" s="241" t="s">
        <v>473</v>
      </c>
      <c r="I7" s="1023" t="s">
        <v>652</v>
      </c>
      <c r="J7" s="225" t="str">
        <f>+'12'!J7</f>
        <v>MG 14 VP HW</v>
      </c>
      <c r="K7" s="249"/>
      <c r="L7" s="253"/>
      <c r="M7" s="128">
        <f>+K7+'12'!M7+L7</f>
        <v>160441</v>
      </c>
    </row>
    <row r="8" spans="1:18" ht="13.5" thickBot="1">
      <c r="A8" s="1021"/>
      <c r="B8" s="226" t="s">
        <v>656</v>
      </c>
      <c r="C8" s="227"/>
      <c r="D8" s="228">
        <v>1852</v>
      </c>
      <c r="E8" s="230"/>
      <c r="F8" s="242">
        <v>6</v>
      </c>
      <c r="G8" s="243" t="s">
        <v>11</v>
      </c>
      <c r="H8" s="241" t="s">
        <v>602</v>
      </c>
      <c r="I8" s="1024"/>
      <c r="J8" s="225" t="str">
        <f>+'12'!J8</f>
        <v>MG 17 VP HW</v>
      </c>
      <c r="K8" s="250"/>
      <c r="L8" s="250"/>
      <c r="M8" s="128">
        <f>+K8+'12'!M8+L8</f>
        <v>131048</v>
      </c>
    </row>
    <row r="9" spans="1:18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455</v>
      </c>
      <c r="I9" s="1024"/>
      <c r="J9" s="225" t="str">
        <f>+'12'!J9</f>
        <v>MG 16 VP HW/OW</v>
      </c>
      <c r="K9" s="250"/>
      <c r="L9" s="250"/>
      <c r="M9" s="128">
        <f>+K9+'12'!M9+L9</f>
        <v>278646</v>
      </c>
      <c r="N9" s="160">
        <v>1660</v>
      </c>
      <c r="O9" s="160">
        <f>+N9-N9*0.16</f>
        <v>1394.4</v>
      </c>
      <c r="P9" s="160">
        <v>60</v>
      </c>
      <c r="Q9" s="160">
        <f>+N9*P9</f>
        <v>99600</v>
      </c>
      <c r="R9" s="160">
        <f>+O9*P9</f>
        <v>83664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650</v>
      </c>
      <c r="I10" s="1024"/>
      <c r="J10" s="225" t="str">
        <f>+'12'!J10</f>
        <v>MG 22 VP HW</v>
      </c>
      <c r="K10" s="250"/>
      <c r="L10" s="250"/>
      <c r="M10" s="128">
        <f>+K10+'12'!M10+L10</f>
        <v>12128</v>
      </c>
      <c r="N10" s="187">
        <v>1650</v>
      </c>
      <c r="O10" s="187">
        <f>+N10-N10*0.2</f>
        <v>1320</v>
      </c>
      <c r="P10" s="187">
        <v>420</v>
      </c>
      <c r="Q10" s="160">
        <f>+N10*P10</f>
        <v>693000</v>
      </c>
      <c r="R10" s="160">
        <f>+O10*P10</f>
        <v>554400</v>
      </c>
    </row>
    <row r="11" spans="1:18" ht="13.5" thickBot="1">
      <c r="A11" s="1021"/>
      <c r="B11" s="226"/>
      <c r="C11" s="227"/>
      <c r="D11" s="228"/>
      <c r="E11" s="230"/>
      <c r="F11" s="239">
        <v>10</v>
      </c>
      <c r="G11" s="243" t="s">
        <v>11</v>
      </c>
      <c r="H11" s="244" t="s">
        <v>651</v>
      </c>
      <c r="I11" s="1024"/>
      <c r="J11" s="225" t="str">
        <f>+'12'!J11</f>
        <v>MG 24 VP HW</v>
      </c>
      <c r="K11" s="250"/>
      <c r="L11" s="250"/>
      <c r="M11" s="128">
        <f>+K11+'12'!M11+L11</f>
        <v>5566</v>
      </c>
      <c r="P11" s="160">
        <f>SUM(P9:P10)</f>
        <v>480</v>
      </c>
      <c r="Q11" s="160">
        <f>SUM(Q9:Q10)</f>
        <v>792600</v>
      </c>
      <c r="R11" s="160">
        <f>SUM(R9:R10)</f>
        <v>638064</v>
      </c>
    </row>
    <row r="12" spans="1:18" ht="13.5" thickBot="1">
      <c r="A12" s="1021"/>
      <c r="B12" s="226"/>
      <c r="C12" s="227"/>
      <c r="D12" s="228"/>
      <c r="E12" s="230"/>
      <c r="F12" s="239"/>
      <c r="G12" s="243"/>
      <c r="H12" s="244" t="s">
        <v>636</v>
      </c>
      <c r="I12" s="1024"/>
      <c r="J12" s="225" t="str">
        <f>+'12'!J12</f>
        <v>MG 20 VP HW</v>
      </c>
      <c r="K12" s="250"/>
      <c r="L12" s="250"/>
      <c r="M12" s="128">
        <f>+K12+'12'!M12+L12</f>
        <v>7726</v>
      </c>
      <c r="Q12" s="160">
        <f>+Q11/P11</f>
        <v>1651.25</v>
      </c>
      <c r="R12" s="160">
        <f>+R11/P11</f>
        <v>1329.3</v>
      </c>
    </row>
    <row r="13" spans="1:18" ht="39" thickBot="1">
      <c r="A13" s="1021"/>
      <c r="B13" s="226"/>
      <c r="C13" s="227"/>
      <c r="D13" s="227"/>
      <c r="E13" s="230"/>
      <c r="F13" s="239"/>
      <c r="G13" s="243"/>
      <c r="H13" s="244" t="s">
        <v>637</v>
      </c>
      <c r="I13" s="1025"/>
      <c r="J13" s="225" t="str">
        <f>+'12'!J13</f>
        <v>F 12 VP OW</v>
      </c>
      <c r="K13" s="250">
        <f>+C7+C16</f>
        <v>14094</v>
      </c>
      <c r="L13" s="250"/>
      <c r="M13" s="128">
        <f>+K13+'12'!M13+L13</f>
        <v>51416</v>
      </c>
    </row>
    <row r="14" spans="1:18" ht="13.5" thickBot="1">
      <c r="A14" s="1022"/>
      <c r="B14" s="176" t="s">
        <v>2</v>
      </c>
      <c r="C14" s="110">
        <f>SUM(C7:C13)</f>
        <v>6894</v>
      </c>
      <c r="D14" s="122">
        <f>SUM(D7:D13)</f>
        <v>1852</v>
      </c>
      <c r="E14" s="123">
        <f>SUM(E5:E13)</f>
        <v>0</v>
      </c>
      <c r="F14" s="127">
        <f>SUM(F7:F13)</f>
        <v>26</v>
      </c>
      <c r="G14" s="170"/>
      <c r="H14" s="177"/>
      <c r="I14" s="178"/>
      <c r="J14" s="225" t="str">
        <f>+'12'!J14</f>
        <v>F 11,5 VP OW</v>
      </c>
      <c r="K14" s="250"/>
      <c r="L14" s="250"/>
      <c r="M14" s="128">
        <f>+K14+'12'!M14+L14</f>
        <v>61347</v>
      </c>
      <c r="N14" s="160" t="s">
        <v>647</v>
      </c>
    </row>
    <row r="15" spans="1:18" ht="13.5" customHeight="1" thickBot="1">
      <c r="A15" s="1020" t="s">
        <v>556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654</v>
      </c>
      <c r="J15" s="225" t="str">
        <f>+'12'!J15</f>
        <v>F 10,5 VP OW</v>
      </c>
      <c r="K15" s="250">
        <f>+C17+C25</f>
        <v>22260</v>
      </c>
      <c r="L15" s="250"/>
      <c r="M15" s="128">
        <f>+K15+'12'!M15+L15</f>
        <v>37826</v>
      </c>
      <c r="N15" s="160">
        <v>1660</v>
      </c>
      <c r="O15" s="160">
        <f>+N15-N15*0.16</f>
        <v>1394.4</v>
      </c>
      <c r="P15" s="160">
        <v>60</v>
      </c>
      <c r="Q15" s="160">
        <f>+N15*P15</f>
        <v>99600</v>
      </c>
      <c r="R15" s="160">
        <f>+O15*P15</f>
        <v>83664</v>
      </c>
    </row>
    <row r="16" spans="1:18" ht="13.5" thickBot="1">
      <c r="A16" s="1026"/>
      <c r="B16" s="226" t="s">
        <v>603</v>
      </c>
      <c r="C16" s="233">
        <v>7200</v>
      </c>
      <c r="D16" s="234"/>
      <c r="E16" s="235"/>
      <c r="F16" s="239">
        <v>5</v>
      </c>
      <c r="G16" s="243" t="s">
        <v>11</v>
      </c>
      <c r="H16" s="241" t="s">
        <v>649</v>
      </c>
      <c r="I16" s="1024"/>
      <c r="J16" s="225" t="str">
        <f>+'12'!J16</f>
        <v>F 10,3 VP OW</v>
      </c>
      <c r="K16" s="240"/>
      <c r="L16" s="240"/>
      <c r="M16" s="128">
        <f>+K16+'12'!M16+L16</f>
        <v>21953</v>
      </c>
      <c r="N16" s="160">
        <v>1610</v>
      </c>
      <c r="O16" s="160">
        <f>+N16-N16*0.16</f>
        <v>1352.4</v>
      </c>
      <c r="P16" s="160">
        <f>480+480</f>
        <v>960</v>
      </c>
      <c r="Q16" s="160">
        <f>+N16*P16</f>
        <v>1545600</v>
      </c>
      <c r="R16" s="160">
        <f>+O16*P16</f>
        <v>1298304</v>
      </c>
    </row>
    <row r="17" spans="1:18" ht="13.5" thickBot="1">
      <c r="A17" s="1026"/>
      <c r="B17" s="226" t="s">
        <v>656</v>
      </c>
      <c r="C17" s="227">
        <f>473+9063</f>
        <v>9536</v>
      </c>
      <c r="D17" s="228">
        <v>798</v>
      </c>
      <c r="E17" s="236"/>
      <c r="F17" s="239">
        <v>5</v>
      </c>
      <c r="G17" s="243" t="s">
        <v>11</v>
      </c>
      <c r="H17" s="597" t="s">
        <v>453</v>
      </c>
      <c r="I17" s="1024"/>
      <c r="J17" s="225">
        <f>+'12'!J17</f>
        <v>0</v>
      </c>
      <c r="K17" s="240"/>
      <c r="L17" s="240"/>
      <c r="M17" s="128">
        <f>+K17+'12'!M17+L17</f>
        <v>0</v>
      </c>
      <c r="P17" s="187">
        <f>SUM(P15:P16)</f>
        <v>1020</v>
      </c>
      <c r="Q17" s="160">
        <f>SUM(Q15:Q16)</f>
        <v>1645200</v>
      </c>
      <c r="R17" s="160">
        <f>SUM(R15:R16)</f>
        <v>1381968</v>
      </c>
    </row>
    <row r="18" spans="1:18" ht="13.5" thickBot="1">
      <c r="A18" s="1026"/>
      <c r="B18" s="226"/>
      <c r="C18" s="227"/>
      <c r="D18" s="228"/>
      <c r="E18" s="236"/>
      <c r="F18" s="239"/>
      <c r="G18" s="243"/>
      <c r="H18" s="597" t="s">
        <v>653</v>
      </c>
      <c r="I18" s="1024"/>
      <c r="J18" s="225">
        <f>+'12'!J18</f>
        <v>0</v>
      </c>
      <c r="K18" s="250"/>
      <c r="L18" s="250"/>
      <c r="M18" s="128">
        <f>+K18+'12'!M18+L18</f>
        <v>0</v>
      </c>
      <c r="Q18" s="160">
        <f>+Q17/P17</f>
        <v>1612.9411764705883</v>
      </c>
      <c r="R18" s="160">
        <f>+R17/P17</f>
        <v>1354.870588235294</v>
      </c>
    </row>
    <row r="19" spans="1:18" ht="13.5" thickBot="1">
      <c r="A19" s="1026"/>
      <c r="B19" s="226"/>
      <c r="C19" s="227"/>
      <c r="D19" s="228"/>
      <c r="E19" s="236"/>
      <c r="F19" s="246"/>
      <c r="G19" s="243"/>
      <c r="H19" s="244" t="s">
        <v>591</v>
      </c>
      <c r="I19" s="1024"/>
      <c r="J19" s="225">
        <f>+'12'!J19</f>
        <v>0</v>
      </c>
      <c r="K19" s="250"/>
      <c r="L19" s="250"/>
      <c r="M19" s="128">
        <f>+K19+'12'!M19+L19</f>
        <v>0</v>
      </c>
    </row>
    <row r="20" spans="1:18" ht="13.5" thickBot="1">
      <c r="A20" s="1026"/>
      <c r="B20" s="226"/>
      <c r="C20" s="227"/>
      <c r="D20" s="228"/>
      <c r="E20" s="236"/>
      <c r="F20" s="239"/>
      <c r="G20" s="243"/>
      <c r="H20" s="244" t="s">
        <v>631</v>
      </c>
      <c r="I20" s="1024"/>
      <c r="J20" s="225">
        <f>+'12'!J20</f>
        <v>0</v>
      </c>
      <c r="K20" s="251"/>
      <c r="L20" s="251"/>
      <c r="M20" s="128">
        <f>+K20+'12'!M20+L20</f>
        <v>0</v>
      </c>
    </row>
    <row r="21" spans="1:18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+'12'!J21</f>
        <v>0</v>
      </c>
      <c r="K21" s="250"/>
      <c r="L21" s="250"/>
      <c r="M21" s="128">
        <f>+K21+'12'!M21+L21</f>
        <v>0</v>
      </c>
    </row>
    <row r="22" spans="1:18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+'12'!J22</f>
        <v>0</v>
      </c>
      <c r="K22" s="250"/>
      <c r="L22" s="250"/>
      <c r="M22" s="128">
        <f>+K22+'12'!M22+L22</f>
        <v>0</v>
      </c>
      <c r="P22" s="187"/>
    </row>
    <row r="23" spans="1:18" ht="13.5" thickBot="1">
      <c r="A23" s="1027"/>
      <c r="B23" s="179" t="s">
        <v>2</v>
      </c>
      <c r="C23" s="111">
        <f>SUM(C16:C22)</f>
        <v>16736</v>
      </c>
      <c r="D23" s="122">
        <f>SUM(D16:D22)</f>
        <v>798</v>
      </c>
      <c r="E23" s="123">
        <f>SUM(E18:E22)</f>
        <v>0</v>
      </c>
      <c r="F23" s="127">
        <f>SUM(F15:F22)</f>
        <v>10</v>
      </c>
      <c r="G23" s="170"/>
      <c r="H23" s="177" t="s">
        <v>234</v>
      </c>
      <c r="I23" s="180"/>
      <c r="J23" s="225">
        <f>+'12'!J23</f>
        <v>0</v>
      </c>
      <c r="K23" s="250"/>
      <c r="L23" s="250"/>
      <c r="M23" s="128">
        <f>+K23+'12'!M23+L23</f>
        <v>0</v>
      </c>
    </row>
    <row r="24" spans="1:18" ht="13.5" customHeight="1" thickBot="1">
      <c r="A24" s="1020" t="s">
        <v>435</v>
      </c>
      <c r="B24" s="181"/>
      <c r="C24" s="124"/>
      <c r="D24" s="125"/>
      <c r="E24" s="126"/>
      <c r="F24" s="247">
        <v>20</v>
      </c>
      <c r="G24" s="240" t="s">
        <v>11</v>
      </c>
      <c r="H24" s="241" t="s">
        <v>504</v>
      </c>
      <c r="I24" s="1023" t="s">
        <v>654</v>
      </c>
      <c r="J24" s="225">
        <f>+'12'!J24</f>
        <v>0</v>
      </c>
      <c r="K24" s="250"/>
      <c r="L24" s="250"/>
      <c r="M24" s="128">
        <f>+K24+'12'!M24+L24</f>
        <v>0</v>
      </c>
    </row>
    <row r="25" spans="1:18" ht="13.5" thickBot="1">
      <c r="A25" s="1028"/>
      <c r="B25" s="226" t="s">
        <v>656</v>
      </c>
      <c r="C25" s="237">
        <v>12724</v>
      </c>
      <c r="D25" s="228">
        <v>362</v>
      </c>
      <c r="E25" s="236"/>
      <c r="F25" s="242">
        <v>7</v>
      </c>
      <c r="G25" s="243" t="s">
        <v>11</v>
      </c>
      <c r="H25" s="241" t="s">
        <v>649</v>
      </c>
      <c r="I25" s="1024"/>
      <c r="J25" s="225">
        <f>+'12'!J25</f>
        <v>0</v>
      </c>
      <c r="K25" s="250"/>
      <c r="L25" s="250"/>
      <c r="M25" s="128">
        <f>+K25+'12'!M25+L25</f>
        <v>0</v>
      </c>
    </row>
    <row r="26" spans="1:18" ht="13.5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453</v>
      </c>
      <c r="I26" s="1024"/>
      <c r="J26" s="225">
        <f>+'12'!J26</f>
        <v>0</v>
      </c>
      <c r="K26" s="250"/>
      <c r="L26" s="250"/>
      <c r="M26" s="128">
        <f>+K26+'12'!M26+L26</f>
        <v>0</v>
      </c>
    </row>
    <row r="27" spans="1:18" ht="13.5" thickBot="1">
      <c r="A27" s="1028"/>
      <c r="B27" s="226"/>
      <c r="C27" s="227"/>
      <c r="D27" s="228"/>
      <c r="E27" s="236"/>
      <c r="F27" s="242"/>
      <c r="G27" s="243"/>
      <c r="H27" s="597" t="s">
        <v>653</v>
      </c>
      <c r="I27" s="1024"/>
      <c r="J27" s="225">
        <f>+'12'!J27</f>
        <v>0</v>
      </c>
      <c r="K27" s="250"/>
      <c r="L27" s="250"/>
      <c r="M27" s="128">
        <f>+K27+'12'!M27+L27</f>
        <v>0</v>
      </c>
    </row>
    <row r="28" spans="1:18" ht="13.5" thickBot="1">
      <c r="A28" s="1028"/>
      <c r="B28" s="226"/>
      <c r="C28" s="227"/>
      <c r="D28" s="228"/>
      <c r="E28" s="236"/>
      <c r="F28" s="242"/>
      <c r="G28" s="243"/>
      <c r="H28" s="244" t="s">
        <v>638</v>
      </c>
      <c r="I28" s="1024"/>
      <c r="J28" s="225">
        <f>+'12'!J28</f>
        <v>0</v>
      </c>
      <c r="K28" s="250"/>
      <c r="L28" s="250"/>
      <c r="M28" s="128">
        <f>+K28+'12'!M28+L28</f>
        <v>0</v>
      </c>
    </row>
    <row r="29" spans="1:18" ht="13.5" thickBot="1">
      <c r="A29" s="1028"/>
      <c r="B29" s="226"/>
      <c r="C29" s="227"/>
      <c r="D29" s="228"/>
      <c r="E29" s="236"/>
      <c r="F29" s="247"/>
      <c r="G29" s="243"/>
      <c r="H29" s="244" t="s">
        <v>639</v>
      </c>
      <c r="I29" s="1024"/>
      <c r="J29" s="225">
        <f>+'12'!J29</f>
        <v>0</v>
      </c>
      <c r="K29" s="250"/>
      <c r="L29" s="250"/>
      <c r="M29" s="128">
        <f>+K29+'12'!M29+L29</f>
        <v>0</v>
      </c>
    </row>
    <row r="30" spans="1:18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+'12'!J30</f>
        <v>0</v>
      </c>
      <c r="K30" s="250"/>
      <c r="L30" s="250"/>
      <c r="M30" s="128">
        <f>+K30+'12'!M30+L30</f>
        <v>0</v>
      </c>
      <c r="N30" s="166"/>
    </row>
    <row r="31" spans="1:18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+'12'!J31</f>
        <v>0</v>
      </c>
      <c r="K31" s="250"/>
      <c r="L31" s="250"/>
      <c r="M31" s="128">
        <f>+K31+'12'!M31+L31</f>
        <v>0</v>
      </c>
    </row>
    <row r="32" spans="1:18" ht="13.5" thickBot="1">
      <c r="A32" s="1029"/>
      <c r="B32" s="176" t="s">
        <v>2</v>
      </c>
      <c r="C32" s="110">
        <f>SUM(C25:C31)</f>
        <v>12724</v>
      </c>
      <c r="D32" s="111">
        <f>SUM(D25:D31)</f>
        <v>362</v>
      </c>
      <c r="E32" s="112">
        <f>SUM(E25:E31)</f>
        <v>0</v>
      </c>
      <c r="F32" s="113">
        <f>SUM(F24:F31)</f>
        <v>37</v>
      </c>
      <c r="G32" s="182"/>
      <c r="H32" s="183"/>
      <c r="I32" s="180"/>
      <c r="J32" s="225">
        <f>+'12'!J32</f>
        <v>0</v>
      </c>
      <c r="K32" s="252"/>
      <c r="L32" s="254"/>
      <c r="M32" s="128">
        <f>+K32+'12'!M32+L32</f>
        <v>0</v>
      </c>
    </row>
    <row r="33" spans="1:14" ht="13.5" thickBot="1">
      <c r="A33" s="184"/>
      <c r="B33" s="185"/>
      <c r="C33" s="114">
        <f>C32/($C$32+$D$32+$E$32)</f>
        <v>0.9723368485404249</v>
      </c>
      <c r="D33" s="115">
        <f>D32/($C$32+$D$32+$E$32)</f>
        <v>2.7663151459575118E-2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36354</v>
      </c>
      <c r="D34" s="118">
        <f>D14+D23+D32</f>
        <v>3012</v>
      </c>
      <c r="E34" s="118">
        <f>E14+E23+E32</f>
        <v>0</v>
      </c>
      <c r="F34" s="119">
        <f>F14+F23+F32</f>
        <v>73</v>
      </c>
      <c r="H34" s="189"/>
      <c r="I34" s="189"/>
      <c r="J34" s="134" t="s">
        <v>27</v>
      </c>
      <c r="K34" s="135">
        <f>SUM(K7:K32)</f>
        <v>36354</v>
      </c>
      <c r="L34" s="223">
        <f>SUM(L7:L32)</f>
        <v>0</v>
      </c>
      <c r="M34" s="131">
        <f>SUM(M7:M32)</f>
        <v>768097</v>
      </c>
      <c r="N34" s="166"/>
    </row>
    <row r="35" spans="1:14" ht="13.5" thickBot="1">
      <c r="A35" s="190"/>
      <c r="B35" s="191"/>
      <c r="C35" s="115">
        <f>C34/($C$34+$D$34+$E$34)</f>
        <v>0.92348727328151192</v>
      </c>
      <c r="D35" s="115">
        <f>D34/($C$34+$D$34+$E$34)</f>
        <v>7.6512726718488036E-2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(10.5*1020+12*420)/1440*G42*2.77*1440/1000000</f>
        <v>58.665899249999995</v>
      </c>
      <c r="J37" s="136">
        <f>+I37+'12'!J37</f>
        <v>889.94733653661956</v>
      </c>
      <c r="K37" s="137" t="s">
        <v>62</v>
      </c>
      <c r="N37" s="160">
        <f>1.806+2.17+18.651+17.836</f>
        <v>40.462999999999994</v>
      </c>
    </row>
    <row r="38" spans="1:14" ht="17.45" customHeight="1">
      <c r="A38" s="1034" t="s">
        <v>11</v>
      </c>
      <c r="B38" s="1035"/>
      <c r="C38" s="175">
        <f>SUMIF($G$7:$G$31,"Process",$F$7:$F$31)</f>
        <v>73</v>
      </c>
      <c r="D38" s="129">
        <f>+C38+'12'!D38</f>
        <v>1188</v>
      </c>
      <c r="E38" s="154">
        <f t="shared" ref="E38:E51" si="0">D38/60</f>
        <v>19.8</v>
      </c>
      <c r="F38" s="340">
        <v>1651.25</v>
      </c>
      <c r="G38" s="340">
        <v>1329.3</v>
      </c>
      <c r="H38" s="198" t="s">
        <v>63</v>
      </c>
      <c r="I38" s="555">
        <f>19.338+18.651+17.836</f>
        <v>55.825000000000003</v>
      </c>
      <c r="J38" s="138">
        <f>+I38+'12'!J38</f>
        <v>822.38</v>
      </c>
      <c r="K38" s="139" t="s">
        <v>62</v>
      </c>
      <c r="N38" s="160">
        <f>19.338-1.806-2.17</f>
        <v>15.362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+C39+'12'!D39</f>
        <v>0</v>
      </c>
      <c r="E39" s="154">
        <f t="shared" si="0"/>
        <v>0</v>
      </c>
      <c r="F39" s="340">
        <v>1610</v>
      </c>
      <c r="G39" s="340">
        <f>+F39-F39*0.16</f>
        <v>1352.4</v>
      </c>
      <c r="H39" s="198" t="s">
        <v>64</v>
      </c>
      <c r="I39" s="153"/>
      <c r="J39" s="140">
        <f>J37/G4</f>
        <v>68.457487425893817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+C40+'12'!D40</f>
        <v>0</v>
      </c>
      <c r="E40" s="154">
        <f t="shared" si="0"/>
        <v>0</v>
      </c>
      <c r="F40" s="340">
        <v>1610</v>
      </c>
      <c r="G40" s="340">
        <f>+F40-F40*0.16</f>
        <v>1352.4</v>
      </c>
      <c r="H40" s="198" t="s">
        <v>66</v>
      </c>
      <c r="I40" s="129">
        <f>(K34+L34)/1000</f>
        <v>36.353999999999999</v>
      </c>
      <c r="J40" s="142">
        <f>+I40+'12'!J40</f>
        <v>768.09700000000021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+C41+'12'!D41</f>
        <v>214</v>
      </c>
      <c r="E41" s="154">
        <f t="shared" si="0"/>
        <v>3.5666666666666669</v>
      </c>
      <c r="F41" s="340"/>
      <c r="G41" s="340"/>
      <c r="H41" s="198" t="s">
        <v>68</v>
      </c>
      <c r="I41" s="153"/>
      <c r="J41" s="140">
        <f>J40/G4</f>
        <v>59.084384615384629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+C42+'12'!D42</f>
        <v>0</v>
      </c>
      <c r="E42" s="154">
        <f t="shared" si="0"/>
        <v>0</v>
      </c>
      <c r="F42" s="340">
        <f>+(F38*480+F39*480+F40*480)/1440</f>
        <v>1623.75</v>
      </c>
      <c r="G42" s="340">
        <f>+(G38*480+G39*480+G40*480)/1440</f>
        <v>1344.7</v>
      </c>
      <c r="H42" s="198" t="s">
        <v>69</v>
      </c>
      <c r="I42" s="257" t="s">
        <v>655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+C43+'12'!D43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+Report1!T21</f>
        <v>129.14700000000002</v>
      </c>
      <c r="J43" s="144">
        <f>+I43+'12'!J43</f>
        <v>1784.5339999999999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+C44+'12'!D44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2.3134258844603677</v>
      </c>
      <c r="J44" s="145">
        <f>J43/J38</f>
        <v>2.1699627909239037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+C45+'12'!D45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3.5524839082356832</v>
      </c>
      <c r="J45" s="145">
        <f>J43/J40</f>
        <v>2.3233185391949185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+C46+'12'!D46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+SUMIF(Listrik!AR20,"&gt;0")</f>
        <v>55700.259999998627</v>
      </c>
      <c r="J46" s="146">
        <f>+I46+'12'!J46</f>
        <v>718226.4199999962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+C47+'12'!D47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997.7655172413547</v>
      </c>
      <c r="J47" s="146">
        <f>J46/J38</f>
        <v>873.35102993749388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+C48+'12'!D48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1532.1631732408712</v>
      </c>
      <c r="J48" s="146">
        <f>J46/J40</f>
        <v>935.07254943060059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+C49+'12'!D49</f>
        <v>233</v>
      </c>
      <c r="E49" s="154">
        <f t="shared" si="0"/>
        <v>3.8833333333333333</v>
      </c>
      <c r="F49" s="196"/>
      <c r="H49" s="199" t="s">
        <v>81</v>
      </c>
      <c r="I49" s="129">
        <v>0</v>
      </c>
      <c r="J49" s="146">
        <f>+I49+'12'!J49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+C50+'12'!D50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+C51+'12'!D51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73</v>
      </c>
      <c r="D52" s="155">
        <f>SUM(D38:D51)</f>
        <v>1673</v>
      </c>
      <c r="E52" s="156">
        <f>SUM(E38:E51)</f>
        <v>27.883333333333333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5.0694444444444445E-2</v>
      </c>
      <c r="D53" s="157">
        <f>D52/(24*60*G4)</f>
        <v>8.9369658119658121E-2</v>
      </c>
      <c r="E53" s="158">
        <f>E52/(G4*24)</f>
        <v>8.9369658119658121E-2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+D34+'12'!J56</f>
        <v>13364</v>
      </c>
      <c r="K56" s="212">
        <f>J56/(J40+J56/1000)/1000</f>
        <v>1.7101301280550141E-2</v>
      </c>
    </row>
    <row r="57" spans="1:11">
      <c r="A57" s="187"/>
      <c r="I57" s="210" t="s">
        <v>88</v>
      </c>
      <c r="J57" s="211">
        <f>+E34+'12'!J57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38:B38"/>
    <mergeCell ref="A41:B41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</mergeCells>
  <phoneticPr fontId="31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Y61"/>
  <sheetViews>
    <sheetView topLeftCell="A13" zoomScale="80" zoomScaleNormal="80" workbookViewId="0">
      <selection activeCell="D17" sqref="D17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4" style="160" bestFit="1" customWidth="1"/>
    <col min="12" max="12" width="8.28515625" style="160" customWidth="1"/>
    <col min="13" max="13" width="15" style="160" bestFit="1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12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200+270+240</f>
        <v>710</v>
      </c>
    </row>
    <row r="7" spans="1:18" ht="13.5" customHeight="1" thickBot="1">
      <c r="A7" s="1020" t="s">
        <v>605</v>
      </c>
      <c r="B7" s="226" t="s">
        <v>624</v>
      </c>
      <c r="C7" s="227">
        <v>8551</v>
      </c>
      <c r="D7" s="228"/>
      <c r="E7" s="229"/>
      <c r="F7" s="239"/>
      <c r="G7" s="240" t="s">
        <v>11</v>
      </c>
      <c r="H7" s="241" t="s">
        <v>473</v>
      </c>
      <c r="I7" s="1023" t="s">
        <v>642</v>
      </c>
      <c r="J7" s="225" t="str">
        <f>+'11'!J7</f>
        <v>MG 14 VP HW</v>
      </c>
      <c r="K7" s="249"/>
      <c r="L7" s="253"/>
      <c r="M7" s="128">
        <f>+K7+'11'!M7+L7</f>
        <v>160441</v>
      </c>
    </row>
    <row r="8" spans="1:18" ht="13.5" thickBot="1">
      <c r="A8" s="1021"/>
      <c r="B8" s="226" t="s">
        <v>656</v>
      </c>
      <c r="C8" s="227">
        <f>234+3477</f>
        <v>3711</v>
      </c>
      <c r="D8" s="228"/>
      <c r="E8" s="230"/>
      <c r="F8" s="242">
        <v>2</v>
      </c>
      <c r="G8" s="243" t="s">
        <v>11</v>
      </c>
      <c r="H8" s="241" t="s">
        <v>649</v>
      </c>
      <c r="I8" s="1024"/>
      <c r="J8" s="225" t="str">
        <f>+'11'!J8</f>
        <v>MG 17 VP HW</v>
      </c>
      <c r="K8" s="250"/>
      <c r="L8" s="250"/>
      <c r="M8" s="128">
        <f>+K8+'11'!M8+L8</f>
        <v>131048</v>
      </c>
      <c r="N8" s="160">
        <v>1650</v>
      </c>
      <c r="O8" s="160">
        <f>+N8-N8*0.2</f>
        <v>1320</v>
      </c>
      <c r="P8" s="160">
        <f>60+24</f>
        <v>84</v>
      </c>
      <c r="Q8" s="160">
        <f>+N8*P8</f>
        <v>138600</v>
      </c>
      <c r="R8" s="160">
        <f>+O8*P8</f>
        <v>110880</v>
      </c>
    </row>
    <row r="9" spans="1:18" ht="13.5" thickBot="1">
      <c r="A9" s="1021"/>
      <c r="B9" s="226" t="s">
        <v>657</v>
      </c>
      <c r="C9" s="227">
        <v>8973</v>
      </c>
      <c r="D9" s="228"/>
      <c r="E9" s="231"/>
      <c r="F9" s="239">
        <v>8</v>
      </c>
      <c r="G9" s="243" t="s">
        <v>11</v>
      </c>
      <c r="H9" s="597" t="s">
        <v>601</v>
      </c>
      <c r="I9" s="1024"/>
      <c r="J9" s="225" t="str">
        <f>+'11'!J9</f>
        <v>MG 16 VP HW/OW</v>
      </c>
      <c r="K9" s="250"/>
      <c r="L9" s="250"/>
      <c r="M9" s="128">
        <f>+K9+'11'!M9+L9</f>
        <v>278646</v>
      </c>
      <c r="N9" s="160">
        <v>1650</v>
      </c>
      <c r="O9" s="160">
        <f>+N9-N9*0.16</f>
        <v>1386</v>
      </c>
      <c r="P9" s="160">
        <f>36+60+32</f>
        <v>128</v>
      </c>
      <c r="Q9" s="160">
        <f>+N9*P9</f>
        <v>211200</v>
      </c>
      <c r="R9" s="160">
        <f>+O9*P9</f>
        <v>177408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616</v>
      </c>
      <c r="I10" s="1024"/>
      <c r="J10" s="225" t="str">
        <f>+'11'!J10</f>
        <v>MG 22 VP HW</v>
      </c>
      <c r="K10" s="250"/>
      <c r="L10" s="250"/>
      <c r="M10" s="128">
        <f>+K10+'11'!M10+L10</f>
        <v>12128</v>
      </c>
      <c r="N10" s="160">
        <v>1650</v>
      </c>
      <c r="O10" s="160">
        <f>+N10-N10*0.2</f>
        <v>1320</v>
      </c>
      <c r="P10" s="160">
        <f>28+240</f>
        <v>268</v>
      </c>
      <c r="Q10" s="160">
        <f>+N10*P10</f>
        <v>442200</v>
      </c>
      <c r="R10" s="160">
        <f>+O10*P10</f>
        <v>353760</v>
      </c>
    </row>
    <row r="11" spans="1:18" ht="13.5" thickBot="1">
      <c r="A11" s="1021"/>
      <c r="B11" s="226"/>
      <c r="C11" s="227"/>
      <c r="D11" s="228"/>
      <c r="E11" s="230"/>
      <c r="F11" s="239">
        <v>15</v>
      </c>
      <c r="G11" s="243" t="s">
        <v>11</v>
      </c>
      <c r="H11" s="244" t="s">
        <v>640</v>
      </c>
      <c r="I11" s="1024"/>
      <c r="J11" s="225" t="str">
        <f>+'11'!J11</f>
        <v>MG 24 VP HW</v>
      </c>
      <c r="K11" s="250"/>
      <c r="L11" s="250"/>
      <c r="M11" s="128">
        <f>+K11+'11'!M11+L11</f>
        <v>5566</v>
      </c>
      <c r="P11" s="160">
        <f>SUM(P8:P10)</f>
        <v>480</v>
      </c>
      <c r="Q11" s="160">
        <f>SUM(Q8:Q10)</f>
        <v>792000</v>
      </c>
      <c r="R11" s="160">
        <f>SUM(R8:R10)</f>
        <v>642048</v>
      </c>
    </row>
    <row r="12" spans="1:18" ht="13.5" thickBot="1">
      <c r="A12" s="1021"/>
      <c r="B12" s="226"/>
      <c r="C12" s="227"/>
      <c r="D12" s="228"/>
      <c r="E12" s="230"/>
      <c r="F12" s="239"/>
      <c r="G12" s="243"/>
      <c r="H12" s="244" t="s">
        <v>593</v>
      </c>
      <c r="I12" s="1024"/>
      <c r="J12" s="225" t="str">
        <f>+'11'!J12</f>
        <v>MG 20 VP HW</v>
      </c>
      <c r="K12" s="250"/>
      <c r="L12" s="250"/>
      <c r="M12" s="128">
        <f>+K12+'11'!M12+L12</f>
        <v>7726</v>
      </c>
      <c r="Q12" s="160">
        <f>+Q11/P11</f>
        <v>1650</v>
      </c>
      <c r="R12" s="160">
        <f>+R11/P11</f>
        <v>1337.6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 t="s">
        <v>641</v>
      </c>
      <c r="I13" s="1025"/>
      <c r="J13" s="225" t="str">
        <f>+'11'!J13</f>
        <v>F 12 VP OW</v>
      </c>
      <c r="K13" s="250"/>
      <c r="L13" s="250"/>
      <c r="M13" s="128">
        <f>+K13+'11'!M13+L13</f>
        <v>37322</v>
      </c>
    </row>
    <row r="14" spans="1:18" ht="13.5" thickBot="1">
      <c r="A14" s="1022"/>
      <c r="B14" s="176" t="s">
        <v>2</v>
      </c>
      <c r="C14" s="110">
        <f>SUM(C7:C13)</f>
        <v>21235</v>
      </c>
      <c r="D14" s="122">
        <f>SUM(D7:D13)</f>
        <v>0</v>
      </c>
      <c r="E14" s="123">
        <f>SUM(E5:E13)</f>
        <v>0</v>
      </c>
      <c r="F14" s="127">
        <f>SUM(F7:F13)</f>
        <v>25</v>
      </c>
      <c r="G14" s="170"/>
      <c r="H14" s="177"/>
      <c r="I14" s="178"/>
      <c r="J14" s="225" t="str">
        <f>+'11'!J14</f>
        <v>F 11,5 VP OW</v>
      </c>
      <c r="K14" s="250">
        <f>+C7</f>
        <v>8551</v>
      </c>
      <c r="L14" s="250"/>
      <c r="M14" s="128">
        <f>+K14+'11'!M14+L14</f>
        <v>61347</v>
      </c>
    </row>
    <row r="15" spans="1:18" ht="13.5" customHeight="1" thickBot="1">
      <c r="A15" s="1020" t="s">
        <v>556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643</v>
      </c>
      <c r="J15" s="225" t="s">
        <v>656</v>
      </c>
      <c r="K15" s="250">
        <f>+C8+C16+C25</f>
        <v>15566</v>
      </c>
      <c r="L15" s="250"/>
      <c r="M15" s="128">
        <f>+K15+'11'!M15+L15</f>
        <v>15566</v>
      </c>
    </row>
    <row r="16" spans="1:18" ht="13.5" thickBot="1">
      <c r="A16" s="1026"/>
      <c r="B16" s="226" t="s">
        <v>656</v>
      </c>
      <c r="C16" s="233">
        <f>117+1613</f>
        <v>1730</v>
      </c>
      <c r="D16" s="234">
        <v>125</v>
      </c>
      <c r="E16" s="235"/>
      <c r="F16" s="239">
        <v>11</v>
      </c>
      <c r="G16" s="243" t="s">
        <v>11</v>
      </c>
      <c r="H16" s="241" t="s">
        <v>649</v>
      </c>
      <c r="I16" s="1024"/>
      <c r="J16" s="225" t="s">
        <v>657</v>
      </c>
      <c r="K16" s="250">
        <f>+C9+C17</f>
        <v>21953</v>
      </c>
      <c r="L16" s="240"/>
      <c r="M16" s="128">
        <f>+K16+'11'!M16+L16</f>
        <v>21953</v>
      </c>
    </row>
    <row r="17" spans="1:25" ht="13.5" thickBot="1">
      <c r="A17" s="1026"/>
      <c r="B17" s="226" t="s">
        <v>657</v>
      </c>
      <c r="C17" s="227">
        <v>12980</v>
      </c>
      <c r="D17" s="228"/>
      <c r="E17" s="236"/>
      <c r="F17" s="239">
        <v>10</v>
      </c>
      <c r="G17" s="243" t="s">
        <v>11</v>
      </c>
      <c r="H17" s="597" t="s">
        <v>455</v>
      </c>
      <c r="I17" s="1024"/>
      <c r="J17" s="225">
        <f>+'11'!J17</f>
        <v>0</v>
      </c>
      <c r="K17" s="250"/>
      <c r="L17" s="240"/>
      <c r="M17" s="128">
        <f>+K17+'11'!M17+L17</f>
        <v>0</v>
      </c>
      <c r="N17" s="160">
        <v>1650</v>
      </c>
      <c r="O17" s="160">
        <f>+N17-N17*0.16</f>
        <v>1386</v>
      </c>
      <c r="P17" s="160">
        <f>60+53</f>
        <v>113</v>
      </c>
      <c r="Q17" s="160">
        <f>+N17*P17</f>
        <v>186450</v>
      </c>
      <c r="R17" s="160">
        <f>+O17*P17</f>
        <v>156618</v>
      </c>
    </row>
    <row r="18" spans="1:25" ht="13.5" thickBot="1">
      <c r="A18" s="1026"/>
      <c r="B18" s="226"/>
      <c r="C18" s="227"/>
      <c r="D18" s="228"/>
      <c r="E18" s="236"/>
      <c r="F18" s="239"/>
      <c r="G18" s="243"/>
      <c r="H18" s="597" t="s">
        <v>632</v>
      </c>
      <c r="I18" s="1024"/>
      <c r="J18" s="225">
        <f>+'11'!J18</f>
        <v>0</v>
      </c>
      <c r="K18" s="250"/>
      <c r="L18" s="250"/>
      <c r="M18" s="128">
        <f>+K18+'11'!M18+L18</f>
        <v>0</v>
      </c>
      <c r="N18" s="160">
        <v>1650</v>
      </c>
      <c r="O18" s="160">
        <f>+N18-N18*0.16</f>
        <v>1386</v>
      </c>
      <c r="P18" s="160">
        <f>7+360</f>
        <v>367</v>
      </c>
      <c r="Q18" s="160">
        <f>+N18*P18</f>
        <v>605550</v>
      </c>
      <c r="R18" s="160">
        <f>+O18*P18</f>
        <v>508662</v>
      </c>
      <c r="T18" s="160" t="s">
        <v>630</v>
      </c>
      <c r="U18" s="187">
        <v>1650</v>
      </c>
      <c r="V18" s="187">
        <f>+U18-U18*0.2</f>
        <v>1320</v>
      </c>
      <c r="W18" s="160">
        <f>60+24</f>
        <v>84</v>
      </c>
    </row>
    <row r="19" spans="1:25" ht="13.5" thickBot="1">
      <c r="A19" s="1026"/>
      <c r="B19" s="226"/>
      <c r="C19" s="227"/>
      <c r="D19" s="228"/>
      <c r="E19" s="236"/>
      <c r="F19" s="246"/>
      <c r="G19" s="243"/>
      <c r="H19" s="244" t="s">
        <v>591</v>
      </c>
      <c r="I19" s="1024"/>
      <c r="J19" s="225">
        <f>+'11'!J19</f>
        <v>0</v>
      </c>
      <c r="K19" s="250"/>
      <c r="L19" s="250"/>
      <c r="M19" s="128">
        <f>+K19+'11'!M19+L19</f>
        <v>0</v>
      </c>
      <c r="P19" s="160">
        <f>SUM(P17:P18)</f>
        <v>480</v>
      </c>
      <c r="Q19" s="160">
        <f>SUM(Q17:Q18)</f>
        <v>792000</v>
      </c>
      <c r="R19" s="160">
        <f>SUM(R17:R18)</f>
        <v>665280</v>
      </c>
      <c r="T19" s="160" t="s">
        <v>647</v>
      </c>
      <c r="U19" s="160">
        <v>1650</v>
      </c>
      <c r="V19" s="160">
        <f>+U19-U19*0.16</f>
        <v>1386</v>
      </c>
      <c r="W19" s="160">
        <f>36+60+32</f>
        <v>128</v>
      </c>
      <c r="X19" s="160">
        <f>+U19*W19</f>
        <v>211200</v>
      </c>
      <c r="Y19" s="160">
        <f>+V19*W19</f>
        <v>177408</v>
      </c>
    </row>
    <row r="20" spans="1:25" ht="13.5" thickBot="1">
      <c r="A20" s="1026"/>
      <c r="B20" s="226"/>
      <c r="C20" s="227"/>
      <c r="D20" s="228"/>
      <c r="E20" s="236"/>
      <c r="F20" s="239"/>
      <c r="G20" s="243"/>
      <c r="H20" s="244" t="s">
        <v>631</v>
      </c>
      <c r="I20" s="1024"/>
      <c r="J20" s="225">
        <f>+'11'!J20</f>
        <v>0</v>
      </c>
      <c r="K20" s="251"/>
      <c r="L20" s="251"/>
      <c r="M20" s="128">
        <f>+K20+'11'!M20+L20</f>
        <v>0</v>
      </c>
      <c r="Q20" s="160">
        <f>+Q19/P19</f>
        <v>1650</v>
      </c>
      <c r="R20" s="160">
        <f>+R19/P19</f>
        <v>1386</v>
      </c>
      <c r="U20" s="160">
        <v>1650</v>
      </c>
      <c r="V20" s="160">
        <f>+U20-U20*0.16</f>
        <v>1386</v>
      </c>
      <c r="W20" s="160">
        <f>7+360</f>
        <v>367</v>
      </c>
      <c r="X20" s="160">
        <f>+U20*W20</f>
        <v>605550</v>
      </c>
      <c r="Y20" s="160">
        <f>+V20*W20</f>
        <v>508662</v>
      </c>
    </row>
    <row r="21" spans="1:25" ht="13.5" thickBot="1">
      <c r="A21" s="1026"/>
      <c r="B21" s="226"/>
      <c r="C21" s="227"/>
      <c r="D21" s="228"/>
      <c r="E21" s="236"/>
      <c r="F21" s="242"/>
      <c r="G21" s="243"/>
      <c r="H21" s="583" t="s">
        <v>644</v>
      </c>
      <c r="I21" s="1024"/>
      <c r="J21" s="225">
        <f>+'11'!J21</f>
        <v>0</v>
      </c>
      <c r="K21" s="250"/>
      <c r="L21" s="250"/>
      <c r="M21" s="128">
        <f>+K21+'11'!M21+L21</f>
        <v>0</v>
      </c>
      <c r="U21" s="160">
        <v>1670</v>
      </c>
      <c r="V21" s="160">
        <f>+U21-U21*0.16</f>
        <v>1402.8</v>
      </c>
      <c r="W21" s="160">
        <v>480</v>
      </c>
      <c r="X21" s="160">
        <f>+U21*W21</f>
        <v>801600</v>
      </c>
      <c r="Y21" s="160">
        <f>+V21*W21</f>
        <v>673344</v>
      </c>
    </row>
    <row r="22" spans="1:25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+'11'!J22</f>
        <v>0</v>
      </c>
      <c r="K22" s="250"/>
      <c r="L22" s="250"/>
      <c r="M22" s="128">
        <f>+K22+'11'!M22+L22</f>
        <v>0</v>
      </c>
      <c r="W22" s="160">
        <f>SUM(W19:W21)</f>
        <v>975</v>
      </c>
      <c r="X22" s="160">
        <f>SUM(X19:X21)</f>
        <v>1618350</v>
      </c>
      <c r="Y22" s="160">
        <f>SUM(Y19:Y21)</f>
        <v>1359414</v>
      </c>
    </row>
    <row r="23" spans="1:25" ht="13.5" thickBot="1">
      <c r="A23" s="1027"/>
      <c r="B23" s="179" t="s">
        <v>2</v>
      </c>
      <c r="C23" s="111">
        <f>SUM(C16:C22)</f>
        <v>14710</v>
      </c>
      <c r="D23" s="122">
        <f>SUM(D16:D22)</f>
        <v>125</v>
      </c>
      <c r="E23" s="123">
        <f>SUM(E18:E22)</f>
        <v>0</v>
      </c>
      <c r="F23" s="127">
        <f>SUM(F15:F22)</f>
        <v>21</v>
      </c>
      <c r="G23" s="170"/>
      <c r="H23" s="177" t="s">
        <v>234</v>
      </c>
      <c r="I23" s="180"/>
      <c r="J23" s="225">
        <f>+'11'!J23</f>
        <v>0</v>
      </c>
      <c r="K23" s="250"/>
      <c r="L23" s="250"/>
      <c r="M23" s="128">
        <f>+K23+'11'!M23+L23</f>
        <v>0</v>
      </c>
      <c r="X23" s="187">
        <f>+X22/W22</f>
        <v>1659.8461538461538</v>
      </c>
      <c r="Y23" s="187">
        <f>+Y22/W22</f>
        <v>1394.2707692307692</v>
      </c>
    </row>
    <row r="24" spans="1:25" ht="13.5" customHeight="1" thickBot="1">
      <c r="A24" s="1020" t="s">
        <v>435</v>
      </c>
      <c r="B24" s="181"/>
      <c r="C24" s="124"/>
      <c r="D24" s="125"/>
      <c r="E24" s="126"/>
      <c r="F24" s="247">
        <v>5</v>
      </c>
      <c r="G24" s="240" t="s">
        <v>11</v>
      </c>
      <c r="H24" s="241" t="s">
        <v>536</v>
      </c>
      <c r="I24" s="1023" t="s">
        <v>646</v>
      </c>
      <c r="J24" s="225">
        <f>+'11'!J24</f>
        <v>0</v>
      </c>
      <c r="K24" s="250"/>
      <c r="L24" s="250"/>
      <c r="M24" s="128">
        <f>+K24+'11'!M24+L24</f>
        <v>0</v>
      </c>
      <c r="T24" s="160" t="s">
        <v>648</v>
      </c>
      <c r="U24" s="160">
        <v>1650</v>
      </c>
      <c r="V24" s="160">
        <v>1320</v>
      </c>
      <c r="W24" s="160">
        <v>268</v>
      </c>
      <c r="X24" s="160">
        <f>+U24*W24</f>
        <v>442200</v>
      </c>
      <c r="Y24" s="160">
        <f>+V24*W24</f>
        <v>353760</v>
      </c>
    </row>
    <row r="25" spans="1:25" ht="13.5" customHeight="1" thickBot="1">
      <c r="A25" s="1028"/>
      <c r="B25" s="226" t="s">
        <v>656</v>
      </c>
      <c r="C25" s="237">
        <v>10125</v>
      </c>
      <c r="D25" s="228">
        <v>914</v>
      </c>
      <c r="E25" s="236"/>
      <c r="F25" s="242">
        <v>5</v>
      </c>
      <c r="G25" s="243" t="s">
        <v>11</v>
      </c>
      <c r="H25" s="241" t="s">
        <v>454</v>
      </c>
      <c r="I25" s="1024"/>
      <c r="J25" s="225">
        <f>+'11'!J25</f>
        <v>0</v>
      </c>
      <c r="K25" s="250"/>
      <c r="L25" s="250"/>
      <c r="M25" s="128">
        <f>+K25+'11'!M25+L25</f>
        <v>0</v>
      </c>
      <c r="U25" s="160">
        <v>1650</v>
      </c>
      <c r="V25" s="160">
        <v>1386</v>
      </c>
      <c r="W25" s="160">
        <v>113</v>
      </c>
      <c r="X25" s="160">
        <f>+U25*W25</f>
        <v>186450</v>
      </c>
      <c r="Y25" s="160">
        <f>+V25*W25</f>
        <v>156618</v>
      </c>
    </row>
    <row r="26" spans="1:25" ht="13.5" customHeight="1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453</v>
      </c>
      <c r="I26" s="1024"/>
      <c r="J26" s="225">
        <f>+'11'!J26</f>
        <v>0</v>
      </c>
      <c r="K26" s="250"/>
      <c r="L26" s="250"/>
      <c r="M26" s="128">
        <f>+K26+'11'!M26+L26</f>
        <v>0</v>
      </c>
      <c r="N26" s="160">
        <v>1670</v>
      </c>
      <c r="O26" s="160">
        <f>+N26-N26*0.16</f>
        <v>1402.8</v>
      </c>
      <c r="P26" s="160">
        <v>480</v>
      </c>
      <c r="W26" s="160">
        <f>SUM(W24:W25)</f>
        <v>381</v>
      </c>
      <c r="X26" s="160">
        <f>SUM(X24:X25)</f>
        <v>628650</v>
      </c>
      <c r="Y26" s="160">
        <f>SUM(Y24:Y25)</f>
        <v>510378</v>
      </c>
    </row>
    <row r="27" spans="1:25" ht="13.5" customHeight="1" thickBot="1">
      <c r="A27" s="1028"/>
      <c r="B27" s="226"/>
      <c r="C27" s="227"/>
      <c r="D27" s="228"/>
      <c r="E27" s="236"/>
      <c r="F27" s="242"/>
      <c r="G27" s="243"/>
      <c r="H27" s="597" t="s">
        <v>645</v>
      </c>
      <c r="I27" s="1024"/>
      <c r="J27" s="225">
        <f>+'11'!J27</f>
        <v>0</v>
      </c>
      <c r="K27" s="250"/>
      <c r="L27" s="250"/>
      <c r="M27" s="128">
        <f>+K27+'11'!M27+L27</f>
        <v>0</v>
      </c>
      <c r="X27" s="187">
        <f>+X26/W26</f>
        <v>1650</v>
      </c>
      <c r="Y27" s="187">
        <f>+Y26/W26</f>
        <v>1339.5748031496064</v>
      </c>
    </row>
    <row r="28" spans="1:25" ht="39" thickBot="1">
      <c r="A28" s="1028"/>
      <c r="B28" s="226"/>
      <c r="C28" s="227"/>
      <c r="D28" s="228"/>
      <c r="E28" s="236"/>
      <c r="F28" s="242"/>
      <c r="G28" s="243"/>
      <c r="H28" s="244" t="s">
        <v>633</v>
      </c>
      <c r="I28" s="1024"/>
      <c r="J28" s="225">
        <f>+'11'!J28</f>
        <v>0</v>
      </c>
      <c r="K28" s="250"/>
      <c r="L28" s="250"/>
      <c r="M28" s="128">
        <f>+K28+'11'!M28+L28</f>
        <v>0</v>
      </c>
    </row>
    <row r="29" spans="1:25" ht="13.5" thickBot="1">
      <c r="A29" s="1028"/>
      <c r="B29" s="226"/>
      <c r="C29" s="227"/>
      <c r="D29" s="228"/>
      <c r="E29" s="236"/>
      <c r="F29" s="247"/>
      <c r="G29" s="243"/>
      <c r="H29" s="244" t="s">
        <v>634</v>
      </c>
      <c r="I29" s="1024"/>
      <c r="J29" s="225">
        <f>+'11'!J29</f>
        <v>0</v>
      </c>
      <c r="K29" s="250"/>
      <c r="L29" s="250"/>
      <c r="M29" s="128">
        <f>+K29+'11'!M29+L29</f>
        <v>0</v>
      </c>
    </row>
    <row r="30" spans="1:25" ht="13.5" customHeight="1" thickBot="1">
      <c r="A30" s="1028"/>
      <c r="B30" s="226"/>
      <c r="C30" s="237"/>
      <c r="D30" s="228"/>
      <c r="E30" s="236"/>
      <c r="F30" s="247"/>
      <c r="G30" s="243"/>
      <c r="H30" s="244" t="s">
        <v>635</v>
      </c>
      <c r="I30" s="1024"/>
      <c r="J30" s="225">
        <f>+'11'!J30</f>
        <v>0</v>
      </c>
      <c r="K30" s="250"/>
      <c r="L30" s="250"/>
      <c r="M30" s="128">
        <f>+K30+'11'!M30+L30</f>
        <v>0</v>
      </c>
      <c r="N30" s="166"/>
    </row>
    <row r="31" spans="1:25" ht="13.5" customHeight="1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+'11'!J31</f>
        <v>0</v>
      </c>
      <c r="K31" s="250"/>
      <c r="L31" s="250"/>
      <c r="M31" s="128">
        <f>+K31+'11'!M31+L31</f>
        <v>0</v>
      </c>
    </row>
    <row r="32" spans="1:25" ht="13.5" customHeight="1" thickBot="1">
      <c r="A32" s="1029"/>
      <c r="B32" s="176" t="s">
        <v>2</v>
      </c>
      <c r="C32" s="110">
        <f>SUM(C25:C31)</f>
        <v>10125</v>
      </c>
      <c r="D32" s="111">
        <f>SUM(D25:D31)</f>
        <v>914</v>
      </c>
      <c r="E32" s="112">
        <f>SUM(E25:E31)</f>
        <v>0</v>
      </c>
      <c r="F32" s="113">
        <f>SUM(F24:F31)</f>
        <v>20</v>
      </c>
      <c r="G32" s="182"/>
      <c r="H32" s="183"/>
      <c r="I32" s="180"/>
      <c r="J32" s="225">
        <f>+'1'!J32</f>
        <v>0</v>
      </c>
      <c r="K32" s="252"/>
      <c r="L32" s="254"/>
      <c r="M32" s="128">
        <f>+K32+'11'!M32+L32</f>
        <v>0</v>
      </c>
    </row>
    <row r="33" spans="1:14" ht="13.5" thickBot="1">
      <c r="A33" s="184"/>
      <c r="B33" s="185"/>
      <c r="C33" s="114">
        <f>C32/($C$32+$D$32+$E$32)</f>
        <v>0.91720264516713468</v>
      </c>
      <c r="D33" s="115">
        <f>D32/($C$32+$D$32+$E$32)</f>
        <v>8.2797354832865294E-2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46070</v>
      </c>
      <c r="D34" s="118">
        <f>D14+D23+D32</f>
        <v>1039</v>
      </c>
      <c r="E34" s="118">
        <f>E14+E23+E32</f>
        <v>0</v>
      </c>
      <c r="F34" s="119">
        <f>F14+F23+F32</f>
        <v>66</v>
      </c>
      <c r="H34" s="189"/>
      <c r="I34" s="189"/>
      <c r="J34" s="134" t="s">
        <v>27</v>
      </c>
      <c r="K34" s="135">
        <f>SUM(K7:K32)</f>
        <v>46070</v>
      </c>
      <c r="L34" s="223">
        <f>SUM(L7:L32)</f>
        <v>0</v>
      </c>
      <c r="M34" s="131">
        <f>SUM(M7:M32)</f>
        <v>731743</v>
      </c>
      <c r="N34" s="166"/>
    </row>
    <row r="35" spans="1:14" ht="13.5" thickBot="1">
      <c r="A35" s="190"/>
      <c r="B35" s="191"/>
      <c r="C35" s="115">
        <f>C34/($C$34+$D$34+$E$34)</f>
        <v>0.97794476639283368</v>
      </c>
      <c r="D35" s="115">
        <f>D34/($C$34+$D$34+$E$34)</f>
        <v>2.2055233607166359E-2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(11.5*84+10.5*975+10.3*381)/1440*G42*2.77*1440/1000000</f>
        <v>57.637563452799988</v>
      </c>
      <c r="J37" s="136">
        <f>+I37+'11'!J37</f>
        <v>831.28143728661962</v>
      </c>
      <c r="K37" s="137" t="s">
        <v>62</v>
      </c>
      <c r="L37" s="160">
        <f>2.429+1.835</f>
        <v>4.2639999999999993</v>
      </c>
    </row>
    <row r="38" spans="1:14" ht="17.45" customHeight="1">
      <c r="A38" s="1034" t="s">
        <v>11</v>
      </c>
      <c r="B38" s="1035"/>
      <c r="C38" s="175">
        <f>SUMIF($G$7:$G$31,"Process",$F$7:$F$31)</f>
        <v>66</v>
      </c>
      <c r="D38" s="129">
        <f>+C38+'11'!D38</f>
        <v>1115</v>
      </c>
      <c r="E38" s="154">
        <f t="shared" ref="E38:E51" si="0">D38/60</f>
        <v>18.583333333333332</v>
      </c>
      <c r="F38" s="340">
        <v>1650</v>
      </c>
      <c r="G38" s="340">
        <v>1337.6</v>
      </c>
      <c r="H38" s="198" t="s">
        <v>63</v>
      </c>
      <c r="I38" s="555">
        <f>17.581+18.238+19.295</f>
        <v>55.114000000000004</v>
      </c>
      <c r="J38" s="138">
        <f>+I38+'11'!J38</f>
        <v>766.55499999999995</v>
      </c>
      <c r="K38" s="139" t="s">
        <v>62</v>
      </c>
      <c r="L38" s="565">
        <f>+I38-L37-L39</f>
        <v>21.831000000000007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+C39+'11'!D39</f>
        <v>0</v>
      </c>
      <c r="E39" s="154">
        <f t="shared" si="0"/>
        <v>0</v>
      </c>
      <c r="F39" s="340">
        <v>1650</v>
      </c>
      <c r="G39" s="340">
        <v>1386</v>
      </c>
      <c r="H39" s="198" t="s">
        <v>64</v>
      </c>
      <c r="I39" s="153"/>
      <c r="J39" s="140">
        <f>J37/G4</f>
        <v>69.273453107218302</v>
      </c>
      <c r="K39" s="141" t="s">
        <v>62</v>
      </c>
      <c r="L39" s="160">
        <f>1.399+1.724+1.689+2.191+2.721+19.295</f>
        <v>29.019000000000002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+C40+'11'!D40</f>
        <v>0</v>
      </c>
      <c r="E40" s="154">
        <f t="shared" si="0"/>
        <v>0</v>
      </c>
      <c r="F40" s="340">
        <v>1670</v>
      </c>
      <c r="G40" s="340">
        <v>1402.8</v>
      </c>
      <c r="H40" s="198" t="s">
        <v>66</v>
      </c>
      <c r="I40" s="129">
        <f>(K34+L34)/1000</f>
        <v>46.07</v>
      </c>
      <c r="J40" s="142">
        <f>+I40+'11'!J40</f>
        <v>731.74300000000017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+C41+'11'!D41</f>
        <v>214</v>
      </c>
      <c r="E41" s="154">
        <f t="shared" si="0"/>
        <v>3.5666666666666669</v>
      </c>
      <c r="F41" s="340"/>
      <c r="G41" s="340"/>
      <c r="H41" s="198" t="s">
        <v>68</v>
      </c>
      <c r="I41" s="153"/>
      <c r="J41" s="140">
        <f>J40/G4</f>
        <v>60.978583333333347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+C42+'11'!D42</f>
        <v>0</v>
      </c>
      <c r="E42" s="154">
        <f t="shared" si="0"/>
        <v>0</v>
      </c>
      <c r="F42" s="340">
        <f>+(F38*480+F39*480+F40*480)/1440</f>
        <v>1656.6666666666667</v>
      </c>
      <c r="G42" s="340">
        <f>+(G38*480+G39*480+G40*480)/1440</f>
        <v>1375.4666666666667</v>
      </c>
      <c r="H42" s="198" t="s">
        <v>69</v>
      </c>
      <c r="I42" s="257" t="s">
        <v>621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+C43+'11'!D43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+Report1!T20</f>
        <v>129.279</v>
      </c>
      <c r="J43" s="144">
        <f>+I43+'11'!J43</f>
        <v>1655.3869999999999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+C44+'11'!D44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2.345665348187393</v>
      </c>
      <c r="J44" s="145">
        <f>J43/J38</f>
        <v>2.1595149728329996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+C45+'11'!D45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2.8061428261341437</v>
      </c>
      <c r="J45" s="145">
        <f>J43/J40</f>
        <v>2.2622519108484802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+C46+'11'!D46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+SUMIF(Listrik!AR19,"&gt;0")</f>
        <v>58672.420000000297</v>
      </c>
      <c r="J46" s="146">
        <f>+I46+'11'!J46</f>
        <v>662526.15999999759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+C47+'11'!D47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1064.5647203977264</v>
      </c>
      <c r="J47" s="146">
        <f>J46/J38</f>
        <v>864.29044230354987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+C48+'11'!D48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1273.5493813761732</v>
      </c>
      <c r="J48" s="146">
        <f>J46/J40</f>
        <v>905.40826492361043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+C49+'11'!D49</f>
        <v>233</v>
      </c>
      <c r="E49" s="154">
        <f t="shared" si="0"/>
        <v>3.8833333333333333</v>
      </c>
      <c r="F49" s="196"/>
      <c r="H49" s="199" t="s">
        <v>81</v>
      </c>
      <c r="I49" s="129">
        <v>0</v>
      </c>
      <c r="J49" s="146">
        <f>+I49+'11'!J49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+C50+'11'!D50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+C51+'11'!D51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66</v>
      </c>
      <c r="D52" s="155">
        <f>SUM(D38:D51)</f>
        <v>1600</v>
      </c>
      <c r="E52" s="156">
        <f>SUM(E38:E51)</f>
        <v>26.666666666666664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4.583333333333333E-2</v>
      </c>
      <c r="D53" s="157">
        <f>D52/(24*60*G4)</f>
        <v>9.2592592592592587E-2</v>
      </c>
      <c r="E53" s="158">
        <f>E52/(G4*24)</f>
        <v>9.2592592592592587E-2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+D34+'11'!J56</f>
        <v>10352</v>
      </c>
      <c r="K56" s="212">
        <f>J56/(J40+J56/1000)/1000</f>
        <v>1.3949696467433412E-2</v>
      </c>
    </row>
    <row r="57" spans="1:11">
      <c r="A57" s="187"/>
      <c r="I57" s="210" t="s">
        <v>88</v>
      </c>
      <c r="J57" s="211">
        <f>+E34+'11'!J57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2:B52"/>
    <mergeCell ref="A53:B53"/>
    <mergeCell ref="A48:B48"/>
    <mergeCell ref="A49:B49"/>
    <mergeCell ref="A50:B50"/>
    <mergeCell ref="A51:B51"/>
    <mergeCell ref="A7:A14"/>
    <mergeCell ref="I7:I13"/>
    <mergeCell ref="A15:A23"/>
    <mergeCell ref="I15:I22"/>
    <mergeCell ref="A46:B46"/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</mergeCells>
  <phoneticPr fontId="31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N61"/>
  <sheetViews>
    <sheetView view="pageBreakPreview" topLeftCell="A13" zoomScale="80" zoomScaleNormal="70" zoomScaleSheetLayoutView="80" workbookViewId="0">
      <selection activeCell="K34" sqref="K34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4" style="160" bestFit="1" customWidth="1"/>
    <col min="12" max="12" width="8.28515625" style="160" customWidth="1"/>
    <col min="13" max="13" width="15.5703125" style="160" bestFit="1" customWidth="1"/>
    <col min="14" max="16384" width="9.140625" style="160"/>
  </cols>
  <sheetData>
    <row r="1" spans="1:14" ht="15.75">
      <c r="A1" s="159"/>
    </row>
    <row r="2" spans="1:14" ht="15.75">
      <c r="A2" s="159" t="s">
        <v>150</v>
      </c>
    </row>
    <row r="3" spans="1:14" ht="15">
      <c r="A3" s="161"/>
    </row>
    <row r="4" spans="1:14" ht="20.25">
      <c r="A4" s="162" t="s">
        <v>3</v>
      </c>
      <c r="B4" s="163"/>
      <c r="F4" s="164" t="s">
        <v>29</v>
      </c>
      <c r="G4" s="165">
        <v>11</v>
      </c>
      <c r="H4" s="165" t="str">
        <f>+'1'!H4</f>
        <v>.06.24</v>
      </c>
    </row>
    <row r="5" spans="1:14" ht="13.5" thickBot="1">
      <c r="C5" s="166"/>
      <c r="D5" s="166"/>
    </row>
    <row r="6" spans="1:14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v>760</v>
      </c>
    </row>
    <row r="7" spans="1:14" ht="13.5" customHeight="1" thickBot="1">
      <c r="A7" s="1020" t="s">
        <v>605</v>
      </c>
      <c r="B7" s="226" t="s">
        <v>624</v>
      </c>
      <c r="C7" s="227">
        <v>15659</v>
      </c>
      <c r="D7" s="228"/>
      <c r="E7" s="229"/>
      <c r="F7" s="239"/>
      <c r="G7" s="240" t="s">
        <v>11</v>
      </c>
      <c r="H7" s="241" t="s">
        <v>473</v>
      </c>
      <c r="I7" s="1023" t="s">
        <v>618</v>
      </c>
      <c r="J7" s="225" t="str">
        <f>+'10'!J7</f>
        <v>MG 14 VP HW</v>
      </c>
      <c r="K7" s="249"/>
      <c r="L7" s="253"/>
      <c r="M7" s="128">
        <f>+K7+'10'!M7+L7</f>
        <v>160441</v>
      </c>
    </row>
    <row r="8" spans="1:14" ht="13.5" thickBot="1">
      <c r="A8" s="1021"/>
      <c r="B8" s="226"/>
      <c r="C8" s="227"/>
      <c r="D8" s="228"/>
      <c r="E8" s="230"/>
      <c r="F8" s="242">
        <v>7</v>
      </c>
      <c r="G8" s="243" t="s">
        <v>11</v>
      </c>
      <c r="H8" s="241" t="s">
        <v>602</v>
      </c>
      <c r="I8" s="1024"/>
      <c r="J8" s="225" t="str">
        <f>+'10'!J8</f>
        <v>MG 17 VP HW</v>
      </c>
      <c r="K8" s="250"/>
      <c r="L8" s="250"/>
      <c r="M8" s="128">
        <f>+K8+'10'!M8+L8</f>
        <v>131048</v>
      </c>
    </row>
    <row r="9" spans="1:14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455</v>
      </c>
      <c r="I9" s="1024"/>
      <c r="J9" s="225" t="str">
        <f>+'10'!J9</f>
        <v>MG 16 VP HW/OW</v>
      </c>
      <c r="K9" s="250"/>
      <c r="L9" s="250"/>
      <c r="M9" s="128">
        <f>+K9+'10'!M9+L9</f>
        <v>278646</v>
      </c>
    </row>
    <row r="10" spans="1:14" ht="13.5" thickBot="1">
      <c r="A10" s="1021"/>
      <c r="B10" s="226"/>
      <c r="C10" s="227"/>
      <c r="D10" s="228"/>
      <c r="E10" s="230"/>
      <c r="F10" s="239"/>
      <c r="G10" s="243"/>
      <c r="H10" s="597" t="s">
        <v>620</v>
      </c>
      <c r="I10" s="1024"/>
      <c r="J10" s="225" t="str">
        <f>+'10'!J10</f>
        <v>MG 22 VP HW</v>
      </c>
      <c r="K10" s="250"/>
      <c r="L10" s="250"/>
      <c r="M10" s="128">
        <f>+K10+'10'!M10+L10</f>
        <v>12128</v>
      </c>
    </row>
    <row r="11" spans="1:14" ht="13.5" thickBot="1">
      <c r="A11" s="1021"/>
      <c r="B11" s="226"/>
      <c r="C11" s="227"/>
      <c r="D11" s="228"/>
      <c r="E11" s="230"/>
      <c r="F11" s="239"/>
      <c r="G11" s="243"/>
      <c r="H11" s="244" t="s">
        <v>593</v>
      </c>
      <c r="I11" s="1024"/>
      <c r="J11" s="225" t="str">
        <f>+'10'!J11</f>
        <v>MG 24 VP HW</v>
      </c>
      <c r="K11" s="250"/>
      <c r="L11" s="250"/>
      <c r="M11" s="128">
        <f>+K11+'10'!M11+L11</f>
        <v>5566</v>
      </c>
    </row>
    <row r="12" spans="1:14" ht="26.25" thickBot="1">
      <c r="A12" s="1021"/>
      <c r="B12" s="226"/>
      <c r="C12" s="227"/>
      <c r="D12" s="228"/>
      <c r="E12" s="230"/>
      <c r="F12" s="239">
        <v>36</v>
      </c>
      <c r="G12" s="243" t="s">
        <v>11</v>
      </c>
      <c r="H12" s="244" t="s">
        <v>617</v>
      </c>
      <c r="I12" s="1024"/>
      <c r="J12" s="225" t="str">
        <f>+'10'!J12</f>
        <v>MG 20 VP HW</v>
      </c>
      <c r="K12" s="250"/>
      <c r="L12" s="250"/>
      <c r="M12" s="128">
        <f>+K12+'10'!M12+L12</f>
        <v>7726</v>
      </c>
    </row>
    <row r="13" spans="1:14" ht="13.5" thickBot="1">
      <c r="A13" s="1021"/>
      <c r="B13" s="226"/>
      <c r="C13" s="227"/>
      <c r="D13" s="227"/>
      <c r="E13" s="230"/>
      <c r="F13" s="239"/>
      <c r="G13" s="243"/>
      <c r="H13" s="244" t="s">
        <v>615</v>
      </c>
      <c r="I13" s="1025"/>
      <c r="J13" s="225" t="str">
        <f>+'10'!J13</f>
        <v>F 12 VP OW</v>
      </c>
      <c r="K13" s="250"/>
      <c r="L13" s="250"/>
      <c r="M13" s="128">
        <f>+K13+'10'!M13+L13</f>
        <v>37322</v>
      </c>
    </row>
    <row r="14" spans="1:14" ht="13.5" thickBot="1">
      <c r="A14" s="1022"/>
      <c r="B14" s="176" t="s">
        <v>2</v>
      </c>
      <c r="C14" s="110">
        <f>SUM(C7:C13)</f>
        <v>15659</v>
      </c>
      <c r="D14" s="122">
        <f>SUM(D7:D13)</f>
        <v>0</v>
      </c>
      <c r="E14" s="123">
        <f>SUM(E5:E13)</f>
        <v>0</v>
      </c>
      <c r="F14" s="127">
        <f>SUM(F7:F13)</f>
        <v>53</v>
      </c>
      <c r="G14" s="170"/>
      <c r="H14" s="177"/>
      <c r="I14" s="178"/>
      <c r="J14" s="225" t="s">
        <v>624</v>
      </c>
      <c r="K14" s="250">
        <f>+C34</f>
        <v>52796</v>
      </c>
      <c r="L14" s="250"/>
      <c r="M14" s="128">
        <f>+K14+'10'!M14+L14</f>
        <v>52796</v>
      </c>
    </row>
    <row r="15" spans="1:14" ht="13.5" customHeight="1" thickBot="1">
      <c r="A15" s="1020" t="s">
        <v>556</v>
      </c>
      <c r="B15" s="176"/>
      <c r="C15" s="124"/>
      <c r="D15" s="125"/>
      <c r="E15" s="126"/>
      <c r="F15" s="239">
        <v>10</v>
      </c>
      <c r="G15" s="240" t="s">
        <v>11</v>
      </c>
      <c r="H15" s="241" t="s">
        <v>418</v>
      </c>
      <c r="I15" s="1023" t="s">
        <v>619</v>
      </c>
      <c r="J15" s="225">
        <f>+'10'!J15</f>
        <v>0</v>
      </c>
      <c r="K15" s="250"/>
      <c r="L15" s="250"/>
      <c r="M15" s="128">
        <f>+K15+'10'!M15+L15</f>
        <v>0</v>
      </c>
    </row>
    <row r="16" spans="1:14" ht="13.5" thickBot="1">
      <c r="A16" s="1026"/>
      <c r="B16" s="226" t="s">
        <v>624</v>
      </c>
      <c r="C16" s="233">
        <v>19304</v>
      </c>
      <c r="D16" s="234"/>
      <c r="E16" s="235"/>
      <c r="F16" s="239">
        <v>5</v>
      </c>
      <c r="G16" s="243" t="s">
        <v>11</v>
      </c>
      <c r="H16" s="241" t="s">
        <v>622</v>
      </c>
      <c r="I16" s="1024"/>
      <c r="J16" s="225">
        <f>+'10'!J16</f>
        <v>0</v>
      </c>
      <c r="K16" s="250"/>
      <c r="L16" s="240"/>
      <c r="M16" s="128">
        <f>+K16+'10'!M16+L16</f>
        <v>0</v>
      </c>
    </row>
    <row r="17" spans="1:14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623</v>
      </c>
      <c r="I17" s="1024"/>
      <c r="J17" s="225">
        <f>+'10'!J17</f>
        <v>0</v>
      </c>
      <c r="K17" s="250"/>
      <c r="L17" s="240"/>
      <c r="M17" s="128">
        <f>+K17+'10'!M17+L17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616</v>
      </c>
      <c r="I18" s="1024"/>
      <c r="J18" s="225">
        <f>+'10'!J18</f>
        <v>0</v>
      </c>
      <c r="K18" s="250"/>
      <c r="L18" s="250"/>
      <c r="M18" s="128">
        <f>+K18+'10'!M18+L18</f>
        <v>0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244" t="s">
        <v>591</v>
      </c>
      <c r="I19" s="1024"/>
      <c r="J19" s="225">
        <f>+'10'!J19</f>
        <v>0</v>
      </c>
      <c r="K19" s="250"/>
      <c r="L19" s="250"/>
      <c r="M19" s="128">
        <f>+K19+'10'!M19+L19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+'10'!J20</f>
        <v>0</v>
      </c>
      <c r="K20" s="250"/>
      <c r="L20" s="251"/>
      <c r="M20" s="128">
        <f>+K20+'10'!M20+L20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+'10'!J21</f>
        <v>0</v>
      </c>
      <c r="K21" s="250"/>
      <c r="L21" s="250"/>
      <c r="M21" s="128">
        <f>+K21+'10'!M21+L21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+'10'!J22</f>
        <v>0</v>
      </c>
      <c r="K22" s="250"/>
      <c r="L22" s="250"/>
      <c r="M22" s="128">
        <f>+K22+'10'!M22+L22</f>
        <v>0</v>
      </c>
    </row>
    <row r="23" spans="1:14" ht="13.5" thickBot="1">
      <c r="A23" s="1027"/>
      <c r="B23" s="179" t="s">
        <v>2</v>
      </c>
      <c r="C23" s="111">
        <f>SUM(C16:C22)</f>
        <v>19304</v>
      </c>
      <c r="D23" s="122">
        <f>SUM(D16:D22)</f>
        <v>0</v>
      </c>
      <c r="E23" s="123">
        <f>SUM(E18:E22)</f>
        <v>0</v>
      </c>
      <c r="F23" s="127">
        <f>SUM(F15:F22)</f>
        <v>25</v>
      </c>
      <c r="G23" s="170"/>
      <c r="H23" s="177" t="s">
        <v>234</v>
      </c>
      <c r="I23" s="180"/>
      <c r="J23" s="225">
        <f>+'10'!J23</f>
        <v>0</v>
      </c>
      <c r="K23" s="250"/>
      <c r="L23" s="250"/>
      <c r="M23" s="128">
        <f>+K23+'10'!M23+L23</f>
        <v>0</v>
      </c>
    </row>
    <row r="24" spans="1:14" ht="13.5" customHeight="1" thickBot="1">
      <c r="A24" s="1020" t="s">
        <v>434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 t="s">
        <v>619</v>
      </c>
      <c r="J24" s="225">
        <f>+'10'!J24</f>
        <v>0</v>
      </c>
      <c r="K24" s="250"/>
      <c r="L24" s="250"/>
      <c r="M24" s="128">
        <f>+K24+'10'!M24+L24</f>
        <v>0</v>
      </c>
    </row>
    <row r="25" spans="1:14" ht="13.5" thickBot="1">
      <c r="A25" s="1028"/>
      <c r="B25" s="226" t="s">
        <v>624</v>
      </c>
      <c r="C25" s="237">
        <v>17833</v>
      </c>
      <c r="D25" s="228"/>
      <c r="E25" s="236"/>
      <c r="F25" s="242">
        <v>4</v>
      </c>
      <c r="G25" s="243" t="s">
        <v>11</v>
      </c>
      <c r="H25" s="241" t="s">
        <v>602</v>
      </c>
      <c r="I25" s="1024"/>
      <c r="J25" s="225">
        <f>+'10'!J25</f>
        <v>0</v>
      </c>
      <c r="K25" s="250"/>
      <c r="L25" s="250"/>
      <c r="M25" s="128">
        <f>+K25+'10'!M25+L25</f>
        <v>0</v>
      </c>
    </row>
    <row r="26" spans="1:14" ht="13.5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453</v>
      </c>
      <c r="I26" s="1024"/>
      <c r="J26" s="225">
        <f>+'10'!J26</f>
        <v>0</v>
      </c>
      <c r="K26" s="240"/>
      <c r="L26" s="240"/>
      <c r="M26" s="128">
        <f>+K26+'10'!M26+L26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616</v>
      </c>
      <c r="I27" s="1024"/>
      <c r="J27" s="225">
        <f>+'10'!J27</f>
        <v>0</v>
      </c>
      <c r="K27" s="240"/>
      <c r="L27" s="240"/>
      <c r="M27" s="128">
        <f>+K27+'10'!M27+L27</f>
        <v>0</v>
      </c>
    </row>
    <row r="28" spans="1:14" ht="13.5" thickBot="1">
      <c r="A28" s="1028"/>
      <c r="B28" s="226"/>
      <c r="C28" s="227"/>
      <c r="D28" s="228"/>
      <c r="E28" s="236"/>
      <c r="F28" s="242"/>
      <c r="G28" s="243"/>
      <c r="H28" s="244"/>
      <c r="I28" s="1024"/>
      <c r="J28" s="225">
        <f>+'10'!J28</f>
        <v>0</v>
      </c>
      <c r="K28" s="250"/>
      <c r="L28" s="250"/>
      <c r="M28" s="128">
        <f>+K28+'10'!M28+L28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+'10'!J29</f>
        <v>0</v>
      </c>
      <c r="K29" s="250"/>
      <c r="L29" s="250"/>
      <c r="M29" s="128">
        <f>+K29+'10'!M29+L29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+'10'!J30</f>
        <v>0</v>
      </c>
      <c r="K30" s="251"/>
      <c r="L30" s="251"/>
      <c r="M30" s="128">
        <f>+K30+'10'!M30+L30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+'10'!J31</f>
        <v>0</v>
      </c>
      <c r="K31" s="250"/>
      <c r="L31" s="250"/>
      <c r="M31" s="128">
        <f>+K31+'10'!M31+L31</f>
        <v>0</v>
      </c>
    </row>
    <row r="32" spans="1:14" ht="13.5" thickBot="1">
      <c r="A32" s="1029"/>
      <c r="B32" s="176" t="s">
        <v>2</v>
      </c>
      <c r="C32" s="110">
        <f>SUM(C25:C31)</f>
        <v>17833</v>
      </c>
      <c r="D32" s="111">
        <f>SUM(D25:D31)</f>
        <v>0</v>
      </c>
      <c r="E32" s="112">
        <f>SUM(E25:E31)</f>
        <v>0</v>
      </c>
      <c r="F32" s="113">
        <f>SUM(F24:F31)</f>
        <v>24</v>
      </c>
      <c r="G32" s="182"/>
      <c r="H32" s="183"/>
      <c r="I32" s="180"/>
      <c r="J32" s="225">
        <f>+'10'!J32</f>
        <v>0</v>
      </c>
      <c r="K32" s="250"/>
      <c r="L32" s="250"/>
      <c r="M32" s="128">
        <f>+K32+'10'!M32+L32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52796</v>
      </c>
      <c r="D34" s="118">
        <f>D14+D23+D32</f>
        <v>0</v>
      </c>
      <c r="E34" s="118">
        <f>E14+E23+E32</f>
        <v>0</v>
      </c>
      <c r="F34" s="119">
        <f>F14+F23+F32</f>
        <v>102</v>
      </c>
      <c r="H34" s="189"/>
      <c r="I34" s="189"/>
      <c r="J34" s="134" t="s">
        <v>27</v>
      </c>
      <c r="K34" s="135">
        <f>SUM(K7:K32)</f>
        <v>52796</v>
      </c>
      <c r="L34" s="223">
        <f>SUM(L7:L32)</f>
        <v>0</v>
      </c>
      <c r="M34" s="131">
        <f>SUM(M7:M32)</f>
        <v>685673</v>
      </c>
      <c r="N34" s="166"/>
    </row>
    <row r="35" spans="1:14" ht="13.5" thickBot="1">
      <c r="A35" s="190"/>
      <c r="B35" s="191"/>
      <c r="C35" s="115">
        <f>C34/($C$34+$D$34+$E$34)</f>
        <v>1</v>
      </c>
      <c r="D35" s="115">
        <f>D34/($C$34+$D$34+$E$34)</f>
        <v>0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(11.5*1440)/1440*G42*2.77*1440/1000000</f>
        <v>60.183014400000005</v>
      </c>
      <c r="J37" s="136">
        <f>+I37+'10'!J37</f>
        <v>773.64387383381961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102</v>
      </c>
      <c r="D38" s="129">
        <f>+C38+'10'!D38</f>
        <v>1049</v>
      </c>
      <c r="E38" s="154">
        <f t="shared" ref="E38:E51" si="0">D38/60</f>
        <v>17.483333333333334</v>
      </c>
      <c r="F38" s="340">
        <v>1620</v>
      </c>
      <c r="G38" s="340">
        <f>+F38-F38*0.2</f>
        <v>1296</v>
      </c>
      <c r="H38" s="198" t="s">
        <v>63</v>
      </c>
      <c r="I38" s="555">
        <f>15.947+20.061+17.998</f>
        <v>54.006</v>
      </c>
      <c r="J38" s="138">
        <f>+I38+'10'!J38</f>
        <v>711.44099999999992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+C39+'10'!D39</f>
        <v>0</v>
      </c>
      <c r="E39" s="154">
        <f t="shared" si="0"/>
        <v>0</v>
      </c>
      <c r="F39" s="340">
        <v>1650</v>
      </c>
      <c r="G39" s="340">
        <f>+F39-F39*0.2</f>
        <v>1320</v>
      </c>
      <c r="H39" s="198" t="s">
        <v>64</v>
      </c>
      <c r="I39" s="153"/>
      <c r="J39" s="140">
        <f>J37/G4</f>
        <v>70.331261257619971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+C40+'10'!D40</f>
        <v>0</v>
      </c>
      <c r="E40" s="154">
        <f t="shared" si="0"/>
        <v>0</v>
      </c>
      <c r="F40" s="340">
        <v>1650</v>
      </c>
      <c r="G40" s="340">
        <f>+F40-F40*0.2</f>
        <v>1320</v>
      </c>
      <c r="H40" s="198" t="s">
        <v>66</v>
      </c>
      <c r="I40" s="129">
        <f>(K34+L34)/1000</f>
        <v>52.795999999999999</v>
      </c>
      <c r="J40" s="142">
        <f>+I40+'10'!J40</f>
        <v>685.67300000000012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+C41+'10'!D41</f>
        <v>214</v>
      </c>
      <c r="E41" s="154">
        <f t="shared" si="0"/>
        <v>3.5666666666666669</v>
      </c>
      <c r="F41" s="340"/>
      <c r="G41" s="340"/>
      <c r="H41" s="198" t="s">
        <v>68</v>
      </c>
      <c r="I41" s="153"/>
      <c r="J41" s="140">
        <f>J40/G4</f>
        <v>62.333909090909103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+C42+'10'!D42</f>
        <v>0</v>
      </c>
      <c r="E42" s="154">
        <f t="shared" si="0"/>
        <v>0</v>
      </c>
      <c r="F42" s="340">
        <f>+(F38*480+F39*480+F40*480)/1440</f>
        <v>1640</v>
      </c>
      <c r="G42" s="340">
        <f>+(G38*480+G39*480+G40*480)/1440</f>
        <v>1312</v>
      </c>
      <c r="H42" s="198" t="s">
        <v>69</v>
      </c>
      <c r="I42" s="257" t="s">
        <v>621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+C43+'10'!D43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+Report1!T19</f>
        <v>127.309</v>
      </c>
      <c r="J43" s="144">
        <f>+I43+'10'!J43</f>
        <v>1526.1079999999999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+C44+'10'!D44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2.3573121505017962</v>
      </c>
      <c r="J44" s="145">
        <f>J43/J38</f>
        <v>2.1450942523694869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+C45+'10'!D45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2.4113379801500114</v>
      </c>
      <c r="J45" s="145">
        <f>J43/J40</f>
        <v>2.2257081728462396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+C46+'10'!D46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+SUMIF(Listrik!AR18,"&gt;0")</f>
        <v>58050.100000000602</v>
      </c>
      <c r="J46" s="146">
        <f>+I46+'10'!J46</f>
        <v>603853.73999999731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+C47+'10'!D47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1074.8824204718105</v>
      </c>
      <c r="J47" s="146">
        <f>J46/J38</f>
        <v>848.77556958341927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+C48+'10'!D48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1099.5170088643192</v>
      </c>
      <c r="J48" s="146">
        <f>J46/J40</f>
        <v>880.67306135723186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+C49+'10'!D49</f>
        <v>233</v>
      </c>
      <c r="E49" s="154">
        <f t="shared" si="0"/>
        <v>3.8833333333333333</v>
      </c>
      <c r="F49" s="196"/>
      <c r="H49" s="199" t="s">
        <v>184</v>
      </c>
      <c r="I49" s="129">
        <v>0</v>
      </c>
      <c r="J49" s="146">
        <f>+I49+'10'!J49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+C50+'10'!D50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+C51+'10'!D51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102</v>
      </c>
      <c r="D52" s="155">
        <f>SUM(D38:D51)</f>
        <v>1534</v>
      </c>
      <c r="E52" s="156">
        <f>SUM(E38:E51)</f>
        <v>25.566666666666666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7.0833333333333331E-2</v>
      </c>
      <c r="D53" s="157">
        <f>D52/(24*60*G4)</f>
        <v>9.6843434343434343E-2</v>
      </c>
      <c r="E53" s="158">
        <f>E52/(G4*24)</f>
        <v>9.6843434343434343E-2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+D34+'10'!J56</f>
        <v>9313</v>
      </c>
      <c r="K56" s="212">
        <f>J56/(J40+J56/1000)/1000</f>
        <v>1.340026993349506E-2</v>
      </c>
    </row>
    <row r="57" spans="1:11">
      <c r="A57" s="187"/>
      <c r="I57" s="210" t="s">
        <v>88</v>
      </c>
      <c r="J57" s="211">
        <f>+E34+'10'!J57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1" type="noConversion"/>
  <pageMargins left="0.17" right="0.16" top="0.17" bottom="0.16" header="0" footer="0"/>
  <pageSetup paperSize="9" scale="61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61"/>
  <sheetViews>
    <sheetView view="pageBreakPreview" topLeftCell="A25" zoomScale="80" zoomScaleNormal="75" zoomScaleSheetLayoutView="80" workbookViewId="0">
      <selection activeCell="I37" sqref="I37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8.28515625" style="160" customWidth="1"/>
    <col min="13" max="13" width="12.140625" style="160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10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275+258+300</f>
        <v>833</v>
      </c>
    </row>
    <row r="7" spans="1:18" ht="13.5" customHeight="1" thickBot="1">
      <c r="A7" s="1020" t="s">
        <v>605</v>
      </c>
      <c r="B7" s="226" t="s">
        <v>604</v>
      </c>
      <c r="C7" s="227">
        <v>17901</v>
      </c>
      <c r="D7" s="228">
        <v>607</v>
      </c>
      <c r="E7" s="229"/>
      <c r="F7" s="239"/>
      <c r="G7" s="240" t="s">
        <v>11</v>
      </c>
      <c r="H7" s="241" t="s">
        <v>473</v>
      </c>
      <c r="I7" s="1023" t="s">
        <v>595</v>
      </c>
      <c r="J7" s="225" t="str">
        <f>+'9'!J7</f>
        <v>MG 14 VP HW</v>
      </c>
      <c r="K7" s="249"/>
      <c r="L7" s="253"/>
      <c r="M7" s="128">
        <f>+K7+'9'!M7+L7</f>
        <v>160441</v>
      </c>
    </row>
    <row r="8" spans="1:18" ht="13.5" thickBot="1">
      <c r="A8" s="1021"/>
      <c r="B8" s="226"/>
      <c r="C8" s="227"/>
      <c r="D8" s="228"/>
      <c r="E8" s="230"/>
      <c r="F8" s="242">
        <v>1</v>
      </c>
      <c r="G8" s="243" t="s">
        <v>11</v>
      </c>
      <c r="H8" s="241" t="s">
        <v>535</v>
      </c>
      <c r="I8" s="1024"/>
      <c r="J8" s="225" t="str">
        <f>+'9'!J8</f>
        <v>MG 17 VP HW</v>
      </c>
      <c r="K8" s="250"/>
      <c r="L8" s="250"/>
      <c r="M8" s="128">
        <f>+K8+'9'!M8+L8</f>
        <v>131048</v>
      </c>
    </row>
    <row r="9" spans="1:18" ht="13.5" thickBot="1">
      <c r="A9" s="1021"/>
      <c r="B9" s="226"/>
      <c r="C9" s="227"/>
      <c r="D9" s="228"/>
      <c r="E9" s="231"/>
      <c r="F9" s="239">
        <v>7</v>
      </c>
      <c r="G9" s="243" t="s">
        <v>11</v>
      </c>
      <c r="H9" s="597" t="s">
        <v>576</v>
      </c>
      <c r="I9" s="1024"/>
      <c r="J9" s="225" t="s">
        <v>604</v>
      </c>
      <c r="K9" s="250">
        <f>+C7+C16</f>
        <v>21044</v>
      </c>
      <c r="L9" s="250"/>
      <c r="M9" s="128">
        <f>+K9+'9'!M9+L9</f>
        <v>278646</v>
      </c>
      <c r="N9" s="160">
        <v>1111</v>
      </c>
      <c r="O9" s="160">
        <f>+N9-N9*0.0035</f>
        <v>1107.1115</v>
      </c>
      <c r="P9" s="160">
        <f>8+120+232</f>
        <v>360</v>
      </c>
      <c r="Q9" s="160">
        <f>+P9*N9</f>
        <v>399960</v>
      </c>
      <c r="R9" s="160">
        <f>+P9*O9</f>
        <v>398560.14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588</v>
      </c>
      <c r="I10" s="1024"/>
      <c r="J10" s="225" t="str">
        <f>+'9'!J10</f>
        <v>MG 22 VP HW</v>
      </c>
      <c r="K10" s="250"/>
      <c r="L10" s="250"/>
      <c r="M10" s="128">
        <f>+K10+'9'!M10+L10</f>
        <v>12128</v>
      </c>
      <c r="N10" s="160">
        <v>1600</v>
      </c>
      <c r="O10" s="160">
        <f>+N10-N10*0.2</f>
        <v>1280</v>
      </c>
      <c r="P10" s="160">
        <v>120</v>
      </c>
      <c r="Q10" s="160">
        <f>+P10*N10</f>
        <v>192000</v>
      </c>
      <c r="R10" s="160">
        <f>+P10*O10</f>
        <v>153600</v>
      </c>
    </row>
    <row r="11" spans="1:18" ht="13.5" thickBot="1">
      <c r="A11" s="1021"/>
      <c r="B11" s="226"/>
      <c r="C11" s="227"/>
      <c r="D11" s="228"/>
      <c r="E11" s="230"/>
      <c r="F11" s="239">
        <v>15</v>
      </c>
      <c r="G11" s="243" t="s">
        <v>11</v>
      </c>
      <c r="H11" s="244" t="s">
        <v>592</v>
      </c>
      <c r="I11" s="1024"/>
      <c r="J11" s="225" t="str">
        <f>+'9'!J11</f>
        <v>MG 24 VP HW</v>
      </c>
      <c r="K11" s="250"/>
      <c r="L11" s="250"/>
      <c r="M11" s="128">
        <f>+K11+'9'!M11+L11</f>
        <v>5566</v>
      </c>
      <c r="P11" s="160">
        <f>SUM(P8:P10)</f>
        <v>480</v>
      </c>
      <c r="Q11" s="160">
        <f>SUM(Q8:Q10)</f>
        <v>591960</v>
      </c>
      <c r="R11" s="160">
        <f>SUM(R8:R10)</f>
        <v>552160.14</v>
      </c>
    </row>
    <row r="12" spans="1:18" ht="13.5" thickBot="1">
      <c r="A12" s="1021"/>
      <c r="B12" s="226"/>
      <c r="C12" s="227"/>
      <c r="D12" s="228"/>
      <c r="E12" s="230"/>
      <c r="F12" s="239"/>
      <c r="G12" s="243"/>
      <c r="H12" s="244" t="s">
        <v>594</v>
      </c>
      <c r="I12" s="1024"/>
      <c r="J12" s="225" t="str">
        <f>+'9'!J12</f>
        <v>MG 20 VP HW</v>
      </c>
      <c r="K12" s="250"/>
      <c r="L12" s="250"/>
      <c r="M12" s="128">
        <f>+K12+'9'!M12+L12</f>
        <v>7726</v>
      </c>
      <c r="Q12" s="160">
        <f>+Q11/P11</f>
        <v>1233.25</v>
      </c>
      <c r="R12" s="160">
        <f>+R11/P11</f>
        <v>1150.333625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 t="s">
        <v>593</v>
      </c>
      <c r="I13" s="1025"/>
      <c r="J13" s="225" t="s">
        <v>603</v>
      </c>
      <c r="K13" s="250">
        <f>+C8+C17+C25</f>
        <v>37322</v>
      </c>
      <c r="L13" s="250"/>
      <c r="M13" s="128">
        <f>+K13+'9'!M13+L13</f>
        <v>37322</v>
      </c>
    </row>
    <row r="14" spans="1:18" ht="13.5" thickBot="1">
      <c r="A14" s="1022"/>
      <c r="B14" s="176" t="s">
        <v>2</v>
      </c>
      <c r="C14" s="110">
        <f>SUM(C7:C13)</f>
        <v>17901</v>
      </c>
      <c r="D14" s="122">
        <f>SUM(D7:D13)</f>
        <v>607</v>
      </c>
      <c r="E14" s="123">
        <f>SUM(E5:E13)</f>
        <v>0</v>
      </c>
      <c r="F14" s="127">
        <f>SUM(F7:F13)</f>
        <v>23</v>
      </c>
      <c r="G14" s="170"/>
      <c r="H14" s="177"/>
      <c r="I14" s="178"/>
      <c r="J14" s="225">
        <f>+'9'!J14</f>
        <v>0</v>
      </c>
      <c r="K14" s="250"/>
      <c r="L14" s="250"/>
      <c r="M14" s="128">
        <f>+K14+'9'!M14+L14</f>
        <v>0</v>
      </c>
    </row>
    <row r="15" spans="1:18" ht="13.5" customHeight="1" thickBot="1">
      <c r="A15" s="1020" t="s">
        <v>556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597</v>
      </c>
      <c r="J15" s="225">
        <f>+'9'!J15</f>
        <v>0</v>
      </c>
      <c r="K15" s="250"/>
      <c r="L15" s="250"/>
      <c r="M15" s="128">
        <f>+K15+'9'!M15+L15</f>
        <v>0</v>
      </c>
    </row>
    <row r="16" spans="1:18" ht="13.5" thickBot="1">
      <c r="A16" s="1026"/>
      <c r="B16" s="226" t="s">
        <v>604</v>
      </c>
      <c r="C16" s="233">
        <f>251+2892</f>
        <v>3143</v>
      </c>
      <c r="D16" s="234"/>
      <c r="E16" s="235"/>
      <c r="F16" s="239">
        <v>4</v>
      </c>
      <c r="G16" s="243" t="s">
        <v>11</v>
      </c>
      <c r="H16" s="241" t="s">
        <v>600</v>
      </c>
      <c r="I16" s="1024"/>
      <c r="J16" s="225">
        <f>+'9'!J16</f>
        <v>0</v>
      </c>
      <c r="K16" s="250"/>
      <c r="L16" s="250"/>
      <c r="M16" s="128">
        <f>+K16+'9'!M16+L16</f>
        <v>0</v>
      </c>
      <c r="N16" s="160">
        <v>1600</v>
      </c>
      <c r="O16" s="160">
        <f>+N16-N16*0.2</f>
        <v>1280</v>
      </c>
      <c r="P16" s="160">
        <v>120</v>
      </c>
      <c r="Q16" s="160">
        <f>+P16*N16</f>
        <v>192000</v>
      </c>
      <c r="R16" s="160">
        <f>+P16*O16</f>
        <v>153600</v>
      </c>
    </row>
    <row r="17" spans="1:18" ht="13.5" thickBot="1">
      <c r="A17" s="1026"/>
      <c r="B17" s="226" t="s">
        <v>603</v>
      </c>
      <c r="C17" s="227">
        <v>17669</v>
      </c>
      <c r="D17" s="228"/>
      <c r="E17" s="236"/>
      <c r="F17" s="239">
        <v>10</v>
      </c>
      <c r="G17" s="243" t="s">
        <v>11</v>
      </c>
      <c r="H17" s="597" t="s">
        <v>601</v>
      </c>
      <c r="I17" s="1024"/>
      <c r="J17" s="225">
        <f>+'9'!J17</f>
        <v>0</v>
      </c>
      <c r="K17" s="250"/>
      <c r="L17" s="250"/>
      <c r="M17" s="128">
        <f>+K17+'9'!M17+L17</f>
        <v>0</v>
      </c>
      <c r="N17" s="160">
        <v>1610</v>
      </c>
      <c r="O17" s="160">
        <f>+N17-N17*0.2</f>
        <v>1288</v>
      </c>
      <c r="P17" s="160">
        <v>960</v>
      </c>
      <c r="Q17" s="160">
        <f>+P17*N17</f>
        <v>1545600</v>
      </c>
      <c r="R17" s="160">
        <f>+P17*O17</f>
        <v>1236480</v>
      </c>
    </row>
    <row r="18" spans="1:18" ht="13.5" thickBot="1">
      <c r="A18" s="1026"/>
      <c r="B18" s="226"/>
      <c r="C18" s="227"/>
      <c r="D18" s="228"/>
      <c r="E18" s="236"/>
      <c r="F18" s="239"/>
      <c r="G18" s="243"/>
      <c r="H18" s="597" t="s">
        <v>596</v>
      </c>
      <c r="I18" s="1024"/>
      <c r="J18" s="225">
        <f>+'9'!J18</f>
        <v>0</v>
      </c>
      <c r="K18" s="250"/>
      <c r="L18" s="250"/>
      <c r="M18" s="128">
        <f>+K18+'9'!M18+L18</f>
        <v>0</v>
      </c>
      <c r="P18" s="160">
        <f>SUM(P15:P17)</f>
        <v>1080</v>
      </c>
      <c r="Q18" s="160">
        <f>SUM(Q15:Q17)</f>
        <v>1737600</v>
      </c>
      <c r="R18" s="160">
        <f>SUM(R15:R17)</f>
        <v>1390080</v>
      </c>
    </row>
    <row r="19" spans="1:18" ht="13.5" thickBot="1">
      <c r="A19" s="1026"/>
      <c r="B19" s="226"/>
      <c r="C19" s="227"/>
      <c r="D19" s="228"/>
      <c r="E19" s="236"/>
      <c r="F19" s="246"/>
      <c r="G19" s="243"/>
      <c r="H19" s="244" t="s">
        <v>591</v>
      </c>
      <c r="I19" s="1024"/>
      <c r="J19" s="225">
        <f>+'9'!J19</f>
        <v>0</v>
      </c>
      <c r="K19" s="250"/>
      <c r="L19" s="250"/>
      <c r="M19" s="128">
        <f>+K19+'9'!M19+L19</f>
        <v>0</v>
      </c>
      <c r="Q19" s="160">
        <f>+Q18/P18</f>
        <v>1608.8888888888889</v>
      </c>
      <c r="R19" s="160">
        <f>+R18/P18</f>
        <v>1287.1111111111111</v>
      </c>
    </row>
    <row r="20" spans="1:18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+'9'!J20</f>
        <v>0</v>
      </c>
      <c r="K20" s="250"/>
      <c r="L20" s="250"/>
      <c r="M20" s="128">
        <f>+K20+'9'!M20+L20</f>
        <v>0</v>
      </c>
    </row>
    <row r="21" spans="1:18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+'9'!J21</f>
        <v>0</v>
      </c>
      <c r="K21" s="250"/>
      <c r="L21" s="250"/>
      <c r="M21" s="128">
        <f>+K21+'9'!M21+L21</f>
        <v>0</v>
      </c>
    </row>
    <row r="22" spans="1:18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+'9'!J22</f>
        <v>0</v>
      </c>
      <c r="K22" s="250"/>
      <c r="L22" s="250"/>
      <c r="M22" s="128">
        <f>+K22+'9'!M22+L22</f>
        <v>0</v>
      </c>
    </row>
    <row r="23" spans="1:18" ht="13.5" thickBot="1">
      <c r="A23" s="1027"/>
      <c r="B23" s="179" t="s">
        <v>2</v>
      </c>
      <c r="C23" s="111">
        <f>SUM(C16:C22)</f>
        <v>20812</v>
      </c>
      <c r="D23" s="122">
        <f>SUM(D16:D22)</f>
        <v>0</v>
      </c>
      <c r="E23" s="123">
        <f>SUM(E18:E22)</f>
        <v>0</v>
      </c>
      <c r="F23" s="127">
        <f>SUM(F15:F22)</f>
        <v>14</v>
      </c>
      <c r="G23" s="170"/>
      <c r="H23" s="177" t="s">
        <v>234</v>
      </c>
      <c r="I23" s="180"/>
      <c r="J23" s="225">
        <f>+'9'!J23</f>
        <v>0</v>
      </c>
      <c r="K23" s="250"/>
      <c r="L23" s="250"/>
      <c r="M23" s="128">
        <f>+K23+'9'!M23+L23</f>
        <v>0</v>
      </c>
    </row>
    <row r="24" spans="1:18" ht="13.5" customHeight="1" thickBot="1">
      <c r="A24" s="1020" t="s">
        <v>434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 t="s">
        <v>598</v>
      </c>
      <c r="J24" s="225">
        <f>+'8'!J24</f>
        <v>0</v>
      </c>
      <c r="K24" s="250"/>
      <c r="L24" s="250"/>
      <c r="M24" s="128">
        <f>+K24+'9'!M24+L24</f>
        <v>0</v>
      </c>
    </row>
    <row r="25" spans="1:18" ht="13.5" customHeight="1" thickBot="1">
      <c r="A25" s="1028"/>
      <c r="B25" s="226" t="s">
        <v>603</v>
      </c>
      <c r="C25" s="237">
        <v>19653</v>
      </c>
      <c r="D25" s="228"/>
      <c r="E25" s="236"/>
      <c r="F25" s="242">
        <v>7</v>
      </c>
      <c r="G25" s="243" t="s">
        <v>11</v>
      </c>
      <c r="H25" s="241" t="s">
        <v>602</v>
      </c>
      <c r="I25" s="1024"/>
      <c r="J25" s="225">
        <f>+'8'!J25</f>
        <v>0</v>
      </c>
      <c r="K25" s="250"/>
      <c r="L25" s="250"/>
      <c r="M25" s="128">
        <f>+K25+'9'!M25+L25</f>
        <v>0</v>
      </c>
    </row>
    <row r="26" spans="1:18" ht="13.5" customHeight="1" thickBot="1">
      <c r="A26" s="1028"/>
      <c r="B26" s="226"/>
      <c r="C26" s="237"/>
      <c r="D26" s="228"/>
      <c r="E26" s="238"/>
      <c r="F26" s="242">
        <v>10</v>
      </c>
      <c r="G26" s="243" t="s">
        <v>11</v>
      </c>
      <c r="H26" s="597" t="s">
        <v>601</v>
      </c>
      <c r="I26" s="1024"/>
      <c r="J26" s="225">
        <f>+'8'!J26</f>
        <v>0</v>
      </c>
      <c r="K26" s="250"/>
      <c r="L26" s="250"/>
      <c r="M26" s="128">
        <f>+K26+'9'!M26+L26</f>
        <v>0</v>
      </c>
    </row>
    <row r="27" spans="1:18" ht="13.5" customHeight="1" thickBot="1">
      <c r="A27" s="1028"/>
      <c r="B27" s="226"/>
      <c r="C27" s="227"/>
      <c r="D27" s="228"/>
      <c r="E27" s="236"/>
      <c r="F27" s="242"/>
      <c r="G27" s="243"/>
      <c r="H27" s="597" t="s">
        <v>596</v>
      </c>
      <c r="I27" s="1024"/>
      <c r="J27" s="225">
        <f>+'8'!J27</f>
        <v>0</v>
      </c>
      <c r="K27" s="250"/>
      <c r="L27" s="250"/>
      <c r="M27" s="128">
        <f>+K27+'9'!M27+L27</f>
        <v>0</v>
      </c>
    </row>
    <row r="28" spans="1:18" ht="13.5" customHeight="1" thickBot="1">
      <c r="A28" s="1028"/>
      <c r="B28" s="226"/>
      <c r="C28" s="227"/>
      <c r="D28" s="228"/>
      <c r="E28" s="236"/>
      <c r="F28" s="242"/>
      <c r="G28" s="243"/>
      <c r="H28" s="244"/>
      <c r="I28" s="1024"/>
      <c r="J28" s="225">
        <f>+'8'!J28</f>
        <v>0</v>
      </c>
      <c r="K28" s="250"/>
      <c r="L28" s="250"/>
      <c r="M28" s="128">
        <f>+K28+'9'!M28+L28</f>
        <v>0</v>
      </c>
    </row>
    <row r="29" spans="1:18" ht="13.5" customHeight="1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+'8'!J29</f>
        <v>0</v>
      </c>
      <c r="K29" s="250"/>
      <c r="L29" s="250"/>
      <c r="M29" s="128">
        <f>+K29+'9'!M29+L29</f>
        <v>0</v>
      </c>
    </row>
    <row r="30" spans="1:18" ht="13.5" customHeight="1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+'8'!J30</f>
        <v>0</v>
      </c>
      <c r="K30" s="250"/>
      <c r="L30" s="250"/>
      <c r="M30" s="128">
        <f>+K30+'9'!M30+L30</f>
        <v>0</v>
      </c>
      <c r="N30" s="166"/>
    </row>
    <row r="31" spans="1:18" ht="13.5" customHeight="1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25">
        <f>+'8'!J31</f>
        <v>0</v>
      </c>
      <c r="K31" s="250"/>
      <c r="L31" s="250"/>
      <c r="M31" s="128">
        <f>+K31+'9'!M31+L31</f>
        <v>0</v>
      </c>
    </row>
    <row r="32" spans="1:18" ht="13.5" customHeight="1" thickBot="1">
      <c r="A32" s="1029"/>
      <c r="B32" s="176" t="s">
        <v>2</v>
      </c>
      <c r="C32" s="110">
        <f>SUM(C25:C31)</f>
        <v>19653</v>
      </c>
      <c r="D32" s="111">
        <f>SUM(D25:D31)</f>
        <v>0</v>
      </c>
      <c r="E32" s="112">
        <f>SUM(E25:E31)</f>
        <v>0</v>
      </c>
      <c r="F32" s="113">
        <f>SUM(F24:F31)</f>
        <v>27</v>
      </c>
      <c r="G32" s="182"/>
      <c r="H32" s="183"/>
      <c r="I32" s="180"/>
      <c r="J32" s="225">
        <f>+'8'!J32</f>
        <v>0</v>
      </c>
      <c r="K32" s="252"/>
      <c r="L32" s="254"/>
      <c r="M32" s="128">
        <f>+K32+'9'!M32+L32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58366</v>
      </c>
      <c r="D34" s="118">
        <f>D14+D23+D32</f>
        <v>607</v>
      </c>
      <c r="E34" s="118">
        <f>E14+E23+E32</f>
        <v>0</v>
      </c>
      <c r="F34" s="119">
        <f>F14+F23+F32</f>
        <v>64</v>
      </c>
      <c r="H34" s="189"/>
      <c r="I34" s="189"/>
      <c r="J34" s="134" t="s">
        <v>27</v>
      </c>
      <c r="K34" s="135">
        <f>SUM(K7:K32)</f>
        <v>58366</v>
      </c>
      <c r="L34" s="223">
        <f>SUM(L7:L32)</f>
        <v>0</v>
      </c>
      <c r="M34" s="131">
        <f>SUM(M7:M32)</f>
        <v>632877</v>
      </c>
      <c r="N34" s="166"/>
    </row>
    <row r="35" spans="1:14" ht="13.5" thickBot="1">
      <c r="A35" s="190"/>
      <c r="B35" s="191"/>
      <c r="C35" s="115">
        <f>C34/($C$34+$D$34+$E$34)</f>
        <v>0.98970715412137755</v>
      </c>
      <c r="D35" s="115">
        <f>D34/($C$34+$D$34+$E$34)</f>
        <v>1.029284587862242E-2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(16*360+12*1080)/1440*G42*2.77*1440/1000000</f>
        <v>64.4089314414</v>
      </c>
      <c r="J37" s="355">
        <f>+I37+'9'!J37</f>
        <v>713.46085943381956</v>
      </c>
      <c r="K37" s="137" t="s">
        <v>62</v>
      </c>
      <c r="N37" s="160">
        <f>18.806-0.862</f>
        <v>17.944000000000003</v>
      </c>
    </row>
    <row r="38" spans="1:14" ht="17.45" customHeight="1">
      <c r="A38" s="1034" t="s">
        <v>11</v>
      </c>
      <c r="B38" s="1035"/>
      <c r="C38" s="175">
        <f>SUMIF($G$7:$G$31,"Process",$F$7:$F$31)</f>
        <v>64</v>
      </c>
      <c r="D38" s="129">
        <f>+C38+'9'!D38</f>
        <v>947</v>
      </c>
      <c r="E38" s="154">
        <f t="shared" ref="E38:E51" si="0">D38/60</f>
        <v>15.783333333333333</v>
      </c>
      <c r="F38" s="340">
        <v>1233.25</v>
      </c>
      <c r="G38" s="340">
        <v>1150.333625</v>
      </c>
      <c r="H38" s="198" t="s">
        <v>63</v>
      </c>
      <c r="I38" s="555">
        <f>18.806+19.146+20.425</f>
        <v>58.376999999999995</v>
      </c>
      <c r="J38" s="356">
        <f>+I38+'9'!J38</f>
        <v>657.43499999999995</v>
      </c>
      <c r="K38" s="139" t="s">
        <v>62</v>
      </c>
      <c r="N38" s="565">
        <f>+I38-N37</f>
        <v>40.432999999999993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+C39+'9'!D39</f>
        <v>0</v>
      </c>
      <c r="E39" s="154">
        <f t="shared" si="0"/>
        <v>0</v>
      </c>
      <c r="F39" s="340">
        <v>1610</v>
      </c>
      <c r="G39" s="340">
        <f>+F39-F39*0.2</f>
        <v>1288</v>
      </c>
      <c r="H39" s="198" t="s">
        <v>64</v>
      </c>
      <c r="I39" s="153"/>
      <c r="J39" s="357">
        <f>J37/G4</f>
        <v>71.346085943381951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+C40+'9'!D40</f>
        <v>0</v>
      </c>
      <c r="E40" s="154">
        <f t="shared" si="0"/>
        <v>0</v>
      </c>
      <c r="F40" s="340">
        <v>1610</v>
      </c>
      <c r="G40" s="340">
        <f>+F40-F40*0.2</f>
        <v>1288</v>
      </c>
      <c r="H40" s="198" t="s">
        <v>66</v>
      </c>
      <c r="I40" s="129">
        <f>+(K34+L34)/1000</f>
        <v>58.366</v>
      </c>
      <c r="J40" s="358">
        <f>+I40+'9'!J40</f>
        <v>632.87700000000007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+C41+'9'!D41</f>
        <v>214</v>
      </c>
      <c r="E41" s="154">
        <f t="shared" si="0"/>
        <v>3.5666666666666669</v>
      </c>
      <c r="F41" s="340"/>
      <c r="G41" s="340"/>
      <c r="H41" s="198" t="s">
        <v>68</v>
      </c>
      <c r="I41" s="153"/>
      <c r="J41" s="357">
        <f>J40/G4</f>
        <v>63.287700000000008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+C42+'9'!D42</f>
        <v>0</v>
      </c>
      <c r="E42" s="154">
        <f t="shared" si="0"/>
        <v>0</v>
      </c>
      <c r="F42" s="340">
        <f>+(F38*480+F39*480+F40*480)/1440</f>
        <v>1484.4166666666667</v>
      </c>
      <c r="G42" s="340">
        <f>+(G38*480+G39*480+G40*480)/1440</f>
        <v>1242.1112083333335</v>
      </c>
      <c r="H42" s="198" t="s">
        <v>69</v>
      </c>
      <c r="I42" s="257" t="s">
        <v>599</v>
      </c>
      <c r="J42" s="359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+C43+'9'!D43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+Report1!T18</f>
        <v>132.90300000000002</v>
      </c>
      <c r="J43" s="360">
        <f>+I43+'9'!J43</f>
        <v>1398.799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+C44+'9'!D44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2.2766329204995124</v>
      </c>
      <c r="J44" s="360">
        <f>J43/J38</f>
        <v>2.1276612897092488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+C45+'9'!D45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2.2770619881437826</v>
      </c>
      <c r="J45" s="360">
        <f>J43/J40</f>
        <v>2.2102225234919262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+C46+'9'!D46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+SUMIF(Listrik!AR17,"&gt;0")</f>
        <v>53064.619999999457</v>
      </c>
      <c r="J46" s="360">
        <f>+I46+'9'!J46</f>
        <v>545803.63999999675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+C47+'9'!D47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908.99874950750234</v>
      </c>
      <c r="J47" s="360">
        <f>J46/J38</f>
        <v>830.2016777323945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+C48+'9'!D48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909.17006476372296</v>
      </c>
      <c r="J48" s="360">
        <f>J46/J40</f>
        <v>862.41661491884952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+C49+'9'!D49</f>
        <v>233</v>
      </c>
      <c r="E49" s="154">
        <f t="shared" si="0"/>
        <v>3.8833333333333333</v>
      </c>
      <c r="F49" s="196"/>
      <c r="H49" s="199" t="s">
        <v>184</v>
      </c>
      <c r="I49" s="129">
        <v>0</v>
      </c>
      <c r="J49" s="360">
        <f>+I49+'9'!J49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+C50+'9'!D50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360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+C51+'9'!D51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361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64</v>
      </c>
      <c r="D52" s="155">
        <f>SUM(D38:D51)</f>
        <v>1432</v>
      </c>
      <c r="E52" s="156">
        <f>SUM(E38:E51)</f>
        <v>23.866666666666667</v>
      </c>
      <c r="F52" s="196"/>
      <c r="H52" s="202"/>
      <c r="I52" s="203"/>
      <c r="J52" s="362"/>
      <c r="K52" s="150"/>
    </row>
    <row r="53" spans="1:11" ht="13.5" thickBot="1">
      <c r="A53" s="1036"/>
      <c r="B53" s="1037"/>
      <c r="C53" s="157">
        <f>C52/(24*60)</f>
        <v>4.4444444444444446E-2</v>
      </c>
      <c r="D53" s="157">
        <f>D52/(24*60*G4)</f>
        <v>9.9444444444444446E-2</v>
      </c>
      <c r="E53" s="158">
        <f>E52/(G4*24)</f>
        <v>9.9444444444444446E-2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+D34+'9'!J56</f>
        <v>9313</v>
      </c>
      <c r="K56" s="212">
        <f>J56/(J40+J56/1000)/1000</f>
        <v>1.4501938678584219E-2</v>
      </c>
    </row>
    <row r="57" spans="1:11">
      <c r="A57" s="187"/>
      <c r="I57" s="210" t="s">
        <v>88</v>
      </c>
      <c r="J57" s="211"/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  <mergeCell ref="A53:B53"/>
    <mergeCell ref="A49:B49"/>
    <mergeCell ref="A47:B47"/>
    <mergeCell ref="A48:B48"/>
    <mergeCell ref="A50:B50"/>
    <mergeCell ref="A52:B52"/>
    <mergeCell ref="A51:B51"/>
    <mergeCell ref="A46:B46"/>
    <mergeCell ref="A42:B42"/>
    <mergeCell ref="A43:B43"/>
    <mergeCell ref="A44:B44"/>
    <mergeCell ref="A45:B45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P61"/>
  <sheetViews>
    <sheetView view="pageBreakPreview" topLeftCell="A4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5703125" style="160" bestFit="1" customWidth="1"/>
    <col min="12" max="12" width="10.5703125" style="160" bestFit="1" customWidth="1"/>
    <col min="13" max="13" width="12.140625" style="160" customWidth="1"/>
    <col min="14" max="16384" width="9.140625" style="160"/>
  </cols>
  <sheetData>
    <row r="1" spans="1:16" ht="15.75">
      <c r="A1" s="159"/>
    </row>
    <row r="2" spans="1:16" ht="15.75">
      <c r="A2" s="159" t="s">
        <v>147</v>
      </c>
    </row>
    <row r="3" spans="1:16" ht="15">
      <c r="A3" s="161"/>
    </row>
    <row r="4" spans="1:16" ht="20.25">
      <c r="A4" s="162" t="s">
        <v>3</v>
      </c>
      <c r="B4" s="163"/>
      <c r="F4" s="164" t="s">
        <v>29</v>
      </c>
      <c r="G4" s="165">
        <v>9</v>
      </c>
      <c r="H4" s="165" t="str">
        <f>+'1'!H4</f>
        <v>.06.24</v>
      </c>
    </row>
    <row r="5" spans="1:16" ht="13.5" thickBot="1">
      <c r="C5" s="166"/>
      <c r="D5" s="166"/>
    </row>
    <row r="6" spans="1:16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209+271+355</f>
        <v>835</v>
      </c>
    </row>
    <row r="7" spans="1:16" ht="13.5" customHeight="1" thickBot="1">
      <c r="A7" s="1020" t="s">
        <v>435</v>
      </c>
      <c r="B7" s="226" t="s">
        <v>513</v>
      </c>
      <c r="C7" s="227">
        <v>17311</v>
      </c>
      <c r="D7" s="228">
        <v>3082</v>
      </c>
      <c r="E7" s="229"/>
      <c r="F7" s="239"/>
      <c r="G7" s="240" t="s">
        <v>11</v>
      </c>
      <c r="H7" s="241" t="s">
        <v>473</v>
      </c>
      <c r="I7" s="1023" t="s">
        <v>574</v>
      </c>
      <c r="J7" s="225" t="str">
        <f>+'8'!J7</f>
        <v>MG 14 VP HW</v>
      </c>
      <c r="K7" s="249"/>
      <c r="L7" s="253"/>
      <c r="M7" s="128">
        <f>+K7+'8'!M7+L7</f>
        <v>160441</v>
      </c>
    </row>
    <row r="8" spans="1:16" ht="13.5" thickBot="1">
      <c r="A8" s="1021"/>
      <c r="B8" s="226"/>
      <c r="C8" s="227"/>
      <c r="D8" s="228"/>
      <c r="E8" s="230"/>
      <c r="F8" s="242"/>
      <c r="G8" s="243" t="s">
        <v>11</v>
      </c>
      <c r="H8" s="241" t="s">
        <v>452</v>
      </c>
      <c r="I8" s="1024"/>
      <c r="J8" s="225" t="str">
        <f>+'8'!J8</f>
        <v>MG 17 VP HW</v>
      </c>
      <c r="K8" s="250"/>
      <c r="L8" s="250"/>
      <c r="M8" s="128">
        <f>+K8+'8'!M8+L8</f>
        <v>131048</v>
      </c>
      <c r="N8" s="160">
        <v>1100</v>
      </c>
      <c r="O8" s="160">
        <f>+N8-N8*0.0035</f>
        <v>1096.1500000000001</v>
      </c>
      <c r="P8" s="160">
        <v>480</v>
      </c>
    </row>
    <row r="9" spans="1:16" ht="13.5" thickBot="1">
      <c r="A9" s="1021"/>
      <c r="B9" s="226"/>
      <c r="C9" s="227"/>
      <c r="D9" s="228"/>
      <c r="E9" s="231"/>
      <c r="F9" s="239">
        <v>7</v>
      </c>
      <c r="G9" s="243" t="s">
        <v>11</v>
      </c>
      <c r="H9" s="597" t="s">
        <v>576</v>
      </c>
      <c r="I9" s="1024"/>
      <c r="J9" s="225" t="str">
        <f>+'8'!J9</f>
        <v>MG 16 VP HW</v>
      </c>
      <c r="K9" s="250">
        <f>+C34</f>
        <v>65429</v>
      </c>
      <c r="L9" s="250"/>
      <c r="M9" s="128">
        <f>+K9+'8'!M9+L9</f>
        <v>257602</v>
      </c>
      <c r="N9" s="160">
        <v>1111</v>
      </c>
      <c r="O9" s="160">
        <f>+N9-N9*0.0035</f>
        <v>1107.1115</v>
      </c>
      <c r="P9" s="160">
        <v>480</v>
      </c>
    </row>
    <row r="10" spans="1:16" ht="13.5" thickBot="1">
      <c r="A10" s="1021"/>
      <c r="B10" s="226"/>
      <c r="C10" s="227"/>
      <c r="D10" s="228"/>
      <c r="E10" s="230"/>
      <c r="F10" s="239"/>
      <c r="G10" s="243"/>
      <c r="H10" s="597" t="s">
        <v>584</v>
      </c>
      <c r="I10" s="1024"/>
      <c r="J10" s="225" t="str">
        <f>+'8'!J10</f>
        <v>MG 22 VP HW</v>
      </c>
      <c r="K10" s="250"/>
      <c r="L10" s="250"/>
      <c r="M10" s="128">
        <f>+K10+'8'!M10+L10</f>
        <v>12128</v>
      </c>
      <c r="N10" s="160">
        <v>1110</v>
      </c>
      <c r="O10" s="160">
        <f>+N10-N10*0.0035</f>
        <v>1106.115</v>
      </c>
      <c r="P10" s="160">
        <v>480</v>
      </c>
    </row>
    <row r="11" spans="1:16" ht="13.5" thickBot="1">
      <c r="A11" s="1021"/>
      <c r="B11" s="226"/>
      <c r="C11" s="227"/>
      <c r="D11" s="228"/>
      <c r="E11" s="230"/>
      <c r="F11" s="239"/>
      <c r="G11" s="243"/>
      <c r="H11" s="244" t="s">
        <v>585</v>
      </c>
      <c r="I11" s="1024"/>
      <c r="J11" s="225" t="str">
        <f>+'8'!J11</f>
        <v>MG 24 VP HW</v>
      </c>
      <c r="K11" s="250"/>
      <c r="L11" s="250"/>
      <c r="M11" s="128">
        <f>+K11+'8'!M11+L11</f>
        <v>5566</v>
      </c>
      <c r="P11" s="160">
        <f>SUM(P8:P10)</f>
        <v>1440</v>
      </c>
    </row>
    <row r="12" spans="1:16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 t="str">
        <f>+'8'!J12</f>
        <v>MG 20 VP HW</v>
      </c>
      <c r="K12" s="250"/>
      <c r="L12" s="250"/>
      <c r="M12" s="128">
        <f>+K12+'8'!M12+L12</f>
        <v>7726</v>
      </c>
    </row>
    <row r="13" spans="1:16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>
        <f>+'8'!J13</f>
        <v>0</v>
      </c>
      <c r="K13" s="250"/>
      <c r="L13" s="250"/>
      <c r="M13" s="128">
        <f>+K13+'8'!M13+L13</f>
        <v>0</v>
      </c>
    </row>
    <row r="14" spans="1:16" ht="13.5" thickBot="1">
      <c r="A14" s="1022"/>
      <c r="B14" s="176" t="s">
        <v>2</v>
      </c>
      <c r="C14" s="110">
        <f>SUM(C7:C13)</f>
        <v>17311</v>
      </c>
      <c r="D14" s="122">
        <f>SUM(D7:D13)</f>
        <v>3082</v>
      </c>
      <c r="E14" s="123">
        <f>SUM(E5:E13)</f>
        <v>0</v>
      </c>
      <c r="F14" s="127">
        <f>SUM(F7:F13)</f>
        <v>7</v>
      </c>
      <c r="G14" s="170"/>
      <c r="H14" s="177"/>
      <c r="I14" s="178"/>
      <c r="J14" s="225">
        <f>+'8'!J14</f>
        <v>0</v>
      </c>
      <c r="K14" s="250"/>
      <c r="L14" s="250"/>
      <c r="M14" s="128">
        <f>+K14+'8'!M14+L14</f>
        <v>0</v>
      </c>
    </row>
    <row r="15" spans="1:16" ht="13.5" customHeight="1" thickBot="1">
      <c r="A15" s="1020" t="s">
        <v>556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589</v>
      </c>
      <c r="J15" s="225">
        <f>+'8'!J15</f>
        <v>0</v>
      </c>
      <c r="K15" s="250"/>
      <c r="L15" s="250"/>
      <c r="M15" s="128">
        <f>+K15+'8'!M15+L15</f>
        <v>0</v>
      </c>
    </row>
    <row r="16" spans="1:16" ht="13.5" thickBot="1">
      <c r="A16" s="1026"/>
      <c r="B16" s="226" t="s">
        <v>513</v>
      </c>
      <c r="C16" s="233">
        <v>24495</v>
      </c>
      <c r="D16" s="234">
        <v>510</v>
      </c>
      <c r="E16" s="235"/>
      <c r="F16" s="239"/>
      <c r="G16" s="243" t="s">
        <v>11</v>
      </c>
      <c r="H16" s="241" t="s">
        <v>452</v>
      </c>
      <c r="I16" s="1024"/>
      <c r="J16" s="225">
        <f>+'8'!J16</f>
        <v>0</v>
      </c>
      <c r="K16" s="250"/>
      <c r="L16" s="250"/>
      <c r="M16" s="128">
        <f>+K16+'8'!M16+L16</f>
        <v>0</v>
      </c>
    </row>
    <row r="17" spans="1:14" ht="13.5" thickBot="1">
      <c r="A17" s="1026"/>
      <c r="B17" s="226"/>
      <c r="C17" s="227"/>
      <c r="D17" s="228"/>
      <c r="E17" s="236"/>
      <c r="F17" s="239">
        <v>7</v>
      </c>
      <c r="G17" s="243" t="s">
        <v>11</v>
      </c>
      <c r="H17" s="597" t="s">
        <v>453</v>
      </c>
      <c r="I17" s="1024"/>
      <c r="J17" s="225">
        <f>+'8'!J17</f>
        <v>0</v>
      </c>
      <c r="K17" s="250"/>
      <c r="L17" s="250"/>
      <c r="M17" s="128">
        <f>+K17+'8'!M17+L17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588</v>
      </c>
      <c r="I18" s="1024"/>
      <c r="J18" s="225">
        <f>+'8'!J18</f>
        <v>0</v>
      </c>
      <c r="K18" s="250"/>
      <c r="L18" s="250"/>
      <c r="M18" s="128">
        <f>+K18+'8'!M18+L18</f>
        <v>0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244" t="s">
        <v>587</v>
      </c>
      <c r="I19" s="1024"/>
      <c r="J19" s="225">
        <f>+'8'!J19</f>
        <v>0</v>
      </c>
      <c r="K19" s="250"/>
      <c r="L19" s="250"/>
      <c r="M19" s="128">
        <f>+K19+'8'!M19+L19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+'8'!J20</f>
        <v>0</v>
      </c>
      <c r="K20" s="250"/>
      <c r="L20" s="250"/>
      <c r="M20" s="128">
        <f>+K20+'8'!M20+L20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+'8'!J21</f>
        <v>0</v>
      </c>
      <c r="K21" s="250"/>
      <c r="L21" s="250"/>
      <c r="M21" s="128">
        <f>+K21+'8'!M21+L21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+'8'!J22</f>
        <v>0</v>
      </c>
      <c r="K22" s="250"/>
      <c r="L22" s="250"/>
      <c r="M22" s="128">
        <f>+K22+'8'!M22+L22</f>
        <v>0</v>
      </c>
    </row>
    <row r="23" spans="1:14" ht="13.5" thickBot="1">
      <c r="A23" s="1027"/>
      <c r="B23" s="179" t="s">
        <v>2</v>
      </c>
      <c r="C23" s="111">
        <f>SUM(C16:C22)</f>
        <v>24495</v>
      </c>
      <c r="D23" s="122">
        <f>SUM(D16:D22)</f>
        <v>510</v>
      </c>
      <c r="E23" s="123">
        <f>SUM(E18:E22)</f>
        <v>0</v>
      </c>
      <c r="F23" s="127">
        <f>SUM(F15:F22)</f>
        <v>7</v>
      </c>
      <c r="G23" s="170"/>
      <c r="H23" s="177" t="s">
        <v>234</v>
      </c>
      <c r="I23" s="180"/>
      <c r="J23" s="225">
        <f>+'8'!J23</f>
        <v>0</v>
      </c>
      <c r="K23" s="250"/>
      <c r="L23" s="250"/>
      <c r="M23" s="128">
        <f>+K23+'8'!M23+L23</f>
        <v>0</v>
      </c>
    </row>
    <row r="24" spans="1:14" ht="13.5" customHeight="1" thickBot="1">
      <c r="A24" s="1020" t="s">
        <v>434</v>
      </c>
      <c r="B24" s="181"/>
      <c r="C24" s="124"/>
      <c r="D24" s="125"/>
      <c r="E24" s="126"/>
      <c r="F24" s="239"/>
      <c r="G24" s="240" t="s">
        <v>11</v>
      </c>
      <c r="H24" s="241" t="s">
        <v>473</v>
      </c>
      <c r="I24" s="1023" t="s">
        <v>590</v>
      </c>
      <c r="J24" s="225">
        <f>+'8'!J24</f>
        <v>0</v>
      </c>
      <c r="K24" s="250"/>
      <c r="L24" s="250"/>
      <c r="M24" s="128">
        <f>+K24+'8'!M24+L24</f>
        <v>0</v>
      </c>
    </row>
    <row r="25" spans="1:14" ht="13.5" thickBot="1">
      <c r="A25" s="1028"/>
      <c r="B25" s="226" t="s">
        <v>513</v>
      </c>
      <c r="C25" s="237">
        <v>23623</v>
      </c>
      <c r="D25" s="228">
        <v>448</v>
      </c>
      <c r="E25" s="236"/>
      <c r="F25" s="239"/>
      <c r="G25" s="243" t="s">
        <v>11</v>
      </c>
      <c r="H25" s="241" t="s">
        <v>452</v>
      </c>
      <c r="I25" s="1024"/>
      <c r="J25" s="225">
        <f>+'8'!J25</f>
        <v>0</v>
      </c>
      <c r="K25" s="250"/>
      <c r="L25" s="250"/>
      <c r="M25" s="128">
        <f>+K25+'8'!M25+L25</f>
        <v>0</v>
      </c>
    </row>
    <row r="26" spans="1:14" ht="13.5" thickBot="1">
      <c r="A26" s="1028"/>
      <c r="B26" s="226"/>
      <c r="C26" s="237"/>
      <c r="D26" s="228"/>
      <c r="E26" s="238"/>
      <c r="F26" s="239">
        <v>5</v>
      </c>
      <c r="G26" s="243" t="s">
        <v>11</v>
      </c>
      <c r="H26" s="597" t="s">
        <v>453</v>
      </c>
      <c r="I26" s="1024"/>
      <c r="J26" s="225">
        <f>+'8'!J26</f>
        <v>0</v>
      </c>
      <c r="K26" s="250"/>
      <c r="L26" s="250"/>
      <c r="M26" s="128">
        <f>+K26+'8'!M26+L26</f>
        <v>0</v>
      </c>
    </row>
    <row r="27" spans="1:14" ht="13.5" thickBot="1">
      <c r="A27" s="1028"/>
      <c r="B27" s="226"/>
      <c r="C27" s="227"/>
      <c r="D27" s="228"/>
      <c r="E27" s="236"/>
      <c r="F27" s="239"/>
      <c r="G27" s="243"/>
      <c r="H27" s="597" t="s">
        <v>586</v>
      </c>
      <c r="I27" s="1024"/>
      <c r="J27" s="225">
        <f>+'8'!J27</f>
        <v>0</v>
      </c>
      <c r="K27" s="250"/>
      <c r="L27" s="250"/>
      <c r="M27" s="128">
        <f>+K27+'8'!M27+L27</f>
        <v>0</v>
      </c>
    </row>
    <row r="28" spans="1:14" ht="13.5" thickBot="1">
      <c r="A28" s="1028"/>
      <c r="B28" s="226"/>
      <c r="C28" s="227"/>
      <c r="D28" s="228"/>
      <c r="E28" s="236"/>
      <c r="F28" s="246"/>
      <c r="G28" s="243"/>
      <c r="H28" s="244" t="s">
        <v>587</v>
      </c>
      <c r="I28" s="1024"/>
      <c r="J28" s="225">
        <f>+'8'!J28</f>
        <v>0</v>
      </c>
      <c r="K28" s="250"/>
      <c r="L28" s="250"/>
      <c r="M28" s="128">
        <f>+K28+'8'!M28+L28</f>
        <v>0</v>
      </c>
    </row>
    <row r="29" spans="1:14" ht="13.5" thickBot="1">
      <c r="A29" s="1028"/>
      <c r="B29" s="226"/>
      <c r="C29" s="227"/>
      <c r="D29" s="228"/>
      <c r="E29" s="236"/>
      <c r="F29" s="239"/>
      <c r="G29" s="243"/>
      <c r="H29" s="244"/>
      <c r="I29" s="1024"/>
      <c r="J29" s="225">
        <f>+'8'!J29</f>
        <v>0</v>
      </c>
      <c r="K29" s="250"/>
      <c r="L29" s="250"/>
      <c r="M29" s="128">
        <f>+K29+'8'!M29+L29</f>
        <v>0</v>
      </c>
    </row>
    <row r="30" spans="1:14" ht="13.5" thickBot="1">
      <c r="A30" s="1028"/>
      <c r="B30" s="226"/>
      <c r="C30" s="237"/>
      <c r="D30" s="228"/>
      <c r="E30" s="236"/>
      <c r="F30" s="242"/>
      <c r="G30" s="243"/>
      <c r="H30" s="503"/>
      <c r="I30" s="1024"/>
      <c r="J30" s="225">
        <f>+'8'!J30</f>
        <v>0</v>
      </c>
      <c r="K30" s="250"/>
      <c r="L30" s="250"/>
      <c r="M30" s="128">
        <f>+K30+'8'!M30+L30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3"/>
      <c r="H31" s="244"/>
      <c r="I31" s="1025"/>
      <c r="J31" s="225">
        <f>+'8'!J31</f>
        <v>0</v>
      </c>
      <c r="K31" s="250"/>
      <c r="L31" s="250"/>
      <c r="M31" s="128">
        <f>+K31+'8'!M31+L31</f>
        <v>0</v>
      </c>
    </row>
    <row r="32" spans="1:14" ht="13.5" thickBot="1">
      <c r="A32" s="1029"/>
      <c r="B32" s="176" t="s">
        <v>2</v>
      </c>
      <c r="C32" s="110">
        <f>SUM(C25:C31)</f>
        <v>23623</v>
      </c>
      <c r="D32" s="111">
        <f>SUM(D25:D31)</f>
        <v>448</v>
      </c>
      <c r="E32" s="112">
        <f>SUM(E25:E31)</f>
        <v>0</v>
      </c>
      <c r="F32" s="113">
        <f>SUM(F24:F31)</f>
        <v>5</v>
      </c>
      <c r="G32" s="182"/>
      <c r="H32" s="183"/>
      <c r="I32" s="180"/>
      <c r="J32" s="225">
        <f>+'8'!J32</f>
        <v>0</v>
      </c>
      <c r="K32" s="252"/>
      <c r="L32" s="254"/>
      <c r="M32" s="128">
        <f>+K32+'8'!M32+L32</f>
        <v>0</v>
      </c>
    </row>
    <row r="33" spans="1:14" ht="13.5" thickBot="1">
      <c r="A33" s="184"/>
      <c r="B33" s="185"/>
      <c r="C33" s="114">
        <f>C32/($C$32+$D$32+$E$32)</f>
        <v>0.98138839267167965</v>
      </c>
      <c r="D33" s="115">
        <f>D32/($C$32+$D$32+$E$32)</f>
        <v>1.8611607328320387E-2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65429</v>
      </c>
      <c r="D34" s="118">
        <f>D14+D23+D32</f>
        <v>4040</v>
      </c>
      <c r="E34" s="118">
        <f>E14+E23+E32</f>
        <v>0</v>
      </c>
      <c r="F34" s="119">
        <f>F14+F23+F32</f>
        <v>19</v>
      </c>
      <c r="H34" s="189"/>
      <c r="I34" s="189"/>
      <c r="J34" s="134" t="s">
        <v>27</v>
      </c>
      <c r="K34" s="135">
        <f>SUM(K7:K32)</f>
        <v>65429</v>
      </c>
      <c r="L34" s="223">
        <f>SUM(L7:L32)</f>
        <v>0</v>
      </c>
      <c r="M34" s="131">
        <f>SUM(M7:M32)</f>
        <v>574511</v>
      </c>
      <c r="N34" s="166"/>
    </row>
    <row r="35" spans="1:14" ht="13.5" thickBot="1">
      <c r="A35" s="190"/>
      <c r="B35" s="191"/>
      <c r="C35" s="115">
        <f>C34/($C$34+$D$34+$E$34)</f>
        <v>0.94184456376225367</v>
      </c>
      <c r="D35" s="115">
        <f>D34/($C$34+$D$34+$E$34)</f>
        <v>5.8155436237746334E-2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(16*1440)/1440*G42*2.77*1440/1000000</f>
        <v>70.402351910399986</v>
      </c>
      <c r="J37" s="136">
        <f>+I37+'8'!J37</f>
        <v>649.05192799241956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19</v>
      </c>
      <c r="D38" s="129">
        <f>+C38+'8'!D38</f>
        <v>883</v>
      </c>
      <c r="E38" s="154">
        <f t="shared" ref="E38:E51" si="0">D38/60</f>
        <v>14.716666666666667</v>
      </c>
      <c r="F38" s="340">
        <v>1100</v>
      </c>
      <c r="G38" s="340">
        <f>+F38-F38*0.0035</f>
        <v>1096.1500000000001</v>
      </c>
      <c r="H38" s="198" t="s">
        <v>63</v>
      </c>
      <c r="I38" s="555">
        <f>20.112+22.299+23.106</f>
        <v>65.516999999999996</v>
      </c>
      <c r="J38" s="138">
        <f>+I38+'8'!J38</f>
        <v>599.05799999999999</v>
      </c>
      <c r="K38" s="139" t="s">
        <v>62</v>
      </c>
      <c r="N38" s="565"/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+C39+'8'!D39</f>
        <v>0</v>
      </c>
      <c r="E39" s="154">
        <f t="shared" si="0"/>
        <v>0</v>
      </c>
      <c r="F39" s="340">
        <v>1111</v>
      </c>
      <c r="G39" s="340">
        <f>+F39-F39*0.0035</f>
        <v>1107.1115</v>
      </c>
      <c r="H39" s="198" t="s">
        <v>64</v>
      </c>
      <c r="I39" s="153"/>
      <c r="J39" s="140">
        <f>J37/G4</f>
        <v>72.116880888046623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+C40+'8'!D40</f>
        <v>0</v>
      </c>
      <c r="E40" s="154">
        <f t="shared" si="0"/>
        <v>0</v>
      </c>
      <c r="F40" s="340">
        <v>1110</v>
      </c>
      <c r="G40" s="340">
        <f>+F40-F40*0.0035</f>
        <v>1106.115</v>
      </c>
      <c r="H40" s="198" t="s">
        <v>66</v>
      </c>
      <c r="I40" s="129">
        <f>(K34+L34)/1000</f>
        <v>65.429000000000002</v>
      </c>
      <c r="J40" s="142">
        <f>+I40+'8'!J40</f>
        <v>574.51100000000008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+C41+'8'!D41</f>
        <v>214</v>
      </c>
      <c r="E41" s="154">
        <f t="shared" si="0"/>
        <v>3.5666666666666669</v>
      </c>
      <c r="F41" s="340"/>
      <c r="G41" s="340"/>
      <c r="H41" s="198" t="s">
        <v>68</v>
      </c>
      <c r="I41" s="153"/>
      <c r="J41" s="140">
        <f>J40/G4</f>
        <v>63.834555555555568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+C42+'8'!D42</f>
        <v>0</v>
      </c>
      <c r="E42" s="154">
        <f t="shared" si="0"/>
        <v>0</v>
      </c>
      <c r="F42" s="340">
        <f>+(F38*480+F39*480+F40*480)/1440</f>
        <v>1107</v>
      </c>
      <c r="G42" s="340">
        <f>+(G38*480+G39*480+G40*480)/1440</f>
        <v>1103.1254999999999</v>
      </c>
      <c r="H42" s="198" t="s">
        <v>69</v>
      </c>
      <c r="I42" s="257"/>
      <c r="J42" s="143"/>
      <c r="K42" s="141" t="s">
        <v>70</v>
      </c>
    </row>
    <row r="43" spans="1:14" ht="17.45" customHeight="1">
      <c r="A43" s="1018" t="s">
        <v>236</v>
      </c>
      <c r="B43" s="1019"/>
      <c r="C43" s="175">
        <f>SUMIF($G$7:$G$31,"Change GRade",$F$7:$F$31)</f>
        <v>0</v>
      </c>
      <c r="D43" s="129">
        <f>+C43+'8'!D43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+Report1!T17</f>
        <v>142.18899999999999</v>
      </c>
      <c r="J43" s="144">
        <f>+I43+'8'!J43</f>
        <v>1265.896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+C44+'8'!D44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2.170261153593724</v>
      </c>
      <c r="J44" s="145">
        <f>J43/J38</f>
        <v>2.1131443032227262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+C45+'8'!D45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2.1731800883400325</v>
      </c>
      <c r="J45" s="145">
        <f>J43/J40</f>
        <v>2.2034321361993063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+C46+'8'!D46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+SUMIF(Listrik!AR16,"&gt;0")</f>
        <v>52778.659999998774</v>
      </c>
      <c r="J46" s="146">
        <f>+I46+'8'!J46</f>
        <v>492739.01999999734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+C47+'8'!D47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805.57198894941428</v>
      </c>
      <c r="J47" s="146">
        <f>J46/J38</f>
        <v>822.5230612060891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+C48+'8'!D48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806.6554585886804</v>
      </c>
      <c r="J48" s="146">
        <f>J46/J40</f>
        <v>857.66681577897941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+C49+'8'!D49</f>
        <v>233</v>
      </c>
      <c r="E49" s="154">
        <f t="shared" si="0"/>
        <v>3.8833333333333333</v>
      </c>
      <c r="F49" s="196"/>
      <c r="H49" s="199" t="s">
        <v>184</v>
      </c>
      <c r="I49" s="129">
        <v>0</v>
      </c>
      <c r="J49" s="146">
        <f>+I49+'8'!J49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+C50+'8'!D50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+C51+'8'!D51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19</v>
      </c>
      <c r="D52" s="155">
        <f>SUM(D38:D51)</f>
        <v>1368</v>
      </c>
      <c r="E52" s="156">
        <f>SUM(E38:E51)</f>
        <v>22.8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1.3194444444444444E-2</v>
      </c>
      <c r="D53" s="157">
        <f>D52/(24*60*G4)</f>
        <v>0.10555555555555556</v>
      </c>
      <c r="E53" s="158">
        <f>E52/(G4*24)</f>
        <v>0.10555555555555556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+D34+'8'!J56</f>
        <v>8706</v>
      </c>
      <c r="K56" s="212">
        <f>J56/(J40+J56/1000)/1000</f>
        <v>1.4927548408225409E-2</v>
      </c>
    </row>
    <row r="57" spans="1:11">
      <c r="A57" s="187"/>
      <c r="I57" s="210" t="s">
        <v>88</v>
      </c>
      <c r="J57" s="211">
        <f>+E34+'8'!J57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1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4" style="160" bestFit="1" customWidth="1"/>
    <col min="12" max="12" width="13.7109375" style="160" bestFit="1" customWidth="1"/>
    <col min="13" max="13" width="15" style="160" bestFit="1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8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202+228+183</f>
        <v>613</v>
      </c>
    </row>
    <row r="7" spans="1:18" ht="13.5" customHeight="1" thickBot="1">
      <c r="A7" s="1020" t="s">
        <v>435</v>
      </c>
      <c r="B7" s="226" t="s">
        <v>513</v>
      </c>
      <c r="C7" s="227">
        <v>3041</v>
      </c>
      <c r="D7" s="228">
        <v>288</v>
      </c>
      <c r="E7" s="229"/>
      <c r="F7" s="239">
        <v>20</v>
      </c>
      <c r="G7" s="240" t="s">
        <v>11</v>
      </c>
      <c r="H7" s="241" t="s">
        <v>504</v>
      </c>
      <c r="I7" s="1023" t="s">
        <v>566</v>
      </c>
      <c r="J7" s="225" t="str">
        <f>+'7'!J7</f>
        <v>MG 14 VP HW</v>
      </c>
      <c r="K7" s="249"/>
      <c r="L7" s="253"/>
      <c r="M7" s="128">
        <f>+K7+'7'!M7+L7</f>
        <v>160441</v>
      </c>
    </row>
    <row r="8" spans="1:18" ht="13.5" thickBot="1">
      <c r="A8" s="1021"/>
      <c r="B8" s="226"/>
      <c r="C8" s="227"/>
      <c r="D8" s="228"/>
      <c r="E8" s="230"/>
      <c r="F8" s="242"/>
      <c r="G8" s="243" t="s">
        <v>11</v>
      </c>
      <c r="H8" s="241" t="s">
        <v>452</v>
      </c>
      <c r="I8" s="1024"/>
      <c r="J8" s="225" t="str">
        <f>+'7'!J8</f>
        <v>MG 17 VP HW</v>
      </c>
      <c r="K8" s="250"/>
      <c r="L8" s="250"/>
      <c r="M8" s="128">
        <f>+K8+'7'!M8+L8</f>
        <v>131048</v>
      </c>
    </row>
    <row r="9" spans="1:18" ht="13.5" thickBot="1">
      <c r="A9" s="1021"/>
      <c r="B9" s="226"/>
      <c r="C9" s="227"/>
      <c r="D9" s="228"/>
      <c r="E9" s="231"/>
      <c r="F9" s="239">
        <v>5</v>
      </c>
      <c r="G9" s="243" t="s">
        <v>11</v>
      </c>
      <c r="H9" s="597" t="s">
        <v>576</v>
      </c>
      <c r="I9" s="1024"/>
      <c r="J9" s="225" t="str">
        <f>+'7'!J9</f>
        <v>MG 16 VP HW</v>
      </c>
      <c r="K9" s="250">
        <f>+C34</f>
        <v>12112</v>
      </c>
      <c r="L9" s="250"/>
      <c r="M9" s="128">
        <f>+K9+'7'!M9+L9</f>
        <v>192173</v>
      </c>
      <c r="N9" s="160">
        <v>1180</v>
      </c>
      <c r="O9" s="160">
        <f>+N9-N9*0.0035</f>
        <v>1175.8699999999999</v>
      </c>
      <c r="P9" s="160">
        <f>480-120-90</f>
        <v>270</v>
      </c>
    </row>
    <row r="10" spans="1:18" ht="13.5" thickBot="1">
      <c r="A10" s="1021"/>
      <c r="B10" s="226"/>
      <c r="C10" s="227"/>
      <c r="D10" s="228"/>
      <c r="E10" s="230" t="s">
        <v>561</v>
      </c>
      <c r="F10" s="239">
        <v>90</v>
      </c>
      <c r="G10" s="243" t="s">
        <v>67</v>
      </c>
      <c r="H10" s="597" t="s">
        <v>557</v>
      </c>
      <c r="I10" s="1024"/>
      <c r="J10" s="225" t="str">
        <f>+'7'!J10</f>
        <v>MG 22 VP HW</v>
      </c>
      <c r="K10" s="250"/>
      <c r="L10" s="250"/>
      <c r="M10" s="128">
        <f>+K10+'7'!M10+L10</f>
        <v>12128</v>
      </c>
    </row>
    <row r="11" spans="1:18" ht="13.5" thickBot="1">
      <c r="A11" s="1021"/>
      <c r="B11" s="226"/>
      <c r="C11" s="227"/>
      <c r="D11" s="228"/>
      <c r="E11" s="230"/>
      <c r="F11" s="239"/>
      <c r="G11" s="243"/>
      <c r="H11" s="597" t="s">
        <v>558</v>
      </c>
      <c r="I11" s="1024"/>
      <c r="J11" s="225" t="str">
        <f>+'7'!J11</f>
        <v>MG 24 VP HW</v>
      </c>
      <c r="K11" s="250"/>
      <c r="L11" s="250"/>
      <c r="M11" s="128">
        <f>+K11+'7'!M11+L11</f>
        <v>5566</v>
      </c>
    </row>
    <row r="12" spans="1:18" ht="13.5" thickBot="1">
      <c r="A12" s="1021"/>
      <c r="B12" s="226"/>
      <c r="C12" s="227"/>
      <c r="D12" s="228"/>
      <c r="E12" s="230" t="s">
        <v>562</v>
      </c>
      <c r="F12" s="239">
        <v>120</v>
      </c>
      <c r="G12" s="243" t="s">
        <v>11</v>
      </c>
      <c r="H12" s="244" t="s">
        <v>559</v>
      </c>
      <c r="I12" s="1024"/>
      <c r="J12" s="225" t="str">
        <f>+'7'!J12</f>
        <v>MG 20 VP HW</v>
      </c>
      <c r="K12" s="250"/>
      <c r="L12" s="250"/>
      <c r="M12" s="128">
        <f>+K12+'7'!M12+L12</f>
        <v>7726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 t="s">
        <v>560</v>
      </c>
      <c r="I13" s="1025"/>
      <c r="J13" s="225">
        <f>+'7'!J13</f>
        <v>0</v>
      </c>
      <c r="K13" s="250"/>
      <c r="L13" s="250"/>
      <c r="M13" s="128">
        <f>+K13+'7'!M13+L13</f>
        <v>0</v>
      </c>
    </row>
    <row r="14" spans="1:18" ht="13.5" thickBot="1">
      <c r="A14" s="1022"/>
      <c r="B14" s="176" t="s">
        <v>2</v>
      </c>
      <c r="C14" s="110">
        <f>SUM(C7:C13)</f>
        <v>3041</v>
      </c>
      <c r="D14" s="122">
        <f>SUM(D7:D13)</f>
        <v>288</v>
      </c>
      <c r="E14" s="123">
        <f>SUM(E5:E13)</f>
        <v>0</v>
      </c>
      <c r="F14" s="127">
        <f>SUM(F7:F13)</f>
        <v>235</v>
      </c>
      <c r="G14" s="170"/>
      <c r="H14" s="177"/>
      <c r="I14" s="178"/>
      <c r="J14" s="225">
        <f>+'7'!J14</f>
        <v>0</v>
      </c>
      <c r="K14" s="250"/>
      <c r="L14" s="250"/>
      <c r="M14" s="128">
        <f>+K14+'7'!M14+L14</f>
        <v>0</v>
      </c>
    </row>
    <row r="15" spans="1:18" ht="13.5" customHeight="1" thickBot="1">
      <c r="A15" s="1020" t="s">
        <v>556</v>
      </c>
      <c r="B15" s="176"/>
      <c r="C15" s="124"/>
      <c r="D15" s="125"/>
      <c r="E15" s="126"/>
      <c r="F15" s="239">
        <v>15</v>
      </c>
      <c r="G15" s="240" t="s">
        <v>11</v>
      </c>
      <c r="H15" s="241" t="s">
        <v>577</v>
      </c>
      <c r="I15" s="1023" t="s">
        <v>568</v>
      </c>
      <c r="J15" s="225">
        <f>+'7'!J15</f>
        <v>0</v>
      </c>
      <c r="K15" s="250"/>
      <c r="L15" s="250"/>
      <c r="M15" s="128">
        <f>+K15+'7'!M15+L15</f>
        <v>0</v>
      </c>
    </row>
    <row r="16" spans="1:18" ht="13.5" thickBot="1">
      <c r="A16" s="1026"/>
      <c r="B16" s="226" t="s">
        <v>513</v>
      </c>
      <c r="C16" s="233">
        <v>2947</v>
      </c>
      <c r="D16" s="234">
        <v>1144</v>
      </c>
      <c r="E16" s="235"/>
      <c r="F16" s="239"/>
      <c r="G16" s="243" t="s">
        <v>11</v>
      </c>
      <c r="H16" s="241" t="s">
        <v>452</v>
      </c>
      <c r="I16" s="1024"/>
      <c r="J16" s="225">
        <f>+'7'!J16</f>
        <v>0</v>
      </c>
      <c r="K16" s="250"/>
      <c r="L16" s="250"/>
      <c r="M16" s="128">
        <f>+K16+'7'!M16+L16</f>
        <v>0</v>
      </c>
      <c r="N16" s="160">
        <v>1210</v>
      </c>
      <c r="O16" s="160">
        <f>+N16-N16*0.0035</f>
        <v>1205.7650000000001</v>
      </c>
      <c r="P16" s="160">
        <f>120+10</f>
        <v>130</v>
      </c>
      <c r="Q16" s="160">
        <f>+N16*P16</f>
        <v>157300</v>
      </c>
      <c r="R16" s="160">
        <f>+O16*P16</f>
        <v>156749.45000000001</v>
      </c>
    </row>
    <row r="17" spans="1:18" ht="13.5" thickBot="1">
      <c r="A17" s="1026"/>
      <c r="B17" s="226"/>
      <c r="C17" s="227"/>
      <c r="D17" s="228"/>
      <c r="E17" s="236"/>
      <c r="F17" s="239">
        <v>7</v>
      </c>
      <c r="G17" s="243" t="s">
        <v>11</v>
      </c>
      <c r="H17" s="597" t="s">
        <v>453</v>
      </c>
      <c r="I17" s="1024"/>
      <c r="J17" s="225">
        <f>+'7'!J17</f>
        <v>0</v>
      </c>
      <c r="K17" s="250"/>
      <c r="L17" s="250"/>
      <c r="M17" s="128">
        <f>+K17+'7'!M17+L17</f>
        <v>0</v>
      </c>
      <c r="N17" s="160">
        <v>1000</v>
      </c>
      <c r="O17" s="160">
        <f>+N17-N17*0.0035</f>
        <v>996.5</v>
      </c>
      <c r="P17" s="160">
        <f>21+240+47</f>
        <v>308</v>
      </c>
      <c r="Q17" s="160">
        <f>+N17*P17</f>
        <v>308000</v>
      </c>
      <c r="R17" s="160">
        <f>+O17*P17</f>
        <v>306922</v>
      </c>
    </row>
    <row r="18" spans="1:18" ht="13.5" thickBot="1">
      <c r="A18" s="1026"/>
      <c r="B18" s="226"/>
      <c r="C18" s="227"/>
      <c r="D18" s="228"/>
      <c r="E18" s="236"/>
      <c r="F18" s="239"/>
      <c r="G18" s="243"/>
      <c r="H18" s="597" t="s">
        <v>555</v>
      </c>
      <c r="I18" s="1024"/>
      <c r="J18" s="225">
        <f>+'7'!J18</f>
        <v>0</v>
      </c>
      <c r="K18" s="250"/>
      <c r="L18" s="250"/>
      <c r="M18" s="128">
        <f>+K18+'7'!M18+L18</f>
        <v>0</v>
      </c>
      <c r="P18" s="160">
        <f>SUM(P16:P17)</f>
        <v>438</v>
      </c>
      <c r="Q18" s="160">
        <f>SUM(Q16:Q17)</f>
        <v>465300</v>
      </c>
      <c r="R18" s="160">
        <f>SUM(R16:R17)</f>
        <v>463671.45</v>
      </c>
    </row>
    <row r="19" spans="1:18" ht="13.5" thickBot="1">
      <c r="A19" s="1026"/>
      <c r="B19" s="226"/>
      <c r="C19" s="227"/>
      <c r="D19" s="228"/>
      <c r="E19" s="236"/>
      <c r="F19" s="246"/>
      <c r="G19" s="243"/>
      <c r="H19" s="244" t="s">
        <v>563</v>
      </c>
      <c r="I19" s="1024"/>
      <c r="J19" s="225">
        <f>+'7'!J19</f>
        <v>0</v>
      </c>
      <c r="K19" s="250"/>
      <c r="L19" s="250"/>
      <c r="M19" s="128">
        <f>+K19+'7'!M19+L19</f>
        <v>0</v>
      </c>
      <c r="Q19" s="160">
        <f>+Q18/P18</f>
        <v>1062.3287671232877</v>
      </c>
      <c r="R19" s="160">
        <f>+R18/P18</f>
        <v>1058.6106164383561</v>
      </c>
    </row>
    <row r="20" spans="1:18" ht="13.5" thickBot="1">
      <c r="A20" s="1026"/>
      <c r="B20" s="226"/>
      <c r="C20" s="227"/>
      <c r="D20" s="228"/>
      <c r="E20" s="236" t="s">
        <v>561</v>
      </c>
      <c r="F20" s="239">
        <v>29</v>
      </c>
      <c r="G20" s="243" t="s">
        <v>67</v>
      </c>
      <c r="H20" s="244" t="s">
        <v>565</v>
      </c>
      <c r="I20" s="1024"/>
      <c r="J20" s="225">
        <f>+'7'!J20</f>
        <v>0</v>
      </c>
      <c r="K20" s="250"/>
      <c r="L20" s="250"/>
      <c r="M20" s="128">
        <f>+K20+'7'!M20+L20</f>
        <v>0</v>
      </c>
    </row>
    <row r="21" spans="1:18" ht="13.5" thickBot="1">
      <c r="A21" s="1026"/>
      <c r="B21" s="226"/>
      <c r="C21" s="227"/>
      <c r="D21" s="228"/>
      <c r="E21" s="236"/>
      <c r="F21" s="242"/>
      <c r="G21" s="243"/>
      <c r="H21" s="503" t="s">
        <v>564</v>
      </c>
      <c r="I21" s="1024"/>
      <c r="J21" s="225">
        <f>+'7'!J21</f>
        <v>0</v>
      </c>
      <c r="K21" s="250"/>
      <c r="L21" s="250"/>
      <c r="M21" s="128">
        <f>+K21+'7'!M21+L21</f>
        <v>0</v>
      </c>
    </row>
    <row r="22" spans="1:18" ht="26.25" thickBot="1">
      <c r="A22" s="1026"/>
      <c r="B22" s="226"/>
      <c r="C22" s="227"/>
      <c r="D22" s="228"/>
      <c r="E22" s="236" t="s">
        <v>562</v>
      </c>
      <c r="F22" s="246">
        <v>13</v>
      </c>
      <c r="G22" s="243" t="s">
        <v>11</v>
      </c>
      <c r="H22" s="244" t="s">
        <v>567</v>
      </c>
      <c r="I22" s="1025"/>
      <c r="J22" s="225">
        <f>+'7'!J22</f>
        <v>0</v>
      </c>
      <c r="K22" s="250"/>
      <c r="L22" s="250"/>
      <c r="M22" s="128">
        <f>+K22+'7'!M22+L22</f>
        <v>0</v>
      </c>
    </row>
    <row r="23" spans="1:18" ht="13.5" thickBot="1">
      <c r="A23" s="1027"/>
      <c r="B23" s="179" t="s">
        <v>2</v>
      </c>
      <c r="C23" s="111">
        <f>SUM(C16:C22)</f>
        <v>2947</v>
      </c>
      <c r="D23" s="122">
        <f>SUM(D16:D22)</f>
        <v>1144</v>
      </c>
      <c r="E23" s="123">
        <f>SUM(E18:E22)</f>
        <v>0</v>
      </c>
      <c r="F23" s="127">
        <f>SUM(F15:F22)</f>
        <v>64</v>
      </c>
      <c r="G23" s="170"/>
      <c r="H23" s="177" t="s">
        <v>234</v>
      </c>
      <c r="I23" s="180"/>
      <c r="J23" s="225">
        <f>+'7'!J23</f>
        <v>0</v>
      </c>
      <c r="K23" s="250"/>
      <c r="L23" s="250"/>
      <c r="M23" s="128">
        <f>+K23+'7'!M23+L23</f>
        <v>0</v>
      </c>
    </row>
    <row r="24" spans="1:18" ht="13.5" customHeight="1" thickBot="1">
      <c r="A24" s="1020" t="s">
        <v>434</v>
      </c>
      <c r="B24" s="181"/>
      <c r="C24" s="124"/>
      <c r="D24" s="125"/>
      <c r="E24" s="126"/>
      <c r="F24" s="247"/>
      <c r="G24" s="240" t="s">
        <v>11</v>
      </c>
      <c r="H24" s="241" t="s">
        <v>473</v>
      </c>
      <c r="I24" s="1023" t="s">
        <v>574</v>
      </c>
      <c r="J24" s="225">
        <f>+'7'!J24</f>
        <v>0</v>
      </c>
      <c r="K24" s="250"/>
      <c r="L24" s="250"/>
      <c r="M24" s="128">
        <f>+K24+'7'!M24+L24</f>
        <v>0</v>
      </c>
    </row>
    <row r="25" spans="1:18" ht="13.5" thickBot="1">
      <c r="A25" s="1028"/>
      <c r="B25" s="226" t="s">
        <v>513</v>
      </c>
      <c r="C25" s="237">
        <v>6124</v>
      </c>
      <c r="D25" s="228">
        <v>2004</v>
      </c>
      <c r="E25" s="236"/>
      <c r="F25" s="242"/>
      <c r="G25" s="243" t="s">
        <v>11</v>
      </c>
      <c r="H25" s="241" t="s">
        <v>452</v>
      </c>
      <c r="I25" s="1024"/>
      <c r="J25" s="225">
        <f>+'7'!J25</f>
        <v>0</v>
      </c>
      <c r="K25" s="250"/>
      <c r="L25" s="250"/>
      <c r="M25" s="128">
        <f>+K25+'7'!M25+L25</f>
        <v>0</v>
      </c>
      <c r="N25" s="160">
        <v>1100</v>
      </c>
      <c r="O25" s="160">
        <f>+N25-N25*0.0035</f>
        <v>1096.1500000000001</v>
      </c>
      <c r="P25" s="160">
        <f>55-30+15+180</f>
        <v>220</v>
      </c>
    </row>
    <row r="26" spans="1:18" ht="13.5" thickBot="1">
      <c r="A26" s="1028"/>
      <c r="B26" s="226"/>
      <c r="C26" s="237"/>
      <c r="D26" s="228"/>
      <c r="E26" s="238"/>
      <c r="F26" s="242">
        <v>6</v>
      </c>
      <c r="G26" s="243" t="s">
        <v>11</v>
      </c>
      <c r="H26" s="597" t="s">
        <v>578</v>
      </c>
      <c r="I26" s="1024"/>
      <c r="J26" s="225">
        <f>+'7'!J26</f>
        <v>0</v>
      </c>
      <c r="K26" s="250"/>
      <c r="L26" s="250"/>
      <c r="M26" s="128">
        <f>+K26+'7'!M26+L26</f>
        <v>0</v>
      </c>
    </row>
    <row r="27" spans="1:18" ht="39" thickBot="1">
      <c r="A27" s="1028"/>
      <c r="B27" s="226"/>
      <c r="C27" s="227"/>
      <c r="D27" s="228"/>
      <c r="E27" s="236" t="s">
        <v>562</v>
      </c>
      <c r="F27" s="242">
        <f>60+30+5+120+45</f>
        <v>260</v>
      </c>
      <c r="G27" s="243" t="s">
        <v>11</v>
      </c>
      <c r="H27" s="597" t="s">
        <v>572</v>
      </c>
      <c r="I27" s="1024"/>
      <c r="J27" s="225">
        <f>+'7'!J27</f>
        <v>0</v>
      </c>
      <c r="K27" s="250"/>
      <c r="L27" s="250"/>
      <c r="M27" s="128">
        <f>+K27+'7'!M27+L27</f>
        <v>0</v>
      </c>
    </row>
    <row r="28" spans="1:18" ht="13.5" thickBot="1">
      <c r="A28" s="1028"/>
      <c r="B28" s="226"/>
      <c r="C28" s="227"/>
      <c r="D28" s="228"/>
      <c r="E28" s="236"/>
      <c r="F28" s="242"/>
      <c r="G28" s="243"/>
      <c r="H28" s="244" t="s">
        <v>569</v>
      </c>
      <c r="I28" s="1024"/>
      <c r="J28" s="225">
        <f>+'7'!J28</f>
        <v>0</v>
      </c>
      <c r="K28" s="250"/>
      <c r="L28" s="250"/>
      <c r="M28" s="128">
        <f>+K28+'7'!M28+L28</f>
        <v>0</v>
      </c>
    </row>
    <row r="29" spans="1:18" ht="13.5" thickBot="1">
      <c r="A29" s="1028"/>
      <c r="B29" s="226"/>
      <c r="C29" s="227"/>
      <c r="D29" s="228"/>
      <c r="E29" s="236"/>
      <c r="F29" s="247"/>
      <c r="G29" s="243"/>
      <c r="H29" s="244" t="s">
        <v>570</v>
      </c>
      <c r="I29" s="1024"/>
      <c r="J29" s="225">
        <f>+'7'!J29</f>
        <v>0</v>
      </c>
      <c r="K29" s="250"/>
      <c r="L29" s="250"/>
      <c r="M29" s="128">
        <f>+K29+'7'!M29+L29</f>
        <v>0</v>
      </c>
    </row>
    <row r="30" spans="1:18" ht="13.5" thickBot="1">
      <c r="A30" s="1028"/>
      <c r="B30" s="226"/>
      <c r="C30" s="237"/>
      <c r="D30" s="228"/>
      <c r="E30" s="236"/>
      <c r="F30" s="247"/>
      <c r="G30" s="243"/>
      <c r="H30" s="244" t="s">
        <v>571</v>
      </c>
      <c r="I30" s="1024"/>
      <c r="J30" s="225">
        <f>+'7'!J30</f>
        <v>0</v>
      </c>
      <c r="K30" s="250"/>
      <c r="L30" s="250"/>
      <c r="M30" s="128">
        <f>+K30+'7'!M30+L30</f>
        <v>0</v>
      </c>
      <c r="N30" s="166"/>
    </row>
    <row r="31" spans="1:18" ht="13.5" thickBot="1">
      <c r="A31" s="1028"/>
      <c r="B31" s="226"/>
      <c r="C31" s="237"/>
      <c r="D31" s="228"/>
      <c r="E31" s="236"/>
      <c r="F31" s="247"/>
      <c r="G31" s="248"/>
      <c r="H31" s="464" t="s">
        <v>573</v>
      </c>
      <c r="I31" s="1025"/>
      <c r="J31" s="225">
        <f>+'7'!J31</f>
        <v>0</v>
      </c>
      <c r="K31" s="250"/>
      <c r="L31" s="250"/>
      <c r="M31" s="128">
        <f>+K31+'7'!M31+L31</f>
        <v>0</v>
      </c>
    </row>
    <row r="32" spans="1:18" ht="13.5" thickBot="1">
      <c r="A32" s="1029"/>
      <c r="B32" s="176" t="s">
        <v>2</v>
      </c>
      <c r="C32" s="110">
        <f>SUM(C25:C31)</f>
        <v>6124</v>
      </c>
      <c r="D32" s="111">
        <f>SUM(D25:D31)</f>
        <v>2004</v>
      </c>
      <c r="E32" s="112">
        <f>SUM(E25:E31)</f>
        <v>0</v>
      </c>
      <c r="F32" s="113">
        <f>SUM(F24:F31)</f>
        <v>266</v>
      </c>
      <c r="G32" s="182"/>
      <c r="H32" s="183"/>
      <c r="I32" s="180"/>
      <c r="J32" s="225">
        <f>+'7'!J32</f>
        <v>0</v>
      </c>
      <c r="K32" s="252"/>
      <c r="L32" s="254"/>
      <c r="M32" s="128">
        <f>+K32+'7'!M32+L32</f>
        <v>0</v>
      </c>
    </row>
    <row r="33" spans="1:14" ht="13.5" thickBot="1">
      <c r="A33" s="184"/>
      <c r="B33" s="185"/>
      <c r="C33" s="114">
        <f>C32/($C$32+$D$32+$E$32)</f>
        <v>0.75344488188976377</v>
      </c>
      <c r="D33" s="115">
        <f>D32/($C$32+$D$32+$E$32)</f>
        <v>0.24655511811023623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12112</v>
      </c>
      <c r="D34" s="118">
        <f>D14+D23+D32</f>
        <v>3436</v>
      </c>
      <c r="E34" s="118">
        <f>E14+E23+E32</f>
        <v>0</v>
      </c>
      <c r="F34" s="119">
        <f>F14+F23+F32</f>
        <v>565</v>
      </c>
      <c r="H34" s="189"/>
      <c r="I34" s="189"/>
      <c r="J34" s="134" t="s">
        <v>27</v>
      </c>
      <c r="K34" s="135">
        <f>SUM(K7:K32)</f>
        <v>12112</v>
      </c>
      <c r="L34" s="223">
        <f>SUM(L7:L32)</f>
        <v>0</v>
      </c>
      <c r="M34" s="131">
        <f>SUM(M7:M32)</f>
        <v>509082</v>
      </c>
      <c r="N34" s="166"/>
    </row>
    <row r="35" spans="1:14" ht="13.5" thickBot="1">
      <c r="A35" s="190"/>
      <c r="B35" s="191"/>
      <c r="C35" s="115">
        <f>C34/($C$34+$D$34+$E$34)</f>
        <v>0.77900694623102651</v>
      </c>
      <c r="D35" s="115">
        <f>D34/($C$34+$D$34+$E$34)</f>
        <v>0.22099305376897349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(16*928)/928*G42*2.77*928/1000000</f>
        <v>45.308750392000007</v>
      </c>
      <c r="J37" s="136">
        <f>+I37+'7'!J37</f>
        <v>578.64957608201962</v>
      </c>
      <c r="K37" s="137" t="s">
        <v>62</v>
      </c>
      <c r="N37" s="565"/>
    </row>
    <row r="38" spans="1:14" ht="17.45" customHeight="1">
      <c r="A38" s="1034" t="s">
        <v>11</v>
      </c>
      <c r="B38" s="1035"/>
      <c r="C38" s="175">
        <f>SUMIF($G$7:$G$31,"Process",$F$7:$F$31)</f>
        <v>446</v>
      </c>
      <c r="D38" s="129">
        <f>+C38+'7'!D38</f>
        <v>864</v>
      </c>
      <c r="E38" s="154">
        <f t="shared" ref="E38:E51" si="0">D38/60</f>
        <v>14.4</v>
      </c>
      <c r="F38" s="340">
        <v>1180</v>
      </c>
      <c r="G38" s="340">
        <v>1175.8699999999999</v>
      </c>
      <c r="H38" s="198" t="s">
        <v>63</v>
      </c>
      <c r="I38" s="555">
        <f>11.974+19.02+9.318</f>
        <v>40.311999999999998</v>
      </c>
      <c r="J38" s="138">
        <f>+I38+'7'!J38</f>
        <v>533.54099999999994</v>
      </c>
      <c r="K38" s="139" t="s">
        <v>62</v>
      </c>
      <c r="N38" s="565"/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+C39+'7'!D39</f>
        <v>0</v>
      </c>
      <c r="E39" s="154">
        <f t="shared" si="0"/>
        <v>0</v>
      </c>
      <c r="F39" s="340">
        <v>1062.3287671232877</v>
      </c>
      <c r="G39" s="340">
        <v>1058.6106164383561</v>
      </c>
      <c r="H39" s="198" t="s">
        <v>64</v>
      </c>
      <c r="I39" s="153"/>
      <c r="J39" s="140">
        <f>J37/G4</f>
        <v>72.331197010252453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+C40+'7'!D40</f>
        <v>0</v>
      </c>
      <c r="E40" s="154">
        <f t="shared" si="0"/>
        <v>0</v>
      </c>
      <c r="F40" s="340">
        <v>1100</v>
      </c>
      <c r="G40" s="340">
        <v>1096.1500000000001</v>
      </c>
      <c r="H40" s="198" t="s">
        <v>66</v>
      </c>
      <c r="I40" s="129">
        <f>(K34+L34)/1000</f>
        <v>12.112</v>
      </c>
      <c r="J40" s="142">
        <f>+I40+'7'!J40</f>
        <v>509.08200000000005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119</v>
      </c>
      <c r="D41" s="129">
        <f>+C41+'7'!D41</f>
        <v>214</v>
      </c>
      <c r="E41" s="154">
        <f t="shared" si="0"/>
        <v>3.5666666666666669</v>
      </c>
      <c r="F41" s="340"/>
      <c r="G41" s="340"/>
      <c r="H41" s="198" t="s">
        <v>68</v>
      </c>
      <c r="I41" s="153"/>
      <c r="J41" s="140">
        <f>J40/G4</f>
        <v>63.635250000000006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+C42+'7'!D42</f>
        <v>0</v>
      </c>
      <c r="E42" s="154">
        <f t="shared" si="0"/>
        <v>0</v>
      </c>
      <c r="F42" s="340">
        <f>+(F38*270+F39*438+F40*220)/928</f>
        <v>1105.4956896551723</v>
      </c>
      <c r="G42" s="340">
        <f>+(G38*270+G39*438+G40*220)/928</f>
        <v>1101.6264547413793</v>
      </c>
      <c r="H42" s="198" t="s">
        <v>69</v>
      </c>
      <c r="I42" s="257" t="s">
        <v>575</v>
      </c>
      <c r="J42" s="143"/>
      <c r="K42" s="141" t="s">
        <v>70</v>
      </c>
    </row>
    <row r="43" spans="1:14" ht="17.45" customHeight="1">
      <c r="A43" s="1018" t="s">
        <v>202</v>
      </c>
      <c r="B43" s="1019"/>
      <c r="C43" s="175">
        <f>SUMIF($G$7:$G$31,"Change Grade",$F$7:$F$31)</f>
        <v>0</v>
      </c>
      <c r="D43" s="129">
        <f>+C43+'7'!D43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+Report1!T16</f>
        <v>109.65100000000001</v>
      </c>
      <c r="J43" s="144">
        <f>+I43+'7'!J43</f>
        <v>1123.7069999999999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+C44+'7'!D44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2.7200585433617785</v>
      </c>
      <c r="J44" s="145">
        <f>J43/J38</f>
        <v>2.1061305504169314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+C45+'7'!D45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9.0530878467635407</v>
      </c>
      <c r="J45" s="145">
        <f>J43/J40</f>
        <v>2.2073202352469736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+C46+'7'!D46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+SUMIF(Listrik!AR15,"&gt;0")</f>
        <v>41908.620000000868</v>
      </c>
      <c r="J46" s="146">
        <f>+I46+'7'!J46</f>
        <v>439960.35999999859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+C47+'7'!D47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1039.6065687636651</v>
      </c>
      <c r="J47" s="146">
        <f>J46/J38</f>
        <v>824.60459458598052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+C48+'7'!D48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3460.0908190225286</v>
      </c>
      <c r="J48" s="146">
        <f>J46/J40</f>
        <v>864.22297390204039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+C49+'7'!D49</f>
        <v>233</v>
      </c>
      <c r="E49" s="154">
        <f t="shared" si="0"/>
        <v>3.8833333333333333</v>
      </c>
      <c r="F49" s="196"/>
      <c r="H49" s="199" t="s">
        <v>184</v>
      </c>
      <c r="I49" s="129">
        <v>0</v>
      </c>
      <c r="J49" s="146">
        <f>+I49+'7'!J49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+C50+'7'!D50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+C51+'7'!D51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565</v>
      </c>
      <c r="D52" s="155">
        <f>SUM(D38:D51)</f>
        <v>1349</v>
      </c>
      <c r="E52" s="156">
        <f>SUM(E38:E51)</f>
        <v>22.483333333333334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0.3923611111111111</v>
      </c>
      <c r="D53" s="157">
        <f>D52/(24*60*G4)</f>
        <v>0.11710069444444444</v>
      </c>
      <c r="E53" s="158">
        <f>E52/(G4*24)</f>
        <v>0.11710069444444444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+D34+'7'!J56</f>
        <v>4666</v>
      </c>
      <c r="K56" s="212">
        <f>J56/(J40+J56/1000)/1000</f>
        <v>9.0822737996060325E-3</v>
      </c>
    </row>
    <row r="57" spans="1:11">
      <c r="A57" s="187"/>
      <c r="I57" s="210" t="s">
        <v>88</v>
      </c>
      <c r="J57" s="211">
        <f>+E34+'7'!J57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</mergeCells>
  <phoneticPr fontId="31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Y61"/>
  <sheetViews>
    <sheetView view="pageBreakPreview" topLeftCell="A10" zoomScale="80" zoomScaleNormal="75" zoomScaleSheetLayoutView="80" workbookViewId="0">
      <selection activeCell="I37" sqref="I37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7109375" style="160" bestFit="1" customWidth="1"/>
    <col min="5" max="5" width="13.85546875" style="160" bestFit="1" customWidth="1"/>
    <col min="6" max="6" width="12.7109375" style="12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3.28515625" style="160" bestFit="1" customWidth="1"/>
    <col min="12" max="12" width="12" style="160" bestFit="1" customWidth="1"/>
    <col min="13" max="13" width="15.5703125" style="160" bestFit="1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7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211+264+173</f>
        <v>648</v>
      </c>
    </row>
    <row r="7" spans="1:18" ht="13.5" customHeight="1" thickBot="1">
      <c r="A7" s="1020" t="s">
        <v>435</v>
      </c>
      <c r="B7" s="226" t="s">
        <v>513</v>
      </c>
      <c r="C7" s="227">
        <v>20572</v>
      </c>
      <c r="D7" s="228"/>
      <c r="E7" s="229"/>
      <c r="F7" s="239">
        <v>10</v>
      </c>
      <c r="G7" s="240" t="s">
        <v>11</v>
      </c>
      <c r="H7" s="241" t="s">
        <v>418</v>
      </c>
      <c r="I7" s="1023" t="s">
        <v>530</v>
      </c>
      <c r="J7" s="225" t="str">
        <f>+'6'!J7</f>
        <v>MG 14 VP HW</v>
      </c>
      <c r="K7" s="249"/>
      <c r="L7" s="253"/>
      <c r="M7" s="128">
        <f>+K7+'6'!M7+L7</f>
        <v>160441</v>
      </c>
    </row>
    <row r="8" spans="1:18" ht="13.5" thickBot="1">
      <c r="A8" s="1021"/>
      <c r="B8" s="226"/>
      <c r="C8" s="227"/>
      <c r="D8" s="228"/>
      <c r="E8" s="230"/>
      <c r="F8" s="242">
        <v>5</v>
      </c>
      <c r="G8" s="243" t="s">
        <v>11</v>
      </c>
      <c r="H8" s="241" t="s">
        <v>535</v>
      </c>
      <c r="I8" s="1024"/>
      <c r="J8" s="225" t="str">
        <f>+'6'!J8</f>
        <v>MG 17 VP HW</v>
      </c>
      <c r="K8" s="250"/>
      <c r="L8" s="250"/>
      <c r="M8" s="128">
        <f>+K8+'6'!M8+L8</f>
        <v>131048</v>
      </c>
      <c r="N8" s="160">
        <v>1240</v>
      </c>
      <c r="O8" s="160">
        <f>+N8-N8*0.0035</f>
        <v>1235.6600000000001</v>
      </c>
      <c r="P8" s="160">
        <f>180+57</f>
        <v>237</v>
      </c>
      <c r="Q8" s="160">
        <f>+N8*P8</f>
        <v>293880</v>
      </c>
      <c r="R8" s="160">
        <f>+O8*P8</f>
        <v>292851.42000000004</v>
      </c>
    </row>
    <row r="9" spans="1:18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453</v>
      </c>
      <c r="I9" s="1024"/>
      <c r="J9" s="225" t="str">
        <f>+'6'!J9</f>
        <v>MG 16 VP HW</v>
      </c>
      <c r="K9" s="250">
        <f>+C7+C16+C25</f>
        <v>35378</v>
      </c>
      <c r="L9" s="250"/>
      <c r="M9" s="128">
        <f>+K9+'6'!M9+L9</f>
        <v>180061</v>
      </c>
      <c r="N9" s="160">
        <v>920</v>
      </c>
      <c r="O9" s="160">
        <f>+N9-N9*0.0035</f>
        <v>916.78</v>
      </c>
      <c r="P9" s="160">
        <f>3+55</f>
        <v>58</v>
      </c>
      <c r="Q9" s="160">
        <f>+N9*P9</f>
        <v>53360</v>
      </c>
      <c r="R9" s="160">
        <f>+O9*P9</f>
        <v>53173.24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511</v>
      </c>
      <c r="I10" s="1024"/>
      <c r="J10" s="225" t="s">
        <v>545</v>
      </c>
      <c r="K10" s="250">
        <f>+C17+C27</f>
        <v>12128</v>
      </c>
      <c r="L10" s="250"/>
      <c r="M10" s="128">
        <f>+K10+'6'!M10+L10</f>
        <v>12128</v>
      </c>
      <c r="N10" s="160">
        <v>840</v>
      </c>
      <c r="O10" s="160">
        <f>+N10-N10*0.0035</f>
        <v>837.06</v>
      </c>
      <c r="P10" s="160">
        <v>117</v>
      </c>
      <c r="Q10" s="160">
        <f>+N10*P10</f>
        <v>98280</v>
      </c>
      <c r="R10" s="160">
        <f>+O10*P10</f>
        <v>97936.01999999999</v>
      </c>
    </row>
    <row r="11" spans="1:18" ht="13.5" thickBot="1">
      <c r="A11" s="1021"/>
      <c r="B11" s="226"/>
      <c r="C11" s="227"/>
      <c r="D11" s="228"/>
      <c r="E11" s="230"/>
      <c r="F11" s="239">
        <v>15</v>
      </c>
      <c r="G11" s="243" t="s">
        <v>11</v>
      </c>
      <c r="H11" s="244" t="s">
        <v>534</v>
      </c>
      <c r="I11" s="1024"/>
      <c r="J11" s="225" t="s">
        <v>546</v>
      </c>
      <c r="K11" s="250">
        <f>+C18</f>
        <v>5566</v>
      </c>
      <c r="L11" s="250"/>
      <c r="M11" s="128">
        <f>+K11+'6'!M11+L11</f>
        <v>5566</v>
      </c>
      <c r="P11" s="160">
        <f>SUM(P8:P10)</f>
        <v>412</v>
      </c>
      <c r="Q11" s="160">
        <f>SUM(Q8:Q10)</f>
        <v>445520</v>
      </c>
      <c r="R11" s="160">
        <f>SUM(R8:R10)</f>
        <v>443960.68000000005</v>
      </c>
    </row>
    <row r="12" spans="1:18" ht="26.25" thickBot="1">
      <c r="A12" s="1021"/>
      <c r="B12" s="226"/>
      <c r="C12" s="227"/>
      <c r="D12" s="228"/>
      <c r="E12" s="230" t="s">
        <v>484</v>
      </c>
      <c r="F12" s="239">
        <f>5+30</f>
        <v>35</v>
      </c>
      <c r="G12" s="243" t="s">
        <v>11</v>
      </c>
      <c r="H12" s="244" t="s">
        <v>529</v>
      </c>
      <c r="I12" s="1024"/>
      <c r="J12" s="225" t="s">
        <v>547</v>
      </c>
      <c r="K12" s="250">
        <f>+C26</f>
        <v>7726</v>
      </c>
      <c r="L12" s="250"/>
      <c r="M12" s="128">
        <f>+K12+'6'!M12+L12</f>
        <v>7726</v>
      </c>
      <c r="Q12" s="160">
        <f>+Q11/P11</f>
        <v>1081.3592233009708</v>
      </c>
      <c r="R12" s="160">
        <f>+R11/P11</f>
        <v>1077.5744660194175</v>
      </c>
    </row>
    <row r="13" spans="1:18" ht="26.25" thickBot="1">
      <c r="A13" s="1021"/>
      <c r="B13" s="226"/>
      <c r="C13" s="227"/>
      <c r="D13" s="227"/>
      <c r="E13" s="230" t="s">
        <v>484</v>
      </c>
      <c r="F13" s="239">
        <f>70-37</f>
        <v>33</v>
      </c>
      <c r="G13" s="243" t="s">
        <v>67</v>
      </c>
      <c r="H13" s="244" t="s">
        <v>519</v>
      </c>
      <c r="I13" s="1025"/>
      <c r="J13" s="225">
        <f>+'6'!J13</f>
        <v>0</v>
      </c>
      <c r="K13" s="250"/>
      <c r="L13" s="250"/>
      <c r="M13" s="128">
        <f>+K13+'6'!M13+L13</f>
        <v>0</v>
      </c>
    </row>
    <row r="14" spans="1:18" ht="13.5" thickBot="1">
      <c r="A14" s="1022"/>
      <c r="B14" s="176" t="s">
        <v>2</v>
      </c>
      <c r="C14" s="110">
        <f>SUM(C7:C13)</f>
        <v>20572</v>
      </c>
      <c r="D14" s="122">
        <f>SUM(D7:D13)</f>
        <v>0</v>
      </c>
      <c r="E14" s="123">
        <f>SUM(E5:E13)</f>
        <v>0</v>
      </c>
      <c r="F14" s="127">
        <f>SUM(F7:F13)</f>
        <v>108</v>
      </c>
      <c r="G14" s="170"/>
      <c r="H14" s="177"/>
      <c r="I14" s="178"/>
      <c r="J14" s="225">
        <f>+'6'!J14</f>
        <v>0</v>
      </c>
      <c r="K14" s="250"/>
      <c r="L14" s="250"/>
      <c r="M14" s="128">
        <f>+K14+'6'!M14+L14</f>
        <v>0</v>
      </c>
    </row>
    <row r="15" spans="1:18" ht="13.5" customHeight="1" thickBot="1">
      <c r="A15" s="1020" t="s">
        <v>475</v>
      </c>
      <c r="B15" s="176"/>
      <c r="C15" s="124"/>
      <c r="D15" s="125"/>
      <c r="E15" s="126"/>
      <c r="F15" s="239">
        <v>5</v>
      </c>
      <c r="G15" s="240" t="s">
        <v>11</v>
      </c>
      <c r="H15" s="241" t="s">
        <v>536</v>
      </c>
      <c r="I15" s="1023" t="s">
        <v>531</v>
      </c>
      <c r="J15" s="225">
        <f>+'6'!J15</f>
        <v>0</v>
      </c>
      <c r="K15" s="250"/>
      <c r="L15" s="250"/>
      <c r="M15" s="128">
        <f>+K15+'6'!M15+L15</f>
        <v>0</v>
      </c>
    </row>
    <row r="16" spans="1:18" ht="13.5" thickBot="1">
      <c r="A16" s="1026"/>
      <c r="B16" s="226" t="s">
        <v>513</v>
      </c>
      <c r="C16" s="233">
        <f>988+2394+2891</f>
        <v>6273</v>
      </c>
      <c r="D16" s="234"/>
      <c r="E16" s="235"/>
      <c r="F16" s="239"/>
      <c r="G16" s="243" t="s">
        <v>11</v>
      </c>
      <c r="H16" s="241" t="s">
        <v>452</v>
      </c>
      <c r="I16" s="1024"/>
      <c r="J16" s="225">
        <f>+'6'!J16</f>
        <v>0</v>
      </c>
      <c r="K16" s="240"/>
      <c r="L16" s="240"/>
      <c r="M16" s="128">
        <f>+K16+'6'!M16+L16</f>
        <v>0</v>
      </c>
      <c r="N16" s="160">
        <v>840</v>
      </c>
      <c r="O16" s="160">
        <f>+N16-N16*0.0035</f>
        <v>837.06</v>
      </c>
      <c r="P16" s="160">
        <f>120+16</f>
        <v>136</v>
      </c>
      <c r="Q16" s="160">
        <f>+N16*P16</f>
        <v>114240</v>
      </c>
      <c r="R16" s="160">
        <f>+O16*P16</f>
        <v>113840.15999999999</v>
      </c>
    </row>
    <row r="17" spans="1:25" ht="13.5" thickBot="1">
      <c r="A17" s="1026"/>
      <c r="B17" s="226" t="s">
        <v>545</v>
      </c>
      <c r="C17" s="227">
        <f>1080+4894+5019</f>
        <v>10993</v>
      </c>
      <c r="D17" s="228"/>
      <c r="E17" s="236"/>
      <c r="F17" s="239">
        <v>8</v>
      </c>
      <c r="G17" s="243" t="s">
        <v>11</v>
      </c>
      <c r="H17" s="597" t="s">
        <v>455</v>
      </c>
      <c r="I17" s="1024"/>
      <c r="J17" s="225">
        <f>+'6'!J17</f>
        <v>0</v>
      </c>
      <c r="K17" s="240"/>
      <c r="L17" s="240"/>
      <c r="M17" s="128">
        <f>+K17+'6'!M17+L17</f>
        <v>0</v>
      </c>
      <c r="N17" s="160">
        <v>920</v>
      </c>
      <c r="O17" s="160">
        <f>+N17-N17*0.0035</f>
        <v>916.78</v>
      </c>
      <c r="P17" s="160">
        <f>44+180</f>
        <v>224</v>
      </c>
      <c r="Q17" s="160">
        <f>+N17*P17</f>
        <v>206080</v>
      </c>
      <c r="R17" s="160">
        <f>+O17*P17</f>
        <v>205358.72</v>
      </c>
    </row>
    <row r="18" spans="1:25" ht="13.5" thickBot="1">
      <c r="A18" s="1026"/>
      <c r="B18" s="226" t="s">
        <v>546</v>
      </c>
      <c r="C18" s="227">
        <f>466+5100</f>
        <v>5566</v>
      </c>
      <c r="D18" s="228"/>
      <c r="E18" s="236"/>
      <c r="F18" s="239"/>
      <c r="G18" s="243"/>
      <c r="H18" s="597" t="s">
        <v>528</v>
      </c>
      <c r="I18" s="1024"/>
      <c r="J18" s="225">
        <f>+'6'!J18</f>
        <v>0</v>
      </c>
      <c r="K18" s="250"/>
      <c r="L18" s="250"/>
      <c r="M18" s="128">
        <f>+K18+'6'!M18+L18</f>
        <v>0</v>
      </c>
      <c r="N18" s="160">
        <v>960</v>
      </c>
      <c r="O18" s="160">
        <f>+N18-N18*0.0035</f>
        <v>956.64</v>
      </c>
      <c r="P18" s="160">
        <v>120</v>
      </c>
      <c r="Q18" s="160">
        <f>+N18*P18</f>
        <v>115200</v>
      </c>
      <c r="R18" s="160">
        <f>+O18*P18</f>
        <v>114796.8</v>
      </c>
    </row>
    <row r="19" spans="1:25" ht="26.25" thickBot="1">
      <c r="A19" s="1026"/>
      <c r="B19" s="226"/>
      <c r="C19" s="227"/>
      <c r="D19" s="228"/>
      <c r="E19" s="236"/>
      <c r="F19" s="246">
        <v>10</v>
      </c>
      <c r="G19" s="243" t="s">
        <v>11</v>
      </c>
      <c r="H19" s="244" t="s">
        <v>520</v>
      </c>
      <c r="I19" s="1024"/>
      <c r="J19" s="225">
        <f>+'6'!J19</f>
        <v>0</v>
      </c>
      <c r="K19" s="250"/>
      <c r="L19" s="250"/>
      <c r="M19" s="128">
        <f>+K19+'6'!M19+L19</f>
        <v>0</v>
      </c>
      <c r="P19" s="160">
        <f>SUM(P16:P18)</f>
        <v>480</v>
      </c>
      <c r="Q19" s="160">
        <f>SUM(Q16:Q18)</f>
        <v>435520</v>
      </c>
      <c r="R19" s="160">
        <f>SUM(R16:R18)</f>
        <v>433995.68</v>
      </c>
    </row>
    <row r="20" spans="1:25" ht="90" thickBot="1">
      <c r="A20" s="1026"/>
      <c r="B20" s="226"/>
      <c r="C20" s="227"/>
      <c r="D20" s="228"/>
      <c r="E20" s="236"/>
      <c r="F20" s="239"/>
      <c r="G20" s="243"/>
      <c r="H20" s="244" t="s">
        <v>522</v>
      </c>
      <c r="I20" s="1024"/>
      <c r="J20" s="225">
        <f>+'6'!J20</f>
        <v>0</v>
      </c>
      <c r="K20" s="251"/>
      <c r="L20" s="251"/>
      <c r="M20" s="128">
        <f>+K20+'6'!M20+L20</f>
        <v>0</v>
      </c>
      <c r="Q20" s="160">
        <f>+Q19/P19</f>
        <v>907.33333333333337</v>
      </c>
      <c r="R20" s="160">
        <f>+R19/P19</f>
        <v>904.15766666666661</v>
      </c>
    </row>
    <row r="21" spans="1:25" ht="90" thickBot="1">
      <c r="A21" s="1026"/>
      <c r="B21" s="226"/>
      <c r="C21" s="227"/>
      <c r="D21" s="228"/>
      <c r="E21" s="236"/>
      <c r="F21" s="242"/>
      <c r="G21" s="243"/>
      <c r="H21" s="503" t="s">
        <v>521</v>
      </c>
      <c r="I21" s="1024"/>
      <c r="J21" s="225">
        <f>+'6'!J21</f>
        <v>0</v>
      </c>
      <c r="K21" s="250"/>
      <c r="L21" s="250"/>
      <c r="M21" s="128">
        <f>+K21+'6'!M21+L21</f>
        <v>0</v>
      </c>
    </row>
    <row r="22" spans="1:25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+'6'!J22</f>
        <v>0</v>
      </c>
      <c r="K22" s="250"/>
      <c r="L22" s="250"/>
      <c r="M22" s="128">
        <f>+K22+'6'!M22+L22</f>
        <v>0</v>
      </c>
    </row>
    <row r="23" spans="1:25" ht="13.5" thickBot="1">
      <c r="A23" s="1027"/>
      <c r="B23" s="179" t="s">
        <v>2</v>
      </c>
      <c r="C23" s="111">
        <f>SUM(C16:C22)</f>
        <v>22832</v>
      </c>
      <c r="D23" s="122">
        <f>SUM(D16:D22)</f>
        <v>0</v>
      </c>
      <c r="E23" s="123">
        <f>SUM(E18:E22)</f>
        <v>0</v>
      </c>
      <c r="F23" s="127">
        <f>SUM(F15:F22)</f>
        <v>23</v>
      </c>
      <c r="G23" s="170"/>
      <c r="H23" s="177" t="s">
        <v>234</v>
      </c>
      <c r="I23" s="180"/>
      <c r="J23" s="225">
        <f>+'6'!J23</f>
        <v>0</v>
      </c>
      <c r="K23" s="250"/>
      <c r="L23" s="250"/>
      <c r="M23" s="128">
        <f>+K23+'6'!M23+L23</f>
        <v>0</v>
      </c>
      <c r="U23" s="160">
        <v>1240</v>
      </c>
      <c r="V23" s="160">
        <f>+U23-U23*0.0035</f>
        <v>1235.6600000000001</v>
      </c>
      <c r="W23" s="160">
        <f>180+57</f>
        <v>237</v>
      </c>
      <c r="X23" s="160">
        <f>+U23*W23</f>
        <v>293880</v>
      </c>
      <c r="Y23" s="160">
        <f>+V23*W23</f>
        <v>292851.42000000004</v>
      </c>
    </row>
    <row r="24" spans="1:25" ht="13.5" customHeight="1" thickBot="1">
      <c r="A24" s="1020" t="s">
        <v>434</v>
      </c>
      <c r="B24" s="181"/>
      <c r="C24" s="124"/>
      <c r="D24" s="125"/>
      <c r="E24" s="126"/>
      <c r="F24" s="247">
        <v>20</v>
      </c>
      <c r="G24" s="240" t="s">
        <v>11</v>
      </c>
      <c r="H24" s="241" t="s">
        <v>504</v>
      </c>
      <c r="I24" s="1023" t="s">
        <v>532</v>
      </c>
      <c r="J24" s="225">
        <f>+'6'!J24</f>
        <v>0</v>
      </c>
      <c r="K24" s="250"/>
      <c r="L24" s="250"/>
      <c r="M24" s="128">
        <f>+K24+'6'!M24+L24</f>
        <v>0</v>
      </c>
      <c r="N24" s="160">
        <v>960</v>
      </c>
      <c r="O24" s="160">
        <f>+N24-N24*0.0035</f>
        <v>956.64</v>
      </c>
      <c r="P24" s="160">
        <v>40</v>
      </c>
      <c r="Q24" s="160">
        <f>+N24*P24</f>
        <v>38400</v>
      </c>
      <c r="R24" s="160">
        <f>+O24*P24</f>
        <v>38265.599999999999</v>
      </c>
      <c r="U24" s="160">
        <v>1210</v>
      </c>
      <c r="V24" s="160">
        <f>+U24-U24*0.0035</f>
        <v>1205.7650000000001</v>
      </c>
      <c r="W24" s="160">
        <f>480-40</f>
        <v>440</v>
      </c>
      <c r="X24" s="160">
        <f>+U24*W24</f>
        <v>532400</v>
      </c>
      <c r="Y24" s="160">
        <f>+V24*W24</f>
        <v>530536.60000000009</v>
      </c>
    </row>
    <row r="25" spans="1:25" ht="13.5" thickBot="1">
      <c r="A25" s="1028"/>
      <c r="B25" s="226" t="s">
        <v>513</v>
      </c>
      <c r="C25" s="237">
        <f>1344+3282+3907</f>
        <v>8533</v>
      </c>
      <c r="D25" s="228"/>
      <c r="E25" s="236"/>
      <c r="F25" s="242"/>
      <c r="G25" s="243" t="s">
        <v>11</v>
      </c>
      <c r="H25" s="241" t="s">
        <v>452</v>
      </c>
      <c r="I25" s="1024"/>
      <c r="J25" s="225">
        <f>+'6'!J25</f>
        <v>0</v>
      </c>
      <c r="K25" s="250"/>
      <c r="L25" s="250"/>
      <c r="M25" s="128">
        <f>+K25+'6'!M25+L25</f>
        <v>0</v>
      </c>
      <c r="N25" s="160">
        <v>1210</v>
      </c>
      <c r="O25" s="160">
        <f>+N25-N25*0.0035</f>
        <v>1205.7650000000001</v>
      </c>
      <c r="P25" s="160">
        <f>480-40</f>
        <v>440</v>
      </c>
      <c r="Q25" s="160">
        <f>+N25*P25</f>
        <v>532400</v>
      </c>
      <c r="R25" s="160">
        <f>+O25*P25</f>
        <v>530536.60000000009</v>
      </c>
      <c r="W25" s="160">
        <f>SUM(W23:W24)</f>
        <v>677</v>
      </c>
      <c r="X25" s="160">
        <f>SUM(X23:X24)</f>
        <v>826280</v>
      </c>
      <c r="Y25" s="160">
        <f>SUM(Y23:Y24)</f>
        <v>823388.02000000014</v>
      </c>
    </row>
    <row r="26" spans="1:25" ht="13.5" thickBot="1">
      <c r="A26" s="1028"/>
      <c r="B26" s="226" t="s">
        <v>547</v>
      </c>
      <c r="C26" s="237">
        <f>863+6863</f>
        <v>7726</v>
      </c>
      <c r="D26" s="228"/>
      <c r="E26" s="238"/>
      <c r="F26" s="242">
        <v>9</v>
      </c>
      <c r="G26" s="243" t="s">
        <v>11</v>
      </c>
      <c r="H26" s="597" t="s">
        <v>537</v>
      </c>
      <c r="I26" s="1024"/>
      <c r="J26" s="225">
        <f>+'6'!J26</f>
        <v>0</v>
      </c>
      <c r="K26" s="250"/>
      <c r="L26" s="250"/>
      <c r="M26" s="128">
        <f>+K26+'6'!M26+L26</f>
        <v>0</v>
      </c>
      <c r="P26" s="160">
        <f>SUM(P24:P25)</f>
        <v>480</v>
      </c>
      <c r="Q26" s="160">
        <f>SUM(Q24:Q25)</f>
        <v>570800</v>
      </c>
      <c r="R26" s="160">
        <f>SUM(R24:R25)</f>
        <v>568802.20000000007</v>
      </c>
      <c r="X26" s="160">
        <f>+X25/W25</f>
        <v>1220.5022156573116</v>
      </c>
      <c r="Y26" s="160">
        <f>+Y25/W25</f>
        <v>1216.2304579025113</v>
      </c>
    </row>
    <row r="27" spans="1:25" ht="13.5" thickBot="1">
      <c r="A27" s="1028"/>
      <c r="B27" s="226" t="s">
        <v>545</v>
      </c>
      <c r="C27" s="227">
        <f>110+502+523</f>
        <v>1135</v>
      </c>
      <c r="D27" s="228"/>
      <c r="E27" s="236"/>
      <c r="F27" s="242"/>
      <c r="G27" s="243"/>
      <c r="H27" s="597" t="s">
        <v>523</v>
      </c>
      <c r="I27" s="1024"/>
      <c r="J27" s="225">
        <f>+'6'!J27</f>
        <v>0</v>
      </c>
      <c r="K27" s="250"/>
      <c r="L27" s="250"/>
      <c r="M27" s="128">
        <f>+K27+'6'!M27+L27</f>
        <v>0</v>
      </c>
      <c r="Q27" s="160">
        <f>+Q26/P26</f>
        <v>1189.1666666666667</v>
      </c>
      <c r="R27" s="160">
        <f>+R26/P26</f>
        <v>1185.0045833333336</v>
      </c>
    </row>
    <row r="28" spans="1:25" ht="13.5" thickBot="1">
      <c r="A28" s="1028"/>
      <c r="B28" s="226"/>
      <c r="C28" s="227"/>
      <c r="D28" s="228"/>
      <c r="E28" s="236"/>
      <c r="F28" s="242">
        <v>15</v>
      </c>
      <c r="G28" s="243" t="s">
        <v>11</v>
      </c>
      <c r="H28" s="244" t="s">
        <v>524</v>
      </c>
      <c r="I28" s="1024"/>
      <c r="J28" s="225">
        <f>+'6'!J28</f>
        <v>0</v>
      </c>
      <c r="K28" s="250"/>
      <c r="L28" s="250"/>
      <c r="M28" s="128">
        <f>+K28+'6'!M28+L28</f>
        <v>0</v>
      </c>
    </row>
    <row r="29" spans="1:25" ht="13.5" thickBot="1">
      <c r="A29" s="1028"/>
      <c r="B29" s="226"/>
      <c r="C29" s="227"/>
      <c r="D29" s="228"/>
      <c r="E29" s="236"/>
      <c r="F29" s="247"/>
      <c r="G29" s="243"/>
      <c r="H29" s="244" t="s">
        <v>525</v>
      </c>
      <c r="I29" s="1024"/>
      <c r="J29" s="225">
        <f>+'6'!J29</f>
        <v>0</v>
      </c>
      <c r="K29" s="250"/>
      <c r="L29" s="250"/>
      <c r="M29" s="128">
        <f>+K29+'6'!M29+L29</f>
        <v>0</v>
      </c>
    </row>
    <row r="30" spans="1:25" ht="13.5" thickBot="1">
      <c r="A30" s="1028"/>
      <c r="B30" s="226"/>
      <c r="C30" s="237"/>
      <c r="D30" s="228"/>
      <c r="E30" s="236"/>
      <c r="F30" s="247"/>
      <c r="G30" s="243"/>
      <c r="H30" s="244" t="s">
        <v>526</v>
      </c>
      <c r="I30" s="1024"/>
      <c r="J30" s="225">
        <f>+'6'!J30</f>
        <v>0</v>
      </c>
      <c r="K30" s="250"/>
      <c r="L30" s="250"/>
      <c r="M30" s="128">
        <f>+K30+'6'!M30+L30</f>
        <v>0</v>
      </c>
      <c r="N30" s="166"/>
    </row>
    <row r="31" spans="1:25" ht="13.5" thickBot="1">
      <c r="A31" s="1028"/>
      <c r="B31" s="226"/>
      <c r="C31" s="237"/>
      <c r="D31" s="228"/>
      <c r="E31" s="236"/>
      <c r="F31" s="247"/>
      <c r="G31" s="248"/>
      <c r="H31" s="464" t="s">
        <v>527</v>
      </c>
      <c r="I31" s="1025"/>
      <c r="J31" s="225">
        <f>+'6'!J31</f>
        <v>0</v>
      </c>
      <c r="K31" s="250"/>
      <c r="L31" s="250"/>
      <c r="M31" s="128">
        <f>+K31+'6'!M31+L31</f>
        <v>0</v>
      </c>
    </row>
    <row r="32" spans="1:25" ht="13.5" thickBot="1">
      <c r="A32" s="1029"/>
      <c r="B32" s="176" t="s">
        <v>2</v>
      </c>
      <c r="C32" s="110">
        <f>SUM(C25:C31)</f>
        <v>17394</v>
      </c>
      <c r="D32" s="111">
        <f>SUM(D25:D31)</f>
        <v>0</v>
      </c>
      <c r="E32" s="112">
        <f>SUM(E25:E31)</f>
        <v>0</v>
      </c>
      <c r="F32" s="113">
        <f>SUM(F24:F31)</f>
        <v>44</v>
      </c>
      <c r="G32" s="182"/>
      <c r="H32" s="183"/>
      <c r="I32" s="180"/>
      <c r="J32" s="225">
        <f>+'6'!J32</f>
        <v>0</v>
      </c>
      <c r="K32" s="252"/>
      <c r="L32" s="254"/>
      <c r="M32" s="128">
        <f>+K32+'6'!M32+L32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60798</v>
      </c>
      <c r="D34" s="118">
        <f>D14+D23+D32</f>
        <v>0</v>
      </c>
      <c r="E34" s="118">
        <f>E14+E23+E32</f>
        <v>0</v>
      </c>
      <c r="F34" s="119">
        <f>F14+F23+F32</f>
        <v>175</v>
      </c>
      <c r="H34" s="189"/>
      <c r="I34" s="189"/>
      <c r="J34" s="134" t="s">
        <v>27</v>
      </c>
      <c r="K34" s="135">
        <f>SUM(K7:K32)</f>
        <v>60798</v>
      </c>
      <c r="L34" s="223">
        <f>SUM(L7:L32)</f>
        <v>0</v>
      </c>
      <c r="M34" s="131">
        <f>SUM(M7:M32)</f>
        <v>496970</v>
      </c>
      <c r="N34" s="166"/>
    </row>
    <row r="35" spans="1:14" ht="13.5" thickBot="1">
      <c r="A35" s="190"/>
      <c r="B35" s="191"/>
      <c r="C35" s="115">
        <f>C34/($C$34+$D$34+$E$34)</f>
        <v>1</v>
      </c>
      <c r="D35" s="115">
        <f>D34/($C$34+$D$34+$E$34)</f>
        <v>0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(16*677+22*282+24*253+20*160)/1440*G42*2.77*1440/1000000</f>
        <v>76.923370461452535</v>
      </c>
      <c r="J37" s="136">
        <f>+I37+'6'!J37</f>
        <v>533.34082569001964</v>
      </c>
      <c r="K37" s="137" t="s">
        <v>62</v>
      </c>
      <c r="M37" s="160">
        <v>16</v>
      </c>
      <c r="N37" s="160">
        <f>13.479+8.595</f>
        <v>22.073999999999998</v>
      </c>
    </row>
    <row r="38" spans="1:14" ht="17.45" customHeight="1">
      <c r="A38" s="1034" t="s">
        <v>11</v>
      </c>
      <c r="B38" s="1035"/>
      <c r="C38" s="175">
        <f>SUMIF($G$7:$G$31,"Process",$F$7:$F$31)</f>
        <v>142</v>
      </c>
      <c r="D38" s="129">
        <f>+C38+'6'!D38</f>
        <v>418</v>
      </c>
      <c r="E38" s="154">
        <f t="shared" ref="E38:E51" si="0">D38/60</f>
        <v>6.9666666666666668</v>
      </c>
      <c r="F38" s="340">
        <v>1081.3592233009708</v>
      </c>
      <c r="G38" s="340">
        <v>1077.5744660194175</v>
      </c>
      <c r="H38" s="198" t="s">
        <v>63</v>
      </c>
      <c r="I38" s="555">
        <f>18.328+24.577+12.168</f>
        <v>55.073</v>
      </c>
      <c r="J38" s="138">
        <f>+I38+'6'!J38</f>
        <v>493.22899999999993</v>
      </c>
      <c r="K38" s="139" t="s">
        <v>62</v>
      </c>
      <c r="M38" s="160">
        <v>22</v>
      </c>
      <c r="N38" s="160">
        <f>0.674+12.114</f>
        <v>12.788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+C39+'6'!D39</f>
        <v>0</v>
      </c>
      <c r="E39" s="154">
        <f t="shared" si="0"/>
        <v>0</v>
      </c>
      <c r="F39" s="340">
        <v>907.33333333333337</v>
      </c>
      <c r="G39" s="340">
        <v>904.15766666666661</v>
      </c>
      <c r="H39" s="198" t="s">
        <v>64</v>
      </c>
      <c r="I39" s="153"/>
      <c r="J39" s="140">
        <f>J37/G4</f>
        <v>76.191546527145661</v>
      </c>
      <c r="K39" s="141" t="s">
        <v>62</v>
      </c>
      <c r="M39" s="160">
        <v>24</v>
      </c>
      <c r="N39" s="160">
        <f>4.175+6.833</f>
        <v>11.007999999999999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+C40+'6'!D40</f>
        <v>0</v>
      </c>
      <c r="E40" s="154">
        <f t="shared" si="0"/>
        <v>0</v>
      </c>
      <c r="F40" s="340">
        <v>1189.1666666666667</v>
      </c>
      <c r="G40" s="340">
        <v>1185.0045833333336</v>
      </c>
      <c r="H40" s="198" t="s">
        <v>66</v>
      </c>
      <c r="I40" s="129">
        <f>(K34+L34)/1000</f>
        <v>60.798000000000002</v>
      </c>
      <c r="J40" s="142">
        <f>+I40+'6'!J40</f>
        <v>496.97</v>
      </c>
      <c r="K40" s="141" t="s">
        <v>62</v>
      </c>
      <c r="M40" s="160">
        <v>20</v>
      </c>
      <c r="N40" s="160">
        <f>2.366+3.264+3.573</f>
        <v>9.2029999999999994</v>
      </c>
    </row>
    <row r="41" spans="1:14" ht="17.45" customHeight="1">
      <c r="A41" s="1018" t="s">
        <v>67</v>
      </c>
      <c r="B41" s="1019"/>
      <c r="C41" s="175">
        <f>SUMIF($G$7:$G$31,"Electrical",$F$7:$F$31)</f>
        <v>33</v>
      </c>
      <c r="D41" s="129">
        <f>+C41+'6'!D41</f>
        <v>95</v>
      </c>
      <c r="E41" s="154">
        <f t="shared" si="0"/>
        <v>1.5833333333333333</v>
      </c>
      <c r="F41" s="340"/>
      <c r="G41" s="340"/>
      <c r="H41" s="198" t="s">
        <v>68</v>
      </c>
      <c r="I41" s="153"/>
      <c r="J41" s="140">
        <f>J40/G4</f>
        <v>70.995714285714286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+C42+'6'!D42</f>
        <v>0</v>
      </c>
      <c r="E42" s="154">
        <f t="shared" si="0"/>
        <v>0</v>
      </c>
      <c r="F42" s="340">
        <f>+(F38*412+F39*480+F40*480)/1372</f>
        <v>1058.1924198250729</v>
      </c>
      <c r="G42" s="340">
        <f>+(G38*480+G39*480+G40*480)/1440</f>
        <v>1055.5789053398059</v>
      </c>
      <c r="H42" s="198" t="s">
        <v>69</v>
      </c>
      <c r="I42" s="257" t="s">
        <v>533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+C43+'6'!D43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+Report1!T15</f>
        <v>114.601</v>
      </c>
      <c r="J43" s="144">
        <f>+I43+'6'!J43</f>
        <v>1014.0559999999999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+C44+'6'!D44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2.0808926334138325</v>
      </c>
      <c r="J44" s="145">
        <f>J43/J38</f>
        <v>2.0559537253486719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+C45+'6'!D45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1.8849468732524095</v>
      </c>
      <c r="J45" s="145">
        <f>J43/J40</f>
        <v>2.0404772923918948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+C46+'6'!D46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+SUMIF(Listrik!AR14,"&gt;0")</f>
        <v>47740.620000000927</v>
      </c>
      <c r="J46" s="146">
        <f>+I46+'6'!J46</f>
        <v>398051.73999999772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+C47+'6'!D47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866.86071214571439</v>
      </c>
      <c r="J47" s="146">
        <f>J46/J38</f>
        <v>807.03231156318418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+C48+'6'!D48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785.23339583540451</v>
      </c>
      <c r="J48" s="146">
        <f>J46/J40</f>
        <v>800.95728112360439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+C49+'6'!D49</f>
        <v>233</v>
      </c>
      <c r="E49" s="154">
        <f t="shared" si="0"/>
        <v>3.8833333333333333</v>
      </c>
      <c r="F49" s="196"/>
      <c r="H49" s="199" t="s">
        <v>184</v>
      </c>
      <c r="I49" s="129">
        <v>0</v>
      </c>
      <c r="J49" s="146">
        <f>+I49+'6'!J49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+C50+'6'!D50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+C51+'6'!D51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175</v>
      </c>
      <c r="D52" s="155">
        <f>SUM(D38:D51)</f>
        <v>784</v>
      </c>
      <c r="E52" s="156">
        <f>SUM(E38:E51)</f>
        <v>13.066666666666666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0.12152777777777778</v>
      </c>
      <c r="D53" s="157">
        <f>D52/(24*60*G4)</f>
        <v>7.7777777777777779E-2</v>
      </c>
      <c r="E53" s="158">
        <f>E52/(G4*24)</f>
        <v>7.7777777777777779E-2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+D34+'6'!J56</f>
        <v>1230</v>
      </c>
      <c r="K56" s="212">
        <f>J56/(J40+J56/1000)/1000</f>
        <v>2.4688879967884382E-3</v>
      </c>
    </row>
    <row r="57" spans="1:11">
      <c r="A57" s="187"/>
      <c r="I57" s="210" t="s">
        <v>88</v>
      </c>
      <c r="J57" s="211">
        <f>+E34+'6'!J57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2.85546875" style="160" bestFit="1" customWidth="1"/>
    <col min="12" max="12" width="8.28515625" style="160" customWidth="1"/>
    <col min="13" max="13" width="14.5703125" style="160" bestFit="1" customWidth="1"/>
    <col min="14" max="16384" width="9.140625" style="160"/>
  </cols>
  <sheetData>
    <row r="1" spans="1:15" ht="15.75">
      <c r="A1" s="159"/>
    </row>
    <row r="2" spans="1:15" ht="15.75">
      <c r="A2" s="159" t="s">
        <v>147</v>
      </c>
    </row>
    <row r="3" spans="1:15" ht="15">
      <c r="A3" s="161"/>
    </row>
    <row r="4" spans="1:15" ht="20.25">
      <c r="A4" s="162" t="s">
        <v>3</v>
      </c>
      <c r="B4" s="163"/>
      <c r="F4" s="164" t="s">
        <v>29</v>
      </c>
      <c r="G4" s="165">
        <v>6</v>
      </c>
      <c r="H4" s="165" t="str">
        <f>+'1'!H4</f>
        <v>.06.24</v>
      </c>
    </row>
    <row r="5" spans="1:15" ht="13.5" thickBot="1">
      <c r="C5" s="166"/>
      <c r="D5" s="166"/>
    </row>
    <row r="6" spans="1:15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215+254+230</f>
        <v>699</v>
      </c>
    </row>
    <row r="7" spans="1:15" ht="13.5" customHeight="1" thickBot="1">
      <c r="A7" s="1020" t="s">
        <v>435</v>
      </c>
      <c r="B7" s="226" t="s">
        <v>513</v>
      </c>
      <c r="C7" s="227">
        <v>24867</v>
      </c>
      <c r="D7" s="228"/>
      <c r="E7" s="229"/>
      <c r="F7" s="239"/>
      <c r="G7" s="240" t="s">
        <v>11</v>
      </c>
      <c r="H7" s="241" t="s">
        <v>473</v>
      </c>
      <c r="I7" s="1023" t="s">
        <v>486</v>
      </c>
      <c r="J7" s="225" t="str">
        <f>+'5'!J7</f>
        <v>MG 14 VP HW</v>
      </c>
      <c r="K7" s="249"/>
      <c r="L7" s="253"/>
      <c r="M7" s="128">
        <f>+K7+'5'!M7+L7</f>
        <v>160441</v>
      </c>
    </row>
    <row r="8" spans="1:15" ht="13.5" thickBot="1">
      <c r="A8" s="1021"/>
      <c r="B8" s="226"/>
      <c r="C8" s="227"/>
      <c r="D8" s="228"/>
      <c r="E8" s="230"/>
      <c r="F8" s="242"/>
      <c r="G8" s="243" t="s">
        <v>11</v>
      </c>
      <c r="H8" s="241" t="s">
        <v>452</v>
      </c>
      <c r="I8" s="1024"/>
      <c r="J8" s="225" t="str">
        <f>+'5'!J8</f>
        <v>MG 17 VP HW</v>
      </c>
      <c r="K8" s="250"/>
      <c r="L8" s="250"/>
      <c r="M8" s="128">
        <f>+K8+'5'!M8+L8</f>
        <v>131048</v>
      </c>
      <c r="N8" s="160">
        <v>1260</v>
      </c>
      <c r="O8" s="160">
        <f>+N8-N8*0.0035</f>
        <v>1255.5899999999999</v>
      </c>
    </row>
    <row r="9" spans="1:15" ht="13.5" thickBot="1">
      <c r="A9" s="1021"/>
      <c r="B9" s="226"/>
      <c r="C9" s="227"/>
      <c r="D9" s="228"/>
      <c r="E9" s="231"/>
      <c r="F9" s="239">
        <v>12</v>
      </c>
      <c r="G9" s="243" t="s">
        <v>11</v>
      </c>
      <c r="H9" s="597" t="s">
        <v>453</v>
      </c>
      <c r="I9" s="1024"/>
      <c r="J9" s="225" t="str">
        <f>+'5'!J9</f>
        <v>MG 16 VP HW</v>
      </c>
      <c r="K9" s="250">
        <f>+C34</f>
        <v>70131</v>
      </c>
      <c r="L9" s="250"/>
      <c r="M9" s="128">
        <f>+K9+'5'!M9+L9</f>
        <v>144683</v>
      </c>
    </row>
    <row r="10" spans="1:15" ht="13.5" thickBot="1">
      <c r="A10" s="1021"/>
      <c r="B10" s="226"/>
      <c r="C10" s="227"/>
      <c r="D10" s="228"/>
      <c r="E10" s="230"/>
      <c r="F10" s="239"/>
      <c r="G10" s="243"/>
      <c r="H10" s="597" t="s">
        <v>508</v>
      </c>
      <c r="I10" s="1024"/>
      <c r="J10" s="225">
        <f>+'5'!J10</f>
        <v>0</v>
      </c>
      <c r="K10" s="250"/>
      <c r="L10" s="250"/>
      <c r="M10" s="128">
        <f>+K10+'5'!M10+L10</f>
        <v>0</v>
      </c>
    </row>
    <row r="11" spans="1:15" ht="13.5" thickBot="1">
      <c r="A11" s="1021"/>
      <c r="B11" s="226"/>
      <c r="C11" s="227"/>
      <c r="D11" s="228"/>
      <c r="E11" s="230"/>
      <c r="F11" s="239"/>
      <c r="G11" s="243"/>
      <c r="H11" s="244"/>
      <c r="I11" s="1024"/>
      <c r="J11" s="225">
        <f>+'5'!J11</f>
        <v>0</v>
      </c>
      <c r="K11" s="250"/>
      <c r="L11" s="250"/>
      <c r="M11" s="128">
        <f>+K11+'5'!M11+L11</f>
        <v>0</v>
      </c>
    </row>
    <row r="12" spans="1:15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>
        <f>+'5'!J12</f>
        <v>0</v>
      </c>
      <c r="K12" s="250"/>
      <c r="L12" s="250"/>
      <c r="M12" s="128">
        <f>+K12+'5'!M12+L12</f>
        <v>0</v>
      </c>
    </row>
    <row r="13" spans="1:15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>
        <f>+'5'!J13</f>
        <v>0</v>
      </c>
      <c r="K13" s="250"/>
      <c r="L13" s="250"/>
      <c r="M13" s="128">
        <f>+K13+'5'!M13+L13</f>
        <v>0</v>
      </c>
    </row>
    <row r="14" spans="1:15" ht="13.5" thickBot="1">
      <c r="A14" s="1022"/>
      <c r="B14" s="176" t="s">
        <v>2</v>
      </c>
      <c r="C14" s="110">
        <f>SUM(C7:C13)</f>
        <v>24867</v>
      </c>
      <c r="D14" s="122">
        <f>SUM(D7:D13)</f>
        <v>0</v>
      </c>
      <c r="E14" s="123">
        <f>SUM(E5:E13)</f>
        <v>0</v>
      </c>
      <c r="F14" s="127">
        <f>SUM(F7:F13)</f>
        <v>12</v>
      </c>
      <c r="G14" s="170"/>
      <c r="H14" s="177"/>
      <c r="I14" s="178"/>
      <c r="J14" s="225">
        <f>+'5'!J14</f>
        <v>0</v>
      </c>
      <c r="K14" s="250"/>
      <c r="L14" s="250"/>
      <c r="M14" s="128">
        <f>+K14+'5'!M14+L14</f>
        <v>0</v>
      </c>
    </row>
    <row r="15" spans="1:15" ht="13.5" customHeight="1" thickBot="1">
      <c r="A15" s="1020" t="s">
        <v>475</v>
      </c>
      <c r="B15" s="176"/>
      <c r="C15" s="124"/>
      <c r="D15" s="125"/>
      <c r="E15" s="126"/>
      <c r="F15" s="239">
        <v>10</v>
      </c>
      <c r="G15" s="240" t="s">
        <v>11</v>
      </c>
      <c r="H15" s="241" t="s">
        <v>418</v>
      </c>
      <c r="I15" s="1023" t="s">
        <v>514</v>
      </c>
      <c r="J15" s="225">
        <f>+'5'!J15</f>
        <v>0</v>
      </c>
      <c r="K15" s="250"/>
      <c r="L15" s="250"/>
      <c r="M15" s="128">
        <f>+K15+'5'!M15+L15</f>
        <v>0</v>
      </c>
    </row>
    <row r="16" spans="1:15" ht="13.5" thickBot="1">
      <c r="A16" s="1026"/>
      <c r="B16" s="226" t="s">
        <v>513</v>
      </c>
      <c r="C16" s="233">
        <v>21272</v>
      </c>
      <c r="D16" s="234"/>
      <c r="E16" s="235"/>
      <c r="F16" s="239"/>
      <c r="G16" s="243" t="s">
        <v>11</v>
      </c>
      <c r="H16" s="241" t="s">
        <v>452</v>
      </c>
      <c r="I16" s="1024"/>
      <c r="J16" s="225">
        <f>+'5'!J16</f>
        <v>0</v>
      </c>
      <c r="K16" s="250"/>
      <c r="L16" s="240"/>
      <c r="M16" s="128">
        <f>+K16+'5'!M16+L16</f>
        <v>0</v>
      </c>
    </row>
    <row r="17" spans="1:18" ht="13.5" thickBot="1">
      <c r="A17" s="1026"/>
      <c r="B17" s="226"/>
      <c r="C17" s="227"/>
      <c r="D17" s="228"/>
      <c r="E17" s="236"/>
      <c r="F17" s="239">
        <v>6</v>
      </c>
      <c r="G17" s="243" t="s">
        <v>11</v>
      </c>
      <c r="H17" s="597" t="s">
        <v>453</v>
      </c>
      <c r="I17" s="1024"/>
      <c r="J17" s="225">
        <f>+'5'!J17</f>
        <v>0</v>
      </c>
      <c r="K17" s="240"/>
      <c r="L17" s="240"/>
      <c r="M17" s="128">
        <f>+K17+'5'!M17+L17</f>
        <v>0</v>
      </c>
      <c r="N17" s="160">
        <v>1260</v>
      </c>
      <c r="O17" s="160">
        <f>+N17-N17*0.0035</f>
        <v>1255.5899999999999</v>
      </c>
      <c r="P17" s="160">
        <f>180+18</f>
        <v>198</v>
      </c>
      <c r="Q17" s="160">
        <f>+N17*P17</f>
        <v>249480</v>
      </c>
      <c r="R17" s="160">
        <f>+O17*P17</f>
        <v>248606.81999999998</v>
      </c>
    </row>
    <row r="18" spans="1:18" ht="13.5" thickBot="1">
      <c r="A18" s="1026"/>
      <c r="B18" s="226"/>
      <c r="C18" s="227"/>
      <c r="D18" s="228"/>
      <c r="E18" s="236"/>
      <c r="F18" s="239"/>
      <c r="G18" s="243"/>
      <c r="H18" s="597" t="s">
        <v>508</v>
      </c>
      <c r="I18" s="1024"/>
      <c r="J18" s="225">
        <f>+'5'!J18</f>
        <v>0</v>
      </c>
      <c r="K18" s="250"/>
      <c r="L18" s="250"/>
      <c r="M18" s="128">
        <f>+K18+'5'!M18+L18</f>
        <v>0</v>
      </c>
      <c r="N18" s="160">
        <v>1240</v>
      </c>
      <c r="O18" s="160">
        <f>+N18-N18*0.0035</f>
        <v>1235.6600000000001</v>
      </c>
      <c r="P18" s="160">
        <f>40+180</f>
        <v>220</v>
      </c>
      <c r="Q18" s="160">
        <f>+N18*P18</f>
        <v>272800</v>
      </c>
      <c r="R18" s="160">
        <f>+O18*P18</f>
        <v>271845.2</v>
      </c>
    </row>
    <row r="19" spans="1:18" ht="26.25" thickBot="1">
      <c r="A19" s="1026"/>
      <c r="B19" s="226"/>
      <c r="C19" s="227"/>
      <c r="D19" s="228"/>
      <c r="E19" s="236" t="s">
        <v>484</v>
      </c>
      <c r="F19" s="246">
        <v>62</v>
      </c>
      <c r="G19" s="243" t="s">
        <v>67</v>
      </c>
      <c r="H19" s="244" t="s">
        <v>509</v>
      </c>
      <c r="I19" s="1024"/>
      <c r="J19" s="225">
        <f>+'5'!J19</f>
        <v>0</v>
      </c>
      <c r="K19" s="250"/>
      <c r="L19" s="250"/>
      <c r="M19" s="128">
        <f>+K19+'5'!M19+L19</f>
        <v>0</v>
      </c>
      <c r="P19" s="160">
        <f>SUM(P17:P18)</f>
        <v>418</v>
      </c>
      <c r="Q19" s="160">
        <f>SUM(Q17:Q18)</f>
        <v>522280</v>
      </c>
      <c r="R19" s="160">
        <f>SUM(R17:R18)</f>
        <v>520452.02</v>
      </c>
    </row>
    <row r="20" spans="1:18" ht="13.5" thickBot="1">
      <c r="A20" s="1026"/>
      <c r="B20" s="226"/>
      <c r="C20" s="227"/>
      <c r="D20" s="228"/>
      <c r="E20" s="236"/>
      <c r="F20" s="239"/>
      <c r="G20" s="243"/>
      <c r="H20" s="244" t="s">
        <v>510</v>
      </c>
      <c r="I20" s="1024"/>
      <c r="J20" s="225">
        <f>+'5'!J20</f>
        <v>0</v>
      </c>
      <c r="K20" s="251"/>
      <c r="L20" s="251"/>
      <c r="M20" s="128">
        <f>+K20+'5'!M20+L20</f>
        <v>0</v>
      </c>
      <c r="Q20" s="160">
        <f>+Q19/P19</f>
        <v>1249.4736842105262</v>
      </c>
      <c r="R20" s="160">
        <f>+R19/P19</f>
        <v>1245.1005263157895</v>
      </c>
    </row>
    <row r="21" spans="1:18" ht="13.5" thickBot="1">
      <c r="A21" s="1026"/>
      <c r="B21" s="226"/>
      <c r="C21" s="227"/>
      <c r="D21" s="228"/>
      <c r="E21" s="236"/>
      <c r="F21" s="242"/>
      <c r="G21" s="243"/>
      <c r="H21" s="503" t="s">
        <v>512</v>
      </c>
      <c r="I21" s="1024"/>
      <c r="J21" s="225">
        <f>+'5'!J21</f>
        <v>0</v>
      </c>
      <c r="K21" s="250"/>
      <c r="L21" s="250"/>
      <c r="M21" s="128">
        <f>+K21+'5'!M21+L21</f>
        <v>0</v>
      </c>
    </row>
    <row r="22" spans="1:18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+'5'!J22</f>
        <v>0</v>
      </c>
      <c r="K22" s="250"/>
      <c r="L22" s="250"/>
      <c r="M22" s="128">
        <f>+K22+'5'!M22+L22</f>
        <v>0</v>
      </c>
    </row>
    <row r="23" spans="1:18" ht="13.5" thickBot="1">
      <c r="A23" s="1027"/>
      <c r="B23" s="179" t="s">
        <v>2</v>
      </c>
      <c r="C23" s="111">
        <f>SUM(C16:C22)</f>
        <v>21272</v>
      </c>
      <c r="D23" s="122">
        <f>SUM(D16:D22)</f>
        <v>0</v>
      </c>
      <c r="E23" s="123">
        <f>SUM(E18:E22)</f>
        <v>0</v>
      </c>
      <c r="F23" s="127">
        <f>SUM(F15:F22)</f>
        <v>78</v>
      </c>
      <c r="G23" s="170"/>
      <c r="H23" s="177" t="s">
        <v>234</v>
      </c>
      <c r="I23" s="180"/>
      <c r="J23" s="225">
        <f>+'5'!J23</f>
        <v>0</v>
      </c>
      <c r="K23" s="250"/>
      <c r="L23" s="250"/>
      <c r="M23" s="128">
        <f>+K23+'5'!M23+L23</f>
        <v>0</v>
      </c>
    </row>
    <row r="24" spans="1:18" ht="13.5" customHeight="1" thickBot="1">
      <c r="A24" s="1020" t="s">
        <v>434</v>
      </c>
      <c r="B24" s="181"/>
      <c r="C24" s="124"/>
      <c r="D24" s="125"/>
      <c r="E24" s="126"/>
      <c r="F24" s="247">
        <v>20</v>
      </c>
      <c r="G24" s="240" t="s">
        <v>11</v>
      </c>
      <c r="H24" s="241" t="s">
        <v>504</v>
      </c>
      <c r="I24" s="1023" t="s">
        <v>515</v>
      </c>
      <c r="J24" s="225">
        <f>+'5'!J24</f>
        <v>0</v>
      </c>
      <c r="K24" s="250"/>
      <c r="L24" s="250"/>
      <c r="M24" s="128">
        <f>+K24+'5'!M24+L24</f>
        <v>0</v>
      </c>
    </row>
    <row r="25" spans="1:18" ht="13.5" thickBot="1">
      <c r="A25" s="1028"/>
      <c r="B25" s="226" t="s">
        <v>513</v>
      </c>
      <c r="C25" s="237">
        <v>23992</v>
      </c>
      <c r="D25" s="228"/>
      <c r="E25" s="236"/>
      <c r="F25" s="242"/>
      <c r="G25" s="243" t="s">
        <v>11</v>
      </c>
      <c r="H25" s="241" t="s">
        <v>452</v>
      </c>
      <c r="I25" s="1024"/>
      <c r="J25" s="225">
        <f>+'5'!J25</f>
        <v>0</v>
      </c>
      <c r="K25" s="250"/>
      <c r="L25" s="250"/>
      <c r="M25" s="128">
        <f>+K25+'5'!M25+L25</f>
        <v>0</v>
      </c>
    </row>
    <row r="26" spans="1:18" ht="13.5" thickBot="1">
      <c r="A26" s="1028"/>
      <c r="B26" s="226"/>
      <c r="C26" s="237"/>
      <c r="D26" s="228"/>
      <c r="E26" s="238"/>
      <c r="F26" s="242">
        <v>5</v>
      </c>
      <c r="G26" s="243" t="s">
        <v>11</v>
      </c>
      <c r="H26" s="597" t="s">
        <v>453</v>
      </c>
      <c r="I26" s="1024"/>
      <c r="J26" s="225">
        <f>+'5'!J26</f>
        <v>0</v>
      </c>
      <c r="K26" s="250"/>
      <c r="L26" s="250"/>
      <c r="M26" s="128">
        <f>+K26+'5'!M26+L26</f>
        <v>0</v>
      </c>
    </row>
    <row r="27" spans="1:18" ht="13.5" thickBot="1">
      <c r="A27" s="1028"/>
      <c r="B27" s="226"/>
      <c r="C27" s="227"/>
      <c r="D27" s="228"/>
      <c r="E27" s="236"/>
      <c r="F27" s="242"/>
      <c r="G27" s="243"/>
      <c r="H27" s="597" t="s">
        <v>511</v>
      </c>
      <c r="I27" s="1024"/>
      <c r="J27" s="225">
        <f>+'5'!J27</f>
        <v>0</v>
      </c>
      <c r="K27" s="250"/>
      <c r="L27" s="250"/>
      <c r="M27" s="128">
        <f>+K27+'5'!M27+L27</f>
        <v>0</v>
      </c>
    </row>
    <row r="28" spans="1:18" ht="13.5" thickBot="1">
      <c r="A28" s="1028"/>
      <c r="B28" s="226"/>
      <c r="C28" s="227"/>
      <c r="D28" s="228"/>
      <c r="E28" s="236"/>
      <c r="F28" s="242"/>
      <c r="G28" s="243"/>
      <c r="H28" s="244"/>
      <c r="I28" s="1024"/>
      <c r="J28" s="225">
        <f>+'5'!J28</f>
        <v>0</v>
      </c>
      <c r="K28" s="250"/>
      <c r="L28" s="250"/>
      <c r="M28" s="128">
        <f>+K28+'5'!M28+L28</f>
        <v>0</v>
      </c>
    </row>
    <row r="29" spans="1:18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+'5'!J29</f>
        <v>0</v>
      </c>
      <c r="K29" s="250"/>
      <c r="L29" s="250"/>
      <c r="M29" s="128">
        <f>+K29+'5'!M29+L29</f>
        <v>0</v>
      </c>
    </row>
    <row r="30" spans="1:18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+'5'!J30</f>
        <v>0</v>
      </c>
      <c r="K30" s="250"/>
      <c r="L30" s="250"/>
      <c r="M30" s="128">
        <f>+K30+'5'!M30+L30</f>
        <v>0</v>
      </c>
    </row>
    <row r="31" spans="1:18" ht="13.5" thickBot="1">
      <c r="A31" s="1028"/>
      <c r="B31" s="226"/>
      <c r="C31" s="237"/>
      <c r="D31" s="228"/>
      <c r="E31" s="236"/>
      <c r="F31" s="247"/>
      <c r="G31" s="248"/>
      <c r="H31" s="464"/>
      <c r="I31" s="1025"/>
      <c r="J31" s="225">
        <f>+'5'!J31</f>
        <v>0</v>
      </c>
      <c r="K31" s="250"/>
      <c r="L31" s="250"/>
      <c r="M31" s="128">
        <f>+K31+'5'!M31+L31</f>
        <v>0</v>
      </c>
      <c r="N31" s="166"/>
    </row>
    <row r="32" spans="1:18" ht="13.5" thickBot="1">
      <c r="A32" s="1029"/>
      <c r="B32" s="176" t="s">
        <v>2</v>
      </c>
      <c r="C32" s="110">
        <f>SUM(C25:C31)</f>
        <v>23992</v>
      </c>
      <c r="D32" s="111">
        <f>SUM(D25:D31)</f>
        <v>0</v>
      </c>
      <c r="E32" s="112">
        <f>SUM(E25:E31)</f>
        <v>0</v>
      </c>
      <c r="F32" s="113">
        <f>SUM(F24:F31)</f>
        <v>25</v>
      </c>
      <c r="G32" s="182"/>
      <c r="H32" s="183"/>
      <c r="I32" s="180"/>
      <c r="J32" s="225">
        <f>+'5'!J32</f>
        <v>0</v>
      </c>
      <c r="K32" s="252"/>
      <c r="L32" s="254"/>
      <c r="M32" s="128">
        <f>+K32+'5'!M32+L32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70131</v>
      </c>
      <c r="D34" s="118">
        <f>D14+D23+D32</f>
        <v>0</v>
      </c>
      <c r="E34" s="118">
        <f>E14+E23+E32</f>
        <v>0</v>
      </c>
      <c r="F34" s="119">
        <f>F14+F23+F32</f>
        <v>115</v>
      </c>
      <c r="H34" s="189"/>
      <c r="I34" s="189"/>
      <c r="J34" s="134" t="s">
        <v>27</v>
      </c>
      <c r="K34" s="135">
        <f>SUM(K7:K32)</f>
        <v>70131</v>
      </c>
      <c r="L34" s="223">
        <f>SUM(L7:L32)</f>
        <v>0</v>
      </c>
      <c r="M34" s="131">
        <f>SUM(M7:M32)</f>
        <v>436172</v>
      </c>
    </row>
    <row r="35" spans="1:14" ht="13.5" thickBot="1">
      <c r="A35" s="190"/>
      <c r="B35" s="191"/>
      <c r="C35" s="115">
        <f>C34/($C$34+$D$34+$E$34)</f>
        <v>1</v>
      </c>
      <c r="D35" s="115">
        <f>D34/($C$34+$D$34+$E$34)</f>
        <v>0</v>
      </c>
      <c r="E35" s="120">
        <f>E34/($C$34+$D$34+$E$34)</f>
        <v>0</v>
      </c>
      <c r="K35" s="166"/>
      <c r="N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(16*1378)/1378*G42*2.77*1378/1000000</f>
        <v>76.064289526400003</v>
      </c>
      <c r="J37" s="136">
        <f>+I37+'5'!J37</f>
        <v>456.41745522856712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53</v>
      </c>
      <c r="D38" s="129">
        <f>+C38+'5'!D38</f>
        <v>276</v>
      </c>
      <c r="E38" s="154">
        <f t="shared" ref="E38:E51" si="0">D38/60</f>
        <v>4.5999999999999996</v>
      </c>
      <c r="F38" s="340">
        <v>1260</v>
      </c>
      <c r="G38" s="340">
        <f>+F38-F38*0.0035</f>
        <v>1255.5899999999999</v>
      </c>
      <c r="H38" s="198" t="s">
        <v>63</v>
      </c>
      <c r="I38" s="555">
        <f>24.591+21.585+22.729</f>
        <v>68.905000000000001</v>
      </c>
      <c r="J38" s="138">
        <f>+I38+'5'!J38</f>
        <v>438.15599999999995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+C39+'5'!D39</f>
        <v>0</v>
      </c>
      <c r="E39" s="154">
        <f t="shared" si="0"/>
        <v>0</v>
      </c>
      <c r="F39" s="340">
        <v>1249.4736842105262</v>
      </c>
      <c r="G39" s="340">
        <v>1245.1005263157895</v>
      </c>
      <c r="H39" s="198" t="s">
        <v>64</v>
      </c>
      <c r="I39" s="153"/>
      <c r="J39" s="140">
        <f>J37/G4</f>
        <v>76.069575871427858</v>
      </c>
      <c r="K39" s="141" t="s">
        <v>62</v>
      </c>
      <c r="N39" s="565"/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+C40+'5'!D40</f>
        <v>0</v>
      </c>
      <c r="E40" s="154">
        <f t="shared" si="0"/>
        <v>0</v>
      </c>
      <c r="F40" s="340">
        <v>1240</v>
      </c>
      <c r="G40" s="340">
        <f>+F40-F40*0.0035</f>
        <v>1235.6600000000001</v>
      </c>
      <c r="H40" s="198" t="s">
        <v>66</v>
      </c>
      <c r="I40" s="129">
        <f>(K34+L34)/1000</f>
        <v>70.131</v>
      </c>
      <c r="J40" s="142">
        <f>+I40+'5'!J40</f>
        <v>436.17200000000003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62</v>
      </c>
      <c r="D41" s="129">
        <f>+C41+'5'!D41</f>
        <v>62</v>
      </c>
      <c r="E41" s="154">
        <f t="shared" si="0"/>
        <v>1.0333333333333334</v>
      </c>
      <c r="F41" s="340"/>
      <c r="G41" s="340"/>
      <c r="H41" s="198" t="s">
        <v>68</v>
      </c>
      <c r="I41" s="153"/>
      <c r="J41" s="140">
        <f>J40/G4</f>
        <v>72.695333333333338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+C42+'5'!D42</f>
        <v>0</v>
      </c>
      <c r="E42" s="154">
        <f t="shared" si="0"/>
        <v>0</v>
      </c>
      <c r="F42" s="340">
        <f>+(F38*480+F39*418+F40*480)/1378</f>
        <v>1249.8403483309144</v>
      </c>
      <c r="G42" s="340">
        <f>+(G38*480+G39*418+G40*480)/1378</f>
        <v>1245.4659071117562</v>
      </c>
      <c r="H42" s="198" t="s">
        <v>69</v>
      </c>
      <c r="I42" s="257" t="s">
        <v>514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+C43+'5'!D43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+Report1!T14</f>
        <v>148.565</v>
      </c>
      <c r="J43" s="144">
        <f>+I43+'5'!J43</f>
        <v>899.45499999999993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+C44+'5'!D44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2.1560844641172627</v>
      </c>
      <c r="J44" s="145">
        <f>J43/J38</f>
        <v>2.0528190872657226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+C45+'5'!D45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2.1183927221913277</v>
      </c>
      <c r="J45" s="145">
        <f>J43/J40</f>
        <v>2.0621566721385141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+C46+'5'!D46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+SUMIF(Listrik!AR13,"&gt;0")</f>
        <v>55340.660000001022</v>
      </c>
      <c r="J46" s="146">
        <f>+I46+'5'!J46</f>
        <v>350311.11999999679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+C47+'5'!D47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803.14432914884287</v>
      </c>
      <c r="J47" s="146">
        <f>J46/J38</f>
        <v>799.51231981302737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+C48+'5'!D48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789.10410517461639</v>
      </c>
      <c r="J48" s="146">
        <f>J46/J40</f>
        <v>803.1490329502966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+C49+'5'!D49</f>
        <v>233</v>
      </c>
      <c r="E49" s="154">
        <f t="shared" si="0"/>
        <v>3.8833333333333333</v>
      </c>
      <c r="F49" s="196"/>
      <c r="H49" s="199" t="s">
        <v>184</v>
      </c>
      <c r="I49" s="129">
        <v>0</v>
      </c>
      <c r="J49" s="146">
        <f>+I49+'5'!J49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+C50+'5'!D50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+C51+'5'!D51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115</v>
      </c>
      <c r="D52" s="155">
        <f>SUM(D38:D51)</f>
        <v>609</v>
      </c>
      <c r="E52" s="156">
        <f>SUM(E38:E51)</f>
        <v>10.149999999999999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7.9861111111111105E-2</v>
      </c>
      <c r="D53" s="157">
        <f>D52/(24*60*G4)</f>
        <v>7.048611111111111E-2</v>
      </c>
      <c r="E53" s="158">
        <f>E52/(G4*24)</f>
        <v>7.0486111111111097E-2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+D34+'5'!J56</f>
        <v>1230</v>
      </c>
      <c r="K56" s="212">
        <f>J56/(J40+J56/1000)/1000</f>
        <v>2.812058472526417E-3</v>
      </c>
    </row>
    <row r="57" spans="1:11">
      <c r="A57" s="187"/>
      <c r="I57" s="210" t="s">
        <v>88</v>
      </c>
      <c r="J57" s="211">
        <f>+E34+'5'!J57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O61"/>
  <sheetViews>
    <sheetView view="pageBreakPreview" zoomScale="80" zoomScaleNormal="75" zoomScaleSheetLayoutView="80" workbookViewId="0">
      <selection activeCell="H18" sqref="H18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4" style="160" customWidth="1"/>
    <col min="12" max="12" width="8.28515625" style="160" customWidth="1"/>
    <col min="13" max="13" width="15.5703125" style="160" bestFit="1" customWidth="1"/>
    <col min="14" max="16384" width="9.140625" style="160"/>
  </cols>
  <sheetData>
    <row r="1" spans="1:15" ht="15.75">
      <c r="A1" s="159"/>
    </row>
    <row r="2" spans="1:15" ht="15.75">
      <c r="A2" s="159" t="s">
        <v>147</v>
      </c>
    </row>
    <row r="3" spans="1:15" ht="15">
      <c r="A3" s="161"/>
    </row>
    <row r="4" spans="1:15" ht="20.25">
      <c r="A4" s="162" t="s">
        <v>3</v>
      </c>
      <c r="B4" s="163"/>
      <c r="F4" s="164" t="s">
        <v>29</v>
      </c>
      <c r="G4" s="165">
        <v>5</v>
      </c>
      <c r="H4" s="165" t="str">
        <f>+'1'!H4</f>
        <v>.06.24</v>
      </c>
    </row>
    <row r="5" spans="1:15" ht="13.5" thickBot="1">
      <c r="C5" s="166"/>
      <c r="D5" s="166"/>
    </row>
    <row r="6" spans="1:15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191+194+225</f>
        <v>610</v>
      </c>
    </row>
    <row r="7" spans="1:15" ht="13.5" customHeight="1" thickBot="1">
      <c r="A7" s="1020" t="s">
        <v>435</v>
      </c>
      <c r="B7" s="226" t="s">
        <v>513</v>
      </c>
      <c r="C7" s="227">
        <v>23034</v>
      </c>
      <c r="D7" s="228">
        <v>130</v>
      </c>
      <c r="E7" s="229"/>
      <c r="F7" s="239"/>
      <c r="G7" s="240" t="s">
        <v>11</v>
      </c>
      <c r="H7" s="241" t="s">
        <v>473</v>
      </c>
      <c r="I7" s="1023" t="s">
        <v>486</v>
      </c>
      <c r="J7" s="225" t="str">
        <f>+'4'!J7</f>
        <v>MG 14 VP HW</v>
      </c>
      <c r="K7" s="249"/>
      <c r="L7" s="253"/>
      <c r="M7" s="128">
        <f>+K7+'4'!M7+L7</f>
        <v>160441</v>
      </c>
    </row>
    <row r="8" spans="1:15" ht="13.5" thickBot="1">
      <c r="A8" s="1021"/>
      <c r="B8" s="226"/>
      <c r="C8" s="227"/>
      <c r="D8" s="228"/>
      <c r="E8" s="230"/>
      <c r="F8" s="242"/>
      <c r="G8" s="243" t="s">
        <v>11</v>
      </c>
      <c r="H8" s="241" t="s">
        <v>452</v>
      </c>
      <c r="I8" s="1024"/>
      <c r="J8" s="225" t="str">
        <f>+'4'!J8</f>
        <v>MG 17 VP HW</v>
      </c>
      <c r="K8" s="250"/>
      <c r="L8" s="250"/>
      <c r="M8" s="128">
        <f>+K8+'4'!M8+L8</f>
        <v>131048</v>
      </c>
      <c r="N8" s="160">
        <v>1260</v>
      </c>
      <c r="O8" s="160">
        <f>+N8-N8*0.0035</f>
        <v>1255.5899999999999</v>
      </c>
    </row>
    <row r="9" spans="1:15" ht="13.5" thickBot="1">
      <c r="A9" s="1021"/>
      <c r="B9" s="226"/>
      <c r="C9" s="227"/>
      <c r="D9" s="228"/>
      <c r="E9" s="231"/>
      <c r="F9" s="239">
        <v>12</v>
      </c>
      <c r="G9" s="243" t="s">
        <v>11</v>
      </c>
      <c r="H9" s="597" t="s">
        <v>453</v>
      </c>
      <c r="I9" s="1024"/>
      <c r="J9" s="225" t="s">
        <v>513</v>
      </c>
      <c r="K9" s="250">
        <f>+C34</f>
        <v>74552</v>
      </c>
      <c r="L9" s="250"/>
      <c r="M9" s="128">
        <f>+K9+'4'!M9+L9</f>
        <v>74552</v>
      </c>
    </row>
    <row r="10" spans="1:15" ht="13.5" thickBot="1">
      <c r="A10" s="1021"/>
      <c r="B10" s="226"/>
      <c r="C10" s="227"/>
      <c r="D10" s="228"/>
      <c r="E10" s="230"/>
      <c r="F10" s="239"/>
      <c r="G10" s="243"/>
      <c r="H10" s="597" t="s">
        <v>508</v>
      </c>
      <c r="I10" s="1024"/>
      <c r="J10" s="225">
        <f>+'4'!J10</f>
        <v>0</v>
      </c>
      <c r="K10" s="250"/>
      <c r="L10" s="250"/>
      <c r="M10" s="128">
        <f>+K10+'4'!M10+L10</f>
        <v>0</v>
      </c>
    </row>
    <row r="11" spans="1:15" ht="13.5" thickBot="1">
      <c r="A11" s="1021"/>
      <c r="B11" s="226"/>
      <c r="C11" s="227"/>
      <c r="D11" s="228"/>
      <c r="E11" s="230"/>
      <c r="F11" s="239"/>
      <c r="G11" s="243"/>
      <c r="H11" s="244"/>
      <c r="I11" s="1024"/>
      <c r="J11" s="225">
        <f>+'4'!J11</f>
        <v>0</v>
      </c>
      <c r="K11" s="250"/>
      <c r="L11" s="250"/>
      <c r="M11" s="128">
        <f>+K11+'4'!M11+L11</f>
        <v>0</v>
      </c>
    </row>
    <row r="12" spans="1:15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>
        <f>+'4'!J12</f>
        <v>0</v>
      </c>
      <c r="K12" s="250"/>
      <c r="L12" s="250"/>
      <c r="M12" s="128">
        <f>+K12+'4'!M12+L12</f>
        <v>0</v>
      </c>
    </row>
    <row r="13" spans="1:15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>
        <f>+'4'!J13</f>
        <v>0</v>
      </c>
      <c r="K13" s="250"/>
      <c r="L13" s="250"/>
      <c r="M13" s="128">
        <f>+K13+'4'!M13+L13</f>
        <v>0</v>
      </c>
    </row>
    <row r="14" spans="1:15" ht="13.5" thickBot="1">
      <c r="A14" s="1022"/>
      <c r="B14" s="176" t="s">
        <v>2</v>
      </c>
      <c r="C14" s="110">
        <f>SUM(C7:C13)</f>
        <v>23034</v>
      </c>
      <c r="D14" s="122">
        <f>SUM(D7:D13)</f>
        <v>130</v>
      </c>
      <c r="E14" s="123">
        <f>SUM(E5:E13)</f>
        <v>0</v>
      </c>
      <c r="F14" s="127">
        <f>SUM(F7:F13)</f>
        <v>12</v>
      </c>
      <c r="G14" s="170"/>
      <c r="H14" s="177"/>
      <c r="I14" s="178"/>
      <c r="J14" s="225">
        <f>+'4'!J14</f>
        <v>0</v>
      </c>
      <c r="K14" s="250"/>
      <c r="L14" s="250"/>
      <c r="M14" s="128">
        <f>+K14+'4'!M14+L14</f>
        <v>0</v>
      </c>
    </row>
    <row r="15" spans="1:15" ht="13.5" customHeight="1" thickBot="1">
      <c r="A15" s="1020" t="s">
        <v>475</v>
      </c>
      <c r="B15" s="176"/>
      <c r="C15" s="124"/>
      <c r="D15" s="125"/>
      <c r="E15" s="126"/>
      <c r="F15" s="239">
        <v>10</v>
      </c>
      <c r="G15" s="240" t="s">
        <v>11</v>
      </c>
      <c r="H15" s="241" t="s">
        <v>418</v>
      </c>
      <c r="I15" s="1023" t="s">
        <v>486</v>
      </c>
      <c r="J15" s="225">
        <f>+'4'!J15</f>
        <v>0</v>
      </c>
      <c r="K15" s="250"/>
      <c r="L15" s="250"/>
      <c r="M15" s="128">
        <f>+K15+'4'!M15+L15</f>
        <v>0</v>
      </c>
    </row>
    <row r="16" spans="1:15" ht="13.5" thickBot="1">
      <c r="A16" s="1026"/>
      <c r="B16" s="226" t="s">
        <v>513</v>
      </c>
      <c r="C16" s="233">
        <v>26879</v>
      </c>
      <c r="D16" s="234"/>
      <c r="E16" s="235"/>
      <c r="F16" s="239"/>
      <c r="G16" s="243" t="s">
        <v>11</v>
      </c>
      <c r="H16" s="241" t="s">
        <v>452</v>
      </c>
      <c r="I16" s="1024"/>
      <c r="J16" s="225">
        <f>+'4'!J16</f>
        <v>0</v>
      </c>
      <c r="K16" s="250"/>
      <c r="L16" s="240"/>
      <c r="M16" s="128">
        <f>+K16+'4'!M16+L16</f>
        <v>0</v>
      </c>
    </row>
    <row r="17" spans="1:14" ht="13.5" thickBot="1">
      <c r="A17" s="1026"/>
      <c r="B17" s="226"/>
      <c r="C17" s="227"/>
      <c r="D17" s="228"/>
      <c r="E17" s="236"/>
      <c r="F17" s="239">
        <v>8</v>
      </c>
      <c r="G17" s="243" t="s">
        <v>11</v>
      </c>
      <c r="H17" s="597" t="s">
        <v>453</v>
      </c>
      <c r="I17" s="1024"/>
      <c r="J17" s="225">
        <f>+'4'!J17</f>
        <v>0</v>
      </c>
      <c r="K17" s="250"/>
      <c r="L17" s="240"/>
      <c r="M17" s="128">
        <f>+K17+'4'!M17+L17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508</v>
      </c>
      <c r="I18" s="1024"/>
      <c r="J18" s="225">
        <f>+'4'!J18</f>
        <v>0</v>
      </c>
      <c r="K18" s="250"/>
      <c r="L18" s="250"/>
      <c r="M18" s="128">
        <f>+K18+'4'!M18+L18</f>
        <v>0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244"/>
      <c r="I19" s="1024"/>
      <c r="J19" s="225">
        <f>+'4'!J19</f>
        <v>0</v>
      </c>
      <c r="K19" s="250"/>
      <c r="L19" s="250"/>
      <c r="M19" s="128">
        <f>+K19+'4'!M19+L19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+'4'!J20</f>
        <v>0</v>
      </c>
      <c r="K20" s="251"/>
      <c r="L20" s="251"/>
      <c r="M20" s="128">
        <f>+K20+'4'!M20+L20</f>
        <v>0</v>
      </c>
    </row>
    <row r="21" spans="1:14" ht="13.5" customHeight="1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+'4'!J21</f>
        <v>0</v>
      </c>
      <c r="K21" s="250"/>
      <c r="L21" s="250"/>
      <c r="M21" s="128">
        <f>+K21+'4'!M21+L21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+'4'!J22</f>
        <v>0</v>
      </c>
      <c r="K22" s="250"/>
      <c r="L22" s="250"/>
      <c r="M22" s="128">
        <f>+K22+'4'!M22+L22</f>
        <v>0</v>
      </c>
    </row>
    <row r="23" spans="1:14" ht="13.5" thickBot="1">
      <c r="A23" s="1027"/>
      <c r="B23" s="179" t="s">
        <v>2</v>
      </c>
      <c r="C23" s="111">
        <f>SUM(C16:C22)</f>
        <v>26879</v>
      </c>
      <c r="D23" s="122">
        <f>SUM(D16:D22)</f>
        <v>0</v>
      </c>
      <c r="E23" s="123">
        <f>SUM(E18:E22)</f>
        <v>0</v>
      </c>
      <c r="F23" s="127">
        <f>SUM(F15:F22)</f>
        <v>18</v>
      </c>
      <c r="G23" s="170"/>
      <c r="H23" s="177" t="s">
        <v>234</v>
      </c>
      <c r="I23" s="180"/>
      <c r="J23" s="225">
        <f>+'4'!J23</f>
        <v>0</v>
      </c>
      <c r="K23" s="250"/>
      <c r="L23" s="250"/>
      <c r="M23" s="128">
        <f>+K23+'4'!M23+L23</f>
        <v>0</v>
      </c>
    </row>
    <row r="24" spans="1:14" ht="13.5" customHeight="1" thickBot="1">
      <c r="A24" s="1020" t="s">
        <v>436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 t="s">
        <v>486</v>
      </c>
      <c r="J24" s="225">
        <f>+'4'!J24</f>
        <v>0</v>
      </c>
      <c r="K24" s="250"/>
      <c r="L24" s="250"/>
      <c r="M24" s="128">
        <f>+K24+'4'!M24+L24</f>
        <v>0</v>
      </c>
    </row>
    <row r="25" spans="1:14" ht="13.5" thickBot="1">
      <c r="A25" s="1028"/>
      <c r="B25" s="226" t="s">
        <v>513</v>
      </c>
      <c r="C25" s="237">
        <v>24639</v>
      </c>
      <c r="D25" s="228"/>
      <c r="E25" s="236"/>
      <c r="F25" s="242"/>
      <c r="G25" s="243" t="s">
        <v>11</v>
      </c>
      <c r="H25" s="241" t="s">
        <v>452</v>
      </c>
      <c r="I25" s="1024"/>
      <c r="J25" s="225">
        <f>+'4'!J25</f>
        <v>0</v>
      </c>
      <c r="K25" s="250"/>
      <c r="L25" s="250"/>
      <c r="M25" s="128">
        <f>+K25+'4'!M25+L25</f>
        <v>0</v>
      </c>
    </row>
    <row r="26" spans="1:14" ht="13.5" thickBot="1">
      <c r="A26" s="1028"/>
      <c r="B26" s="226"/>
      <c r="C26" s="237"/>
      <c r="D26" s="228"/>
      <c r="E26" s="238"/>
      <c r="F26" s="242">
        <v>8</v>
      </c>
      <c r="G26" s="243" t="s">
        <v>11</v>
      </c>
      <c r="H26" s="597" t="s">
        <v>453</v>
      </c>
      <c r="I26" s="1024"/>
      <c r="J26" s="225">
        <f>+'4'!J26</f>
        <v>0</v>
      </c>
      <c r="K26" s="250"/>
      <c r="L26" s="250"/>
      <c r="M26" s="128">
        <f>+K26+'4'!M26+L26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508</v>
      </c>
      <c r="I27" s="1024"/>
      <c r="J27" s="225">
        <f>+'4'!J27</f>
        <v>0</v>
      </c>
      <c r="K27" s="250"/>
      <c r="L27" s="250"/>
      <c r="M27" s="128">
        <f>+K27+'4'!M27+L27</f>
        <v>0</v>
      </c>
    </row>
    <row r="28" spans="1:14" ht="13.5" thickBot="1">
      <c r="A28" s="1028"/>
      <c r="B28" s="226"/>
      <c r="C28" s="227"/>
      <c r="D28" s="228"/>
      <c r="E28" s="236"/>
      <c r="F28" s="242"/>
      <c r="G28" s="243"/>
      <c r="H28" s="244"/>
      <c r="I28" s="1024"/>
      <c r="J28" s="225">
        <f>+'4'!J28</f>
        <v>0</v>
      </c>
      <c r="K28" s="250"/>
      <c r="L28" s="250"/>
      <c r="M28" s="128">
        <f>+K28+'4'!M28+L28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+'4'!J29</f>
        <v>0</v>
      </c>
      <c r="K29" s="250"/>
      <c r="L29" s="250"/>
      <c r="M29" s="128">
        <f>+K29+'4'!M29+L29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+'4'!J30</f>
        <v>0</v>
      </c>
      <c r="K30" s="250"/>
      <c r="L30" s="250"/>
      <c r="M30" s="128">
        <f>+K30+'4'!M30+L30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464"/>
      <c r="I31" s="1025"/>
      <c r="J31" s="225">
        <f>+'4'!J31</f>
        <v>0</v>
      </c>
      <c r="K31" s="250"/>
      <c r="L31" s="250"/>
      <c r="M31" s="128">
        <f>+K31+'4'!M31+L31</f>
        <v>0</v>
      </c>
    </row>
    <row r="32" spans="1:14" ht="13.5" thickBot="1">
      <c r="A32" s="1029"/>
      <c r="B32" s="176" t="s">
        <v>2</v>
      </c>
      <c r="C32" s="110">
        <f>SUM(C25:C31)</f>
        <v>24639</v>
      </c>
      <c r="D32" s="111">
        <f>SUM(D25:D31)</f>
        <v>0</v>
      </c>
      <c r="E32" s="112">
        <f>SUM(E25:E31)</f>
        <v>0</v>
      </c>
      <c r="F32" s="113">
        <f>SUM(F24:F31)</f>
        <v>18</v>
      </c>
      <c r="G32" s="182"/>
      <c r="H32" s="183"/>
      <c r="I32" s="180"/>
      <c r="J32" s="225">
        <f>+'4'!J32</f>
        <v>0</v>
      </c>
      <c r="K32" s="252"/>
      <c r="L32" s="254"/>
      <c r="M32" s="128">
        <f>+K32+'4'!M32+L32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74552</v>
      </c>
      <c r="D34" s="118">
        <f>D14+D23+D32</f>
        <v>130</v>
      </c>
      <c r="E34" s="118">
        <f>E14+E23+E32</f>
        <v>0</v>
      </c>
      <c r="F34" s="119">
        <f>F14+F23+F32</f>
        <v>48</v>
      </c>
      <c r="H34" s="189"/>
      <c r="I34" s="189"/>
      <c r="J34" s="134" t="s">
        <v>27</v>
      </c>
      <c r="K34" s="135">
        <f>SUM(K7:K32)</f>
        <v>74552</v>
      </c>
      <c r="L34" s="223">
        <f>SUM(L7:L32)</f>
        <v>0</v>
      </c>
      <c r="M34" s="131">
        <f>SUM(M7:M32)</f>
        <v>366041</v>
      </c>
      <c r="N34" s="166"/>
    </row>
    <row r="35" spans="1:14" ht="13.5" thickBot="1">
      <c r="A35" s="190"/>
      <c r="B35" s="191"/>
      <c r="C35" s="115">
        <f>C34/($C$34+$D$34+$E$34)</f>
        <v>0.998259286039474</v>
      </c>
      <c r="D35" s="115">
        <f>D34/($C$34+$D$34+$E$34)</f>
        <v>1.7407139605259635E-3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(16*1440)/1440*G42*2.77*1440/1000000</f>
        <v>80.13275827199999</v>
      </c>
      <c r="J37" s="136">
        <f>+I37+'4'!J37</f>
        <v>380.35316570216713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48</v>
      </c>
      <c r="D38" s="129">
        <f>+C38+'4'!D38</f>
        <v>223</v>
      </c>
      <c r="E38" s="154">
        <f t="shared" ref="E38:E51" si="0">D38/60</f>
        <v>3.7166666666666668</v>
      </c>
      <c r="F38" s="340">
        <v>1260</v>
      </c>
      <c r="G38" s="340">
        <f>+F38-F38*0.0035</f>
        <v>1255.5899999999999</v>
      </c>
      <c r="H38" s="198" t="s">
        <v>63</v>
      </c>
      <c r="I38" s="555">
        <f>25.173+24.285+25.075</f>
        <v>74.533000000000001</v>
      </c>
      <c r="J38" s="138">
        <f>+I38+'4'!J38</f>
        <v>369.25099999999998</v>
      </c>
      <c r="K38" s="139" t="s">
        <v>62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+C39+'4'!D39</f>
        <v>0</v>
      </c>
      <c r="E39" s="154">
        <f t="shared" si="0"/>
        <v>0</v>
      </c>
      <c r="F39" s="340">
        <v>1260</v>
      </c>
      <c r="G39" s="340">
        <f>+F39-F39*0.0035</f>
        <v>1255.5899999999999</v>
      </c>
      <c r="H39" s="198" t="s">
        <v>64</v>
      </c>
      <c r="I39" s="153"/>
      <c r="J39" s="140">
        <f>J37/G4</f>
        <v>76.070633140433429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+C40+'4'!D40</f>
        <v>0</v>
      </c>
      <c r="E40" s="154">
        <f t="shared" si="0"/>
        <v>0</v>
      </c>
      <c r="F40" s="340">
        <v>1260</v>
      </c>
      <c r="G40" s="340">
        <f>+F40-F40*0.0035</f>
        <v>1255.5899999999999</v>
      </c>
      <c r="H40" s="198" t="s">
        <v>66</v>
      </c>
      <c r="I40" s="129">
        <f>(K34+L34)/1000</f>
        <v>74.552000000000007</v>
      </c>
      <c r="J40" s="142">
        <f>+I40+'4'!J40</f>
        <v>366.041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+C41+'4'!D41</f>
        <v>0</v>
      </c>
      <c r="E41" s="154">
        <f t="shared" si="0"/>
        <v>0</v>
      </c>
      <c r="F41" s="340"/>
      <c r="G41" s="340"/>
      <c r="H41" s="198" t="s">
        <v>68</v>
      </c>
      <c r="I41" s="153"/>
      <c r="J41" s="140">
        <f>J40/G4</f>
        <v>73.208200000000005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+C42+'4'!D42</f>
        <v>0</v>
      </c>
      <c r="E42" s="154">
        <f t="shared" si="0"/>
        <v>0</v>
      </c>
      <c r="F42" s="340">
        <f>+(F38*480+F39*480+F40*480)/1440</f>
        <v>1260</v>
      </c>
      <c r="G42" s="340">
        <f>+(G38*480+G39*480+G40*480)/1440</f>
        <v>1255.5899999999999</v>
      </c>
      <c r="H42" s="198" t="s">
        <v>69</v>
      </c>
      <c r="I42" s="257" t="s">
        <v>486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+C43+'4'!D43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+Report1!T13</f>
        <v>153.42200000000003</v>
      </c>
      <c r="J43" s="144">
        <f>+I43+'4'!J43</f>
        <v>750.89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+C44+'4'!D44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2.0584439107509427</v>
      </c>
      <c r="J44" s="145">
        <f>J43/J38</f>
        <v>2.0335489951279753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+C45+'4'!D45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2.0579193046464215</v>
      </c>
      <c r="J45" s="145">
        <f>J43/J40</f>
        <v>2.0513822222100804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+C46+'4'!D46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+SUMIF(Listrik!AR12,"&gt;0")</f>
        <v>58812.819999997504</v>
      </c>
      <c r="J46" s="146">
        <f>+I46+'4'!J46</f>
        <v>294970.45999999577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+C47+'4'!D47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789.08429823028064</v>
      </c>
      <c r="J47" s="146">
        <f>J46/J38</f>
        <v>798.83455968973897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+C48+'4'!D48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788.88319562181425</v>
      </c>
      <c r="J48" s="146">
        <f>J46/J40</f>
        <v>805.83994689118367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+C49+'4'!D49</f>
        <v>233</v>
      </c>
      <c r="E49" s="154">
        <f t="shared" si="0"/>
        <v>3.8833333333333333</v>
      </c>
      <c r="F49" s="196"/>
      <c r="H49" s="199" t="s">
        <v>184</v>
      </c>
      <c r="I49" s="129">
        <v>0</v>
      </c>
      <c r="J49" s="146">
        <f>+I49+'4'!J49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+C50+'4'!D50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+C51+'4'!D51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48</v>
      </c>
      <c r="D52" s="155">
        <f>SUM(D38:D51)</f>
        <v>494</v>
      </c>
      <c r="E52" s="156">
        <f>SUM(E38:E51)</f>
        <v>8.2333333333333325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3.3333333333333333E-2</v>
      </c>
      <c r="D53" s="157">
        <f>D52/(24*60*G4)</f>
        <v>6.8611111111111109E-2</v>
      </c>
      <c r="E53" s="158">
        <f>E52/(G4*24)</f>
        <v>6.8611111111111109E-2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+D34+'4'!J56</f>
        <v>1230</v>
      </c>
      <c r="K56" s="212">
        <f>J56/(J40+J56/1000)/1000</f>
        <v>3.3490256513582614E-3</v>
      </c>
    </row>
    <row r="57" spans="1:11">
      <c r="A57" s="187"/>
      <c r="I57" s="210" t="s">
        <v>88</v>
      </c>
      <c r="J57" s="211">
        <f>+E34+'4'!J57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17" right="0.16" top="0.17" bottom="0.14027777777777778" header="0" footer="0"/>
  <pageSetup paperSize="9" scale="63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4" style="160" bestFit="1" customWidth="1"/>
    <col min="12" max="12" width="8.28515625" style="160" customWidth="1"/>
    <col min="13" max="13" width="14.5703125" style="160" bestFit="1" customWidth="1"/>
    <col min="14" max="16384" width="9.140625" style="160"/>
  </cols>
  <sheetData>
    <row r="1" spans="1:15" ht="15.75">
      <c r="A1" s="159"/>
    </row>
    <row r="2" spans="1:15" ht="15.75">
      <c r="A2" s="159" t="s">
        <v>147</v>
      </c>
    </row>
    <row r="3" spans="1:15" ht="15">
      <c r="A3" s="161"/>
    </row>
    <row r="4" spans="1:15" ht="20.25">
      <c r="A4" s="162" t="s">
        <v>3</v>
      </c>
      <c r="B4" s="163"/>
      <c r="F4" s="164" t="s">
        <v>29</v>
      </c>
      <c r="G4" s="165">
        <v>4</v>
      </c>
      <c r="H4" s="165" t="str">
        <f>+'1'!H4</f>
        <v>.06.24</v>
      </c>
    </row>
    <row r="5" spans="1:15" ht="13.5" thickBot="1">
      <c r="C5" s="166"/>
      <c r="D5" s="166"/>
    </row>
    <row r="6" spans="1:15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222+222+283</f>
        <v>727</v>
      </c>
    </row>
    <row r="7" spans="1:15" ht="13.5" customHeight="1" thickBot="1">
      <c r="A7" s="1020" t="s">
        <v>435</v>
      </c>
      <c r="B7" s="226" t="s">
        <v>489</v>
      </c>
      <c r="C7" s="227">
        <v>25659</v>
      </c>
      <c r="D7" s="228"/>
      <c r="E7" s="229"/>
      <c r="F7" s="239">
        <v>10</v>
      </c>
      <c r="G7" s="240" t="s">
        <v>11</v>
      </c>
      <c r="H7" s="241" t="s">
        <v>418</v>
      </c>
      <c r="I7" s="1023" t="s">
        <v>486</v>
      </c>
      <c r="J7" s="225" t="str">
        <f>+'3'!J7</f>
        <v>MG 14 VP HW</v>
      </c>
      <c r="K7" s="249"/>
      <c r="L7" s="253"/>
      <c r="M7" s="128">
        <f>+K7+'3'!M7+L7</f>
        <v>160441</v>
      </c>
    </row>
    <row r="8" spans="1:15" ht="13.5" thickBot="1">
      <c r="A8" s="1021"/>
      <c r="B8" s="226"/>
      <c r="C8" s="227"/>
      <c r="D8" s="228"/>
      <c r="E8" s="230"/>
      <c r="F8" s="242"/>
      <c r="G8" s="243" t="s">
        <v>11</v>
      </c>
      <c r="H8" s="241" t="s">
        <v>452</v>
      </c>
      <c r="I8" s="1024"/>
      <c r="J8" s="225" t="str">
        <f>+'3'!J8</f>
        <v>MG 17 VP HW</v>
      </c>
      <c r="K8" s="250">
        <f>+C34</f>
        <v>78611</v>
      </c>
      <c r="L8" s="250"/>
      <c r="M8" s="128">
        <f>+K8+'3'!M8+L8</f>
        <v>131048</v>
      </c>
      <c r="N8" s="160">
        <v>1260</v>
      </c>
      <c r="O8" s="160">
        <f>+N8-N8*0.0035</f>
        <v>1255.5899999999999</v>
      </c>
    </row>
    <row r="9" spans="1:15" ht="13.5" thickBot="1">
      <c r="A9" s="1021"/>
      <c r="B9" s="226"/>
      <c r="C9" s="227"/>
      <c r="D9" s="228"/>
      <c r="E9" s="231"/>
      <c r="F9" s="239">
        <v>10</v>
      </c>
      <c r="G9" s="243" t="s">
        <v>11</v>
      </c>
      <c r="H9" s="597" t="s">
        <v>453</v>
      </c>
      <c r="I9" s="1024"/>
      <c r="J9" s="225">
        <f>+'3'!J9</f>
        <v>0</v>
      </c>
      <c r="K9" s="250"/>
      <c r="L9" s="250"/>
      <c r="M9" s="128">
        <f>+K9+'3'!M9+L9</f>
        <v>0</v>
      </c>
      <c r="N9" s="160">
        <v>1260</v>
      </c>
      <c r="O9" s="160">
        <f>+N9-N9*0.0035</f>
        <v>1255.5899999999999</v>
      </c>
    </row>
    <row r="10" spans="1:15" ht="13.5" thickBot="1">
      <c r="A10" s="1021"/>
      <c r="B10" s="226"/>
      <c r="C10" s="227"/>
      <c r="D10" s="228"/>
      <c r="E10" s="230"/>
      <c r="F10" s="239"/>
      <c r="G10" s="243"/>
      <c r="H10" s="597" t="s">
        <v>479</v>
      </c>
      <c r="I10" s="1024"/>
      <c r="J10" s="225">
        <f>+'3'!J10</f>
        <v>0</v>
      </c>
      <c r="K10" s="250"/>
      <c r="L10" s="250"/>
      <c r="M10" s="128">
        <f>+K10+'3'!M10+L10</f>
        <v>0</v>
      </c>
      <c r="N10" s="160">
        <v>1260</v>
      </c>
      <c r="O10" s="160">
        <f>+N10-N10*0.0035</f>
        <v>1255.5899999999999</v>
      </c>
    </row>
    <row r="11" spans="1:15" ht="13.5" thickBot="1">
      <c r="A11" s="1021"/>
      <c r="B11" s="226"/>
      <c r="C11" s="227"/>
      <c r="D11" s="228"/>
      <c r="E11" s="230"/>
      <c r="F11" s="239"/>
      <c r="G11" s="243"/>
      <c r="H11" s="244"/>
      <c r="I11" s="1024"/>
      <c r="J11" s="225">
        <f>+'3'!J11</f>
        <v>0</v>
      </c>
      <c r="K11" s="250"/>
      <c r="L11" s="250"/>
      <c r="M11" s="128">
        <f>+K11+'3'!M11+L11</f>
        <v>0</v>
      </c>
    </row>
    <row r="12" spans="1:15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>
        <f>+'3'!J12</f>
        <v>0</v>
      </c>
      <c r="K12" s="250"/>
      <c r="L12" s="250"/>
      <c r="M12" s="128">
        <f>+K12+'3'!M12+L12</f>
        <v>0</v>
      </c>
    </row>
    <row r="13" spans="1:15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>
        <f>+'3'!J13</f>
        <v>0</v>
      </c>
      <c r="K13" s="250"/>
      <c r="L13" s="250"/>
      <c r="M13" s="128">
        <f>+K13+'3'!M13+L13</f>
        <v>0</v>
      </c>
    </row>
    <row r="14" spans="1:15" ht="13.5" thickBot="1">
      <c r="A14" s="1022"/>
      <c r="B14" s="176" t="s">
        <v>2</v>
      </c>
      <c r="C14" s="110">
        <f>SUM(C7:C13)</f>
        <v>25659</v>
      </c>
      <c r="D14" s="122">
        <f>SUM(D7:D13)</f>
        <v>0</v>
      </c>
      <c r="E14" s="123">
        <f>SUM(E5:E13)</f>
        <v>0</v>
      </c>
      <c r="F14" s="127">
        <f>SUM(F7:F13)</f>
        <v>20</v>
      </c>
      <c r="G14" s="170"/>
      <c r="H14" s="177"/>
      <c r="I14" s="178"/>
      <c r="J14" s="225">
        <f>+'3'!J14</f>
        <v>0</v>
      </c>
      <c r="K14" s="250"/>
      <c r="L14" s="250"/>
      <c r="M14" s="128">
        <f>+K14+'3'!M14+L14</f>
        <v>0</v>
      </c>
    </row>
    <row r="15" spans="1:15" ht="13.5" customHeight="1" thickBot="1">
      <c r="A15" s="1020" t="s">
        <v>475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486</v>
      </c>
      <c r="J15" s="225">
        <f>+'3'!J15</f>
        <v>0</v>
      </c>
      <c r="K15" s="250"/>
      <c r="L15" s="250"/>
      <c r="M15" s="128">
        <f>+K15+'3'!M15+L15</f>
        <v>0</v>
      </c>
    </row>
    <row r="16" spans="1:15" ht="13.5" thickBot="1">
      <c r="A16" s="1026"/>
      <c r="B16" s="226" t="s">
        <v>489</v>
      </c>
      <c r="C16" s="233">
        <v>27913</v>
      </c>
      <c r="D16" s="234"/>
      <c r="E16" s="235"/>
      <c r="F16" s="239"/>
      <c r="G16" s="243" t="s">
        <v>11</v>
      </c>
      <c r="H16" s="241" t="s">
        <v>452</v>
      </c>
      <c r="I16" s="1024"/>
      <c r="J16" s="225">
        <f>+'3'!J16</f>
        <v>0</v>
      </c>
      <c r="K16" s="240"/>
      <c r="L16" s="240"/>
      <c r="M16" s="128">
        <f>+K16+'3'!M16+L16</f>
        <v>0</v>
      </c>
    </row>
    <row r="17" spans="1:14" ht="13.5" thickBot="1">
      <c r="A17" s="1026"/>
      <c r="B17" s="226"/>
      <c r="C17" s="227"/>
      <c r="D17" s="228"/>
      <c r="E17" s="236"/>
      <c r="F17" s="239">
        <v>10</v>
      </c>
      <c r="G17" s="243" t="s">
        <v>11</v>
      </c>
      <c r="H17" s="597" t="s">
        <v>453</v>
      </c>
      <c r="I17" s="1024"/>
      <c r="J17" s="225">
        <f>+'3'!J17</f>
        <v>0</v>
      </c>
      <c r="K17" s="240"/>
      <c r="L17" s="240"/>
      <c r="M17" s="128">
        <f>+K17+'3'!M17+L17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479</v>
      </c>
      <c r="I18" s="1024"/>
      <c r="J18" s="225">
        <f>+'3'!J18</f>
        <v>0</v>
      </c>
      <c r="K18" s="250"/>
      <c r="L18" s="250"/>
      <c r="M18" s="128">
        <f>+K18+'3'!M18+L18</f>
        <v>0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244" t="s">
        <v>503</v>
      </c>
      <c r="I19" s="1024"/>
      <c r="J19" s="225">
        <f>+'3'!J19</f>
        <v>0</v>
      </c>
      <c r="K19" s="250"/>
      <c r="L19" s="250"/>
      <c r="M19" s="128">
        <f>+K19+'3'!M19+L19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/>
      <c r="I20" s="1024"/>
      <c r="J20" s="225">
        <f>+'3'!J20</f>
        <v>0</v>
      </c>
      <c r="K20" s="251"/>
      <c r="L20" s="251"/>
      <c r="M20" s="128">
        <f>+K20+'3'!M20+L20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+'3'!J21</f>
        <v>0</v>
      </c>
      <c r="K21" s="250"/>
      <c r="L21" s="250"/>
      <c r="M21" s="128">
        <f>+K21+'3'!M21+L21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+'3'!J22</f>
        <v>0</v>
      </c>
      <c r="K22" s="250"/>
      <c r="L22" s="250"/>
      <c r="M22" s="128">
        <f>+K22+'3'!M22+L22</f>
        <v>0</v>
      </c>
    </row>
    <row r="23" spans="1:14" ht="13.5" thickBot="1">
      <c r="A23" s="1027"/>
      <c r="B23" s="179" t="s">
        <v>2</v>
      </c>
      <c r="C23" s="111">
        <f>SUM(C16:C22)</f>
        <v>27913</v>
      </c>
      <c r="D23" s="122">
        <f>SUM(D16:D22)</f>
        <v>0</v>
      </c>
      <c r="E23" s="123">
        <f>SUM(E18:E22)</f>
        <v>0</v>
      </c>
      <c r="F23" s="127">
        <f>SUM(F15:F22)</f>
        <v>10</v>
      </c>
      <c r="G23" s="170"/>
      <c r="H23" s="177" t="s">
        <v>234</v>
      </c>
      <c r="I23" s="180"/>
      <c r="J23" s="225">
        <f>+'3'!J23</f>
        <v>0</v>
      </c>
      <c r="K23" s="250"/>
      <c r="L23" s="250"/>
      <c r="M23" s="128">
        <f>+K23+'3'!M23+L23</f>
        <v>0</v>
      </c>
    </row>
    <row r="24" spans="1:14" ht="13.5" customHeight="1" thickBot="1">
      <c r="A24" s="1020" t="s">
        <v>436</v>
      </c>
      <c r="B24" s="181"/>
      <c r="C24" s="124"/>
      <c r="D24" s="125"/>
      <c r="E24" s="126"/>
      <c r="F24" s="247">
        <v>20</v>
      </c>
      <c r="G24" s="240" t="s">
        <v>11</v>
      </c>
      <c r="H24" s="241" t="s">
        <v>504</v>
      </c>
      <c r="I24" s="1023" t="s">
        <v>486</v>
      </c>
      <c r="J24" s="225">
        <f>+'3'!J24</f>
        <v>0</v>
      </c>
      <c r="K24" s="250"/>
      <c r="L24" s="250"/>
      <c r="M24" s="128">
        <f>+K24+'3'!M24+L24</f>
        <v>0</v>
      </c>
    </row>
    <row r="25" spans="1:14" ht="13.5" thickBot="1">
      <c r="A25" s="1028"/>
      <c r="B25" s="226" t="s">
        <v>489</v>
      </c>
      <c r="C25" s="237">
        <v>25039</v>
      </c>
      <c r="D25" s="228">
        <v>311</v>
      </c>
      <c r="E25" s="236"/>
      <c r="F25" s="242"/>
      <c r="G25" s="243" t="s">
        <v>11</v>
      </c>
      <c r="H25" s="241" t="s">
        <v>452</v>
      </c>
      <c r="I25" s="1024"/>
      <c r="J25" s="225">
        <f>+'3'!J25</f>
        <v>0</v>
      </c>
      <c r="K25" s="250"/>
      <c r="L25" s="250"/>
      <c r="M25" s="128">
        <f>+K25+'3'!M25+L25</f>
        <v>0</v>
      </c>
    </row>
    <row r="26" spans="1:14" ht="13.5" thickBot="1">
      <c r="A26" s="1028"/>
      <c r="B26" s="226"/>
      <c r="C26" s="237"/>
      <c r="D26" s="228"/>
      <c r="E26" s="238"/>
      <c r="F26" s="242">
        <v>13</v>
      </c>
      <c r="G26" s="243" t="s">
        <v>11</v>
      </c>
      <c r="H26" s="597" t="s">
        <v>455</v>
      </c>
      <c r="I26" s="1024"/>
      <c r="J26" s="225">
        <f>+'3'!J26</f>
        <v>0</v>
      </c>
      <c r="K26" s="250"/>
      <c r="L26" s="250"/>
      <c r="M26" s="128">
        <f>+K26+'3'!M26+L26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479</v>
      </c>
      <c r="I27" s="1024"/>
      <c r="J27" s="225">
        <f>+'3'!J27</f>
        <v>0</v>
      </c>
      <c r="K27" s="250"/>
      <c r="L27" s="250"/>
      <c r="M27" s="128">
        <f>+K27+'3'!M27+L27</f>
        <v>0</v>
      </c>
    </row>
    <row r="28" spans="1:14" ht="13.5" thickBot="1">
      <c r="A28" s="1028"/>
      <c r="B28" s="226"/>
      <c r="C28" s="227"/>
      <c r="D28" s="228"/>
      <c r="E28" s="236"/>
      <c r="F28" s="242"/>
      <c r="G28" s="243"/>
      <c r="H28" s="244"/>
      <c r="I28" s="1024"/>
      <c r="J28" s="225">
        <f>+'3'!J28</f>
        <v>0</v>
      </c>
      <c r="K28" s="250"/>
      <c r="L28" s="250"/>
      <c r="M28" s="128">
        <f>+K28+'3'!M28+L28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+'3'!J29</f>
        <v>0</v>
      </c>
      <c r="K29" s="250"/>
      <c r="L29" s="250"/>
      <c r="M29" s="128">
        <f>+K29+'3'!M29+L29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+'3'!J30</f>
        <v>0</v>
      </c>
      <c r="K30" s="250"/>
      <c r="L30" s="250"/>
      <c r="M30" s="128">
        <f>+K30+'3'!M30+L30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464"/>
      <c r="I31" s="1025"/>
      <c r="J31" s="225">
        <f>+'3'!J31</f>
        <v>0</v>
      </c>
      <c r="K31" s="250"/>
      <c r="L31" s="250"/>
      <c r="M31" s="128">
        <f>+K31+'3'!M31+L31</f>
        <v>0</v>
      </c>
    </row>
    <row r="32" spans="1:14" ht="13.5" thickBot="1">
      <c r="A32" s="1029"/>
      <c r="B32" s="176" t="s">
        <v>2</v>
      </c>
      <c r="C32" s="110">
        <f>SUM(C25:C31)</f>
        <v>25039</v>
      </c>
      <c r="D32" s="111">
        <f>SUM(D25:D31)</f>
        <v>311</v>
      </c>
      <c r="E32" s="112">
        <f>SUM(E25:E31)</f>
        <v>0</v>
      </c>
      <c r="F32" s="113">
        <f>SUM(F24:F31)</f>
        <v>33</v>
      </c>
      <c r="G32" s="182"/>
      <c r="H32" s="183"/>
      <c r="I32" s="180"/>
      <c r="J32" s="225">
        <f>+'3'!J32</f>
        <v>0</v>
      </c>
      <c r="K32" s="252"/>
      <c r="L32" s="254"/>
      <c r="M32" s="128">
        <f>+K32+'3'!M32+L32</f>
        <v>0</v>
      </c>
    </row>
    <row r="33" spans="1:14" ht="13.5" thickBot="1">
      <c r="A33" s="184"/>
      <c r="B33" s="185"/>
      <c r="C33" s="114">
        <f>C32/($C$32+$D$32+$E$32)</f>
        <v>0.98773175542406311</v>
      </c>
      <c r="D33" s="115">
        <f>D32/($C$32+$D$32+$E$32)</f>
        <v>1.2268244575936884E-2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78611</v>
      </c>
      <c r="D34" s="118">
        <f>D14+D23+D32</f>
        <v>311</v>
      </c>
      <c r="E34" s="118">
        <f>E14+E23+E32</f>
        <v>0</v>
      </c>
      <c r="F34" s="119">
        <f>F14+F23+F32</f>
        <v>63</v>
      </c>
      <c r="H34" s="189"/>
      <c r="I34" s="189"/>
      <c r="J34" s="134" t="s">
        <v>27</v>
      </c>
      <c r="K34" s="135">
        <f>SUM(K7:K32)</f>
        <v>78611</v>
      </c>
      <c r="L34" s="223">
        <f>SUM(L7:L32)</f>
        <v>0</v>
      </c>
      <c r="M34" s="131">
        <f>SUM(M7:M32)</f>
        <v>291489</v>
      </c>
      <c r="N34" s="166"/>
    </row>
    <row r="35" spans="1:14" ht="13.5" thickBot="1">
      <c r="A35" s="190"/>
      <c r="B35" s="191"/>
      <c r="C35" s="115">
        <f>C34/($C$34+$D$34+$E$34)</f>
        <v>0.99605940042066854</v>
      </c>
      <c r="D35" s="115">
        <f>D34/($C$34+$D$34+$E$34)</f>
        <v>3.940599579331492E-3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(17*1440)/1440*G42*2.77*1440/1000000</f>
        <v>85.141055663999992</v>
      </c>
      <c r="J37" s="136">
        <f>+I37+'3'!J37</f>
        <v>300.22040743016714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63</v>
      </c>
      <c r="D38" s="129">
        <f>+C38+'3'!D38</f>
        <v>175</v>
      </c>
      <c r="E38" s="154">
        <f t="shared" ref="E38:E51" si="0">D38/60</f>
        <v>2.9166666666666665</v>
      </c>
      <c r="F38" s="340">
        <v>1260</v>
      </c>
      <c r="G38" s="340">
        <f>+F38-F38*0.0035</f>
        <v>1255.5899999999999</v>
      </c>
      <c r="H38" s="198" t="s">
        <v>63</v>
      </c>
      <c r="I38" s="555">
        <f>27.433+25.785+25.924</f>
        <v>79.141999999999996</v>
      </c>
      <c r="J38" s="138">
        <f>+I38+'3'!J38</f>
        <v>294.71799999999996</v>
      </c>
      <c r="K38" s="139" t="s">
        <v>62</v>
      </c>
      <c r="N38" s="565"/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+C39+'3'!D39</f>
        <v>0</v>
      </c>
      <c r="E39" s="154">
        <f t="shared" si="0"/>
        <v>0</v>
      </c>
      <c r="F39" s="340">
        <v>1260</v>
      </c>
      <c r="G39" s="340">
        <f>+F39-F39*0.0035</f>
        <v>1255.5899999999999</v>
      </c>
      <c r="H39" s="198" t="s">
        <v>64</v>
      </c>
      <c r="I39" s="153"/>
      <c r="J39" s="140">
        <f>J37/G4</f>
        <v>75.055101857541786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+C40+'3'!D40</f>
        <v>0</v>
      </c>
      <c r="E40" s="154">
        <f t="shared" si="0"/>
        <v>0</v>
      </c>
      <c r="F40" s="340">
        <v>1260</v>
      </c>
      <c r="G40" s="340">
        <f>+F40-F40*0.0035</f>
        <v>1255.5899999999999</v>
      </c>
      <c r="H40" s="198" t="s">
        <v>66</v>
      </c>
      <c r="I40" s="129">
        <f>(K34+L34)/1000</f>
        <v>78.611000000000004</v>
      </c>
      <c r="J40" s="142">
        <f>+I40+'3'!J40</f>
        <v>291.48899999999998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+C41+'3'!D41</f>
        <v>0</v>
      </c>
      <c r="E41" s="154">
        <f t="shared" si="0"/>
        <v>0</v>
      </c>
      <c r="F41" s="340"/>
      <c r="G41" s="340"/>
      <c r="H41" s="198" t="s">
        <v>68</v>
      </c>
      <c r="I41" s="153"/>
      <c r="J41" s="140">
        <f>J40/G4</f>
        <v>72.872249999999994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+C42+'3'!D42</f>
        <v>0</v>
      </c>
      <c r="E42" s="154">
        <f t="shared" si="0"/>
        <v>0</v>
      </c>
      <c r="F42" s="340">
        <f>+(F38*480+F39*480+F40*480)/1440</f>
        <v>1260</v>
      </c>
      <c r="G42" s="340">
        <f>+(G38*480+G39*480+G40*480)/1440</f>
        <v>1255.5899999999999</v>
      </c>
      <c r="H42" s="198" t="s">
        <v>69</v>
      </c>
      <c r="I42" s="257" t="s">
        <v>486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+C43+'3'!D43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+Report1!T12</f>
        <v>159.79799999999997</v>
      </c>
      <c r="J43" s="144">
        <f>+I43+'3'!J43</f>
        <v>597.46799999999996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+C44+'3'!D44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+Report1!T12</f>
        <v>159.79799999999997</v>
      </c>
      <c r="J44" s="145">
        <f>J43/J38</f>
        <v>2.0272531708277066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+C45+'3'!D45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2.0327689509101776</v>
      </c>
      <c r="J45" s="145">
        <f>J43/J40</f>
        <v>2.0497102806623921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+C46+'3'!D46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+SUMIF(Listrik!AR11,"&gt;0")</f>
        <v>59149.900000002628</v>
      </c>
      <c r="J46" s="146">
        <f>+I46+'3'!J46</f>
        <v>236157.63999999827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+C47+'3'!D47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747.38950241341684</v>
      </c>
      <c r="J47" s="146">
        <f>J46/J38</f>
        <v>801.30036170168876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+C48+'3'!D48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752.4379539759401</v>
      </c>
      <c r="J48" s="146">
        <f>J46/J40</f>
        <v>810.17685058440725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+C49+'3'!D49</f>
        <v>233</v>
      </c>
      <c r="E49" s="154">
        <f t="shared" si="0"/>
        <v>3.8833333333333333</v>
      </c>
      <c r="F49" s="196"/>
      <c r="H49" s="199" t="s">
        <v>184</v>
      </c>
      <c r="I49" s="129">
        <v>0</v>
      </c>
      <c r="J49" s="146">
        <f>+I49+'3'!J49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+C50+'3'!D50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+C51+'3'!D51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63</v>
      </c>
      <c r="D52" s="155">
        <f>SUM(D38:D51)</f>
        <v>446</v>
      </c>
      <c r="E52" s="156">
        <f>SUM(E38:E51)</f>
        <v>7.4333333333333336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4.3749999999999997E-2</v>
      </c>
      <c r="D53" s="157">
        <f>D52/(24*60*G4)</f>
        <v>7.7430555555555558E-2</v>
      </c>
      <c r="E53" s="158">
        <f>E52/(G4*24)</f>
        <v>7.7430555555555558E-2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+D34+'3'!J56</f>
        <v>1100</v>
      </c>
      <c r="K56" s="212">
        <f>J56/(J40+J56/1000)/1000</f>
        <v>3.7595398323245236E-3</v>
      </c>
    </row>
    <row r="57" spans="1:11">
      <c r="A57" s="187"/>
      <c r="I57" s="210" t="s">
        <v>88</v>
      </c>
      <c r="J57" s="211">
        <f>+E34+'3'!J57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710937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3.7109375" style="160" bestFit="1" customWidth="1"/>
    <col min="12" max="12" width="8.28515625" style="160" customWidth="1"/>
    <col min="13" max="13" width="14.5703125" style="160" bestFit="1" customWidth="1"/>
    <col min="14" max="16384" width="9.140625" style="160"/>
  </cols>
  <sheetData>
    <row r="1" spans="1:24" ht="15.75">
      <c r="A1" s="159"/>
    </row>
    <row r="2" spans="1:24" ht="15.75">
      <c r="A2" s="159" t="s">
        <v>147</v>
      </c>
    </row>
    <row r="3" spans="1:24" ht="15">
      <c r="A3" s="161"/>
    </row>
    <row r="4" spans="1:24" ht="20.25">
      <c r="A4" s="162" t="s">
        <v>3</v>
      </c>
      <c r="B4" s="163"/>
      <c r="F4" s="164" t="s">
        <v>29</v>
      </c>
      <c r="G4" s="165">
        <v>3</v>
      </c>
      <c r="H4" s="165" t="str">
        <f>+'1'!H4</f>
        <v>.06.24</v>
      </c>
    </row>
    <row r="5" spans="1:24" ht="13.5" thickBot="1">
      <c r="C5" s="166"/>
      <c r="D5" s="166"/>
    </row>
    <row r="6" spans="1:24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240+224+223</f>
        <v>687</v>
      </c>
    </row>
    <row r="7" spans="1:24" ht="13.5" customHeight="1" thickBot="1">
      <c r="A7" s="1020" t="s">
        <v>434</v>
      </c>
      <c r="B7" s="226" t="s">
        <v>488</v>
      </c>
      <c r="C7" s="227">
        <f>8109+10874</f>
        <v>18983</v>
      </c>
      <c r="D7" s="228"/>
      <c r="E7" s="229"/>
      <c r="F7" s="239"/>
      <c r="G7" s="240" t="s">
        <v>11</v>
      </c>
      <c r="H7" s="241" t="s">
        <v>473</v>
      </c>
      <c r="I7" s="1023" t="s">
        <v>485</v>
      </c>
      <c r="J7" s="225" t="str">
        <f>+'2'!J7</f>
        <v>MG 14 VP HW</v>
      </c>
      <c r="K7" s="249">
        <f>+C7+C16</f>
        <v>22142</v>
      </c>
      <c r="L7" s="253"/>
      <c r="M7" s="128">
        <f>+K7+'2'!M7+L7</f>
        <v>160441</v>
      </c>
    </row>
    <row r="8" spans="1:24" ht="13.5" thickBot="1">
      <c r="A8" s="1021"/>
      <c r="B8" s="226" t="s">
        <v>489</v>
      </c>
      <c r="C8" s="227">
        <f>1749+1852</f>
        <v>3601</v>
      </c>
      <c r="D8" s="228">
        <v>300</v>
      </c>
      <c r="E8" s="230"/>
      <c r="F8" s="242"/>
      <c r="G8" s="243" t="s">
        <v>11</v>
      </c>
      <c r="H8" s="241" t="s">
        <v>452</v>
      </c>
      <c r="I8" s="1024"/>
      <c r="J8" s="225" t="s">
        <v>489</v>
      </c>
      <c r="K8" s="250">
        <f>+C8+C17+C25</f>
        <v>52437</v>
      </c>
      <c r="L8" s="250"/>
      <c r="M8" s="128">
        <f>+K8+'2'!M8+L8</f>
        <v>52437</v>
      </c>
      <c r="N8" s="160">
        <v>1340</v>
      </c>
      <c r="O8" s="160">
        <f>+N8-N8*0.0035</f>
        <v>1335.31</v>
      </c>
      <c r="P8" s="160">
        <f>180+30</f>
        <v>210</v>
      </c>
      <c r="Q8" s="160">
        <f>+N8*P8</f>
        <v>281400</v>
      </c>
      <c r="R8" s="160">
        <f>+O8*P8</f>
        <v>280415.09999999998</v>
      </c>
    </row>
    <row r="9" spans="1:24" ht="13.5" thickBot="1">
      <c r="A9" s="1021"/>
      <c r="B9" s="226"/>
      <c r="C9" s="227"/>
      <c r="D9" s="228"/>
      <c r="E9" s="231"/>
      <c r="F9" s="239">
        <v>6</v>
      </c>
      <c r="G9" s="243" t="s">
        <v>11</v>
      </c>
      <c r="H9" s="597" t="s">
        <v>453</v>
      </c>
      <c r="I9" s="1024"/>
      <c r="J9" s="225">
        <f>+'2'!J9</f>
        <v>0</v>
      </c>
      <c r="K9" s="250"/>
      <c r="L9" s="250"/>
      <c r="M9" s="128">
        <f>+K9+'2'!M9+L9</f>
        <v>0</v>
      </c>
      <c r="N9" s="160">
        <v>1260</v>
      </c>
      <c r="O9" s="160">
        <f>+N9-N9*0.0035</f>
        <v>1255.5899999999999</v>
      </c>
      <c r="P9" s="160">
        <f>30+240</f>
        <v>270</v>
      </c>
      <c r="Q9" s="160">
        <f>+N9*P9</f>
        <v>340200</v>
      </c>
      <c r="R9" s="160">
        <f>+O9*P9</f>
        <v>339009.3</v>
      </c>
    </row>
    <row r="10" spans="1:24" ht="13.5" thickBot="1">
      <c r="A10" s="1021"/>
      <c r="B10" s="226"/>
      <c r="C10" s="227"/>
      <c r="D10" s="228"/>
      <c r="E10" s="230"/>
      <c r="F10" s="239"/>
      <c r="G10" s="243"/>
      <c r="H10" s="597" t="s">
        <v>468</v>
      </c>
      <c r="I10" s="1024"/>
      <c r="J10" s="225">
        <f>+'2'!J10</f>
        <v>0</v>
      </c>
      <c r="K10" s="250"/>
      <c r="L10" s="250"/>
      <c r="M10" s="128">
        <f>+K10+'2'!M10+L10</f>
        <v>0</v>
      </c>
      <c r="P10" s="160">
        <f>SUM(P8:P9)</f>
        <v>480</v>
      </c>
      <c r="Q10" s="160">
        <f>SUM(Q8:Q9)</f>
        <v>621600</v>
      </c>
      <c r="R10" s="160">
        <f>SUM(R8:R9)</f>
        <v>619424.39999999991</v>
      </c>
    </row>
    <row r="11" spans="1:24" ht="13.5" customHeight="1" thickBot="1">
      <c r="A11" s="1021"/>
      <c r="B11" s="226"/>
      <c r="C11" s="227"/>
      <c r="D11" s="228"/>
      <c r="E11" s="230"/>
      <c r="F11" s="239"/>
      <c r="G11" s="243"/>
      <c r="H11" s="597" t="s">
        <v>478</v>
      </c>
      <c r="I11" s="1024"/>
      <c r="J11" s="225">
        <f>+'2'!J11</f>
        <v>0</v>
      </c>
      <c r="K11" s="250"/>
      <c r="L11" s="250"/>
      <c r="M11" s="128">
        <f>+K11+'2'!M11+L11</f>
        <v>0</v>
      </c>
      <c r="Q11" s="160">
        <f>+Q10/P10</f>
        <v>1295</v>
      </c>
      <c r="R11" s="160">
        <f>+R10/P10</f>
        <v>1290.4674999999997</v>
      </c>
    </row>
    <row r="12" spans="1:24" ht="13.5" thickBot="1">
      <c r="A12" s="1021"/>
      <c r="B12" s="226"/>
      <c r="C12" s="227"/>
      <c r="D12" s="228"/>
      <c r="E12" s="230"/>
      <c r="F12" s="239"/>
      <c r="G12" s="243"/>
      <c r="H12" s="244"/>
      <c r="I12" s="1024"/>
      <c r="J12" s="225">
        <f>+'2'!J12</f>
        <v>0</v>
      </c>
      <c r="K12" s="250"/>
      <c r="L12" s="250"/>
      <c r="M12" s="128">
        <f>+K12+'2'!M12+L12</f>
        <v>0</v>
      </c>
    </row>
    <row r="13" spans="1:24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>
        <f>+'2'!J13</f>
        <v>0</v>
      </c>
      <c r="K13" s="250"/>
      <c r="L13" s="250"/>
      <c r="M13" s="128">
        <f>+K13+'2'!M13+L13</f>
        <v>0</v>
      </c>
    </row>
    <row r="14" spans="1:24" ht="13.5" thickBot="1">
      <c r="A14" s="1022"/>
      <c r="B14" s="176" t="s">
        <v>2</v>
      </c>
      <c r="C14" s="110">
        <f>SUM(C7:C13)</f>
        <v>22584</v>
      </c>
      <c r="D14" s="122">
        <f>SUM(D7:D13)</f>
        <v>300</v>
      </c>
      <c r="E14" s="123">
        <f>SUM(E5:E13)</f>
        <v>0</v>
      </c>
      <c r="F14" s="127">
        <f>SUM(F7:F13)</f>
        <v>6</v>
      </c>
      <c r="G14" s="170"/>
      <c r="H14" s="177"/>
      <c r="I14" s="178"/>
      <c r="J14" s="225">
        <f>+'2'!J14</f>
        <v>0</v>
      </c>
      <c r="K14" s="250"/>
      <c r="L14" s="250"/>
      <c r="M14" s="128">
        <f>+K14+'2'!M14+L14</f>
        <v>0</v>
      </c>
      <c r="T14" s="160">
        <v>1450</v>
      </c>
      <c r="U14" s="160">
        <f>+T14-T14*0.21</f>
        <v>1145.5</v>
      </c>
      <c r="V14" s="160">
        <f>480-55</f>
        <v>425</v>
      </c>
      <c r="W14" s="160">
        <f>+T14*V14</f>
        <v>616250</v>
      </c>
      <c r="X14" s="160">
        <f>+U14*V14</f>
        <v>486837.5</v>
      </c>
    </row>
    <row r="15" spans="1:24" ht="13.5" customHeight="1" thickBot="1">
      <c r="A15" s="1020" t="s">
        <v>475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486</v>
      </c>
      <c r="J15" s="225">
        <f>+'2'!J15</f>
        <v>0</v>
      </c>
      <c r="K15" s="250"/>
      <c r="L15" s="250"/>
      <c r="M15" s="128">
        <f>+K15+'2'!M15+L15</f>
        <v>0</v>
      </c>
      <c r="T15" s="160">
        <v>1650</v>
      </c>
      <c r="U15" s="160">
        <f>+T15-T15*0.2</f>
        <v>1320</v>
      </c>
      <c r="V15" s="160">
        <v>470</v>
      </c>
      <c r="W15" s="160">
        <f>+T15*V15</f>
        <v>775500</v>
      </c>
      <c r="X15" s="160">
        <f>+U15*V15</f>
        <v>620400</v>
      </c>
    </row>
    <row r="16" spans="1:24" ht="13.5" thickBot="1">
      <c r="A16" s="1026"/>
      <c r="B16" s="226" t="s">
        <v>488</v>
      </c>
      <c r="C16" s="233">
        <f>975+2184</f>
        <v>3159</v>
      </c>
      <c r="D16" s="234"/>
      <c r="E16" s="235"/>
      <c r="F16" s="239"/>
      <c r="G16" s="243" t="s">
        <v>11</v>
      </c>
      <c r="H16" s="241" t="s">
        <v>452</v>
      </c>
      <c r="I16" s="1024"/>
      <c r="J16" s="225">
        <f>+'2'!J16</f>
        <v>0</v>
      </c>
      <c r="K16" s="240"/>
      <c r="L16" s="240"/>
      <c r="M16" s="128">
        <f>+K16+'2'!M16+L16</f>
        <v>0</v>
      </c>
      <c r="T16" s="160">
        <v>1700</v>
      </c>
      <c r="U16" s="160">
        <f>+T16-T16*0.2</f>
        <v>1360</v>
      </c>
      <c r="V16" s="160">
        <v>480</v>
      </c>
      <c r="W16" s="160">
        <f>+T16*V16</f>
        <v>816000</v>
      </c>
      <c r="X16" s="160">
        <f>+U16*V16</f>
        <v>652800</v>
      </c>
    </row>
    <row r="17" spans="1:24" ht="13.5" thickBot="1">
      <c r="A17" s="1026"/>
      <c r="B17" s="226" t="s">
        <v>489</v>
      </c>
      <c r="C17" s="227">
        <v>21343</v>
      </c>
      <c r="D17" s="228"/>
      <c r="E17" s="236"/>
      <c r="F17" s="239">
        <v>12</v>
      </c>
      <c r="G17" s="243" t="s">
        <v>11</v>
      </c>
      <c r="H17" s="597" t="s">
        <v>455</v>
      </c>
      <c r="I17" s="1024"/>
      <c r="J17" s="225">
        <f>+'2'!J17</f>
        <v>0</v>
      </c>
      <c r="K17" s="240"/>
      <c r="L17" s="240"/>
      <c r="M17" s="128">
        <f>+K17+'2'!M17+L17</f>
        <v>0</v>
      </c>
      <c r="N17" s="160">
        <v>1260</v>
      </c>
      <c r="O17" s="160">
        <f>+N17-N17*0.0035</f>
        <v>1255.5899999999999</v>
      </c>
      <c r="P17" s="160">
        <f>480-38</f>
        <v>442</v>
      </c>
      <c r="V17" s="160">
        <f>SUM(V14:V16)</f>
        <v>1375</v>
      </c>
      <c r="W17" s="160">
        <f>SUM(W14:W16)</f>
        <v>2207750</v>
      </c>
      <c r="X17" s="160">
        <f>SUM(X14:X16)</f>
        <v>1760037.5</v>
      </c>
    </row>
    <row r="18" spans="1:24" ht="13.5" thickBot="1">
      <c r="A18" s="1026"/>
      <c r="B18" s="226"/>
      <c r="C18" s="227"/>
      <c r="D18" s="228"/>
      <c r="E18" s="236"/>
      <c r="F18" s="239"/>
      <c r="G18" s="243"/>
      <c r="H18" s="597" t="s">
        <v>479</v>
      </c>
      <c r="I18" s="1024"/>
      <c r="J18" s="225">
        <f>+'2'!J18</f>
        <v>0</v>
      </c>
      <c r="K18" s="250"/>
      <c r="L18" s="250"/>
      <c r="M18" s="128">
        <f>+K18+'2'!M18+L18</f>
        <v>0</v>
      </c>
      <c r="N18" s="160">
        <v>1260</v>
      </c>
      <c r="O18" s="160">
        <f>+N18-N18*0.0035</f>
        <v>1255.5899999999999</v>
      </c>
      <c r="P18" s="160">
        <v>480</v>
      </c>
      <c r="W18" s="160">
        <f>+W17/V17</f>
        <v>1605.6363636363637</v>
      </c>
      <c r="X18" s="160">
        <f>+X17/V17</f>
        <v>1280.0272727272727</v>
      </c>
    </row>
    <row r="19" spans="1:24" ht="39" thickBot="1">
      <c r="A19" s="1026"/>
      <c r="B19" s="226"/>
      <c r="C19" s="227"/>
      <c r="D19" s="228"/>
      <c r="E19" s="236" t="s">
        <v>484</v>
      </c>
      <c r="F19" s="246">
        <f>6+32</f>
        <v>38</v>
      </c>
      <c r="G19" s="243" t="s">
        <v>16</v>
      </c>
      <c r="H19" s="597" t="s">
        <v>480</v>
      </c>
      <c r="I19" s="1024"/>
      <c r="J19" s="225">
        <f>+'2'!J19</f>
        <v>0</v>
      </c>
      <c r="K19" s="250"/>
      <c r="L19" s="250"/>
      <c r="M19" s="128">
        <f>+K19+'2'!M19+L19</f>
        <v>0</v>
      </c>
      <c r="P19" s="160">
        <f>+P9+P17+P18</f>
        <v>1192</v>
      </c>
    </row>
    <row r="20" spans="1:24" ht="13.5" thickBot="1">
      <c r="A20" s="1026"/>
      <c r="B20" s="226"/>
      <c r="C20" s="227"/>
      <c r="D20" s="228"/>
      <c r="E20" s="236"/>
      <c r="F20" s="239"/>
      <c r="G20" s="243"/>
      <c r="H20" s="244" t="s">
        <v>481</v>
      </c>
      <c r="I20" s="1024"/>
      <c r="J20" s="225">
        <f>+'2'!J20</f>
        <v>0</v>
      </c>
      <c r="K20" s="251"/>
      <c r="L20" s="251"/>
      <c r="M20" s="128">
        <f>+K20+'2'!M20+L20</f>
        <v>0</v>
      </c>
      <c r="P20" s="160">
        <f>+P19+P8</f>
        <v>1402</v>
      </c>
    </row>
    <row r="21" spans="1:24" ht="13.5" thickBot="1">
      <c r="A21" s="1026"/>
      <c r="B21" s="226"/>
      <c r="C21" s="227"/>
      <c r="D21" s="228"/>
      <c r="E21" s="236"/>
      <c r="F21" s="242"/>
      <c r="G21" s="243"/>
      <c r="H21" s="244" t="s">
        <v>482</v>
      </c>
      <c r="I21" s="1024"/>
      <c r="J21" s="225">
        <f>+'2'!J21</f>
        <v>0</v>
      </c>
      <c r="K21" s="250"/>
      <c r="L21" s="250"/>
      <c r="M21" s="128">
        <f>+K21+'2'!M21+L21</f>
        <v>0</v>
      </c>
      <c r="T21" s="160">
        <v>1400</v>
      </c>
      <c r="U21" s="160">
        <f>+T21-T21*0.175</f>
        <v>1155</v>
      </c>
      <c r="V21" s="160">
        <v>55</v>
      </c>
      <c r="W21" s="160">
        <f>+T21*V21</f>
        <v>77000</v>
      </c>
      <c r="X21" s="160">
        <f>+U21*V21</f>
        <v>63525</v>
      </c>
    </row>
    <row r="22" spans="1:24" ht="13.5" thickBot="1">
      <c r="A22" s="1026"/>
      <c r="B22" s="226"/>
      <c r="C22" s="227"/>
      <c r="D22" s="228"/>
      <c r="E22" s="236"/>
      <c r="F22" s="247"/>
      <c r="G22" s="243"/>
      <c r="H22" s="244" t="s">
        <v>483</v>
      </c>
      <c r="I22" s="1025"/>
      <c r="J22" s="225">
        <f>+'2'!J22</f>
        <v>0</v>
      </c>
      <c r="K22" s="250"/>
      <c r="L22" s="250"/>
      <c r="M22" s="128">
        <f>+K22+'2'!M22+L22</f>
        <v>0</v>
      </c>
      <c r="T22" s="160">
        <v>1400</v>
      </c>
      <c r="U22" s="160">
        <f>+T22-T22*0.17</f>
        <v>1162</v>
      </c>
      <c r="V22" s="160">
        <v>10</v>
      </c>
      <c r="W22" s="160">
        <f>+T22*V22</f>
        <v>14000</v>
      </c>
      <c r="X22" s="160">
        <f>+U22*V22</f>
        <v>11620</v>
      </c>
    </row>
    <row r="23" spans="1:24" ht="13.5" thickBot="1">
      <c r="A23" s="1027"/>
      <c r="B23" s="179" t="s">
        <v>2</v>
      </c>
      <c r="C23" s="111">
        <f>SUM(C16:C22)</f>
        <v>24502</v>
      </c>
      <c r="D23" s="122">
        <f>SUM(D16:D22)</f>
        <v>0</v>
      </c>
      <c r="E23" s="123">
        <f>SUM(E18:E22)</f>
        <v>0</v>
      </c>
      <c r="F23" s="127">
        <f>SUM(F15:F22)</f>
        <v>50</v>
      </c>
      <c r="G23" s="170"/>
      <c r="H23" s="177" t="s">
        <v>234</v>
      </c>
      <c r="I23" s="180"/>
      <c r="J23" s="225">
        <f>+'2'!J23</f>
        <v>0</v>
      </c>
      <c r="K23" s="250"/>
      <c r="L23" s="250"/>
      <c r="M23" s="128">
        <f>+K23+'2'!M23+L23</f>
        <v>0</v>
      </c>
      <c r="V23" s="160">
        <f>+V21+V22</f>
        <v>65</v>
      </c>
      <c r="W23" s="160">
        <f>+W21+W22</f>
        <v>91000</v>
      </c>
      <c r="X23" s="160">
        <f>+X21+X22</f>
        <v>75145</v>
      </c>
    </row>
    <row r="24" spans="1:24" ht="13.5" customHeight="1" thickBot="1">
      <c r="A24" s="1020" t="s">
        <v>436</v>
      </c>
      <c r="B24" s="181"/>
      <c r="C24" s="124"/>
      <c r="D24" s="125"/>
      <c r="E24" s="126"/>
      <c r="F24" s="247"/>
      <c r="G24" s="240" t="s">
        <v>11</v>
      </c>
      <c r="H24" s="241" t="s">
        <v>473</v>
      </c>
      <c r="I24" s="1023" t="s">
        <v>486</v>
      </c>
      <c r="J24" s="225">
        <f>+'2'!J24</f>
        <v>0</v>
      </c>
      <c r="K24" s="250"/>
      <c r="L24" s="250"/>
      <c r="M24" s="128">
        <f>+K24+'2'!M24+L24</f>
        <v>0</v>
      </c>
      <c r="W24" s="160">
        <f>+W23/V23</f>
        <v>1400</v>
      </c>
      <c r="X24" s="160">
        <f>+X23/V23</f>
        <v>1156.0769230769231</v>
      </c>
    </row>
    <row r="25" spans="1:24" ht="13.5" thickBot="1">
      <c r="A25" s="1028"/>
      <c r="B25" s="226" t="s">
        <v>489</v>
      </c>
      <c r="C25" s="237">
        <v>27493</v>
      </c>
      <c r="D25" s="228"/>
      <c r="E25" s="236"/>
      <c r="F25" s="242"/>
      <c r="G25" s="243" t="s">
        <v>11</v>
      </c>
      <c r="H25" s="241" t="s">
        <v>452</v>
      </c>
      <c r="I25" s="1024"/>
      <c r="J25" s="225">
        <f>+'2'!J25</f>
        <v>0</v>
      </c>
      <c r="K25" s="250"/>
      <c r="L25" s="250"/>
      <c r="M25" s="128">
        <f>+K25+'2'!M25+L25</f>
        <v>0</v>
      </c>
    </row>
    <row r="26" spans="1:24" ht="13.5" thickBot="1">
      <c r="A26" s="1028"/>
      <c r="B26" s="226"/>
      <c r="C26" s="237"/>
      <c r="D26" s="228"/>
      <c r="E26" s="238"/>
      <c r="F26" s="242">
        <v>11</v>
      </c>
      <c r="G26" s="243" t="s">
        <v>11</v>
      </c>
      <c r="H26" s="597" t="s">
        <v>455</v>
      </c>
      <c r="I26" s="1024"/>
      <c r="J26" s="225">
        <f>+'2'!J26</f>
        <v>0</v>
      </c>
      <c r="K26" s="250"/>
      <c r="L26" s="250"/>
      <c r="M26" s="128">
        <f>+K26+'2'!M26+L26</f>
        <v>0</v>
      </c>
    </row>
    <row r="27" spans="1:24" ht="13.5" thickBot="1">
      <c r="A27" s="1028"/>
      <c r="B27" s="226"/>
      <c r="C27" s="227"/>
      <c r="D27" s="228"/>
      <c r="E27" s="236"/>
      <c r="F27" s="242"/>
      <c r="G27" s="243"/>
      <c r="H27" s="597" t="s">
        <v>479</v>
      </c>
      <c r="I27" s="1024"/>
      <c r="J27" s="225">
        <f>+'2'!J27</f>
        <v>0</v>
      </c>
      <c r="K27" s="250"/>
      <c r="L27" s="250"/>
      <c r="M27" s="128">
        <f>+K27+'2'!M27+L27</f>
        <v>0</v>
      </c>
    </row>
    <row r="28" spans="1:24" ht="13.5" thickBot="1">
      <c r="A28" s="1028"/>
      <c r="B28" s="226"/>
      <c r="C28" s="227"/>
      <c r="D28" s="228"/>
      <c r="E28" s="236"/>
      <c r="F28" s="242"/>
      <c r="G28" s="243"/>
      <c r="H28" s="597"/>
      <c r="I28" s="1024"/>
      <c r="J28" s="225">
        <f>+'2'!J28</f>
        <v>0</v>
      </c>
      <c r="K28" s="250"/>
      <c r="L28" s="250"/>
      <c r="M28" s="128">
        <f>+K28+'2'!M28+L28</f>
        <v>0</v>
      </c>
    </row>
    <row r="29" spans="1:2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+'2'!J29</f>
        <v>0</v>
      </c>
      <c r="K29" s="250"/>
      <c r="L29" s="250"/>
      <c r="M29" s="128">
        <f>+K29+'2'!M29+L29</f>
        <v>0</v>
      </c>
    </row>
    <row r="30" spans="1:2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+'2'!J30</f>
        <v>0</v>
      </c>
      <c r="K30" s="250"/>
      <c r="L30" s="250"/>
      <c r="M30" s="128">
        <f>+K30+'2'!M30+L30</f>
        <v>0</v>
      </c>
      <c r="N30" s="166"/>
    </row>
    <row r="31" spans="1:24" ht="13.5" thickBot="1">
      <c r="A31" s="1028"/>
      <c r="B31" s="226"/>
      <c r="C31" s="237"/>
      <c r="D31" s="228"/>
      <c r="E31" s="236"/>
      <c r="F31" s="247"/>
      <c r="G31" s="248"/>
      <c r="H31" s="464"/>
      <c r="I31" s="1025"/>
      <c r="J31" s="225">
        <f>+'2'!J31</f>
        <v>0</v>
      </c>
      <c r="K31" s="250"/>
      <c r="L31" s="250"/>
      <c r="M31" s="128">
        <f>+K31+'2'!M31+L31</f>
        <v>0</v>
      </c>
    </row>
    <row r="32" spans="1:24" ht="13.5" thickBot="1">
      <c r="A32" s="1029"/>
      <c r="B32" s="176" t="s">
        <v>2</v>
      </c>
      <c r="C32" s="110">
        <f>SUM(C25:C31)</f>
        <v>27493</v>
      </c>
      <c r="D32" s="111">
        <f>SUM(D25:D31)</f>
        <v>0</v>
      </c>
      <c r="E32" s="112">
        <f>SUM(E25:E31)</f>
        <v>0</v>
      </c>
      <c r="F32" s="113">
        <f>SUM(F24:F31)</f>
        <v>11</v>
      </c>
      <c r="G32" s="182"/>
      <c r="H32" s="183"/>
      <c r="I32" s="180"/>
      <c r="J32" s="225">
        <f>+'2'!J32</f>
        <v>0</v>
      </c>
      <c r="K32" s="252"/>
      <c r="L32" s="254"/>
      <c r="M32" s="128">
        <f>+K32+'2'!M32+L32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74579</v>
      </c>
      <c r="D34" s="118">
        <f>D14+D23+D32</f>
        <v>300</v>
      </c>
      <c r="E34" s="118">
        <f>E14+E23+E32</f>
        <v>0</v>
      </c>
      <c r="F34" s="119">
        <f>F14+F23+F32</f>
        <v>67</v>
      </c>
      <c r="H34" s="189"/>
      <c r="I34" s="189"/>
      <c r="J34" s="134" t="s">
        <v>27</v>
      </c>
      <c r="K34" s="135">
        <f>SUM(K7:K32)</f>
        <v>74579</v>
      </c>
      <c r="L34" s="223">
        <f>SUM(L7:L32)</f>
        <v>0</v>
      </c>
      <c r="M34" s="131">
        <f>SUM(M7:M32)</f>
        <v>212878</v>
      </c>
      <c r="N34" s="166"/>
    </row>
    <row r="35" spans="1:14" ht="13.5" thickBot="1">
      <c r="A35" s="190"/>
      <c r="B35" s="191"/>
      <c r="C35" s="115">
        <f>C34/($C$34+$D$34+$E$34)</f>
        <v>0.99599353623846476</v>
      </c>
      <c r="D35" s="115">
        <f>D34/($C$34+$D$34+$E$34)</f>
        <v>4.0064637615352767E-3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  <c r="N36" s="565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0"/>
      <c r="H37" s="197" t="s">
        <v>61</v>
      </c>
      <c r="I37" s="255">
        <f>(14*210+17*1192)/1402*G42*2.77*1402/1000000</f>
        <v>81.470652668167176</v>
      </c>
      <c r="J37" s="136">
        <f>+I37+'2'!J37</f>
        <v>215.07935176616718</v>
      </c>
      <c r="K37" s="137" t="s">
        <v>62</v>
      </c>
      <c r="N37" s="565">
        <f>3.05+3.106+3.088+3.351+3.375</f>
        <v>15.969999999999999</v>
      </c>
    </row>
    <row r="38" spans="1:14" ht="17.45" customHeight="1">
      <c r="A38" s="1034" t="s">
        <v>11</v>
      </c>
      <c r="B38" s="1035"/>
      <c r="C38" s="175">
        <f>SUMIF($G$7:$G$31,"Process",$F$7:$F$31)</f>
        <v>29</v>
      </c>
      <c r="D38" s="129">
        <f>+C38+'2'!D38</f>
        <v>112</v>
      </c>
      <c r="E38" s="154">
        <f t="shared" ref="E38:E51" si="0">D38/60</f>
        <v>1.8666666666666667</v>
      </c>
      <c r="F38" s="340">
        <v>1295</v>
      </c>
      <c r="G38" s="340">
        <v>1290.4674999999997</v>
      </c>
      <c r="H38" s="198" t="s">
        <v>63</v>
      </c>
      <c r="I38" s="555">
        <f>26.003+23.82+27.982</f>
        <v>77.805000000000007</v>
      </c>
      <c r="J38" s="138">
        <f>+I38+'2'!J38</f>
        <v>215.57599999999999</v>
      </c>
      <c r="K38" s="139" t="s">
        <v>62</v>
      </c>
      <c r="N38" s="620">
        <f>+I38-N37</f>
        <v>61.835000000000008</v>
      </c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+C39+'2'!D39</f>
        <v>0</v>
      </c>
      <c r="E39" s="154">
        <f t="shared" si="0"/>
        <v>0</v>
      </c>
      <c r="F39" s="340">
        <v>1260</v>
      </c>
      <c r="G39" s="340">
        <f>+F39-F39*0.0035</f>
        <v>1255.5899999999999</v>
      </c>
      <c r="H39" s="198" t="s">
        <v>64</v>
      </c>
      <c r="I39" s="153"/>
      <c r="J39" s="140">
        <f>J37/G4</f>
        <v>71.693117255389055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+C40+'2'!D40</f>
        <v>0</v>
      </c>
      <c r="E40" s="154">
        <f t="shared" si="0"/>
        <v>0</v>
      </c>
      <c r="F40" s="340">
        <v>1260</v>
      </c>
      <c r="G40" s="340">
        <f>+F40-F40*0.0035</f>
        <v>1255.5899999999999</v>
      </c>
      <c r="H40" s="198" t="s">
        <v>66</v>
      </c>
      <c r="I40" s="129">
        <f>(K34+L34)/1000</f>
        <v>74.578999999999994</v>
      </c>
      <c r="J40" s="142">
        <f>+I40+'2'!J40</f>
        <v>212.87799999999999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+C41+'2'!D41</f>
        <v>0</v>
      </c>
      <c r="E41" s="154">
        <f t="shared" si="0"/>
        <v>0</v>
      </c>
      <c r="F41" s="340"/>
      <c r="G41" s="340"/>
      <c r="H41" s="198" t="s">
        <v>68</v>
      </c>
      <c r="I41" s="153"/>
      <c r="J41" s="140">
        <f>J40/G4</f>
        <v>70.959333333333333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+C42+'2'!D42</f>
        <v>0</v>
      </c>
      <c r="E42" s="154">
        <f t="shared" si="0"/>
        <v>0</v>
      </c>
      <c r="F42" s="340">
        <f>+(F38*480+F39*442+F40*480)/1402</f>
        <v>1271.9828815977176</v>
      </c>
      <c r="G42" s="340">
        <f>+(G38*480+G39*442+G40*480)/1402</f>
        <v>1267.5309415121253</v>
      </c>
      <c r="H42" s="198" t="s">
        <v>69</v>
      </c>
      <c r="I42" s="257" t="s">
        <v>487</v>
      </c>
      <c r="J42" s="143"/>
      <c r="K42" s="141" t="s">
        <v>70</v>
      </c>
    </row>
    <row r="43" spans="1:14" ht="17.45" customHeight="1">
      <c r="A43" s="1018" t="s">
        <v>202</v>
      </c>
      <c r="B43" s="1019"/>
      <c r="C43" s="175">
        <f>SUMIF($G$7:$G$31,"Change Grade",$F$7:$F$31)</f>
        <v>0</v>
      </c>
      <c r="D43" s="129">
        <f>+C43+'2'!D43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+Report1!T11</f>
        <v>155.36199999999999</v>
      </c>
      <c r="J43" s="144">
        <f>+I43+'2'!J43</f>
        <v>437.66999999999996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38</v>
      </c>
      <c r="D44" s="129">
        <f>+C44+'2'!D44</f>
        <v>38</v>
      </c>
      <c r="E44" s="154">
        <f t="shared" si="0"/>
        <v>0.6333333333333333</v>
      </c>
      <c r="F44" s="340"/>
      <c r="G44" s="341"/>
      <c r="H44" s="199" t="s">
        <v>73</v>
      </c>
      <c r="I44" s="129">
        <f>I43/I38</f>
        <v>1.996812544180965</v>
      </c>
      <c r="J44" s="145">
        <f>J43/J38</f>
        <v>2.0302352766541727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+C45+'2'!D45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2.0831869561136513</v>
      </c>
      <c r="J45" s="145">
        <f>J43/J40</f>
        <v>2.0559663281316056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+C46+'2'!D46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+SUMIF(Listrik!AR10,"&gt;0")</f>
        <v>57682.279999996463</v>
      </c>
      <c r="J46" s="146">
        <f>+I46+'2'!J46</f>
        <v>177007.73999999563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+C47+'2'!D47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741.36983484347354</v>
      </c>
      <c r="J47" s="146">
        <f>J46/J38</f>
        <v>821.09205106317791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+C48+'2'!D48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773.43863554078848</v>
      </c>
      <c r="J48" s="146">
        <f>J46/J40</f>
        <v>831.49851088414789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0</v>
      </c>
      <c r="D49" s="129">
        <f>+C49+'2'!D49</f>
        <v>233</v>
      </c>
      <c r="E49" s="154">
        <f t="shared" si="0"/>
        <v>3.8833333333333333</v>
      </c>
      <c r="F49" s="196"/>
      <c r="H49" s="199" t="s">
        <v>184</v>
      </c>
      <c r="I49" s="129">
        <v>0</v>
      </c>
      <c r="J49" s="146">
        <f>+I49+'2'!J49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+C50+'2'!D50</f>
        <v>0</v>
      </c>
      <c r="E50" s="154">
        <f t="shared" si="0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+C51+'2'!D51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67</v>
      </c>
      <c r="D52" s="155">
        <f>SUM(D38:D51)</f>
        <v>383</v>
      </c>
      <c r="E52" s="156">
        <f>SUM(E38:E51)</f>
        <v>6.3833333333333329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4.6527777777777779E-2</v>
      </c>
      <c r="D53" s="157">
        <f>D52/(24*60*G4)</f>
        <v>8.8657407407407407E-2</v>
      </c>
      <c r="E53" s="158">
        <f>E52/(G4*24)</f>
        <v>8.8657407407407407E-2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+D34+'2'!J56</f>
        <v>789</v>
      </c>
      <c r="K56" s="212">
        <f>J56/(J40+J56/1000)/1000</f>
        <v>3.6926619459252017E-3</v>
      </c>
    </row>
    <row r="57" spans="1:11">
      <c r="A57" s="187"/>
      <c r="I57" s="210" t="s">
        <v>88</v>
      </c>
      <c r="J57" s="211">
        <f>+E34+'2'!J57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17" right="0.16" top="0.17" bottom="0.16" header="0" footer="0"/>
  <pageSetup paperSize="9" scale="61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R61"/>
  <sheetViews>
    <sheetView view="pageBreakPreview" zoomScale="80" zoomScaleNormal="75" zoomScaleSheetLayoutView="80" workbookViewId="0">
      <selection activeCell="B25" sqref="B25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5703125" style="160" bestFit="1" customWidth="1"/>
    <col min="5" max="5" width="13.85546875" style="160" bestFit="1" customWidth="1"/>
    <col min="6" max="6" width="14" style="121" bestFit="1" customWidth="1"/>
    <col min="7" max="7" width="15.140625" style="160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4" style="160" bestFit="1" customWidth="1"/>
    <col min="12" max="12" width="8.28515625" style="160" customWidth="1"/>
    <col min="13" max="13" width="14.42578125" style="160" bestFit="1" customWidth="1"/>
    <col min="14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2</v>
      </c>
      <c r="H4" s="165" t="str">
        <f>+'1'!H4</f>
        <v>.06.24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275+227+218</f>
        <v>720</v>
      </c>
    </row>
    <row r="7" spans="1:18" ht="13.5" customHeight="1" thickBot="1">
      <c r="A7" s="1020" t="s">
        <v>434</v>
      </c>
      <c r="B7" s="226" t="s">
        <v>488</v>
      </c>
      <c r="C7" s="227">
        <v>22913</v>
      </c>
      <c r="D7" s="228"/>
      <c r="E7" s="229"/>
      <c r="F7" s="239"/>
      <c r="G7" s="240" t="s">
        <v>11</v>
      </c>
      <c r="H7" s="241" t="s">
        <v>473</v>
      </c>
      <c r="I7" s="1023" t="s">
        <v>471</v>
      </c>
      <c r="J7" s="225" t="str">
        <f>+'1'!J7</f>
        <v>MG 14 VP HW</v>
      </c>
      <c r="K7" s="249">
        <f>+C34</f>
        <v>69627</v>
      </c>
      <c r="L7" s="253"/>
      <c r="M7" s="128">
        <f>+K7+'1'!M7+L7</f>
        <v>138299</v>
      </c>
    </row>
    <row r="8" spans="1:18" ht="13.5" thickBot="1">
      <c r="A8" s="1021"/>
      <c r="B8" s="226"/>
      <c r="C8" s="227"/>
      <c r="D8" s="228"/>
      <c r="E8" s="230"/>
      <c r="F8" s="242"/>
      <c r="G8" s="243" t="s">
        <v>11</v>
      </c>
      <c r="H8" s="241" t="s">
        <v>452</v>
      </c>
      <c r="I8" s="1024"/>
      <c r="J8" s="225">
        <f>+'1'!J8</f>
        <v>0</v>
      </c>
      <c r="K8" s="250"/>
      <c r="L8" s="250"/>
      <c r="M8" s="128">
        <f>+K8+'1'!M8+L8</f>
        <v>0</v>
      </c>
      <c r="N8" s="160">
        <v>1330</v>
      </c>
      <c r="O8" s="160">
        <f>+N8-N8*0.0035</f>
        <v>1325.345</v>
      </c>
      <c r="P8" s="160">
        <f>240+40</f>
        <v>280</v>
      </c>
      <c r="Q8" s="160">
        <f>+N8*P8</f>
        <v>372400</v>
      </c>
      <c r="R8" s="160">
        <f>+O8*P8</f>
        <v>371096.60000000003</v>
      </c>
    </row>
    <row r="9" spans="1:18" ht="13.5" thickBot="1">
      <c r="A9" s="1021"/>
      <c r="B9" s="226"/>
      <c r="C9" s="227"/>
      <c r="D9" s="228"/>
      <c r="E9" s="231"/>
      <c r="F9" s="239">
        <v>11</v>
      </c>
      <c r="G9" s="243" t="s">
        <v>11</v>
      </c>
      <c r="H9" s="597" t="s">
        <v>453</v>
      </c>
      <c r="I9" s="1024"/>
      <c r="J9" s="225">
        <f>+'1'!J9</f>
        <v>0</v>
      </c>
      <c r="K9" s="250"/>
      <c r="L9" s="250"/>
      <c r="M9" s="128">
        <f>+K9+'1'!M9+L9</f>
        <v>0</v>
      </c>
      <c r="N9" s="160">
        <v>1050</v>
      </c>
      <c r="O9" s="160">
        <f>+N9-N9*0.0035</f>
        <v>1046.325</v>
      </c>
      <c r="P9" s="160">
        <f>20+180</f>
        <v>200</v>
      </c>
      <c r="Q9" s="160">
        <f>+N9*P9</f>
        <v>210000</v>
      </c>
      <c r="R9" s="160">
        <f>+O9*P9</f>
        <v>209265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429</v>
      </c>
      <c r="I10" s="1024"/>
      <c r="J10" s="225">
        <f>+'1'!J10</f>
        <v>0</v>
      </c>
      <c r="K10" s="250"/>
      <c r="L10" s="250"/>
      <c r="M10" s="128">
        <f>+K10+'1'!M10+L10</f>
        <v>0</v>
      </c>
      <c r="P10" s="160">
        <f>SUM(P8:P9)</f>
        <v>480</v>
      </c>
      <c r="Q10" s="160">
        <f>SUM(Q8:Q9)</f>
        <v>582400</v>
      </c>
      <c r="R10" s="160">
        <f>SUM(R8:R9)</f>
        <v>580361.60000000009</v>
      </c>
    </row>
    <row r="11" spans="1:18" ht="26.25" thickBot="1">
      <c r="A11" s="1021"/>
      <c r="B11" s="226"/>
      <c r="C11" s="227"/>
      <c r="D11" s="228"/>
      <c r="E11" s="230" t="s">
        <v>432</v>
      </c>
      <c r="F11" s="239">
        <v>60</v>
      </c>
      <c r="G11" s="243" t="s">
        <v>19</v>
      </c>
      <c r="H11" s="597" t="s">
        <v>466</v>
      </c>
      <c r="I11" s="1024"/>
      <c r="J11" s="225">
        <f>+'1'!J11</f>
        <v>0</v>
      </c>
      <c r="K11" s="250"/>
      <c r="L11" s="250"/>
      <c r="M11" s="128">
        <f>+K11+'1'!M11+L11</f>
        <v>0</v>
      </c>
      <c r="Q11" s="160">
        <f>+Q10/P10</f>
        <v>1213.3333333333333</v>
      </c>
      <c r="R11" s="160">
        <f>+R10/P10</f>
        <v>1209.0866666666668</v>
      </c>
    </row>
    <row r="12" spans="1:18" ht="13.5" thickBot="1">
      <c r="A12" s="1021"/>
      <c r="B12" s="226"/>
      <c r="C12" s="227"/>
      <c r="D12" s="228"/>
      <c r="E12" s="230"/>
      <c r="F12" s="239"/>
      <c r="G12" s="243"/>
      <c r="H12" s="244" t="s">
        <v>467</v>
      </c>
      <c r="I12" s="1024"/>
      <c r="J12" s="225">
        <f>+'1'!J12</f>
        <v>0</v>
      </c>
      <c r="K12" s="250"/>
      <c r="L12" s="250"/>
      <c r="M12" s="128">
        <f>+K12+'1'!M12+L12</f>
        <v>0</v>
      </c>
    </row>
    <row r="13" spans="1:18" ht="13.5" thickBot="1">
      <c r="A13" s="1021"/>
      <c r="B13" s="226"/>
      <c r="C13" s="227"/>
      <c r="D13" s="227"/>
      <c r="E13" s="230"/>
      <c r="F13" s="239"/>
      <c r="G13" s="243"/>
      <c r="H13" s="244"/>
      <c r="I13" s="1025"/>
      <c r="J13" s="225">
        <f>+'1'!J13</f>
        <v>0</v>
      </c>
      <c r="K13" s="250"/>
      <c r="L13" s="250"/>
      <c r="M13" s="128">
        <f>+K13+'1'!M13+L13</f>
        <v>0</v>
      </c>
    </row>
    <row r="14" spans="1:18" ht="13.5" thickBot="1">
      <c r="A14" s="1022"/>
      <c r="B14" s="176" t="s">
        <v>2</v>
      </c>
      <c r="C14" s="110">
        <f>SUM(C7:C13)</f>
        <v>22913</v>
      </c>
      <c r="D14" s="122">
        <f>SUM(D7:D13)</f>
        <v>0</v>
      </c>
      <c r="E14" s="123">
        <f>SUM(E5:E13)</f>
        <v>0</v>
      </c>
      <c r="F14" s="127">
        <f>SUM(F7:F13)</f>
        <v>71</v>
      </c>
      <c r="G14" s="170"/>
      <c r="H14" s="177"/>
      <c r="I14" s="178"/>
      <c r="J14" s="225">
        <f>+'1'!J14</f>
        <v>0</v>
      </c>
      <c r="K14" s="250"/>
      <c r="L14" s="250"/>
      <c r="M14" s="128">
        <f>+K14+'1'!M14+L14</f>
        <v>0</v>
      </c>
    </row>
    <row r="15" spans="1:18" ht="13.5" customHeight="1" thickBot="1">
      <c r="A15" s="1020" t="s">
        <v>475</v>
      </c>
      <c r="B15" s="176"/>
      <c r="C15" s="124"/>
      <c r="D15" s="125"/>
      <c r="E15" s="126"/>
      <c r="F15" s="239"/>
      <c r="G15" s="240" t="s">
        <v>11</v>
      </c>
      <c r="H15" s="241" t="s">
        <v>473</v>
      </c>
      <c r="I15" s="1023" t="s">
        <v>474</v>
      </c>
      <c r="J15" s="225">
        <f>+'1'!J15</f>
        <v>0</v>
      </c>
      <c r="K15" s="250"/>
      <c r="L15" s="250"/>
      <c r="M15" s="128">
        <f>+K15+'1'!M15+L15</f>
        <v>0</v>
      </c>
      <c r="N15" s="160">
        <v>1340</v>
      </c>
      <c r="O15" s="160">
        <f>+N15-N15*0.0035</f>
        <v>1335.31</v>
      </c>
    </row>
    <row r="16" spans="1:18" ht="13.5" thickBot="1">
      <c r="A16" s="1026"/>
      <c r="B16" s="226" t="s">
        <v>488</v>
      </c>
      <c r="C16" s="233">
        <v>23935</v>
      </c>
      <c r="D16" s="234">
        <v>128</v>
      </c>
      <c r="E16" s="235"/>
      <c r="F16" s="239"/>
      <c r="G16" s="243" t="s">
        <v>11</v>
      </c>
      <c r="H16" s="241" t="s">
        <v>452</v>
      </c>
      <c r="I16" s="1024"/>
      <c r="J16" s="225">
        <f>+'1'!J16</f>
        <v>0</v>
      </c>
      <c r="K16" s="240"/>
      <c r="L16" s="240"/>
      <c r="M16" s="128">
        <f>+K16+'1'!M16+L16</f>
        <v>0</v>
      </c>
      <c r="N16" s="160">
        <v>1340</v>
      </c>
      <c r="O16" s="160">
        <f>+N16-N16*0.0035</f>
        <v>1335.31</v>
      </c>
    </row>
    <row r="17" spans="1:14" ht="13.5" thickBot="1">
      <c r="A17" s="1026"/>
      <c r="B17" s="226"/>
      <c r="C17" s="227"/>
      <c r="D17" s="228"/>
      <c r="E17" s="236"/>
      <c r="F17" s="239">
        <v>11</v>
      </c>
      <c r="G17" s="243" t="s">
        <v>11</v>
      </c>
      <c r="H17" s="597" t="s">
        <v>455</v>
      </c>
      <c r="I17" s="1024"/>
      <c r="J17" s="225">
        <f>+'1'!J17</f>
        <v>0</v>
      </c>
      <c r="K17" s="240"/>
      <c r="L17" s="240"/>
      <c r="M17" s="128">
        <f>+K17+'1'!M17+L17</f>
        <v>0</v>
      </c>
    </row>
    <row r="18" spans="1:14" ht="13.5" thickBot="1">
      <c r="A18" s="1026"/>
      <c r="B18" s="226"/>
      <c r="C18" s="227"/>
      <c r="D18" s="228"/>
      <c r="E18" s="236"/>
      <c r="F18" s="239"/>
      <c r="G18" s="243"/>
      <c r="H18" s="597" t="s">
        <v>468</v>
      </c>
      <c r="I18" s="1024"/>
      <c r="J18" s="225">
        <f>+'1'!J18</f>
        <v>0</v>
      </c>
      <c r="K18" s="250"/>
      <c r="L18" s="250"/>
      <c r="M18" s="128">
        <f>+K18+'1'!M18+L18</f>
        <v>0</v>
      </c>
    </row>
    <row r="19" spans="1:14" ht="13.5" thickBot="1">
      <c r="A19" s="1026"/>
      <c r="B19" s="226"/>
      <c r="C19" s="227"/>
      <c r="D19" s="228"/>
      <c r="E19" s="236"/>
      <c r="F19" s="246"/>
      <c r="G19" s="243"/>
      <c r="H19" s="597" t="s">
        <v>469</v>
      </c>
      <c r="I19" s="1024"/>
      <c r="J19" s="225">
        <f>+'1'!J19</f>
        <v>0</v>
      </c>
      <c r="K19" s="250"/>
      <c r="L19" s="250"/>
      <c r="M19" s="128">
        <f>+K19+'1'!M19+L19</f>
        <v>0</v>
      </c>
    </row>
    <row r="20" spans="1:14" ht="13.5" thickBot="1">
      <c r="A20" s="1026"/>
      <c r="B20" s="226"/>
      <c r="C20" s="227"/>
      <c r="D20" s="228"/>
      <c r="E20" s="236"/>
      <c r="F20" s="239"/>
      <c r="G20" s="243"/>
      <c r="H20" s="244" t="s">
        <v>470</v>
      </c>
      <c r="I20" s="1024"/>
      <c r="J20" s="225">
        <f>+'1'!J20</f>
        <v>0</v>
      </c>
      <c r="K20" s="251"/>
      <c r="L20" s="251"/>
      <c r="M20" s="128">
        <f>+K20+'1'!M20+L20</f>
        <v>0</v>
      </c>
    </row>
    <row r="21" spans="1:14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25">
        <f>+'1'!J21</f>
        <v>0</v>
      </c>
      <c r="K21" s="250"/>
      <c r="L21" s="250"/>
      <c r="M21" s="128">
        <f>+K21+'1'!M21+L21</f>
        <v>0</v>
      </c>
    </row>
    <row r="22" spans="1:14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25">
        <f>+'1'!J22</f>
        <v>0</v>
      </c>
      <c r="K22" s="250"/>
      <c r="L22" s="250"/>
      <c r="M22" s="128">
        <f>+K22+'1'!M22+L22</f>
        <v>0</v>
      </c>
    </row>
    <row r="23" spans="1:14" ht="13.5" thickBot="1">
      <c r="A23" s="1027"/>
      <c r="B23" s="179" t="s">
        <v>2</v>
      </c>
      <c r="C23" s="111">
        <f>SUM(C16:C22)</f>
        <v>23935</v>
      </c>
      <c r="D23" s="122">
        <f>SUM(D16:D22)</f>
        <v>128</v>
      </c>
      <c r="E23" s="123">
        <f>SUM(E18:E22)</f>
        <v>0</v>
      </c>
      <c r="F23" s="127">
        <f>SUM(F15:F22)</f>
        <v>11</v>
      </c>
      <c r="G23" s="170"/>
      <c r="H23" s="177" t="s">
        <v>234</v>
      </c>
      <c r="I23" s="180"/>
      <c r="J23" s="225">
        <f>+'1'!J23</f>
        <v>0</v>
      </c>
      <c r="K23" s="250"/>
      <c r="L23" s="250"/>
      <c r="M23" s="128">
        <f>+K23+'1'!M23+L23</f>
        <v>0</v>
      </c>
    </row>
    <row r="24" spans="1:14" ht="13.5" customHeight="1" thickBot="1">
      <c r="A24" s="1020" t="s">
        <v>436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 t="s">
        <v>474</v>
      </c>
      <c r="J24" s="225">
        <f>+'1'!J24</f>
        <v>0</v>
      </c>
      <c r="K24" s="250"/>
      <c r="L24" s="250"/>
      <c r="M24" s="128">
        <f>+K24+'1'!M24+L24</f>
        <v>0</v>
      </c>
    </row>
    <row r="25" spans="1:14" ht="13.5" thickBot="1">
      <c r="A25" s="1028"/>
      <c r="B25" s="226" t="s">
        <v>488</v>
      </c>
      <c r="C25" s="237">
        <v>22779</v>
      </c>
      <c r="D25" s="228"/>
      <c r="E25" s="236"/>
      <c r="F25" s="242"/>
      <c r="G25" s="243" t="s">
        <v>11</v>
      </c>
      <c r="H25" s="241" t="s">
        <v>452</v>
      </c>
      <c r="I25" s="1024"/>
      <c r="J25" s="225">
        <f>+'1'!J25</f>
        <v>0</v>
      </c>
      <c r="K25" s="250"/>
      <c r="L25" s="250"/>
      <c r="M25" s="128">
        <f>+K25+'1'!M25+L25</f>
        <v>0</v>
      </c>
    </row>
    <row r="26" spans="1:14" ht="13.5" thickBot="1">
      <c r="A26" s="1028"/>
      <c r="B26" s="226"/>
      <c r="C26" s="237"/>
      <c r="D26" s="228"/>
      <c r="E26" s="238"/>
      <c r="F26" s="242">
        <v>6</v>
      </c>
      <c r="G26" s="243" t="s">
        <v>11</v>
      </c>
      <c r="H26" s="597" t="s">
        <v>453</v>
      </c>
      <c r="I26" s="1024"/>
      <c r="J26" s="225">
        <f>+'1'!J26</f>
        <v>0</v>
      </c>
      <c r="K26" s="250"/>
      <c r="L26" s="250"/>
      <c r="M26" s="128">
        <f>+K26+'1'!M26+L26</f>
        <v>0</v>
      </c>
    </row>
    <row r="27" spans="1:14" ht="13.5" thickBot="1">
      <c r="A27" s="1028"/>
      <c r="B27" s="226"/>
      <c r="C27" s="227"/>
      <c r="D27" s="228"/>
      <c r="E27" s="236"/>
      <c r="F27" s="242"/>
      <c r="G27" s="243"/>
      <c r="H27" s="597" t="s">
        <v>468</v>
      </c>
      <c r="I27" s="1024"/>
      <c r="J27" s="225">
        <f>+'1'!J27</f>
        <v>0</v>
      </c>
      <c r="K27" s="250"/>
      <c r="L27" s="250"/>
      <c r="M27" s="128">
        <f>+K27+'1'!M27+L27</f>
        <v>0</v>
      </c>
    </row>
    <row r="28" spans="1:14" ht="13.5" thickBot="1">
      <c r="A28" s="1028"/>
      <c r="B28" s="226"/>
      <c r="C28" s="227"/>
      <c r="D28" s="228"/>
      <c r="E28" s="236"/>
      <c r="F28" s="242"/>
      <c r="G28" s="243"/>
      <c r="H28" s="597"/>
      <c r="I28" s="1024"/>
      <c r="J28" s="225">
        <f>+'1'!J28</f>
        <v>0</v>
      </c>
      <c r="K28" s="250"/>
      <c r="L28" s="250"/>
      <c r="M28" s="128">
        <f>+K28+'1'!M28+L28</f>
        <v>0</v>
      </c>
    </row>
    <row r="29" spans="1:14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25">
        <f>+'1'!J29</f>
        <v>0</v>
      </c>
      <c r="K29" s="250"/>
      <c r="L29" s="250"/>
      <c r="M29" s="128">
        <f>+K29+'1'!M29+L29</f>
        <v>0</v>
      </c>
    </row>
    <row r="30" spans="1:14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25">
        <f>+'1'!J30</f>
        <v>0</v>
      </c>
      <c r="K30" s="250"/>
      <c r="L30" s="250"/>
      <c r="M30" s="128">
        <f>+K30+'1'!M30+L30</f>
        <v>0</v>
      </c>
      <c r="N30" s="166"/>
    </row>
    <row r="31" spans="1:14" ht="13.5" thickBot="1">
      <c r="A31" s="1028"/>
      <c r="B31" s="226"/>
      <c r="C31" s="237"/>
      <c r="D31" s="228"/>
      <c r="E31" s="236"/>
      <c r="F31" s="247"/>
      <c r="G31" s="248"/>
      <c r="H31" s="464"/>
      <c r="I31" s="1025"/>
      <c r="J31" s="225">
        <f>+'1'!J31</f>
        <v>0</v>
      </c>
      <c r="K31" s="250"/>
      <c r="L31" s="250"/>
      <c r="M31" s="128">
        <f>+K31+'1'!M31+L31</f>
        <v>0</v>
      </c>
    </row>
    <row r="32" spans="1:14" ht="13.5" thickBot="1">
      <c r="A32" s="1029"/>
      <c r="B32" s="176" t="s">
        <v>2</v>
      </c>
      <c r="C32" s="110">
        <f>SUM(C25:C31)</f>
        <v>22779</v>
      </c>
      <c r="D32" s="111">
        <f>SUM(D25:D31)</f>
        <v>0</v>
      </c>
      <c r="E32" s="112">
        <f>SUM(E25:E31)</f>
        <v>0</v>
      </c>
      <c r="F32" s="113">
        <f>SUM(F24:F31)</f>
        <v>16</v>
      </c>
      <c r="G32" s="182"/>
      <c r="H32" s="183"/>
      <c r="I32" s="180"/>
      <c r="J32" s="225">
        <f>+'1'!J32</f>
        <v>0</v>
      </c>
      <c r="K32" s="252"/>
      <c r="L32" s="254"/>
      <c r="M32" s="128">
        <f>+K32+'1'!M32+L32</f>
        <v>0</v>
      </c>
    </row>
    <row r="33" spans="1:14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4" ht="13.5" thickBot="1">
      <c r="A34" s="1030" t="s">
        <v>56</v>
      </c>
      <c r="B34" s="1031"/>
      <c r="C34" s="118">
        <f>C14+C23+C32</f>
        <v>69627</v>
      </c>
      <c r="D34" s="118">
        <f>D14+D23+D32</f>
        <v>128</v>
      </c>
      <c r="E34" s="118">
        <f>E14+E23+E32</f>
        <v>0</v>
      </c>
      <c r="F34" s="119">
        <f>F14+F23+F32</f>
        <v>98</v>
      </c>
      <c r="H34" s="189"/>
      <c r="I34" s="189"/>
      <c r="J34" s="134" t="s">
        <v>27</v>
      </c>
      <c r="K34" s="135">
        <f>SUM(K7:K32)</f>
        <v>69627</v>
      </c>
      <c r="L34" s="223">
        <f>SUM(L7:L32)</f>
        <v>0</v>
      </c>
      <c r="M34" s="131">
        <f>SUM(M7:M32)</f>
        <v>138299</v>
      </c>
      <c r="N34" s="166"/>
    </row>
    <row r="35" spans="1:14" ht="13.5" thickBot="1">
      <c r="A35" s="190"/>
      <c r="B35" s="191"/>
      <c r="C35" s="115">
        <f>C34/($C$34+$D$34+$E$34)</f>
        <v>0.99816500609275316</v>
      </c>
      <c r="D35" s="115">
        <f>D34/($C$34+$D$34+$E$34)</f>
        <v>1.8349939072467923E-3</v>
      </c>
      <c r="E35" s="120">
        <f>E34/($C$34+$D$34+$E$34)</f>
        <v>0</v>
      </c>
      <c r="K35" s="166"/>
    </row>
    <row r="36" spans="1:14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4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340"/>
      <c r="G37" s="342"/>
      <c r="H37" s="197" t="s">
        <v>61</v>
      </c>
      <c r="I37" s="255">
        <f>(14*1440)/1440*G42*2.77*1440/1000000</f>
        <v>72.218411775999996</v>
      </c>
      <c r="J37" s="136">
        <f>+I37+'1'!J37</f>
        <v>133.60869909799999</v>
      </c>
      <c r="K37" s="137" t="s">
        <v>62</v>
      </c>
    </row>
    <row r="38" spans="1:14" ht="17.45" customHeight="1">
      <c r="A38" s="1034" t="s">
        <v>11</v>
      </c>
      <c r="B38" s="1035"/>
      <c r="C38" s="175">
        <f>SUMIF($G$7:$G$31,"Process",$F$7:$F$31)</f>
        <v>38</v>
      </c>
      <c r="D38" s="129">
        <f>+C38+'1'!D38</f>
        <v>83</v>
      </c>
      <c r="E38" s="154">
        <f t="shared" ref="E38:E51" si="0">D38/60</f>
        <v>1.3833333333333333</v>
      </c>
      <c r="F38" s="340">
        <v>1213.3333333333333</v>
      </c>
      <c r="G38" s="340">
        <v>1209.0866666666668</v>
      </c>
      <c r="H38" s="198" t="s">
        <v>63</v>
      </c>
      <c r="I38" s="555">
        <f>22.769+24.447+21.65</f>
        <v>68.865999999999985</v>
      </c>
      <c r="J38" s="138">
        <f>+I38+'1'!J38</f>
        <v>137.77099999999999</v>
      </c>
      <c r="K38" s="139" t="s">
        <v>62</v>
      </c>
      <c r="N38" s="565"/>
    </row>
    <row r="39" spans="1:14" ht="17.45" customHeight="1">
      <c r="A39" s="1018" t="s">
        <v>12</v>
      </c>
      <c r="B39" s="1019"/>
      <c r="C39" s="175">
        <f>SUMIF($G$7:$G$31,"Cleaning",$F$7:$F$31)</f>
        <v>0</v>
      </c>
      <c r="D39" s="129">
        <f>+C39+'1'!D39</f>
        <v>0</v>
      </c>
      <c r="E39" s="154">
        <f t="shared" si="0"/>
        <v>0</v>
      </c>
      <c r="F39" s="340">
        <v>1340</v>
      </c>
      <c r="G39" s="340">
        <f>+F39-F39*0.0035</f>
        <v>1335.31</v>
      </c>
      <c r="H39" s="198" t="s">
        <v>64</v>
      </c>
      <c r="I39" s="153"/>
      <c r="J39" s="140">
        <f>J37/G4</f>
        <v>66.804349548999994</v>
      </c>
      <c r="K39" s="141" t="s">
        <v>62</v>
      </c>
    </row>
    <row r="40" spans="1:14" ht="17.45" customHeight="1">
      <c r="A40" s="1018" t="s">
        <v>65</v>
      </c>
      <c r="B40" s="1019"/>
      <c r="C40" s="175">
        <f>SUMIF($G$7:$G$31,"Mechanical",$F$7:$F$31)</f>
        <v>0</v>
      </c>
      <c r="D40" s="129">
        <f>+C40+'1'!D40</f>
        <v>0</v>
      </c>
      <c r="E40" s="154">
        <f t="shared" si="0"/>
        <v>0</v>
      </c>
      <c r="F40" s="340">
        <v>1340</v>
      </c>
      <c r="G40" s="340">
        <f>+F40-F40*0.0035</f>
        <v>1335.31</v>
      </c>
      <c r="H40" s="198" t="s">
        <v>66</v>
      </c>
      <c r="I40" s="129">
        <f>(K34+L34)/1000</f>
        <v>69.626999999999995</v>
      </c>
      <c r="J40" s="142">
        <f>+I40+'1'!J40</f>
        <v>138.29899999999998</v>
      </c>
      <c r="K40" s="141" t="s">
        <v>62</v>
      </c>
    </row>
    <row r="41" spans="1:14" ht="17.45" customHeight="1">
      <c r="A41" s="1018" t="s">
        <v>67</v>
      </c>
      <c r="B41" s="1019"/>
      <c r="C41" s="175">
        <f>SUMIF($G$7:$G$31,"Electrical",$F$7:$F$31)</f>
        <v>0</v>
      </c>
      <c r="D41" s="129">
        <f>+C41+'1'!D41</f>
        <v>0</v>
      </c>
      <c r="E41" s="154">
        <f t="shared" si="0"/>
        <v>0</v>
      </c>
      <c r="F41" s="340"/>
      <c r="G41" s="340"/>
      <c r="H41" s="198" t="s">
        <v>68</v>
      </c>
      <c r="I41" s="153"/>
      <c r="J41" s="140">
        <f>J40/G4</f>
        <v>69.149499999999989</v>
      </c>
      <c r="K41" s="141" t="s">
        <v>62</v>
      </c>
    </row>
    <row r="42" spans="1:14" ht="17.45" customHeight="1">
      <c r="A42" s="1018" t="s">
        <v>15</v>
      </c>
      <c r="B42" s="1019"/>
      <c r="C42" s="175">
        <f>SUMIF($G$7:$G$31,"Instrument",$F$7:$F$31)</f>
        <v>0</v>
      </c>
      <c r="D42" s="129">
        <f>+C42+'1'!D42</f>
        <v>0</v>
      </c>
      <c r="E42" s="154">
        <f t="shared" si="0"/>
        <v>0</v>
      </c>
      <c r="F42" s="340">
        <f>+(F38*480+F39*480+F40*480)/1440</f>
        <v>1297.7777777777778</v>
      </c>
      <c r="G42" s="340">
        <f>+(G38*480+G39*480+G40*480)/1440</f>
        <v>1293.2355555555553</v>
      </c>
      <c r="H42" s="198" t="s">
        <v>69</v>
      </c>
      <c r="I42" s="257" t="s">
        <v>472</v>
      </c>
      <c r="J42" s="143"/>
      <c r="K42" s="141" t="s">
        <v>70</v>
      </c>
    </row>
    <row r="43" spans="1:14" ht="17.45" customHeight="1">
      <c r="A43" s="1018" t="s">
        <v>71</v>
      </c>
      <c r="B43" s="1019"/>
      <c r="C43" s="175">
        <f>SUMIF($G$7:$G$31,"Water",$F$7:$F$31)</f>
        <v>0</v>
      </c>
      <c r="D43" s="129">
        <f>+C43+'1'!D43</f>
        <v>0</v>
      </c>
      <c r="E43" s="154">
        <f t="shared" si="0"/>
        <v>0</v>
      </c>
      <c r="F43" s="340"/>
      <c r="G43" s="341"/>
      <c r="H43" s="199" t="s">
        <v>72</v>
      </c>
      <c r="I43" s="129">
        <f>+Report1!T10</f>
        <v>142.654</v>
      </c>
      <c r="J43" s="144">
        <f>+I43+'1'!J43</f>
        <v>282.30799999999999</v>
      </c>
      <c r="K43" s="141" t="s">
        <v>62</v>
      </c>
      <c r="L43" s="200"/>
    </row>
    <row r="44" spans="1:14" ht="17.45" customHeight="1">
      <c r="A44" s="1018" t="s">
        <v>16</v>
      </c>
      <c r="B44" s="1019"/>
      <c r="C44" s="175">
        <f>SUMIF($G$7:$G$31,"PLN",$F$7:$F$31)</f>
        <v>0</v>
      </c>
      <c r="D44" s="129">
        <f>+C44+'1'!D44</f>
        <v>0</v>
      </c>
      <c r="E44" s="154">
        <f t="shared" si="0"/>
        <v>0</v>
      </c>
      <c r="F44" s="340"/>
      <c r="G44" s="341"/>
      <c r="H44" s="199" t="s">
        <v>73</v>
      </c>
      <c r="I44" s="129">
        <f>I43/I38</f>
        <v>2.0714721342897806</v>
      </c>
      <c r="J44" s="145">
        <f>J43/J38</f>
        <v>2.0491104804349249</v>
      </c>
      <c r="K44" s="141" t="s">
        <v>62</v>
      </c>
    </row>
    <row r="45" spans="1:14" ht="17.45" customHeight="1">
      <c r="A45" s="1018" t="s">
        <v>17</v>
      </c>
      <c r="B45" s="1019"/>
      <c r="C45" s="175">
        <f>SUMIF($G$7:$G$31,"Boiler",$F$7:$F$31)</f>
        <v>0</v>
      </c>
      <c r="D45" s="129">
        <f>+C45+'1'!D45</f>
        <v>0</v>
      </c>
      <c r="E45" s="154">
        <f t="shared" si="0"/>
        <v>0</v>
      </c>
      <c r="F45" s="340"/>
      <c r="G45" s="343"/>
      <c r="H45" s="199" t="s">
        <v>74</v>
      </c>
      <c r="I45" s="129">
        <f>I43/I40</f>
        <v>2.0488316314073565</v>
      </c>
      <c r="J45" s="145">
        <f>J43/J40</f>
        <v>2.0412873556569466</v>
      </c>
      <c r="K45" s="141" t="s">
        <v>62</v>
      </c>
    </row>
    <row r="46" spans="1:14" ht="17.45" customHeight="1">
      <c r="A46" s="1018" t="s">
        <v>75</v>
      </c>
      <c r="B46" s="1019"/>
      <c r="C46" s="175">
        <f>SUMIF($G$7:$G$31,"Gas",$F$7:$F$31)</f>
        <v>0</v>
      </c>
      <c r="D46" s="129">
        <f>+C46+'1'!D46</f>
        <v>0</v>
      </c>
      <c r="E46" s="154">
        <f t="shared" si="0"/>
        <v>0</v>
      </c>
      <c r="F46" s="340"/>
      <c r="G46" s="341"/>
      <c r="H46" s="199" t="s">
        <v>76</v>
      </c>
      <c r="I46" s="151">
        <f>+SUMIF(Listrik!AR9,"&gt;0")</f>
        <v>59560.400000001267</v>
      </c>
      <c r="J46" s="146">
        <f>+I46+'1'!J46</f>
        <v>119325.45999999915</v>
      </c>
      <c r="K46" s="141" t="s">
        <v>77</v>
      </c>
    </row>
    <row r="47" spans="1:14" ht="17.45" customHeight="1">
      <c r="A47" s="1018" t="s">
        <v>78</v>
      </c>
      <c r="B47" s="1019"/>
      <c r="C47" s="175">
        <f>SUMIF($G$7:$G$31,"Gas",$F$7:$F$31)</f>
        <v>0</v>
      </c>
      <c r="D47" s="129">
        <f>+C47+'1'!D47</f>
        <v>0</v>
      </c>
      <c r="E47" s="154">
        <f t="shared" si="0"/>
        <v>0</v>
      </c>
      <c r="F47" s="340"/>
      <c r="G47" s="341"/>
      <c r="H47" s="199" t="s">
        <v>79</v>
      </c>
      <c r="I47" s="129">
        <f>I46/I38</f>
        <v>864.87381291205065</v>
      </c>
      <c r="J47" s="146">
        <f>J46/J38</f>
        <v>866.11449434205429</v>
      </c>
      <c r="K47" s="141" t="s">
        <v>23</v>
      </c>
    </row>
    <row r="48" spans="1:14" ht="17.45" customHeight="1">
      <c r="A48" s="1018" t="s">
        <v>13</v>
      </c>
      <c r="B48" s="1019"/>
      <c r="C48" s="175">
        <f>SUMIF($G$7:$G$31,"Start Up",$F$7:$F$31)</f>
        <v>0</v>
      </c>
      <c r="D48" s="129">
        <f>+C48+'1'!D48</f>
        <v>0</v>
      </c>
      <c r="E48" s="154">
        <f t="shared" si="0"/>
        <v>0</v>
      </c>
      <c r="F48" s="340"/>
      <c r="G48" s="341"/>
      <c r="H48" s="199" t="s">
        <v>80</v>
      </c>
      <c r="I48" s="129">
        <f>I46/I40</f>
        <v>855.42102919846138</v>
      </c>
      <c r="J48" s="146">
        <f>J46/J40</f>
        <v>862.80782941307723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60</v>
      </c>
      <c r="D49" s="129">
        <f>+C49+'1'!D49</f>
        <v>233</v>
      </c>
      <c r="E49" s="154">
        <f t="shared" si="0"/>
        <v>3.8833333333333333</v>
      </c>
      <c r="F49" s="196"/>
      <c r="H49" s="199" t="s">
        <v>184</v>
      </c>
      <c r="I49" s="129">
        <v>0</v>
      </c>
      <c r="J49" s="146">
        <f>+I49+'1'!J49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>+C50+'1'!D50</f>
        <v>0</v>
      </c>
      <c r="E50" s="154">
        <f t="shared" si="0"/>
        <v>0</v>
      </c>
      <c r="F50" s="196"/>
      <c r="H50" s="199" t="s">
        <v>83</v>
      </c>
      <c r="I50" s="151"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>+C51+'1'!D51</f>
        <v>0</v>
      </c>
      <c r="E51" s="154">
        <f t="shared" si="0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98</v>
      </c>
      <c r="D52" s="155">
        <f>SUM(D38:D51)</f>
        <v>316</v>
      </c>
      <c r="E52" s="156">
        <f>SUM(E38:E51)</f>
        <v>5.2666666666666666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6.805555555555555E-2</v>
      </c>
      <c r="D53" s="157">
        <f>D52/(24*60*G4)</f>
        <v>0.10972222222222222</v>
      </c>
      <c r="E53" s="158">
        <f>E52/(G4*24)</f>
        <v>0.10972222222222222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+D34+'1'!J56</f>
        <v>489</v>
      </c>
      <c r="K56" s="212">
        <f>J56/(J40+J56/1000)/1000</f>
        <v>3.5233593682450935E-3</v>
      </c>
    </row>
    <row r="57" spans="1:11">
      <c r="A57" s="187"/>
      <c r="I57" s="210" t="s">
        <v>88</v>
      </c>
      <c r="J57" s="211">
        <f>+E34+'1'!J57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W61"/>
  <sheetViews>
    <sheetView view="pageBreakPreview" zoomScale="80" zoomScaleNormal="75" zoomScaleSheetLayoutView="80" workbookViewId="0">
      <selection activeCell="B25" sqref="B25"/>
    </sheetView>
  </sheetViews>
  <sheetFormatPr defaultColWidth="9.140625" defaultRowHeight="12.75"/>
  <cols>
    <col min="1" max="1" width="8" style="160" customWidth="1"/>
    <col min="2" max="2" width="7" style="160" bestFit="1" customWidth="1"/>
    <col min="3" max="3" width="14.85546875" style="160" bestFit="1" customWidth="1"/>
    <col min="4" max="4" width="12.7109375" style="160" bestFit="1" customWidth="1"/>
    <col min="5" max="5" width="13.85546875" style="160" bestFit="1" customWidth="1"/>
    <col min="6" max="6" width="12.140625" style="121" bestFit="1" customWidth="1"/>
    <col min="7" max="7" width="11.42578125" style="160" bestFit="1" customWidth="1"/>
    <col min="8" max="8" width="64.85546875" style="160" customWidth="1"/>
    <col min="9" max="9" width="14.7109375" style="160" bestFit="1" customWidth="1"/>
    <col min="10" max="10" width="14.7109375" style="160" customWidth="1"/>
    <col min="11" max="11" width="14" style="160" bestFit="1" customWidth="1"/>
    <col min="12" max="12" width="8.28515625" style="160" customWidth="1"/>
    <col min="13" max="13" width="14.42578125" style="160" bestFit="1" customWidth="1"/>
    <col min="14" max="14" width="9.140625" style="160" bestFit="1"/>
    <col min="15" max="16384" width="9.140625" style="160"/>
  </cols>
  <sheetData>
    <row r="1" spans="1:18" ht="15.75">
      <c r="A1" s="159"/>
    </row>
    <row r="2" spans="1:18" ht="15.75">
      <c r="A2" s="159" t="s">
        <v>147</v>
      </c>
    </row>
    <row r="3" spans="1:18" ht="15">
      <c r="A3" s="161"/>
    </row>
    <row r="4" spans="1:18" ht="20.25">
      <c r="A4" s="162" t="s">
        <v>3</v>
      </c>
      <c r="B4" s="163"/>
      <c r="F4" s="164" t="s">
        <v>29</v>
      </c>
      <c r="G4" s="165">
        <v>1</v>
      </c>
      <c r="H4" s="165" t="s">
        <v>416</v>
      </c>
    </row>
    <row r="5" spans="1:18" ht="13.5" thickBot="1">
      <c r="C5" s="166"/>
      <c r="D5" s="166"/>
    </row>
    <row r="6" spans="1:18" ht="26.25" thickBot="1">
      <c r="A6" s="167" t="s">
        <v>46</v>
      </c>
      <c r="B6" s="168" t="s">
        <v>8</v>
      </c>
      <c r="C6" s="168" t="s">
        <v>47</v>
      </c>
      <c r="D6" s="168" t="s">
        <v>48</v>
      </c>
      <c r="E6" s="169" t="s">
        <v>49</v>
      </c>
      <c r="F6" s="113" t="s">
        <v>50</v>
      </c>
      <c r="G6" s="168" t="s">
        <v>51</v>
      </c>
      <c r="H6" s="170" t="s">
        <v>52</v>
      </c>
      <c r="I6" s="171" t="s">
        <v>53</v>
      </c>
      <c r="J6" s="172" t="s">
        <v>8</v>
      </c>
      <c r="K6" s="173" t="s">
        <v>54</v>
      </c>
      <c r="L6" s="221" t="s">
        <v>141</v>
      </c>
      <c r="M6" s="174" t="s">
        <v>55</v>
      </c>
      <c r="N6" s="160">
        <f>220+200+238</f>
        <v>658</v>
      </c>
    </row>
    <row r="7" spans="1:18" ht="13.5" customHeight="1" thickBot="1">
      <c r="A7" s="1020" t="s">
        <v>434</v>
      </c>
      <c r="B7" s="226" t="s">
        <v>488</v>
      </c>
      <c r="C7" s="227">
        <v>21797</v>
      </c>
      <c r="D7" s="228">
        <v>241</v>
      </c>
      <c r="E7" s="229"/>
      <c r="F7" s="239">
        <v>10</v>
      </c>
      <c r="G7" s="240" t="s">
        <v>11</v>
      </c>
      <c r="H7" s="241" t="s">
        <v>418</v>
      </c>
      <c r="I7" s="1023" t="s">
        <v>447</v>
      </c>
      <c r="J7" s="261" t="s">
        <v>488</v>
      </c>
      <c r="K7" s="249">
        <f>+C34</f>
        <v>68672</v>
      </c>
      <c r="L7" s="253"/>
      <c r="M7" s="128">
        <f>+K7+L7</f>
        <v>68672</v>
      </c>
    </row>
    <row r="8" spans="1:18" ht="13.5" thickBot="1">
      <c r="A8" s="1021"/>
      <c r="B8" s="226"/>
      <c r="C8" s="227"/>
      <c r="D8" s="228"/>
      <c r="E8" s="230"/>
      <c r="F8" s="242"/>
      <c r="G8" s="243" t="s">
        <v>11</v>
      </c>
      <c r="H8" s="241" t="s">
        <v>452</v>
      </c>
      <c r="I8" s="1024"/>
      <c r="J8" s="262"/>
      <c r="K8" s="250"/>
      <c r="L8" s="250"/>
      <c r="M8" s="128">
        <f t="shared" ref="M8:M32" si="0">+K8+L8</f>
        <v>0</v>
      </c>
      <c r="N8" s="160">
        <v>1330</v>
      </c>
      <c r="O8" s="160">
        <f t="shared" ref="O8:O13" si="1">+N8-N8*0.0035</f>
        <v>1325.345</v>
      </c>
      <c r="P8" s="160">
        <f>120+45</f>
        <v>165</v>
      </c>
      <c r="Q8" s="160">
        <f t="shared" ref="Q8:Q13" si="2">+N8*P8</f>
        <v>219450</v>
      </c>
      <c r="R8" s="160">
        <f t="shared" ref="R8:R13" si="3">+O8*P8</f>
        <v>218681.92500000002</v>
      </c>
    </row>
    <row r="9" spans="1:18" ht="13.5" thickBot="1">
      <c r="A9" s="1021"/>
      <c r="B9" s="226"/>
      <c r="C9" s="227"/>
      <c r="D9" s="228"/>
      <c r="E9" s="231"/>
      <c r="F9" s="239">
        <v>6</v>
      </c>
      <c r="G9" s="243" t="s">
        <v>11</v>
      </c>
      <c r="H9" s="597" t="s">
        <v>453</v>
      </c>
      <c r="I9" s="1024"/>
      <c r="J9" s="262"/>
      <c r="K9" s="250"/>
      <c r="L9" s="250"/>
      <c r="M9" s="128">
        <f t="shared" si="0"/>
        <v>0</v>
      </c>
      <c r="N9" s="160">
        <v>1100</v>
      </c>
      <c r="O9" s="160">
        <f t="shared" si="1"/>
        <v>1096.1500000000001</v>
      </c>
      <c r="P9" s="160">
        <f>15+50</f>
        <v>65</v>
      </c>
      <c r="Q9" s="160">
        <f t="shared" si="2"/>
        <v>71500</v>
      </c>
      <c r="R9" s="160">
        <f t="shared" si="3"/>
        <v>71249.75</v>
      </c>
    </row>
    <row r="10" spans="1:18" ht="13.5" thickBot="1">
      <c r="A10" s="1021"/>
      <c r="B10" s="226"/>
      <c r="C10" s="227"/>
      <c r="D10" s="228"/>
      <c r="E10" s="230"/>
      <c r="F10" s="239"/>
      <c r="G10" s="243"/>
      <c r="H10" s="597" t="s">
        <v>429</v>
      </c>
      <c r="I10" s="1024"/>
      <c r="J10" s="261"/>
      <c r="K10" s="250"/>
      <c r="L10" s="250"/>
      <c r="M10" s="128">
        <f t="shared" si="0"/>
        <v>0</v>
      </c>
      <c r="N10" s="160">
        <v>1330</v>
      </c>
      <c r="O10" s="160">
        <f t="shared" si="1"/>
        <v>1325.345</v>
      </c>
      <c r="P10" s="160">
        <f>10+60+25</f>
        <v>95</v>
      </c>
      <c r="Q10" s="160">
        <f t="shared" si="2"/>
        <v>126350</v>
      </c>
      <c r="R10" s="160">
        <f t="shared" si="3"/>
        <v>125907.77500000001</v>
      </c>
    </row>
    <row r="11" spans="1:18" ht="39" thickBot="1">
      <c r="A11" s="1021"/>
      <c r="B11" s="226"/>
      <c r="C11" s="227"/>
      <c r="D11" s="228"/>
      <c r="E11" s="230" t="s">
        <v>432</v>
      </c>
      <c r="F11" s="239">
        <v>68</v>
      </c>
      <c r="G11" s="243" t="s">
        <v>19</v>
      </c>
      <c r="H11" s="597" t="s">
        <v>445</v>
      </c>
      <c r="I11" s="1024"/>
      <c r="J11" s="261"/>
      <c r="K11" s="250"/>
      <c r="L11" s="250"/>
      <c r="M11" s="128">
        <f t="shared" si="0"/>
        <v>0</v>
      </c>
      <c r="N11" s="160">
        <v>1100</v>
      </c>
      <c r="O11" s="160">
        <f t="shared" si="1"/>
        <v>1096.1500000000001</v>
      </c>
      <c r="P11" s="160">
        <v>25</v>
      </c>
      <c r="Q11" s="160">
        <f t="shared" si="2"/>
        <v>27500</v>
      </c>
      <c r="R11" s="160">
        <f t="shared" si="3"/>
        <v>27403.750000000004</v>
      </c>
    </row>
    <row r="12" spans="1:18" ht="39" thickBot="1">
      <c r="A12" s="1021"/>
      <c r="B12" s="226"/>
      <c r="C12" s="227"/>
      <c r="D12" s="228"/>
      <c r="E12" s="230"/>
      <c r="F12" s="239"/>
      <c r="G12" s="243"/>
      <c r="H12" s="244" t="s">
        <v>446</v>
      </c>
      <c r="I12" s="1024"/>
      <c r="J12" s="261"/>
      <c r="K12" s="250"/>
      <c r="L12" s="250"/>
      <c r="M12" s="128">
        <f t="shared" si="0"/>
        <v>0</v>
      </c>
      <c r="N12" s="160">
        <v>1330</v>
      </c>
      <c r="O12" s="160">
        <f t="shared" si="1"/>
        <v>1325.345</v>
      </c>
      <c r="P12" s="160">
        <f>10+60+10</f>
        <v>80</v>
      </c>
      <c r="Q12" s="160">
        <f t="shared" si="2"/>
        <v>106400</v>
      </c>
      <c r="R12" s="160">
        <f t="shared" si="3"/>
        <v>106027.6</v>
      </c>
    </row>
    <row r="13" spans="1:18" ht="51.75" thickBot="1">
      <c r="A13" s="1021"/>
      <c r="B13" s="226"/>
      <c r="C13" s="227"/>
      <c r="D13" s="227"/>
      <c r="E13" s="230" t="s">
        <v>431</v>
      </c>
      <c r="F13" s="239">
        <v>45</v>
      </c>
      <c r="G13" s="243" t="s">
        <v>19</v>
      </c>
      <c r="H13" s="244" t="s">
        <v>430</v>
      </c>
      <c r="I13" s="1025"/>
      <c r="J13" s="261"/>
      <c r="K13" s="250"/>
      <c r="L13" s="250"/>
      <c r="M13" s="128">
        <f t="shared" si="0"/>
        <v>0</v>
      </c>
      <c r="N13" s="160">
        <v>1100</v>
      </c>
      <c r="O13" s="160">
        <f t="shared" si="1"/>
        <v>1096.1500000000001</v>
      </c>
      <c r="P13" s="160">
        <v>30</v>
      </c>
      <c r="Q13" s="160">
        <f t="shared" si="2"/>
        <v>33000</v>
      </c>
      <c r="R13" s="160">
        <f t="shared" si="3"/>
        <v>32884.5</v>
      </c>
    </row>
    <row r="14" spans="1:18" ht="13.5" thickBot="1">
      <c r="A14" s="1022"/>
      <c r="B14" s="176" t="s">
        <v>2</v>
      </c>
      <c r="C14" s="110">
        <f>SUM(C7:C13)</f>
        <v>21797</v>
      </c>
      <c r="D14" s="122">
        <f>SUM(D7:D13)</f>
        <v>241</v>
      </c>
      <c r="E14" s="123">
        <f>SUM(E5:E13)</f>
        <v>0</v>
      </c>
      <c r="F14" s="127">
        <f>SUM(F7:F13)</f>
        <v>129</v>
      </c>
      <c r="G14" s="170"/>
      <c r="H14" s="177"/>
      <c r="I14" s="178"/>
      <c r="J14" s="261"/>
      <c r="K14" s="250"/>
      <c r="L14" s="250"/>
      <c r="M14" s="128">
        <f t="shared" si="0"/>
        <v>0</v>
      </c>
      <c r="P14" s="160">
        <f>SUM(P8:P13)</f>
        <v>460</v>
      </c>
      <c r="Q14" s="160">
        <f>SUM(Q8:Q13)</f>
        <v>584200</v>
      </c>
      <c r="R14" s="160">
        <f>SUM(R8:R13)</f>
        <v>582155.30000000005</v>
      </c>
    </row>
    <row r="15" spans="1:18" ht="13.5" customHeight="1" thickBot="1">
      <c r="A15" s="1020" t="s">
        <v>435</v>
      </c>
      <c r="B15" s="176"/>
      <c r="C15" s="124"/>
      <c r="D15" s="125"/>
      <c r="E15" s="126"/>
      <c r="F15" s="239">
        <v>10</v>
      </c>
      <c r="G15" s="240" t="s">
        <v>11</v>
      </c>
      <c r="H15" s="241" t="s">
        <v>418</v>
      </c>
      <c r="I15" s="1023" t="s">
        <v>449</v>
      </c>
      <c r="J15" s="261"/>
      <c r="K15" s="250"/>
      <c r="L15" s="250"/>
      <c r="M15" s="128">
        <f t="shared" si="0"/>
        <v>0</v>
      </c>
      <c r="Q15" s="160">
        <f>+Q14/P14</f>
        <v>1270</v>
      </c>
      <c r="R15" s="160">
        <f>+R14/P14</f>
        <v>1265.5550000000001</v>
      </c>
    </row>
    <row r="16" spans="1:18" ht="13.5" thickBot="1">
      <c r="A16" s="1026"/>
      <c r="B16" s="226" t="s">
        <v>488</v>
      </c>
      <c r="C16" s="233">
        <v>21805</v>
      </c>
      <c r="D16" s="234">
        <v>120</v>
      </c>
      <c r="E16" s="235"/>
      <c r="F16" s="239">
        <v>2</v>
      </c>
      <c r="G16" s="243" t="s">
        <v>11</v>
      </c>
      <c r="H16" s="241" t="s">
        <v>454</v>
      </c>
      <c r="I16" s="1024"/>
      <c r="J16" s="261"/>
      <c r="K16" s="240"/>
      <c r="L16" s="240"/>
      <c r="M16" s="128">
        <f t="shared" si="0"/>
        <v>0</v>
      </c>
    </row>
    <row r="17" spans="1:23" ht="13.5" thickBot="1">
      <c r="A17" s="1026"/>
      <c r="B17" s="226"/>
      <c r="C17" s="227"/>
      <c r="D17" s="228"/>
      <c r="E17" s="236"/>
      <c r="F17" s="239">
        <v>5</v>
      </c>
      <c r="G17" s="243" t="s">
        <v>11</v>
      </c>
      <c r="H17" s="597" t="s">
        <v>455</v>
      </c>
      <c r="I17" s="1024"/>
      <c r="J17" s="261"/>
      <c r="K17" s="240"/>
      <c r="L17" s="240"/>
      <c r="M17" s="128">
        <f t="shared" si="0"/>
        <v>0</v>
      </c>
      <c r="N17" s="160">
        <v>1220</v>
      </c>
      <c r="O17" s="160">
        <f>+N17-N17*0.0035</f>
        <v>1215.73</v>
      </c>
      <c r="P17" s="160">
        <v>300</v>
      </c>
    </row>
    <row r="18" spans="1:23" ht="13.5" thickBot="1">
      <c r="A18" s="1026"/>
      <c r="B18" s="226"/>
      <c r="C18" s="227"/>
      <c r="D18" s="228"/>
      <c r="E18" s="236" t="s">
        <v>431</v>
      </c>
      <c r="F18" s="239">
        <v>60</v>
      </c>
      <c r="G18" s="243" t="s">
        <v>19</v>
      </c>
      <c r="H18" s="597" t="s">
        <v>448</v>
      </c>
      <c r="I18" s="1024"/>
      <c r="J18" s="261"/>
      <c r="K18" s="250"/>
      <c r="L18" s="250"/>
      <c r="M18" s="128">
        <f t="shared" si="0"/>
        <v>0</v>
      </c>
    </row>
    <row r="19" spans="1:23" ht="13.5" thickBot="1">
      <c r="A19" s="1026"/>
      <c r="B19" s="226"/>
      <c r="C19" s="227"/>
      <c r="D19" s="228"/>
      <c r="E19" s="236"/>
      <c r="F19" s="246"/>
      <c r="G19" s="243"/>
      <c r="H19" s="597" t="s">
        <v>433</v>
      </c>
      <c r="I19" s="1024"/>
      <c r="J19" s="261"/>
      <c r="K19" s="250"/>
      <c r="L19" s="250"/>
      <c r="M19" s="128">
        <f t="shared" si="0"/>
        <v>0</v>
      </c>
    </row>
    <row r="20" spans="1:23" ht="13.5" thickBot="1">
      <c r="A20" s="1026"/>
      <c r="B20" s="226"/>
      <c r="C20" s="227"/>
      <c r="D20" s="228"/>
      <c r="E20" s="236"/>
      <c r="F20" s="239"/>
      <c r="G20" s="243"/>
      <c r="H20" s="244" t="s">
        <v>450</v>
      </c>
      <c r="I20" s="1024"/>
      <c r="J20" s="261"/>
      <c r="K20" s="251"/>
      <c r="L20" s="251"/>
      <c r="M20" s="128">
        <f t="shared" si="0"/>
        <v>0</v>
      </c>
    </row>
    <row r="21" spans="1:23" ht="13.5" thickBot="1">
      <c r="A21" s="1026"/>
      <c r="B21" s="226"/>
      <c r="C21" s="227"/>
      <c r="D21" s="228"/>
      <c r="E21" s="236"/>
      <c r="F21" s="242"/>
      <c r="G21" s="243"/>
      <c r="H21" s="503"/>
      <c r="I21" s="1024"/>
      <c r="J21" s="261"/>
      <c r="K21" s="250"/>
      <c r="L21" s="250"/>
      <c r="M21" s="128">
        <f t="shared" si="0"/>
        <v>0</v>
      </c>
    </row>
    <row r="22" spans="1:23" ht="13.5" thickBot="1">
      <c r="A22" s="1026"/>
      <c r="B22" s="226"/>
      <c r="C22" s="227"/>
      <c r="D22" s="228"/>
      <c r="E22" s="236"/>
      <c r="F22" s="247"/>
      <c r="G22" s="243"/>
      <c r="H22" s="244"/>
      <c r="I22" s="1025"/>
      <c r="J22" s="261"/>
      <c r="K22" s="250"/>
      <c r="L22" s="250"/>
      <c r="M22" s="128">
        <f t="shared" si="0"/>
        <v>0</v>
      </c>
    </row>
    <row r="23" spans="1:23" ht="13.5" thickBot="1">
      <c r="A23" s="1027"/>
      <c r="B23" s="179" t="s">
        <v>2</v>
      </c>
      <c r="C23" s="111">
        <f>SUM(C16:C22)</f>
        <v>21805</v>
      </c>
      <c r="D23" s="122">
        <f>SUM(D16:D22)</f>
        <v>120</v>
      </c>
      <c r="E23" s="123">
        <f>SUM(E18:E22)</f>
        <v>0</v>
      </c>
      <c r="F23" s="127">
        <f>SUM(F15:F22)</f>
        <v>77</v>
      </c>
      <c r="G23" s="170"/>
      <c r="H23" s="177" t="s">
        <v>234</v>
      </c>
      <c r="I23" s="180"/>
      <c r="J23" s="261"/>
      <c r="K23" s="250"/>
      <c r="L23" s="250"/>
      <c r="M23" s="128">
        <f t="shared" si="0"/>
        <v>0</v>
      </c>
    </row>
    <row r="24" spans="1:23" ht="13.5" customHeight="1" thickBot="1">
      <c r="A24" s="1020" t="s">
        <v>436</v>
      </c>
      <c r="B24" s="181"/>
      <c r="C24" s="124"/>
      <c r="D24" s="125"/>
      <c r="E24" s="126"/>
      <c r="F24" s="247">
        <v>10</v>
      </c>
      <c r="G24" s="240" t="s">
        <v>11</v>
      </c>
      <c r="H24" s="241" t="s">
        <v>418</v>
      </c>
      <c r="I24" s="1023">
        <v>238</v>
      </c>
      <c r="J24" s="261"/>
      <c r="K24" s="250"/>
      <c r="L24" s="250"/>
      <c r="M24" s="128">
        <f t="shared" si="0"/>
        <v>0</v>
      </c>
    </row>
    <row r="25" spans="1:23" ht="13.5" thickBot="1">
      <c r="A25" s="1028"/>
      <c r="B25" s="226" t="s">
        <v>488</v>
      </c>
      <c r="C25" s="237">
        <v>25070</v>
      </c>
      <c r="D25" s="228"/>
      <c r="E25" s="236"/>
      <c r="F25" s="242"/>
      <c r="G25" s="243" t="s">
        <v>11</v>
      </c>
      <c r="H25" s="241" t="s">
        <v>452</v>
      </c>
      <c r="I25" s="1024"/>
      <c r="J25" s="261"/>
      <c r="K25" s="250"/>
      <c r="L25" s="250"/>
      <c r="M25" s="128">
        <f t="shared" si="0"/>
        <v>0</v>
      </c>
    </row>
    <row r="26" spans="1:23" ht="13.5" thickBot="1">
      <c r="A26" s="1028"/>
      <c r="B26" s="226"/>
      <c r="C26" s="237"/>
      <c r="D26" s="228"/>
      <c r="E26" s="238"/>
      <c r="F26" s="242">
        <v>2</v>
      </c>
      <c r="G26" s="243" t="s">
        <v>11</v>
      </c>
      <c r="H26" s="597" t="s">
        <v>453</v>
      </c>
      <c r="I26" s="1024"/>
      <c r="J26" s="261"/>
      <c r="K26" s="250"/>
      <c r="L26" s="250"/>
      <c r="M26" s="128">
        <f t="shared" si="0"/>
        <v>0</v>
      </c>
    </row>
    <row r="27" spans="1:23" ht="13.5" thickBot="1">
      <c r="A27" s="1028"/>
      <c r="B27" s="226"/>
      <c r="C27" s="227"/>
      <c r="D27" s="228"/>
      <c r="E27" s="236"/>
      <c r="F27" s="242"/>
      <c r="G27" s="243"/>
      <c r="H27" s="597" t="s">
        <v>429</v>
      </c>
      <c r="I27" s="1024"/>
      <c r="J27" s="261"/>
      <c r="K27" s="250"/>
      <c r="L27" s="250"/>
      <c r="M27" s="128">
        <f t="shared" si="0"/>
        <v>0</v>
      </c>
    </row>
    <row r="28" spans="1:23" ht="13.5" thickBot="1">
      <c r="A28" s="1028"/>
      <c r="B28" s="226"/>
      <c r="C28" s="227"/>
      <c r="D28" s="228"/>
      <c r="E28" s="236"/>
      <c r="F28" s="242"/>
      <c r="G28" s="243"/>
      <c r="H28" s="597"/>
      <c r="I28" s="1024"/>
      <c r="J28" s="261"/>
      <c r="K28" s="250"/>
      <c r="L28" s="250"/>
      <c r="M28" s="128">
        <f t="shared" si="0"/>
        <v>0</v>
      </c>
    </row>
    <row r="29" spans="1:23" ht="13.5" thickBot="1">
      <c r="A29" s="1028"/>
      <c r="B29" s="226"/>
      <c r="C29" s="227"/>
      <c r="D29" s="228"/>
      <c r="E29" s="236"/>
      <c r="F29" s="247"/>
      <c r="G29" s="243"/>
      <c r="H29" s="244"/>
      <c r="I29" s="1024"/>
      <c r="J29" s="261"/>
      <c r="K29" s="250"/>
      <c r="L29" s="250"/>
      <c r="M29" s="128">
        <f t="shared" si="0"/>
        <v>0</v>
      </c>
    </row>
    <row r="30" spans="1:23" ht="13.5" thickBot="1">
      <c r="A30" s="1028"/>
      <c r="B30" s="226"/>
      <c r="C30" s="237"/>
      <c r="D30" s="228"/>
      <c r="E30" s="236"/>
      <c r="F30" s="247"/>
      <c r="G30" s="243"/>
      <c r="H30" s="244"/>
      <c r="I30" s="1024"/>
      <c r="J30" s="261"/>
      <c r="K30" s="250"/>
      <c r="L30" s="250"/>
      <c r="M30" s="128">
        <f t="shared" si="0"/>
        <v>0</v>
      </c>
      <c r="N30" s="192" t="s">
        <v>92</v>
      </c>
      <c r="O30" s="605" t="s">
        <v>437</v>
      </c>
      <c r="P30" s="605" t="s">
        <v>437</v>
      </c>
      <c r="Q30" s="605" t="s">
        <v>438</v>
      </c>
      <c r="R30" s="605" t="s">
        <v>439</v>
      </c>
      <c r="S30" s="605" t="s">
        <v>440</v>
      </c>
      <c r="T30" s="605" t="s">
        <v>441</v>
      </c>
      <c r="U30" s="606" t="s">
        <v>442</v>
      </c>
      <c r="V30" s="605" t="s">
        <v>443</v>
      </c>
      <c r="W30" s="605" t="s">
        <v>444</v>
      </c>
    </row>
    <row r="31" spans="1:23" ht="13.5" thickBot="1">
      <c r="A31" s="1028"/>
      <c r="B31" s="226"/>
      <c r="C31" s="237"/>
      <c r="D31" s="228"/>
      <c r="E31" s="236"/>
      <c r="F31" s="247"/>
      <c r="G31" s="248"/>
      <c r="H31" s="245"/>
      <c r="I31" s="1025"/>
      <c r="J31" s="261"/>
      <c r="K31" s="250"/>
      <c r="L31" s="250"/>
      <c r="M31" s="128">
        <f t="shared" si="0"/>
        <v>0</v>
      </c>
      <c r="N31" s="607">
        <v>14</v>
      </c>
      <c r="O31" s="210">
        <v>1350</v>
      </c>
      <c r="P31" s="210">
        <v>1350</v>
      </c>
      <c r="Q31" s="210">
        <v>1345</v>
      </c>
      <c r="R31" s="608">
        <f>1-(Q31/P31)</f>
        <v>3.7037037037036535E-3</v>
      </c>
      <c r="S31" s="609">
        <v>68</v>
      </c>
      <c r="T31" s="610">
        <v>266</v>
      </c>
      <c r="U31" s="611">
        <f>(O31*(1-R31)*N31*T31*S31)/100000000</f>
        <v>3.4059704000000002</v>
      </c>
      <c r="V31" s="612">
        <f>+C38/1000</f>
        <v>4.4999999999999998E-2</v>
      </c>
      <c r="W31" s="613">
        <f>SUM(V31:V33)/SUM(U31:U33)</f>
        <v>6.6118418616689838E-3</v>
      </c>
    </row>
    <row r="32" spans="1:23" ht="13.5" thickBot="1">
      <c r="A32" s="1029"/>
      <c r="B32" s="176" t="s">
        <v>2</v>
      </c>
      <c r="C32" s="110">
        <f>SUM(C25:C31)</f>
        <v>25070</v>
      </c>
      <c r="D32" s="111">
        <f>SUM(D25:D31)</f>
        <v>0</v>
      </c>
      <c r="E32" s="112">
        <f>SUM(E25:E31)</f>
        <v>0</v>
      </c>
      <c r="F32" s="113">
        <f>SUM(F24:F31)</f>
        <v>12</v>
      </c>
      <c r="G32" s="182"/>
      <c r="H32" s="183"/>
      <c r="I32" s="180"/>
      <c r="J32" s="263"/>
      <c r="K32" s="252"/>
      <c r="L32" s="254"/>
      <c r="M32" s="128">
        <f t="shared" si="0"/>
        <v>0</v>
      </c>
      <c r="U32" s="160">
        <v>3.4</v>
      </c>
    </row>
    <row r="33" spans="1:16" ht="13.5" thickBot="1">
      <c r="A33" s="184"/>
      <c r="B33" s="185"/>
      <c r="C33" s="114">
        <f>C32/($C$32+$D$32+$E$32)</f>
        <v>1</v>
      </c>
      <c r="D33" s="115">
        <f>D32/($C$32+$D$32+$E$32)</f>
        <v>0</v>
      </c>
      <c r="E33" s="116">
        <f>E32/($C$32+$D$32+$E$32)</f>
        <v>0</v>
      </c>
      <c r="F33" s="117"/>
      <c r="G33" s="186"/>
      <c r="H33" s="187"/>
      <c r="I33" s="188"/>
      <c r="J33" s="132"/>
      <c r="K33" s="133"/>
      <c r="L33" s="224"/>
      <c r="M33" s="130"/>
    </row>
    <row r="34" spans="1:16" ht="13.5" thickBot="1">
      <c r="A34" s="1030" t="s">
        <v>56</v>
      </c>
      <c r="B34" s="1031"/>
      <c r="C34" s="118">
        <f>C14+C23+C32</f>
        <v>68672</v>
      </c>
      <c r="D34" s="118">
        <f>D14+D23+D32</f>
        <v>361</v>
      </c>
      <c r="E34" s="118">
        <f>E14+E23+E32</f>
        <v>0</v>
      </c>
      <c r="F34" s="119">
        <f>F14+F23+F32</f>
        <v>218</v>
      </c>
      <c r="H34" s="189"/>
      <c r="I34" s="189"/>
      <c r="J34" s="134" t="s">
        <v>27</v>
      </c>
      <c r="K34" s="135">
        <f>SUM(K7:K32)</f>
        <v>68672</v>
      </c>
      <c r="L34" s="223">
        <f>SUM(L7:L32)</f>
        <v>0</v>
      </c>
      <c r="M34" s="131">
        <f>SUM(M7:M32)</f>
        <v>68672</v>
      </c>
      <c r="N34" s="166"/>
    </row>
    <row r="35" spans="1:16" ht="13.5" thickBot="1">
      <c r="A35" s="190"/>
      <c r="B35" s="191"/>
      <c r="C35" s="115">
        <f>C34/($C$34+$D$34+$E$34)</f>
        <v>0.99477061695131319</v>
      </c>
      <c r="D35" s="115">
        <f>D34/($C$34+$D$34+$E$34)</f>
        <v>5.2293830486868599E-3</v>
      </c>
      <c r="E35" s="120">
        <f>E34/($C$34+$D$34+$E$34)</f>
        <v>0</v>
      </c>
      <c r="K35" s="166"/>
    </row>
    <row r="36" spans="1:16" ht="13.5" thickBot="1">
      <c r="A36" s="189"/>
      <c r="B36" s="189"/>
      <c r="C36" s="166"/>
      <c r="D36" s="166"/>
      <c r="E36" s="166"/>
      <c r="G36" s="166"/>
      <c r="H36" s="192"/>
      <c r="I36" s="173" t="s">
        <v>36</v>
      </c>
      <c r="J36" s="173" t="s">
        <v>37</v>
      </c>
      <c r="K36" s="193"/>
    </row>
    <row r="37" spans="1:16" ht="17.45" customHeight="1" thickBot="1">
      <c r="A37" s="1032" t="s">
        <v>57</v>
      </c>
      <c r="B37" s="1033"/>
      <c r="C37" s="173" t="s">
        <v>58</v>
      </c>
      <c r="D37" s="194" t="s">
        <v>59</v>
      </c>
      <c r="E37" s="195" t="s">
        <v>60</v>
      </c>
      <c r="F37" s="196"/>
      <c r="G37" s="166"/>
      <c r="H37" s="197" t="s">
        <v>61</v>
      </c>
      <c r="I37" s="255">
        <f>(14*1240)/1240*G42*2.77*1240/1000000</f>
        <v>61.390287321999992</v>
      </c>
      <c r="J37" s="136">
        <f>I37</f>
        <v>61.390287321999992</v>
      </c>
      <c r="K37" s="137" t="s">
        <v>62</v>
      </c>
      <c r="N37" s="255">
        <f>(14*1240)/1240*P37*2.85*1240/1000000</f>
        <v>66.558825900000016</v>
      </c>
      <c r="O37" s="160">
        <v>1350</v>
      </c>
      <c r="P37" s="160">
        <f>+O37-O37*0.0035</f>
        <v>1345.2750000000001</v>
      </c>
    </row>
    <row r="38" spans="1:16" ht="17.45" customHeight="1">
      <c r="A38" s="1034" t="s">
        <v>11</v>
      </c>
      <c r="B38" s="1035"/>
      <c r="C38" s="175">
        <f>SUMIF($G$7:$G$31,"Process",$F$7:$F$31)</f>
        <v>45</v>
      </c>
      <c r="D38" s="129">
        <f>C38</f>
        <v>45</v>
      </c>
      <c r="E38" s="154">
        <f t="shared" ref="E38:E51" si="4">D38/60</f>
        <v>0.75</v>
      </c>
      <c r="F38" s="196">
        <v>1270</v>
      </c>
      <c r="G38" s="196">
        <v>1265.5550000000001</v>
      </c>
      <c r="H38" s="198" t="s">
        <v>63</v>
      </c>
      <c r="I38" s="555">
        <f>22.937+23.611+22.357</f>
        <v>68.905000000000001</v>
      </c>
      <c r="J38" s="138">
        <f>I38</f>
        <v>68.905000000000001</v>
      </c>
      <c r="K38" s="139" t="s">
        <v>62</v>
      </c>
      <c r="N38" s="255">
        <f>(14*1240)/1240*P38*2.85*1240/1000000</f>
        <v>63.163292009999999</v>
      </c>
      <c r="O38" s="160">
        <v>1281.1290322580646</v>
      </c>
      <c r="P38" s="160">
        <v>1276.6450806451612</v>
      </c>
    </row>
    <row r="39" spans="1:16" ht="17.45" customHeight="1">
      <c r="A39" s="1018" t="s">
        <v>12</v>
      </c>
      <c r="B39" s="1019"/>
      <c r="C39" s="175">
        <f>SUMIF($G$7:$G$31,"Cleaning",$F$7:$F$31)</f>
        <v>0</v>
      </c>
      <c r="D39" s="129">
        <f>C39</f>
        <v>0</v>
      </c>
      <c r="E39" s="154">
        <f t="shared" si="4"/>
        <v>0</v>
      </c>
      <c r="F39" s="196">
        <v>1220</v>
      </c>
      <c r="G39" s="196">
        <f>+F39-F39*0.0035</f>
        <v>1215.73</v>
      </c>
      <c r="H39" s="198" t="s">
        <v>64</v>
      </c>
      <c r="I39" s="153"/>
      <c r="J39" s="140">
        <f>J37/G4</f>
        <v>61.390287321999992</v>
      </c>
      <c r="K39" s="141" t="s">
        <v>62</v>
      </c>
      <c r="N39" s="614">
        <f>+N37-N38</f>
        <v>3.3955338900000172</v>
      </c>
    </row>
    <row r="40" spans="1:16" ht="17.45" customHeight="1">
      <c r="A40" s="1018" t="s">
        <v>65</v>
      </c>
      <c r="B40" s="1019"/>
      <c r="C40" s="175">
        <f>SUMIF($G$7:$G$31,"Mechanical",$F$7:$F$31)</f>
        <v>0</v>
      </c>
      <c r="D40" s="129">
        <f t="shared" ref="D40:D51" si="5">C40</f>
        <v>0</v>
      </c>
      <c r="E40" s="154">
        <f t="shared" si="4"/>
        <v>0</v>
      </c>
      <c r="F40" s="196">
        <v>1330</v>
      </c>
      <c r="G40" s="196">
        <f>+F40-F40*0.0035</f>
        <v>1325.345</v>
      </c>
      <c r="H40" s="198" t="s">
        <v>66</v>
      </c>
      <c r="I40" s="129">
        <f>(K34+L34)/1000</f>
        <v>68.671999999999997</v>
      </c>
      <c r="J40" s="142">
        <f>M34/1000</f>
        <v>68.671999999999997</v>
      </c>
      <c r="K40" s="141" t="s">
        <v>62</v>
      </c>
    </row>
    <row r="41" spans="1:16" ht="17.45" customHeight="1">
      <c r="A41" s="1018" t="s">
        <v>67</v>
      </c>
      <c r="B41" s="1019"/>
      <c r="C41" s="175">
        <f>SUMIF($G$7:$G$31,"Electrical",$F$7:$F$31)</f>
        <v>0</v>
      </c>
      <c r="D41" s="129">
        <f t="shared" si="5"/>
        <v>0</v>
      </c>
      <c r="E41" s="154">
        <f t="shared" si="4"/>
        <v>0</v>
      </c>
      <c r="F41" s="196"/>
      <c r="G41" s="196"/>
      <c r="H41" s="198" t="s">
        <v>68</v>
      </c>
      <c r="I41" s="153"/>
      <c r="J41" s="140">
        <f>J40/G4</f>
        <v>68.671999999999997</v>
      </c>
      <c r="K41" s="141" t="s">
        <v>62</v>
      </c>
    </row>
    <row r="42" spans="1:16" ht="17.45" customHeight="1">
      <c r="A42" s="1018" t="s">
        <v>15</v>
      </c>
      <c r="B42" s="1019"/>
      <c r="C42" s="175">
        <f>SUMIF($G$7:$G$31,"Instrument",$F$7:$F$31)</f>
        <v>0</v>
      </c>
      <c r="D42" s="129">
        <f t="shared" si="5"/>
        <v>0</v>
      </c>
      <c r="E42" s="154">
        <f t="shared" si="4"/>
        <v>0</v>
      </c>
      <c r="F42" s="196">
        <f>+(F38*460+F39*300+F40*480)/1240</f>
        <v>1281.1290322580646</v>
      </c>
      <c r="G42" s="196">
        <f>+(G38*460+G39*300+G40*480)/1240</f>
        <v>1276.6450806451612</v>
      </c>
      <c r="H42" s="198" t="s">
        <v>69</v>
      </c>
      <c r="I42" s="257" t="s">
        <v>451</v>
      </c>
      <c r="J42" s="143"/>
      <c r="K42" s="141" t="s">
        <v>70</v>
      </c>
    </row>
    <row r="43" spans="1:16" ht="17.45" customHeight="1">
      <c r="A43" s="1018" t="s">
        <v>71</v>
      </c>
      <c r="B43" s="1019"/>
      <c r="C43" s="175">
        <f>SUMIF($G$7:$G$31,"Water",$F$7:$F$31)</f>
        <v>0</v>
      </c>
      <c r="D43" s="129">
        <f t="shared" si="5"/>
        <v>0</v>
      </c>
      <c r="E43" s="154">
        <f t="shared" si="4"/>
        <v>0</v>
      </c>
      <c r="F43" s="196"/>
      <c r="H43" s="199" t="s">
        <v>72</v>
      </c>
      <c r="I43" s="129">
        <f>+Report1!T9</f>
        <v>139.654</v>
      </c>
      <c r="J43" s="144">
        <f>I43</f>
        <v>139.654</v>
      </c>
      <c r="K43" s="141" t="s">
        <v>62</v>
      </c>
      <c r="L43" s="200"/>
    </row>
    <row r="44" spans="1:16" ht="17.45" customHeight="1">
      <c r="A44" s="1018" t="s">
        <v>16</v>
      </c>
      <c r="B44" s="1019"/>
      <c r="C44" s="175">
        <f>SUMIF($G$7:$G$31,"PLN",$F$7:$F$31)</f>
        <v>0</v>
      </c>
      <c r="D44" s="129">
        <f>C44</f>
        <v>0</v>
      </c>
      <c r="E44" s="154">
        <f t="shared" si="4"/>
        <v>0</v>
      </c>
      <c r="F44" s="196"/>
      <c r="H44" s="199" t="s">
        <v>73</v>
      </c>
      <c r="I44" s="129">
        <f>I43/I38</f>
        <v>2.0267614832015091</v>
      </c>
      <c r="J44" s="145">
        <f>J43/J38</f>
        <v>2.0267614832015091</v>
      </c>
      <c r="K44" s="141" t="s">
        <v>62</v>
      </c>
    </row>
    <row r="45" spans="1:16" ht="17.45" customHeight="1">
      <c r="A45" s="1018" t="s">
        <v>17</v>
      </c>
      <c r="B45" s="1019"/>
      <c r="C45" s="175">
        <f>SUMIF($G$7:$G$31,"Boiler",$F$7:$F$31)</f>
        <v>0</v>
      </c>
      <c r="D45" s="129">
        <f t="shared" si="5"/>
        <v>0</v>
      </c>
      <c r="E45" s="154">
        <f t="shared" si="4"/>
        <v>0</v>
      </c>
      <c r="F45" s="196"/>
      <c r="G45" s="187"/>
      <c r="H45" s="199" t="s">
        <v>74</v>
      </c>
      <c r="I45" s="129">
        <f>I43/I40</f>
        <v>2.0336381640260952</v>
      </c>
      <c r="J45" s="145">
        <f>J43/J40</f>
        <v>2.0336381640260952</v>
      </c>
      <c r="K45" s="141" t="s">
        <v>62</v>
      </c>
    </row>
    <row r="46" spans="1:16" ht="17.45" customHeight="1">
      <c r="A46" s="1018" t="s">
        <v>75</v>
      </c>
      <c r="B46" s="1019"/>
      <c r="C46" s="175">
        <f>SUMIF($G$7:$G$31,"Gas",$F$7:$F$31)</f>
        <v>0</v>
      </c>
      <c r="D46" s="129">
        <f t="shared" si="5"/>
        <v>0</v>
      </c>
      <c r="E46" s="154">
        <f t="shared" si="4"/>
        <v>0</v>
      </c>
      <c r="F46" s="196"/>
      <c r="H46" s="199" t="s">
        <v>76</v>
      </c>
      <c r="I46" s="151">
        <f>+SUMIF(Listrik!AR8,"&gt;0")</f>
        <v>59765.059999997873</v>
      </c>
      <c r="J46" s="146">
        <f>I46</f>
        <v>59765.059999997873</v>
      </c>
      <c r="K46" s="141" t="s">
        <v>77</v>
      </c>
    </row>
    <row r="47" spans="1:16" ht="17.45" customHeight="1">
      <c r="A47" s="1018" t="s">
        <v>78</v>
      </c>
      <c r="B47" s="1019"/>
      <c r="C47" s="175">
        <f>SUMIF($G$7:$G$31,"Gas",$F$7:$F$31)</f>
        <v>0</v>
      </c>
      <c r="D47" s="129">
        <f t="shared" si="5"/>
        <v>0</v>
      </c>
      <c r="E47" s="154">
        <f t="shared" si="4"/>
        <v>0</v>
      </c>
      <c r="F47" s="196"/>
      <c r="H47" s="199" t="s">
        <v>79</v>
      </c>
      <c r="I47" s="129">
        <f>I46/I38</f>
        <v>867.35447355050974</v>
      </c>
      <c r="J47" s="146">
        <f>J46/J38</f>
        <v>867.35447355050974</v>
      </c>
      <c r="K47" s="141" t="s">
        <v>23</v>
      </c>
    </row>
    <row r="48" spans="1:16" ht="17.45" customHeight="1">
      <c r="A48" s="1018" t="s">
        <v>13</v>
      </c>
      <c r="B48" s="1019"/>
      <c r="C48" s="175">
        <f>SUMIF($G$7:$G$31,"Start Up",$F$7:$F$31)</f>
        <v>0</v>
      </c>
      <c r="D48" s="129">
        <f t="shared" si="5"/>
        <v>0</v>
      </c>
      <c r="E48" s="154">
        <f t="shared" si="4"/>
        <v>0</v>
      </c>
      <c r="F48" s="196"/>
      <c r="H48" s="199" t="s">
        <v>80</v>
      </c>
      <c r="I48" s="129">
        <f>I46/I40</f>
        <v>870.29735554516947</v>
      </c>
      <c r="J48" s="146">
        <f>J46/J40</f>
        <v>870.29735554516947</v>
      </c>
      <c r="K48" s="141" t="s">
        <v>23</v>
      </c>
    </row>
    <row r="49" spans="1:11" ht="17.45" customHeight="1">
      <c r="A49" s="1018" t="s">
        <v>19</v>
      </c>
      <c r="B49" s="1019"/>
      <c r="C49" s="175">
        <f>SUMIF($G$7:$G$31,"Others",$F$7:$F$31)</f>
        <v>173</v>
      </c>
      <c r="D49" s="129">
        <f t="shared" si="5"/>
        <v>173</v>
      </c>
      <c r="E49" s="154">
        <f t="shared" si="4"/>
        <v>2.8833333333333333</v>
      </c>
      <c r="F49" s="196"/>
      <c r="H49" s="199" t="s">
        <v>184</v>
      </c>
      <c r="I49" s="129"/>
      <c r="J49" s="146">
        <f>I49</f>
        <v>0</v>
      </c>
      <c r="K49" s="141" t="s">
        <v>82</v>
      </c>
    </row>
    <row r="50" spans="1:11" ht="17.45" customHeight="1">
      <c r="A50" s="1018" t="s">
        <v>18</v>
      </c>
      <c r="B50" s="1019"/>
      <c r="C50" s="175">
        <f>SUMIF($G$7:$G$31,"Steam",$F$7:$F$31)</f>
        <v>0</v>
      </c>
      <c r="D50" s="129">
        <f t="shared" si="5"/>
        <v>0</v>
      </c>
      <c r="E50" s="154">
        <f t="shared" si="4"/>
        <v>0</v>
      </c>
      <c r="F50" s="196"/>
      <c r="H50" s="199" t="s">
        <v>83</v>
      </c>
      <c r="I50" s="151">
        <f>I49/I38</f>
        <v>0</v>
      </c>
      <c r="J50" s="144">
        <f>J49/J38</f>
        <v>0</v>
      </c>
      <c r="K50" s="141" t="s">
        <v>82</v>
      </c>
    </row>
    <row r="51" spans="1:11" ht="17.45" customHeight="1" thickBot="1">
      <c r="A51" s="1038" t="s">
        <v>84</v>
      </c>
      <c r="B51" s="1039"/>
      <c r="C51" s="175">
        <f>SUMIF($G$7:$G$31,"Planned shut",$F$7:$F$31)</f>
        <v>0</v>
      </c>
      <c r="D51" s="129">
        <f t="shared" si="5"/>
        <v>0</v>
      </c>
      <c r="E51" s="154">
        <f t="shared" si="4"/>
        <v>0</v>
      </c>
      <c r="F51" s="196"/>
      <c r="H51" s="201" t="s">
        <v>85</v>
      </c>
      <c r="I51" s="152">
        <f>I49/I40</f>
        <v>0</v>
      </c>
      <c r="J51" s="147">
        <f>J49/J40</f>
        <v>0</v>
      </c>
      <c r="K51" s="148" t="s">
        <v>82</v>
      </c>
    </row>
    <row r="52" spans="1:11" ht="13.5" thickBot="1">
      <c r="A52" s="1034" t="s">
        <v>27</v>
      </c>
      <c r="B52" s="1035"/>
      <c r="C52" s="155">
        <f>SUM(C38:C51)</f>
        <v>218</v>
      </c>
      <c r="D52" s="155">
        <f>SUM(D38:D51)</f>
        <v>218</v>
      </c>
      <c r="E52" s="156">
        <f>SUM(E38:E51)</f>
        <v>3.6333333333333333</v>
      </c>
      <c r="F52" s="196"/>
      <c r="H52" s="202"/>
      <c r="I52" s="203"/>
      <c r="J52" s="149"/>
      <c r="K52" s="150"/>
    </row>
    <row r="53" spans="1:11" ht="13.5" thickBot="1">
      <c r="A53" s="1036"/>
      <c r="B53" s="1037"/>
      <c r="C53" s="157">
        <f>C52/(24*60)</f>
        <v>0.15138888888888888</v>
      </c>
      <c r="D53" s="157">
        <f>D52/(24*60*G4)</f>
        <v>0.15138888888888888</v>
      </c>
      <c r="E53" s="158">
        <f>E52/(G4*24)</f>
        <v>0.15138888888888888</v>
      </c>
      <c r="F53" s="196"/>
    </row>
    <row r="54" spans="1:11">
      <c r="E54" s="204"/>
      <c r="F54" s="196"/>
    </row>
    <row r="55" spans="1:11">
      <c r="E55" s="204"/>
    </row>
    <row r="56" spans="1:11">
      <c r="A56" s="205" t="s">
        <v>86</v>
      </c>
      <c r="B56" s="206"/>
      <c r="C56" s="207"/>
      <c r="D56" s="207"/>
      <c r="E56" s="207"/>
      <c r="F56" s="208"/>
      <c r="G56" s="207"/>
      <c r="H56" s="209"/>
      <c r="I56" s="210" t="s">
        <v>87</v>
      </c>
      <c r="J56" s="211">
        <f>D34</f>
        <v>361</v>
      </c>
      <c r="K56" s="212">
        <f>J56/(J40+J56/1000)/1000</f>
        <v>5.2293830486868599E-3</v>
      </c>
    </row>
    <row r="57" spans="1:11">
      <c r="A57" s="187"/>
      <c r="I57" s="210" t="s">
        <v>88</v>
      </c>
      <c r="J57" s="211">
        <f>+E34</f>
        <v>0</v>
      </c>
      <c r="K57" s="212">
        <f>J57/(J40+J57/1000)/1000</f>
        <v>0</v>
      </c>
    </row>
    <row r="58" spans="1:11">
      <c r="A58" s="213"/>
      <c r="B58" s="214"/>
      <c r="F58" s="196"/>
      <c r="H58" s="215"/>
    </row>
    <row r="59" spans="1:11">
      <c r="A59" s="216"/>
      <c r="B59" s="187"/>
      <c r="C59" s="187"/>
      <c r="D59" s="187"/>
      <c r="E59" s="187"/>
      <c r="F59" s="200"/>
      <c r="G59" s="187"/>
      <c r="H59" s="215"/>
    </row>
    <row r="60" spans="1:11">
      <c r="H60" s="215"/>
    </row>
    <row r="61" spans="1:11">
      <c r="A61" s="217"/>
      <c r="B61" s="218"/>
      <c r="C61" s="218"/>
      <c r="D61" s="218"/>
      <c r="E61" s="218"/>
      <c r="F61" s="219"/>
      <c r="G61" s="218"/>
      <c r="H61" s="220"/>
    </row>
  </sheetData>
  <mergeCells count="24"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</mergeCells>
  <phoneticPr fontId="31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36</vt:i4>
      </vt:variant>
    </vt:vector>
  </HeadingPairs>
  <TitlesOfParts>
    <vt:vector size="79" baseType="lpstr">
      <vt:lpstr>eff all</vt:lpstr>
      <vt:lpstr>Report1</vt:lpstr>
      <vt:lpstr>GRAFIK</vt:lpstr>
      <vt:lpstr>Listrik</vt:lpstr>
      <vt:lpstr>Trim Rwd</vt:lpstr>
      <vt:lpstr>Efficiency1</vt:lpstr>
      <vt:lpstr>Efficiency2</vt:lpstr>
      <vt:lpstr>BB</vt:lpstr>
      <vt:lpstr>Chem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'eff all'!Print_Area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2025-08-01T09:21:30Z</cp:lastPrinted>
  <dcterms:created xsi:type="dcterms:W3CDTF">2007-07-30T03:52:39Z</dcterms:created>
  <dcterms:modified xsi:type="dcterms:W3CDTF">2025-08-05T04:29:55Z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